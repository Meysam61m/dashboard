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10.9.10.10\پوشه موقت\ناصری\"/>
    </mc:Choice>
  </mc:AlternateContent>
  <xr:revisionPtr revIDLastSave="0" documentId="13_ncr:1_{A9880BF1-1C1E-4199-B964-7BB208D3C79B}" xr6:coauthVersionLast="45" xr6:coauthVersionMax="47" xr10:uidLastSave="{00000000-0000-0000-0000-000000000000}"/>
  <bookViews>
    <workbookView xWindow="-120" yWindow="-120" windowWidth="29040" windowHeight="15840" tabRatio="629" xr2:uid="{00000000-000D-0000-FFFF-FFFF00000000}"/>
  </bookViews>
  <sheets>
    <sheet name="مجتمع خراسان" sheetId="1" r:id="rId1"/>
    <sheet name="کاوه" sheetId="2" r:id="rId2"/>
    <sheet name="مطهری" sheetId="3" r:id="rId3"/>
    <sheet name="سرخس" sheetId="11" r:id="rId4"/>
    <sheet name="لطف آباد" sheetId="4" r:id="rId5"/>
    <sheet name="نیشابور" sheetId="5" r:id="rId6"/>
    <sheet name="ماهیرود" sheetId="6" r:id="rId7"/>
    <sheet name="دوغارون" sheetId="7" r:id="rId8"/>
    <sheet name="بجنورد" sheetId="8" r:id="rId9"/>
    <sheet name="بیرجند" sheetId="9" r:id="rId10"/>
    <sheet name="باجگیران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AA">#REF!</definedName>
    <definedName name="aaa">'[1]100022'!$A$1:$AV$90</definedName>
    <definedName name="aaaaa">'[2]عوامل در مراکز  '!$A$1:$AV$87</definedName>
    <definedName name="acttype">#REF!</definedName>
    <definedName name="ali">#REF!</definedName>
    <definedName name="Ard">"آرد قراردادي"</definedName>
    <definedName name="BTitle">#REF!</definedName>
    <definedName name="Contracual_Driver">[3]Parametr!$C$3</definedName>
    <definedName name="cr_kim_sheet1">[4]SHEET1!#REF!</definedName>
    <definedName name="Daramad_Serkati_GF">125%</definedName>
    <definedName name="Daramad_Tejari_GF">125%</definedName>
    <definedName name="fd">#REF!</definedName>
    <definedName name="fm">#REF!</definedName>
    <definedName name="fpath">#REF!</definedName>
    <definedName name="ftype">#REF!</definedName>
    <definedName name="fulltablist">#REF!</definedName>
    <definedName name="fy">#REF!</definedName>
    <definedName name="fymd">#REF!</definedName>
    <definedName name="Gandom">"گندم قراردادي"</definedName>
    <definedName name="Hazineh_Sherkati_GF">130%</definedName>
    <definedName name="Hazineh_Tejari_GF">130%</definedName>
    <definedName name="LastCell">#REF!</definedName>
    <definedName name="Light_Ratio">[3]Parametr!$C$7</definedName>
    <definedName name="Ostani">"گندم قراردادي"</definedName>
    <definedName name="_xlnm.Print_Area" localSheetId="0">'مجتمع خراسان'!$A$1:$R$40</definedName>
    <definedName name="Sarasari">"سراسري"</definedName>
    <definedName name="StartCell">#REF!</definedName>
    <definedName name="tabfile">#REF!</definedName>
    <definedName name="tabref">#REF!</definedName>
    <definedName name="tabtitles">#REF!</definedName>
    <definedName name="Tashim_From_Cost_to_Official">#REF!</definedName>
    <definedName name="Tashim_From_Cost_to_Official_12_month_92_Forcast">#REF!</definedName>
    <definedName name="Tashim_From_Cost_to_Official_6_month_92">#REF!</definedName>
    <definedName name="Tashim_From_Cost_to_Opratinal_12_month_92_Forcast">#REF!</definedName>
    <definedName name="vco">#REF!</definedName>
    <definedName name="vconame">#REF!</definedName>
    <definedName name="ا">#REF!</definedName>
    <definedName name="آوینی">#REF!</definedName>
    <definedName name="تلاتال">'[5]عوامل در مراکز  '!$A$1:$AV$87</definedName>
    <definedName name="مم">[4]SHEET1!#REF!</definedName>
    <definedName name="مواد">#REF!</definedName>
    <definedName name="ناهغ">[4]SHEET1!#REF!</definedName>
    <definedName name="یییی">[6]SHEET1!#REF!</definedName>
    <definedName name="ئم10">[7]BudgetDB!#REF!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9" i="10" l="1"/>
  <c r="P39" i="10"/>
  <c r="Q38" i="10"/>
  <c r="P38" i="10"/>
  <c r="Q37" i="10"/>
  <c r="P37" i="10"/>
  <c r="Q39" i="9"/>
  <c r="P39" i="9"/>
  <c r="Q38" i="9"/>
  <c r="P38" i="9"/>
  <c r="Q37" i="9"/>
  <c r="P37" i="9"/>
  <c r="Q39" i="8"/>
  <c r="P39" i="8"/>
  <c r="Q38" i="8"/>
  <c r="P38" i="8"/>
  <c r="Q37" i="8"/>
  <c r="P37" i="8"/>
  <c r="Q39" i="7"/>
  <c r="P39" i="7"/>
  <c r="Q38" i="7"/>
  <c r="P38" i="7"/>
  <c r="Q37" i="7"/>
  <c r="P37" i="7"/>
  <c r="Q39" i="6"/>
  <c r="P39" i="6"/>
  <c r="Q38" i="6"/>
  <c r="P38" i="6"/>
  <c r="Q37" i="6"/>
  <c r="P37" i="6"/>
  <c r="Q39" i="5"/>
  <c r="P39" i="5"/>
  <c r="Q38" i="5"/>
  <c r="P38" i="5"/>
  <c r="Q37" i="5"/>
  <c r="P37" i="5"/>
  <c r="Q39" i="4"/>
  <c r="P39" i="4"/>
  <c r="Q38" i="4"/>
  <c r="P38" i="4"/>
  <c r="Q37" i="4"/>
  <c r="P37" i="4"/>
  <c r="Q39" i="11"/>
  <c r="P39" i="11"/>
  <c r="Q38" i="11"/>
  <c r="P38" i="11"/>
  <c r="Q37" i="11"/>
  <c r="P37" i="11"/>
  <c r="Q39" i="3"/>
  <c r="P39" i="3"/>
  <c r="Q38" i="3"/>
  <c r="P38" i="3"/>
  <c r="Q37" i="3"/>
  <c r="P37" i="3"/>
  <c r="O39" i="10"/>
  <c r="N39" i="10"/>
  <c r="M39" i="10"/>
  <c r="L39" i="10"/>
  <c r="K39" i="10"/>
  <c r="J39" i="10"/>
  <c r="I39" i="10"/>
  <c r="H39" i="10"/>
  <c r="G39" i="10"/>
  <c r="F39" i="10"/>
  <c r="E39" i="10"/>
  <c r="O39" i="9"/>
  <c r="N39" i="9"/>
  <c r="M39" i="9"/>
  <c r="L39" i="9"/>
  <c r="K39" i="9"/>
  <c r="J39" i="9"/>
  <c r="I39" i="9"/>
  <c r="H39" i="9"/>
  <c r="G39" i="9"/>
  <c r="F39" i="9"/>
  <c r="E39" i="9"/>
  <c r="O39" i="8"/>
  <c r="N39" i="8"/>
  <c r="M39" i="8"/>
  <c r="L39" i="8"/>
  <c r="K39" i="8"/>
  <c r="J39" i="8"/>
  <c r="I39" i="8"/>
  <c r="H39" i="8"/>
  <c r="G39" i="8"/>
  <c r="F39" i="8"/>
  <c r="E39" i="8"/>
  <c r="O39" i="7"/>
  <c r="N39" i="7"/>
  <c r="M39" i="7"/>
  <c r="L39" i="7"/>
  <c r="K39" i="7"/>
  <c r="J39" i="7"/>
  <c r="I39" i="7"/>
  <c r="H39" i="7"/>
  <c r="G39" i="7"/>
  <c r="F39" i="7"/>
  <c r="E39" i="7"/>
  <c r="O39" i="6"/>
  <c r="N39" i="6"/>
  <c r="M39" i="6"/>
  <c r="L39" i="6"/>
  <c r="K39" i="6"/>
  <c r="J39" i="6"/>
  <c r="I39" i="6"/>
  <c r="H39" i="6"/>
  <c r="G39" i="6"/>
  <c r="F39" i="6"/>
  <c r="E39" i="6"/>
  <c r="O39" i="5"/>
  <c r="N39" i="5"/>
  <c r="M39" i="5"/>
  <c r="L39" i="5"/>
  <c r="K39" i="5"/>
  <c r="J39" i="5"/>
  <c r="I39" i="5"/>
  <c r="H39" i="5"/>
  <c r="G39" i="5"/>
  <c r="F39" i="5"/>
  <c r="E39" i="5"/>
  <c r="O39" i="4"/>
  <c r="N39" i="4"/>
  <c r="M39" i="4"/>
  <c r="L39" i="4"/>
  <c r="K39" i="4"/>
  <c r="J39" i="4"/>
  <c r="I39" i="4"/>
  <c r="H39" i="4"/>
  <c r="G39" i="4"/>
  <c r="F39" i="4"/>
  <c r="E39" i="4"/>
  <c r="O39" i="11"/>
  <c r="N39" i="11"/>
  <c r="M39" i="11"/>
  <c r="L39" i="11"/>
  <c r="K39" i="11"/>
  <c r="J39" i="11"/>
  <c r="I39" i="11"/>
  <c r="H39" i="11"/>
  <c r="G39" i="11"/>
  <c r="F39" i="11"/>
  <c r="E39" i="11"/>
  <c r="O39" i="3"/>
  <c r="N39" i="3"/>
  <c r="M39" i="3"/>
  <c r="L39" i="3"/>
  <c r="K39" i="3"/>
  <c r="J39" i="3"/>
  <c r="I39" i="3"/>
  <c r="H39" i="3"/>
  <c r="G39" i="3"/>
  <c r="F39" i="3"/>
  <c r="E39" i="3"/>
  <c r="Q39" i="2"/>
  <c r="P39" i="2"/>
  <c r="Q38" i="2"/>
  <c r="P38" i="2"/>
  <c r="Q37" i="2"/>
  <c r="P37" i="2"/>
  <c r="Q38" i="1"/>
  <c r="Q39" i="1"/>
  <c r="Q37" i="1"/>
  <c r="P38" i="1"/>
  <c r="P39" i="1"/>
  <c r="P37" i="1"/>
  <c r="F39" i="1"/>
  <c r="G39" i="1"/>
  <c r="H39" i="1"/>
  <c r="I39" i="1"/>
  <c r="J39" i="1"/>
  <c r="L39" i="1"/>
  <c r="M39" i="1"/>
  <c r="N39" i="1"/>
  <c r="O39" i="1"/>
  <c r="E39" i="1"/>
  <c r="O38" i="10"/>
  <c r="O37" i="10"/>
  <c r="G38" i="10"/>
  <c r="G37" i="10"/>
  <c r="O38" i="9"/>
  <c r="O37" i="9"/>
  <c r="K38" i="9"/>
  <c r="K37" i="9"/>
  <c r="G38" i="9"/>
  <c r="G37" i="9"/>
  <c r="O38" i="8"/>
  <c r="O37" i="8"/>
  <c r="K38" i="8"/>
  <c r="K37" i="8"/>
  <c r="G38" i="8"/>
  <c r="G37" i="8"/>
  <c r="O38" i="7"/>
  <c r="O37" i="7"/>
  <c r="K38" i="7"/>
  <c r="K37" i="7"/>
  <c r="G38" i="7"/>
  <c r="G37" i="7"/>
  <c r="O38" i="6"/>
  <c r="O37" i="6"/>
  <c r="K38" i="6"/>
  <c r="K37" i="6"/>
  <c r="G38" i="6"/>
  <c r="G37" i="6"/>
  <c r="O38" i="5"/>
  <c r="O37" i="5"/>
  <c r="K38" i="5"/>
  <c r="K37" i="5"/>
  <c r="G38" i="5"/>
  <c r="G37" i="5"/>
  <c r="O38" i="4"/>
  <c r="O37" i="4"/>
  <c r="K38" i="4"/>
  <c r="K37" i="4"/>
  <c r="G38" i="4"/>
  <c r="G37" i="4"/>
  <c r="O38" i="11"/>
  <c r="O37" i="11"/>
  <c r="K38" i="11"/>
  <c r="K37" i="11"/>
  <c r="G38" i="11"/>
  <c r="G37" i="11"/>
  <c r="O38" i="3"/>
  <c r="O37" i="3"/>
  <c r="K38" i="3"/>
  <c r="K37" i="3"/>
  <c r="G38" i="3"/>
  <c r="G37" i="3"/>
  <c r="O39" i="2"/>
  <c r="O38" i="2"/>
  <c r="O37" i="2"/>
  <c r="K38" i="2"/>
  <c r="K37" i="2"/>
  <c r="G38" i="2"/>
  <c r="G38" i="1" s="1"/>
  <c r="G37" i="2"/>
  <c r="H39" i="2"/>
  <c r="I39" i="2"/>
  <c r="J39" i="2"/>
  <c r="K39" i="2"/>
  <c r="L39" i="2"/>
  <c r="M39" i="2"/>
  <c r="N39" i="2"/>
  <c r="F39" i="2"/>
  <c r="E39" i="2"/>
  <c r="E38" i="1"/>
  <c r="F38" i="1"/>
  <c r="H38" i="1"/>
  <c r="I38" i="1"/>
  <c r="J38" i="1"/>
  <c r="L38" i="1"/>
  <c r="M38" i="1"/>
  <c r="N38" i="1"/>
  <c r="D38" i="1"/>
  <c r="H37" i="1"/>
  <c r="I37" i="1"/>
  <c r="J37" i="1"/>
  <c r="L37" i="1"/>
  <c r="M37" i="1"/>
  <c r="N37" i="1"/>
  <c r="E37" i="1"/>
  <c r="F37" i="1"/>
  <c r="D37" i="1"/>
  <c r="K37" i="1" l="1"/>
  <c r="K38" i="1"/>
  <c r="O37" i="1"/>
  <c r="O38" i="1"/>
  <c r="G39" i="2"/>
  <c r="G37" i="1"/>
  <c r="K32" i="10"/>
  <c r="J32" i="10"/>
  <c r="K31" i="10"/>
  <c r="J31" i="10"/>
  <c r="K30" i="10"/>
  <c r="J30" i="10"/>
  <c r="K29" i="10"/>
  <c r="J29" i="10"/>
  <c r="K28" i="10"/>
  <c r="J28" i="10"/>
  <c r="K26" i="10"/>
  <c r="J26" i="10"/>
  <c r="K24" i="10"/>
  <c r="J24" i="10"/>
  <c r="K23" i="10"/>
  <c r="J23" i="10"/>
  <c r="J32" i="9"/>
  <c r="K31" i="9"/>
  <c r="J31" i="9"/>
  <c r="K30" i="9"/>
  <c r="J30" i="9"/>
  <c r="J29" i="9"/>
  <c r="K28" i="9"/>
  <c r="J28" i="9"/>
  <c r="K26" i="9"/>
  <c r="J26" i="9"/>
  <c r="K24" i="9"/>
  <c r="J24" i="9"/>
  <c r="K23" i="9"/>
  <c r="J23" i="9"/>
  <c r="K31" i="8"/>
  <c r="J31" i="8"/>
  <c r="K30" i="8"/>
  <c r="J30" i="8"/>
  <c r="K28" i="8"/>
  <c r="J28" i="8"/>
  <c r="K26" i="8"/>
  <c r="J26" i="8"/>
  <c r="K24" i="8"/>
  <c r="J24" i="8"/>
  <c r="K23" i="8"/>
  <c r="J23" i="8"/>
  <c r="K32" i="7"/>
  <c r="K31" i="7"/>
  <c r="J31" i="7"/>
  <c r="K30" i="7"/>
  <c r="J30" i="7"/>
  <c r="K29" i="7"/>
  <c r="K28" i="7"/>
  <c r="J28" i="7"/>
  <c r="K26" i="7"/>
  <c r="J26" i="7"/>
  <c r="K24" i="7"/>
  <c r="J24" i="7"/>
  <c r="K23" i="7"/>
  <c r="J23" i="7"/>
  <c r="K32" i="6"/>
  <c r="J32" i="6"/>
  <c r="K31" i="6"/>
  <c r="J31" i="6"/>
  <c r="K30" i="6"/>
  <c r="J30" i="6"/>
  <c r="K29" i="6"/>
  <c r="J29" i="6"/>
  <c r="K28" i="6"/>
  <c r="J28" i="6"/>
  <c r="K26" i="6"/>
  <c r="J26" i="6"/>
  <c r="K24" i="6"/>
  <c r="J24" i="6"/>
  <c r="K23" i="6"/>
  <c r="J23" i="6"/>
  <c r="K32" i="5"/>
  <c r="J32" i="5"/>
  <c r="K31" i="5"/>
  <c r="J31" i="5"/>
  <c r="K30" i="5"/>
  <c r="J30" i="5"/>
  <c r="K29" i="5"/>
  <c r="J29" i="5"/>
  <c r="K28" i="5"/>
  <c r="J28" i="5"/>
  <c r="K26" i="5"/>
  <c r="J26" i="5"/>
  <c r="K24" i="5"/>
  <c r="J24" i="5"/>
  <c r="K23" i="5"/>
  <c r="J23" i="5"/>
  <c r="K32" i="4"/>
  <c r="J32" i="4"/>
  <c r="K31" i="4"/>
  <c r="J31" i="4"/>
  <c r="K30" i="4"/>
  <c r="J30" i="4"/>
  <c r="K29" i="4"/>
  <c r="J29" i="4"/>
  <c r="K28" i="4"/>
  <c r="J28" i="4"/>
  <c r="K26" i="4"/>
  <c r="J26" i="4"/>
  <c r="K24" i="4"/>
  <c r="J24" i="4"/>
  <c r="K23" i="4"/>
  <c r="J23" i="4"/>
  <c r="K32" i="11"/>
  <c r="J32" i="11"/>
  <c r="K31" i="11"/>
  <c r="J31" i="11"/>
  <c r="K30" i="11"/>
  <c r="J30" i="11"/>
  <c r="K29" i="11"/>
  <c r="J29" i="11"/>
  <c r="K28" i="11"/>
  <c r="J28" i="11"/>
  <c r="K26" i="11"/>
  <c r="J26" i="11"/>
  <c r="K24" i="11"/>
  <c r="J24" i="11"/>
  <c r="K23" i="11"/>
  <c r="J23" i="11"/>
  <c r="K32" i="3"/>
  <c r="J32" i="3"/>
  <c r="K31" i="3"/>
  <c r="J31" i="3"/>
  <c r="K30" i="3"/>
  <c r="J30" i="3"/>
  <c r="K29" i="3"/>
  <c r="J29" i="3"/>
  <c r="K28" i="3"/>
  <c r="J28" i="3"/>
  <c r="K26" i="3"/>
  <c r="J26" i="3"/>
  <c r="K24" i="3"/>
  <c r="J24" i="3"/>
  <c r="K23" i="3"/>
  <c r="J23" i="3"/>
  <c r="K32" i="2"/>
  <c r="J32" i="2"/>
  <c r="K31" i="2"/>
  <c r="J31" i="2"/>
  <c r="K30" i="2"/>
  <c r="J30" i="2"/>
  <c r="K29" i="2"/>
  <c r="J29" i="2"/>
  <c r="K28" i="2"/>
  <c r="J28" i="2"/>
  <c r="K26" i="2"/>
  <c r="J26" i="2"/>
  <c r="K24" i="2"/>
  <c r="J24" i="2"/>
  <c r="K23" i="2"/>
  <c r="J23" i="2"/>
  <c r="I27" i="10"/>
  <c r="H27" i="10"/>
  <c r="K27" i="10" s="1"/>
  <c r="I23" i="10"/>
  <c r="I25" i="10" s="1"/>
  <c r="H25" i="10"/>
  <c r="K25" i="10" s="1"/>
  <c r="I27" i="9"/>
  <c r="H27" i="9"/>
  <c r="K27" i="9" s="1"/>
  <c r="I23" i="9"/>
  <c r="I25" i="9" s="1"/>
  <c r="H25" i="9"/>
  <c r="K25" i="9" s="1"/>
  <c r="G23" i="9"/>
  <c r="G25" i="9" s="1"/>
  <c r="F25" i="9"/>
  <c r="E27" i="9"/>
  <c r="D27" i="9"/>
  <c r="E23" i="9"/>
  <c r="E25" i="9" s="1"/>
  <c r="E29" i="9" s="1"/>
  <c r="E32" i="9" s="1"/>
  <c r="D25" i="9"/>
  <c r="D29" i="9" s="1"/>
  <c r="H32" i="8"/>
  <c r="K32" i="8" s="1"/>
  <c r="H29" i="8"/>
  <c r="K29" i="8" s="1"/>
  <c r="I27" i="8"/>
  <c r="H27" i="8"/>
  <c r="K27" i="8" s="1"/>
  <c r="I23" i="8"/>
  <c r="I25" i="8" s="1"/>
  <c r="I29" i="8" s="1"/>
  <c r="I32" i="8" s="1"/>
  <c r="H25" i="8"/>
  <c r="K25" i="8" s="1"/>
  <c r="G23" i="8"/>
  <c r="G25" i="8" s="1"/>
  <c r="F25" i="8"/>
  <c r="E27" i="8"/>
  <c r="D27" i="8"/>
  <c r="E23" i="8"/>
  <c r="E25" i="8" s="1"/>
  <c r="E29" i="8" s="1"/>
  <c r="E32" i="8" s="1"/>
  <c r="D25" i="8"/>
  <c r="D29" i="8" s="1"/>
  <c r="D32" i="8" s="1"/>
  <c r="I27" i="7"/>
  <c r="H27" i="7"/>
  <c r="K27" i="7" s="1"/>
  <c r="I23" i="7"/>
  <c r="I25" i="7" s="1"/>
  <c r="H25" i="7"/>
  <c r="K25" i="7" s="1"/>
  <c r="F29" i="7"/>
  <c r="F32" i="7" s="1"/>
  <c r="J32" i="7" s="1"/>
  <c r="G23" i="7"/>
  <c r="G25" i="7" s="1"/>
  <c r="G29" i="7" s="1"/>
  <c r="G32" i="7" s="1"/>
  <c r="F25" i="7"/>
  <c r="E27" i="7"/>
  <c r="D27" i="7"/>
  <c r="E23" i="7"/>
  <c r="E25" i="7" s="1"/>
  <c r="D25" i="7"/>
  <c r="I27" i="6"/>
  <c r="H27" i="6"/>
  <c r="K27" i="6" s="1"/>
  <c r="I23" i="6"/>
  <c r="I25" i="6" s="1"/>
  <c r="H25" i="6"/>
  <c r="K25" i="6" s="1"/>
  <c r="G23" i="6"/>
  <c r="G25" i="6" s="1"/>
  <c r="F25" i="6"/>
  <c r="E27" i="6"/>
  <c r="D27" i="6"/>
  <c r="E23" i="6"/>
  <c r="E25" i="6" s="1"/>
  <c r="D25" i="6"/>
  <c r="I27" i="5"/>
  <c r="H27" i="5"/>
  <c r="K27" i="5" s="1"/>
  <c r="I23" i="5"/>
  <c r="I25" i="5" s="1"/>
  <c r="H25" i="5"/>
  <c r="K25" i="5" s="1"/>
  <c r="G23" i="5"/>
  <c r="G25" i="5" s="1"/>
  <c r="F25" i="5"/>
  <c r="E27" i="5"/>
  <c r="D27" i="5"/>
  <c r="E23" i="5"/>
  <c r="E25" i="5" s="1"/>
  <c r="D25" i="5"/>
  <c r="I27" i="4"/>
  <c r="H27" i="4"/>
  <c r="K27" i="4" s="1"/>
  <c r="I23" i="4"/>
  <c r="I25" i="4" s="1"/>
  <c r="H25" i="4"/>
  <c r="K25" i="4" s="1"/>
  <c r="G23" i="4"/>
  <c r="G25" i="4" s="1"/>
  <c r="F25" i="4"/>
  <c r="E27" i="4"/>
  <c r="D27" i="4"/>
  <c r="E23" i="4"/>
  <c r="E25" i="4" s="1"/>
  <c r="D25" i="4"/>
  <c r="I27" i="11"/>
  <c r="H27" i="11"/>
  <c r="K27" i="11" s="1"/>
  <c r="I23" i="11"/>
  <c r="I25" i="11" s="1"/>
  <c r="H25" i="11"/>
  <c r="K25" i="11" s="1"/>
  <c r="G23" i="11"/>
  <c r="G25" i="11" s="1"/>
  <c r="F25" i="11"/>
  <c r="E27" i="11"/>
  <c r="D27" i="11"/>
  <c r="E23" i="11"/>
  <c r="E25" i="11" s="1"/>
  <c r="D25" i="11"/>
  <c r="I27" i="3"/>
  <c r="H27" i="3"/>
  <c r="K27" i="3" s="1"/>
  <c r="I23" i="3"/>
  <c r="I25" i="3" s="1"/>
  <c r="H25" i="3"/>
  <c r="K25" i="3" s="1"/>
  <c r="G23" i="3"/>
  <c r="G25" i="3" s="1"/>
  <c r="F25" i="3"/>
  <c r="E27" i="3"/>
  <c r="D27" i="3"/>
  <c r="E23" i="3"/>
  <c r="E25" i="3" s="1"/>
  <c r="D25" i="3"/>
  <c r="I27" i="2"/>
  <c r="H27" i="2"/>
  <c r="K27" i="2" s="1"/>
  <c r="I23" i="2"/>
  <c r="I25" i="2" s="1"/>
  <c r="H25" i="2"/>
  <c r="J25" i="2" s="1"/>
  <c r="G23" i="2"/>
  <c r="G25" i="2" s="1"/>
  <c r="F25" i="2"/>
  <c r="D27" i="2"/>
  <c r="D25" i="2"/>
  <c r="K25" i="2" s="1"/>
  <c r="K24" i="1"/>
  <c r="K25" i="1"/>
  <c r="K26" i="1"/>
  <c r="K27" i="1"/>
  <c r="K28" i="1"/>
  <c r="K29" i="1"/>
  <c r="K30" i="1"/>
  <c r="K31" i="1"/>
  <c r="K32" i="1"/>
  <c r="K23" i="1"/>
  <c r="J24" i="1"/>
  <c r="J25" i="1"/>
  <c r="J26" i="1"/>
  <c r="J27" i="1"/>
  <c r="J28" i="1"/>
  <c r="J29" i="1"/>
  <c r="J30" i="1"/>
  <c r="J31" i="1"/>
  <c r="J32" i="1"/>
  <c r="J23" i="1"/>
  <c r="K29" i="9" l="1"/>
  <c r="D32" i="9"/>
  <c r="K32" i="9" s="1"/>
  <c r="J27" i="2"/>
  <c r="J25" i="3"/>
  <c r="J27" i="11"/>
  <c r="J25" i="4"/>
  <c r="J27" i="5"/>
  <c r="J25" i="6"/>
  <c r="J27" i="7"/>
  <c r="J25" i="8"/>
  <c r="J29" i="8"/>
  <c r="J27" i="9"/>
  <c r="J25" i="10"/>
  <c r="J27" i="3"/>
  <c r="J25" i="11"/>
  <c r="J27" i="4"/>
  <c r="J25" i="5"/>
  <c r="J27" i="6"/>
  <c r="J25" i="7"/>
  <c r="J29" i="7"/>
  <c r="J27" i="8"/>
  <c r="J25" i="9"/>
  <c r="J27" i="10"/>
  <c r="J32" i="8"/>
  <c r="O18" i="7"/>
  <c r="O15" i="7"/>
  <c r="O18" i="6"/>
  <c r="O15" i="6"/>
  <c r="O18" i="4"/>
  <c r="O15" i="4"/>
  <c r="O18" i="11"/>
  <c r="O15" i="11"/>
  <c r="O18" i="3"/>
  <c r="O15" i="3"/>
  <c r="O18" i="2"/>
  <c r="O15" i="2"/>
  <c r="P19" i="9"/>
  <c r="O19" i="9"/>
  <c r="P18" i="9"/>
  <c r="P17" i="9"/>
  <c r="O17" i="9"/>
  <c r="P16" i="9"/>
  <c r="P15" i="9"/>
  <c r="P14" i="9"/>
  <c r="O14" i="9"/>
  <c r="P19" i="7"/>
  <c r="O19" i="7"/>
  <c r="P18" i="7"/>
  <c r="P17" i="7"/>
  <c r="O17" i="7"/>
  <c r="P16" i="7"/>
  <c r="P15" i="7"/>
  <c r="P14" i="7"/>
  <c r="O14" i="7"/>
  <c r="P19" i="6"/>
  <c r="O19" i="6"/>
  <c r="P18" i="6"/>
  <c r="P17" i="6"/>
  <c r="O17" i="6"/>
  <c r="P16" i="6"/>
  <c r="P15" i="6"/>
  <c r="P14" i="6"/>
  <c r="O14" i="6"/>
  <c r="P19" i="4"/>
  <c r="O19" i="4"/>
  <c r="P18" i="4"/>
  <c r="P17" i="4"/>
  <c r="O17" i="4"/>
  <c r="P16" i="4"/>
  <c r="P15" i="4"/>
  <c r="P14" i="4"/>
  <c r="O14" i="4"/>
  <c r="P19" i="11"/>
  <c r="O19" i="11"/>
  <c r="P18" i="11"/>
  <c r="P17" i="11"/>
  <c r="O17" i="11"/>
  <c r="P16" i="11"/>
  <c r="P15" i="11"/>
  <c r="P14" i="11"/>
  <c r="O14" i="11"/>
  <c r="P19" i="3"/>
  <c r="O19" i="3"/>
  <c r="P18" i="3"/>
  <c r="P17" i="3"/>
  <c r="O17" i="3"/>
  <c r="P16" i="3"/>
  <c r="P15" i="3"/>
  <c r="P14" i="3"/>
  <c r="O14" i="3"/>
  <c r="G18" i="9"/>
  <c r="G14" i="9"/>
  <c r="G18" i="8"/>
  <c r="G14" i="8"/>
  <c r="G18" i="7"/>
  <c r="G14" i="7"/>
  <c r="G18" i="6"/>
  <c r="G14" i="6"/>
  <c r="G18" i="5"/>
  <c r="G14" i="5"/>
  <c r="G18" i="4"/>
  <c r="G14" i="4"/>
  <c r="G19" i="11"/>
  <c r="G18" i="11"/>
  <c r="G17" i="11"/>
  <c r="G15" i="11"/>
  <c r="G14" i="11"/>
  <c r="H19" i="9"/>
  <c r="G19" i="9"/>
  <c r="H18" i="9"/>
  <c r="H17" i="9"/>
  <c r="G17" i="9"/>
  <c r="H16" i="9"/>
  <c r="G16" i="9"/>
  <c r="H15" i="9"/>
  <c r="G15" i="9"/>
  <c r="H14" i="9"/>
  <c r="H19" i="8"/>
  <c r="G19" i="8"/>
  <c r="H18" i="8"/>
  <c r="H17" i="8"/>
  <c r="G17" i="8"/>
  <c r="H16" i="8"/>
  <c r="G16" i="8"/>
  <c r="H15" i="8"/>
  <c r="G15" i="8"/>
  <c r="H14" i="8"/>
  <c r="H19" i="7"/>
  <c r="G19" i="7"/>
  <c r="H18" i="7"/>
  <c r="H17" i="7"/>
  <c r="G17" i="7"/>
  <c r="H16" i="7"/>
  <c r="G16" i="7"/>
  <c r="H15" i="7"/>
  <c r="G15" i="7"/>
  <c r="H14" i="7"/>
  <c r="H19" i="6"/>
  <c r="G19" i="6"/>
  <c r="H18" i="6"/>
  <c r="H17" i="6"/>
  <c r="G17" i="6"/>
  <c r="H16" i="6"/>
  <c r="G16" i="6"/>
  <c r="H15" i="6"/>
  <c r="G15" i="6"/>
  <c r="H14" i="6"/>
  <c r="H19" i="5"/>
  <c r="G19" i="5"/>
  <c r="H18" i="5"/>
  <c r="H17" i="5"/>
  <c r="G17" i="5"/>
  <c r="H16" i="5"/>
  <c r="G16" i="5"/>
  <c r="H15" i="5"/>
  <c r="G15" i="5"/>
  <c r="H14" i="5"/>
  <c r="H19" i="4"/>
  <c r="G19" i="4"/>
  <c r="H18" i="4"/>
  <c r="H17" i="4"/>
  <c r="G17" i="4"/>
  <c r="H16" i="4"/>
  <c r="G16" i="4"/>
  <c r="H15" i="4"/>
  <c r="G15" i="4"/>
  <c r="H14" i="4"/>
  <c r="H19" i="11"/>
  <c r="H18" i="11"/>
  <c r="H17" i="11"/>
  <c r="H16" i="11"/>
  <c r="G16" i="11"/>
  <c r="H15" i="11"/>
  <c r="H14" i="11"/>
  <c r="H19" i="3"/>
  <c r="G19" i="3"/>
  <c r="H18" i="3"/>
  <c r="G18" i="3"/>
  <c r="H17" i="3"/>
  <c r="G17" i="3"/>
  <c r="H16" i="3"/>
  <c r="G16" i="3"/>
  <c r="H15" i="3"/>
  <c r="G15" i="3"/>
  <c r="H14" i="3"/>
  <c r="G14" i="3"/>
  <c r="P19" i="2"/>
  <c r="O19" i="2"/>
  <c r="P18" i="2"/>
  <c r="P17" i="2"/>
  <c r="O17" i="2"/>
  <c r="P16" i="2"/>
  <c r="P15" i="2"/>
  <c r="P14" i="2"/>
  <c r="O14" i="2"/>
  <c r="H19" i="2"/>
  <c r="H18" i="2"/>
  <c r="H17" i="2"/>
  <c r="H16" i="2"/>
  <c r="H15" i="2"/>
  <c r="H14" i="2"/>
  <c r="G19" i="2"/>
  <c r="G18" i="2"/>
  <c r="G17" i="2"/>
  <c r="G16" i="2"/>
  <c r="G15" i="2"/>
  <c r="G14" i="2"/>
  <c r="P7" i="2"/>
  <c r="P8" i="2"/>
  <c r="P6" i="2"/>
  <c r="H7" i="2"/>
  <c r="H8" i="2"/>
  <c r="H6" i="2"/>
  <c r="P7" i="1"/>
  <c r="P8" i="1"/>
  <c r="P9" i="1"/>
  <c r="P6" i="1"/>
  <c r="H7" i="1"/>
  <c r="H8" i="1"/>
  <c r="H9" i="1"/>
  <c r="H6" i="1"/>
  <c r="O19" i="1"/>
  <c r="O17" i="1"/>
  <c r="O14" i="1"/>
  <c r="P15" i="1"/>
  <c r="P16" i="1"/>
  <c r="P17" i="1"/>
  <c r="P18" i="1"/>
  <c r="P19" i="1"/>
  <c r="O15" i="1"/>
  <c r="O18" i="1"/>
  <c r="P14" i="1"/>
  <c r="G14" i="1"/>
  <c r="G18" i="1"/>
  <c r="G15" i="1"/>
  <c r="G16" i="1"/>
  <c r="G17" i="1"/>
  <c r="G19" i="1"/>
  <c r="H15" i="1"/>
  <c r="H16" i="1"/>
  <c r="H17" i="1"/>
  <c r="H18" i="1"/>
  <c r="H19" i="1"/>
  <c r="H14" i="1"/>
  <c r="O9" i="11" l="1"/>
  <c r="G9" i="11"/>
  <c r="O7" i="11"/>
  <c r="G7" i="11"/>
  <c r="O6" i="11"/>
  <c r="G6" i="11"/>
  <c r="O9" i="9"/>
  <c r="O8" i="9"/>
  <c r="O7" i="9"/>
  <c r="G7" i="9"/>
  <c r="O6" i="9"/>
  <c r="G6" i="9"/>
  <c r="O9" i="8"/>
  <c r="O8" i="8"/>
  <c r="G8" i="8"/>
  <c r="O7" i="8"/>
  <c r="G7" i="8"/>
  <c r="O6" i="8"/>
  <c r="G6" i="8"/>
  <c r="G9" i="7"/>
  <c r="O7" i="7"/>
  <c r="G7" i="7"/>
  <c r="O6" i="7"/>
  <c r="G6" i="7"/>
  <c r="O7" i="6"/>
  <c r="G7" i="6"/>
  <c r="O6" i="6"/>
  <c r="G6" i="6"/>
  <c r="O9" i="5"/>
  <c r="O8" i="5"/>
  <c r="O7" i="5"/>
  <c r="G7" i="5"/>
  <c r="O6" i="5"/>
  <c r="G6" i="5"/>
  <c r="O9" i="4"/>
  <c r="G9" i="4"/>
  <c r="O8" i="4"/>
  <c r="O7" i="4"/>
  <c r="G7" i="4"/>
  <c r="O6" i="4"/>
  <c r="G6" i="4"/>
  <c r="O9" i="3"/>
  <c r="O7" i="3"/>
  <c r="G7" i="3"/>
  <c r="O6" i="3"/>
  <c r="G6" i="3"/>
  <c r="O8" i="2" l="1"/>
  <c r="G8" i="2"/>
  <c r="O7" i="2"/>
  <c r="G7" i="2"/>
  <c r="O6" i="2"/>
  <c r="G6" i="2"/>
  <c r="O7" i="1" l="1"/>
  <c r="O8" i="1"/>
  <c r="O9" i="1"/>
  <c r="O6" i="1"/>
  <c r="G7" i="1"/>
  <c r="G8" i="1"/>
  <c r="G9" i="1"/>
  <c r="G6" i="1"/>
</calcChain>
</file>

<file path=xl/sharedStrings.xml><?xml version="1.0" encoding="utf-8"?>
<sst xmlns="http://schemas.openxmlformats.org/spreadsheetml/2006/main" count="1056" uniqueCount="58">
  <si>
    <t>آمار مقایسه ای عملیاتی - 6 ماهه اول</t>
  </si>
  <si>
    <t>واردات</t>
  </si>
  <si>
    <t xml:space="preserve"> تناژ </t>
  </si>
  <si>
    <t>درصد تحقق</t>
  </si>
  <si>
    <t>درصد تغییرات به عملکرد</t>
  </si>
  <si>
    <t>بودجه</t>
  </si>
  <si>
    <t xml:space="preserve">تخلیه </t>
  </si>
  <si>
    <t>بارگیری</t>
  </si>
  <si>
    <t>حمل یکسره</t>
  </si>
  <si>
    <t>ترانشیپ</t>
  </si>
  <si>
    <t>صادرات</t>
  </si>
  <si>
    <t>سود و زیان مقایسه ای - 6 ماهه اول</t>
  </si>
  <si>
    <t>درصد تحقق 
بودجه</t>
  </si>
  <si>
    <t xml:space="preserve">درصد تغییرات به عملکرد </t>
  </si>
  <si>
    <t>درآمد حاصل از ارائه خدمات</t>
  </si>
  <si>
    <t>بهای تمام شده ارائه خدمات</t>
  </si>
  <si>
    <t>سود (زیان) ناخالص</t>
  </si>
  <si>
    <t xml:space="preserve">هزینه های اداری و عمومی </t>
  </si>
  <si>
    <t>سایر درآمدهای عملیاتی</t>
  </si>
  <si>
    <t>سایر هزینه های عملیاتی</t>
  </si>
  <si>
    <t xml:space="preserve">سود ( زیان ) عملیاتی </t>
  </si>
  <si>
    <t>هزینه های مالی</t>
  </si>
  <si>
    <t>سایر درآمد (هزینه) غیر عملیاتی</t>
  </si>
  <si>
    <t>سود (زیان) خالص (قبل از مالیات)</t>
  </si>
  <si>
    <t>آمار مقایسه ای منابع انسانی - 6 ماهه اول</t>
  </si>
  <si>
    <t>نیروی انسانی</t>
  </si>
  <si>
    <t>تحقق
بودجه (نفر)</t>
  </si>
  <si>
    <t>تغییرات
به عملکرد (نفر)</t>
  </si>
  <si>
    <t>ارائه خدمات</t>
  </si>
  <si>
    <t>اداری و عمومی</t>
  </si>
  <si>
    <t>جمع</t>
  </si>
  <si>
    <t>عملیات (تن)</t>
  </si>
  <si>
    <t>شرح (میلیون ریال)</t>
  </si>
  <si>
    <t>بودجه 1405</t>
  </si>
  <si>
    <t>عملکرد 1405</t>
  </si>
  <si>
    <t>عملکرد 1404</t>
  </si>
  <si>
    <t>انبارداری</t>
  </si>
  <si>
    <t>باربری</t>
  </si>
  <si>
    <t>سایر خدمات باربری</t>
  </si>
  <si>
    <t>بیمه</t>
  </si>
  <si>
    <t>درآمد واردات (میلیون ریال)</t>
  </si>
  <si>
    <t>درآمد صادرات (میلیون ریال)</t>
  </si>
  <si>
    <t>رسمی</t>
  </si>
  <si>
    <t>قراردادی</t>
  </si>
  <si>
    <t>پیمانی</t>
  </si>
  <si>
    <t>آمار مقایسه ای درآمد واردات - 6 ماهه اول</t>
  </si>
  <si>
    <t>آمار مقایسه ای درآمد صادرات - 6 ماهه اول</t>
  </si>
  <si>
    <t>شرکت انبارهای عمومی و خدمات گمرکی ایران / شعبه باجگیران</t>
  </si>
  <si>
    <t>شرکت انبارهای عمومی و خدمات گمرکی ایران / شعبه بیرجند</t>
  </si>
  <si>
    <t xml:space="preserve">شرکت انبارهای عمومی و خدمات گمرکی ایران / شعبه بجنورد </t>
  </si>
  <si>
    <t>شرکت انبارهای عمومی و خدمات گمرکی ایران / شعبه دوغارون</t>
  </si>
  <si>
    <t>شرکت انبارهای عمومی و خدمات گمرکی ایران / شعبه ماهیرود</t>
  </si>
  <si>
    <t>شرکت انبارهای عمومی و خدمات گمرکی ایران / شعبه نیشابور</t>
  </si>
  <si>
    <t>شرکت انبارهای عمومی و خدمات گمرکی ایران / شعبه لطف آباد</t>
  </si>
  <si>
    <t>شرکت انبارهای عمومی و خدمات گمرکی ایران / شعبه سرخس</t>
  </si>
  <si>
    <t>شرکت انبارهای عمومی و خدمات گمرکی ایران / شعبه شهید مطهری</t>
  </si>
  <si>
    <t>شرکت انبارهای عمومی و خدمات گمرکی ایران / شعبه کاوه</t>
  </si>
  <si>
    <t>شرکت انبارهای عمومی و خدمات گمرکی ایران / شعبه مجتمع خراسان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</si>
</sst>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_-;[Red]\(#,###\)"/>
    <numFmt numFmtId="166" formatCode="#,###;[Red]\(#,###\);0"/>
    <numFmt numFmtId="167" formatCode="#,##0;[Red]#,##0"/>
  </numFmts>
  <fonts count="1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20"/>
      <color theme="1"/>
      <name val="B Nazanin"/>
      <charset val="178"/>
    </font>
    <font>
      <b/>
      <sz val="14"/>
      <color theme="1"/>
      <name val="B Nazanin"/>
      <charset val="178"/>
    </font>
    <font>
      <b/>
      <sz val="18"/>
      <color theme="1"/>
      <name val="B Nazanin"/>
      <charset val="178"/>
    </font>
    <font>
      <b/>
      <sz val="14"/>
      <color rgb="FF000000"/>
      <name val="B Nazanin"/>
      <charset val="178"/>
    </font>
    <font>
      <b/>
      <sz val="14"/>
      <color rgb="FFFFFFFF"/>
      <name val="B Nazanin"/>
      <charset val="178"/>
    </font>
    <font>
      <sz val="10"/>
      <name val="Arial"/>
      <family val="2"/>
    </font>
    <font>
      <b/>
      <sz val="14"/>
      <name val="B Nazanin"/>
      <charset val="178"/>
    </font>
    <font>
      <sz val="11"/>
      <color rgb="FF9C0006"/>
      <name val="Calibri"/>
      <family val="2"/>
      <charset val="178"/>
      <scheme val="minor"/>
    </font>
    <font>
      <b/>
      <sz val="14"/>
      <color theme="0"/>
      <name val="B Nazanin"/>
      <charset val="178"/>
    </font>
    <font>
      <sz val="11"/>
      <color rgb="FF006100"/>
      <name val="Calibri"/>
      <family val="2"/>
      <charset val="178"/>
      <scheme val="minor"/>
    </font>
    <font>
      <b/>
      <sz val="14"/>
      <color rgb="FFFF0000"/>
      <name val="B Nazanin"/>
      <charset val="178"/>
    </font>
    <font>
      <b/>
      <sz val="12"/>
      <color theme="1"/>
      <name val="B Nazanin"/>
      <charset val="178"/>
    </font>
    <font>
      <b/>
      <sz val="26"/>
      <color theme="1"/>
      <name val="B Nazanin"/>
      <charset val="178"/>
    </font>
    <font>
      <b/>
      <sz val="12"/>
      <name val="B Nazanin"/>
      <charset val="178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9DC3E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7">
    <xf numFmtId="0" fontId="0" fillId="0" borderId="0"/>
    <xf numFmtId="0" fontId="8" fillId="0" borderId="0"/>
    <xf numFmtId="0" fontId="2" fillId="0" borderId="0"/>
    <xf numFmtId="0" fontId="2" fillId="4" borderId="0" applyNumberFormat="0" applyBorder="0" applyAlignment="0" applyProtection="0"/>
    <xf numFmtId="0" fontId="10" fillId="3" borderId="0" applyNumberFormat="0" applyBorder="0" applyAlignment="0" applyProtection="0"/>
    <xf numFmtId="0" fontId="12" fillId="2" borderId="0" applyNumberFormat="0" applyBorder="0" applyAlignment="0" applyProtection="0"/>
    <xf numFmtId="0" fontId="1" fillId="0" borderId="0"/>
  </cellStyleXfs>
  <cellXfs count="160">
    <xf numFmtId="0" fontId="0" fillId="0" borderId="0" xfId="0"/>
    <xf numFmtId="0" fontId="4" fillId="0" borderId="0" xfId="0" applyFont="1" applyAlignment="1">
      <alignment readingOrder="2"/>
    </xf>
    <xf numFmtId="0" fontId="4" fillId="0" borderId="0" xfId="0" applyFont="1" applyAlignment="1">
      <alignment horizontal="center" vertical="center" readingOrder="2"/>
    </xf>
    <xf numFmtId="0" fontId="6" fillId="6" borderId="13" xfId="0" applyFont="1" applyFill="1" applyBorder="1" applyAlignment="1">
      <alignment horizontal="center" vertical="center" wrapText="1" readingOrder="2"/>
    </xf>
    <xf numFmtId="164" fontId="9" fillId="7" borderId="14" xfId="1" applyNumberFormat="1" applyFont="1" applyFill="1" applyBorder="1" applyAlignment="1" applyProtection="1">
      <alignment horizontal="center" vertical="center"/>
      <protection locked="0" hidden="1"/>
    </xf>
    <xf numFmtId="165" fontId="6" fillId="7" borderId="15" xfId="0" applyNumberFormat="1" applyFont="1" applyFill="1" applyBorder="1" applyAlignment="1">
      <alignment horizontal="center" vertical="center" wrapText="1" readingOrder="2"/>
    </xf>
    <xf numFmtId="165" fontId="9" fillId="7" borderId="15" xfId="0" applyNumberFormat="1" applyFont="1" applyFill="1" applyBorder="1" applyAlignment="1">
      <alignment horizontal="center" vertical="center" wrapText="1" readingOrder="2"/>
    </xf>
    <xf numFmtId="165" fontId="9" fillId="7" borderId="16" xfId="0" applyNumberFormat="1" applyFont="1" applyFill="1" applyBorder="1" applyAlignment="1">
      <alignment horizontal="center" vertical="center" wrapText="1" readingOrder="2"/>
    </xf>
    <xf numFmtId="0" fontId="6" fillId="8" borderId="17" xfId="0" applyFont="1" applyFill="1" applyBorder="1" applyAlignment="1">
      <alignment horizontal="center" vertical="center" wrapText="1" readingOrder="2"/>
    </xf>
    <xf numFmtId="165" fontId="6" fillId="7" borderId="18" xfId="0" applyNumberFormat="1" applyFont="1" applyFill="1" applyBorder="1" applyAlignment="1">
      <alignment horizontal="center" vertical="center" wrapText="1" readingOrder="2"/>
    </xf>
    <xf numFmtId="165" fontId="9" fillId="7" borderId="19" xfId="0" applyNumberFormat="1" applyFont="1" applyFill="1" applyBorder="1" applyAlignment="1">
      <alignment horizontal="center" vertical="center" wrapText="1" readingOrder="2"/>
    </xf>
    <xf numFmtId="0" fontId="6" fillId="9" borderId="17" xfId="0" applyFont="1" applyFill="1" applyBorder="1" applyAlignment="1">
      <alignment horizontal="center" vertical="center" wrapText="1" readingOrder="2"/>
    </xf>
    <xf numFmtId="0" fontId="6" fillId="10" borderId="20" xfId="0" applyFont="1" applyFill="1" applyBorder="1" applyAlignment="1">
      <alignment horizontal="center" vertical="center" wrapText="1" readingOrder="2"/>
    </xf>
    <xf numFmtId="165" fontId="6" fillId="7" borderId="9" xfId="0" applyNumberFormat="1" applyFont="1" applyFill="1" applyBorder="1" applyAlignment="1">
      <alignment horizontal="center" vertical="center" wrapText="1" readingOrder="2"/>
    </xf>
    <xf numFmtId="165" fontId="9" fillId="7" borderId="21" xfId="0" applyNumberFormat="1" applyFont="1" applyFill="1" applyBorder="1" applyAlignment="1">
      <alignment horizontal="center" vertical="center" wrapText="1" readingOrder="2"/>
    </xf>
    <xf numFmtId="166" fontId="9" fillId="7" borderId="25" xfId="2" applyNumberFormat="1" applyFont="1" applyFill="1" applyBorder="1" applyAlignment="1">
      <alignment horizontal="center" vertical="center" readingOrder="2"/>
    </xf>
    <xf numFmtId="166" fontId="9" fillId="7" borderId="26" xfId="2" applyNumberFormat="1" applyFont="1" applyFill="1" applyBorder="1" applyAlignment="1">
      <alignment horizontal="center" vertical="center" readingOrder="2"/>
    </xf>
    <xf numFmtId="166" fontId="9" fillId="7" borderId="29" xfId="2" applyNumberFormat="1" applyFont="1" applyFill="1" applyBorder="1" applyAlignment="1">
      <alignment horizontal="center" vertical="center" readingOrder="2"/>
    </xf>
    <xf numFmtId="166" fontId="9" fillId="7" borderId="30" xfId="2" applyNumberFormat="1" applyFont="1" applyFill="1" applyBorder="1" applyAlignment="1">
      <alignment horizontal="center" vertical="center" readingOrder="2"/>
    </xf>
    <xf numFmtId="166" fontId="9" fillId="7" borderId="33" xfId="2" applyNumberFormat="1" applyFont="1" applyFill="1" applyBorder="1" applyAlignment="1">
      <alignment horizontal="center" vertical="center" readingOrder="2"/>
    </xf>
    <xf numFmtId="166" fontId="9" fillId="7" borderId="34" xfId="2" applyNumberFormat="1" applyFont="1" applyFill="1" applyBorder="1" applyAlignment="1">
      <alignment horizontal="center" vertical="center" readingOrder="2"/>
    </xf>
    <xf numFmtId="0" fontId="14" fillId="0" borderId="0" xfId="0" applyFont="1" applyAlignment="1">
      <alignment readingOrder="2"/>
    </xf>
    <xf numFmtId="166" fontId="4" fillId="7" borderId="25" xfId="2" applyNumberFormat="1" applyFont="1" applyFill="1" applyBorder="1" applyAlignment="1" applyProtection="1">
      <alignment horizontal="center" vertical="center" wrapText="1" readingOrder="2"/>
      <protection locked="0"/>
    </xf>
    <xf numFmtId="166" fontId="11" fillId="7" borderId="29" xfId="2" applyNumberFormat="1" applyFont="1" applyFill="1" applyBorder="1" applyAlignment="1" applyProtection="1">
      <alignment horizontal="center" vertical="center" readingOrder="2"/>
      <protection locked="0"/>
    </xf>
    <xf numFmtId="166" fontId="9" fillId="7" borderId="29" xfId="6" applyNumberFormat="1" applyFont="1" applyFill="1" applyBorder="1" applyAlignment="1">
      <alignment horizontal="center" vertical="center" wrapText="1" readingOrder="1"/>
    </xf>
    <xf numFmtId="166" fontId="13" fillId="7" borderId="29" xfId="2" applyNumberFormat="1" applyFont="1" applyFill="1" applyBorder="1" applyAlignment="1" applyProtection="1">
      <alignment horizontal="center" vertical="center" wrapText="1" readingOrder="2"/>
      <protection locked="0"/>
    </xf>
    <xf numFmtId="166" fontId="9" fillId="7" borderId="29" xfId="2" applyNumberFormat="1" applyFont="1" applyFill="1" applyBorder="1" applyAlignment="1">
      <alignment horizontal="center" vertical="center" wrapText="1" readingOrder="2"/>
    </xf>
    <xf numFmtId="166" fontId="9" fillId="7" borderId="33" xfId="2" applyNumberFormat="1" applyFont="1" applyFill="1" applyBorder="1" applyAlignment="1">
      <alignment horizontal="center" vertical="center" wrapText="1" readingOrder="2"/>
    </xf>
    <xf numFmtId="0" fontId="7" fillId="14" borderId="6" xfId="0" applyFont="1" applyFill="1" applyBorder="1" applyAlignment="1">
      <alignment horizontal="center" vertical="center" wrapText="1" readingOrder="2"/>
    </xf>
    <xf numFmtId="0" fontId="7" fillId="14" borderId="9" xfId="0" applyFont="1" applyFill="1" applyBorder="1" applyAlignment="1">
      <alignment horizontal="center" vertical="center" wrapText="1" readingOrder="2"/>
    </xf>
    <xf numFmtId="0" fontId="7" fillId="14" borderId="10" xfId="0" applyFont="1" applyFill="1" applyBorder="1" applyAlignment="1">
      <alignment horizontal="center" vertical="center" wrapText="1" readingOrder="2"/>
    </xf>
    <xf numFmtId="0" fontId="7" fillId="14" borderId="37" xfId="0" applyFont="1" applyFill="1" applyBorder="1" applyAlignment="1">
      <alignment horizontal="center" vertical="center" wrapText="1" readingOrder="2"/>
    </xf>
    <xf numFmtId="166" fontId="5" fillId="7" borderId="29" xfId="2" applyNumberFormat="1" applyFont="1" applyFill="1" applyBorder="1" applyAlignment="1" applyProtection="1">
      <alignment horizontal="center" vertical="center" wrapText="1" readingOrder="2"/>
      <protection locked="0"/>
    </xf>
    <xf numFmtId="0" fontId="7" fillId="14" borderId="36" xfId="0" applyFont="1" applyFill="1" applyBorder="1" applyAlignment="1">
      <alignment horizontal="center" vertical="center" wrapText="1" readingOrder="2"/>
    </xf>
    <xf numFmtId="0" fontId="7" fillId="14" borderId="36" xfId="0" applyFont="1" applyFill="1" applyBorder="1" applyAlignment="1">
      <alignment horizontal="center" vertical="center" wrapText="1" readingOrder="2"/>
    </xf>
    <xf numFmtId="0" fontId="7" fillId="14" borderId="29" xfId="0" applyFont="1" applyFill="1" applyBorder="1" applyAlignment="1">
      <alignment horizontal="center" vertical="center" wrapText="1" readingOrder="2"/>
    </xf>
    <xf numFmtId="165" fontId="6" fillId="7" borderId="29" xfId="0" applyNumberFormat="1" applyFont="1" applyFill="1" applyBorder="1" applyAlignment="1">
      <alignment horizontal="center" vertical="center" wrapText="1" readingOrder="2"/>
    </xf>
    <xf numFmtId="165" fontId="9" fillId="7" borderId="29" xfId="0" applyNumberFormat="1" applyFont="1" applyFill="1" applyBorder="1" applyAlignment="1">
      <alignment horizontal="center" vertical="center" wrapText="1" readingOrder="2"/>
    </xf>
    <xf numFmtId="0" fontId="7" fillId="14" borderId="30" xfId="0" applyFont="1" applyFill="1" applyBorder="1" applyAlignment="1">
      <alignment horizontal="center" vertical="center" wrapText="1" readingOrder="2"/>
    </xf>
    <xf numFmtId="165" fontId="6" fillId="15" borderId="33" xfId="0" applyNumberFormat="1" applyFont="1" applyFill="1" applyBorder="1" applyAlignment="1">
      <alignment horizontal="center" vertical="center" wrapText="1" readingOrder="2"/>
    </xf>
    <xf numFmtId="165" fontId="9" fillId="15" borderId="29" xfId="0" applyNumberFormat="1" applyFont="1" applyFill="1" applyBorder="1" applyAlignment="1">
      <alignment horizontal="center" vertical="center" wrapText="1" readingOrder="2"/>
    </xf>
    <xf numFmtId="165" fontId="6" fillId="15" borderId="29" xfId="0" applyNumberFormat="1" applyFont="1" applyFill="1" applyBorder="1" applyAlignment="1">
      <alignment horizontal="center" vertical="center" wrapText="1" readingOrder="2"/>
    </xf>
    <xf numFmtId="165" fontId="9" fillId="15" borderId="30" xfId="0" applyNumberFormat="1" applyFont="1" applyFill="1" applyBorder="1" applyAlignment="1">
      <alignment horizontal="center" vertical="center" wrapText="1" readingOrder="2"/>
    </xf>
    <xf numFmtId="165" fontId="6" fillId="15" borderId="15" xfId="0" applyNumberFormat="1" applyFont="1" applyFill="1" applyBorder="1" applyAlignment="1">
      <alignment horizontal="center" vertical="center" wrapText="1" readingOrder="2"/>
    </xf>
    <xf numFmtId="165" fontId="6" fillId="15" borderId="18" xfId="0" applyNumberFormat="1" applyFont="1" applyFill="1" applyBorder="1" applyAlignment="1">
      <alignment horizontal="center" vertical="center" wrapText="1" readingOrder="2"/>
    </xf>
    <xf numFmtId="0" fontId="6" fillId="15" borderId="9" xfId="0" applyFont="1" applyFill="1" applyBorder="1" applyAlignment="1">
      <alignment horizontal="center" vertical="center" wrapText="1" readingOrder="2"/>
    </xf>
    <xf numFmtId="165" fontId="6" fillId="15" borderId="9" xfId="0" applyNumberFormat="1" applyFont="1" applyFill="1" applyBorder="1" applyAlignment="1">
      <alignment horizontal="center" vertical="center" wrapText="1" readingOrder="2"/>
    </xf>
    <xf numFmtId="166" fontId="4" fillId="15" borderId="25" xfId="2" applyNumberFormat="1" applyFont="1" applyFill="1" applyBorder="1" applyAlignment="1" applyProtection="1">
      <alignment horizontal="center" vertical="center" wrapText="1" readingOrder="2"/>
      <protection locked="0"/>
    </xf>
    <xf numFmtId="166" fontId="11" fillId="15" borderId="29" xfId="2" applyNumberFormat="1" applyFont="1" applyFill="1" applyBorder="1" applyAlignment="1" applyProtection="1">
      <alignment horizontal="center" vertical="center" readingOrder="2"/>
      <protection locked="0"/>
    </xf>
    <xf numFmtId="166" fontId="9" fillId="15" borderId="29" xfId="6" applyNumberFormat="1" applyFont="1" applyFill="1" applyBorder="1" applyAlignment="1">
      <alignment horizontal="center" vertical="center" wrapText="1" readingOrder="1"/>
    </xf>
    <xf numFmtId="166" fontId="13" fillId="15" borderId="29" xfId="2" applyNumberFormat="1" applyFont="1" applyFill="1" applyBorder="1" applyAlignment="1" applyProtection="1">
      <alignment horizontal="center" vertical="center" wrapText="1" readingOrder="2"/>
      <protection locked="0"/>
    </xf>
    <xf numFmtId="166" fontId="9" fillId="15" borderId="29" xfId="2" applyNumberFormat="1" applyFont="1" applyFill="1" applyBorder="1" applyAlignment="1" applyProtection="1">
      <alignment horizontal="center" vertical="center" wrapText="1" readingOrder="2"/>
      <protection locked="0"/>
    </xf>
    <xf numFmtId="166" fontId="9" fillId="15" borderId="33" xfId="2" applyNumberFormat="1" applyFont="1" applyFill="1" applyBorder="1" applyAlignment="1">
      <alignment horizontal="center" vertical="center" wrapText="1" readingOrder="2"/>
    </xf>
    <xf numFmtId="166" fontId="4" fillId="7" borderId="29" xfId="2" applyNumberFormat="1" applyFont="1" applyFill="1" applyBorder="1" applyAlignment="1" applyProtection="1">
      <alignment horizontal="center" vertical="center" wrapText="1" readingOrder="2"/>
      <protection locked="0"/>
    </xf>
    <xf numFmtId="166" fontId="4" fillId="7" borderId="30" xfId="2" applyNumberFormat="1" applyFont="1" applyFill="1" applyBorder="1" applyAlignment="1" applyProtection="1">
      <alignment horizontal="center" vertical="center" wrapText="1" readingOrder="2"/>
      <protection locked="0"/>
    </xf>
    <xf numFmtId="166" fontId="13" fillId="7" borderId="30" xfId="2" applyNumberFormat="1" applyFont="1" applyFill="1" applyBorder="1" applyAlignment="1" applyProtection="1">
      <alignment horizontal="center" vertical="center" wrapText="1" readingOrder="2"/>
      <protection locked="0"/>
    </xf>
    <xf numFmtId="0" fontId="7" fillId="14" borderId="36" xfId="0" applyFont="1" applyFill="1" applyBorder="1" applyAlignment="1">
      <alignment horizontal="center" vertical="center" wrapText="1" readingOrder="2"/>
    </xf>
    <xf numFmtId="165" fontId="9" fillId="7" borderId="44" xfId="0" applyNumberFormat="1" applyFont="1" applyFill="1" applyBorder="1" applyAlignment="1">
      <alignment horizontal="center" vertical="center" wrapText="1" readingOrder="2"/>
    </xf>
    <xf numFmtId="0" fontId="7" fillId="14" borderId="36" xfId="0" applyFont="1" applyFill="1" applyBorder="1" applyAlignment="1">
      <alignment horizontal="center" vertical="center" wrapText="1" readingOrder="2"/>
    </xf>
    <xf numFmtId="166" fontId="4" fillId="7" borderId="29" xfId="2" applyNumberFormat="1" applyFont="1" applyFill="1" applyBorder="1" applyAlignment="1" applyProtection="1">
      <alignment horizontal="center" vertical="center" wrapText="1" readingOrder="2"/>
      <protection locked="0"/>
    </xf>
    <xf numFmtId="166" fontId="4" fillId="15" borderId="29" xfId="2" applyNumberFormat="1" applyFont="1" applyFill="1" applyBorder="1" applyAlignment="1" applyProtection="1">
      <alignment horizontal="center" vertical="center" wrapText="1" readingOrder="2"/>
      <protection locked="0"/>
    </xf>
    <xf numFmtId="166" fontId="4" fillId="15" borderId="33" xfId="2" applyNumberFormat="1" applyFont="1" applyFill="1" applyBorder="1" applyAlignment="1" applyProtection="1">
      <alignment horizontal="center" vertical="center" wrapText="1" readingOrder="2"/>
      <protection locked="0"/>
    </xf>
    <xf numFmtId="166" fontId="4" fillId="7" borderId="33" xfId="2" applyNumberFormat="1" applyFont="1" applyFill="1" applyBorder="1" applyAlignment="1" applyProtection="1">
      <alignment horizontal="center" vertical="center" wrapText="1" readingOrder="2"/>
      <protection locked="0"/>
    </xf>
    <xf numFmtId="166" fontId="4" fillId="7" borderId="29" xfId="2" applyNumberFormat="1" applyFont="1" applyFill="1" applyBorder="1" applyAlignment="1">
      <alignment horizontal="center" vertical="center" readingOrder="2"/>
    </xf>
    <xf numFmtId="166" fontId="13" fillId="7" borderId="29" xfId="2" applyNumberFormat="1" applyFont="1" applyFill="1" applyBorder="1" applyAlignment="1">
      <alignment horizontal="center" vertical="center" readingOrder="2"/>
    </xf>
    <xf numFmtId="3" fontId="16" fillId="0" borderId="45" xfId="1" applyNumberFormat="1" applyFont="1" applyBorder="1" applyAlignment="1" applyProtection="1">
      <alignment horizontal="center" vertical="center" wrapText="1" readingOrder="2"/>
      <protection locked="0" hidden="1"/>
    </xf>
    <xf numFmtId="3" fontId="16" fillId="0" borderId="46" xfId="1" applyNumberFormat="1" applyFont="1" applyBorder="1" applyAlignment="1" applyProtection="1">
      <alignment horizontal="center" vertical="center" wrapText="1" readingOrder="2"/>
      <protection locked="0" hidden="1"/>
    </xf>
    <xf numFmtId="166" fontId="4" fillId="7" borderId="47" xfId="2" applyNumberFormat="1" applyFont="1" applyFill="1" applyBorder="1" applyAlignment="1" applyProtection="1">
      <alignment horizontal="center" vertical="center" wrapText="1" readingOrder="2"/>
      <protection locked="0"/>
    </xf>
    <xf numFmtId="166" fontId="4" fillId="15" borderId="47" xfId="2" applyNumberFormat="1" applyFont="1" applyFill="1" applyBorder="1" applyAlignment="1" applyProtection="1">
      <alignment horizontal="center" vertical="center" wrapText="1" readingOrder="2"/>
      <protection locked="0"/>
    </xf>
    <xf numFmtId="166" fontId="4" fillId="7" borderId="33" xfId="2" applyNumberFormat="1" applyFont="1" applyFill="1" applyBorder="1" applyAlignment="1">
      <alignment horizontal="center" vertical="center" readingOrder="2"/>
    </xf>
    <xf numFmtId="166" fontId="13" fillId="7" borderId="33" xfId="2" applyNumberFormat="1" applyFont="1" applyFill="1" applyBorder="1" applyAlignment="1">
      <alignment horizontal="center" vertical="center" readingOrder="2"/>
    </xf>
    <xf numFmtId="165" fontId="9" fillId="7" borderId="9" xfId="0" applyNumberFormat="1" applyFont="1" applyFill="1" applyBorder="1" applyAlignment="1">
      <alignment horizontal="center" vertical="center" wrapText="1" readingOrder="2"/>
    </xf>
    <xf numFmtId="3" fontId="16" fillId="7" borderId="29" xfId="1" applyNumberFormat="1" applyFont="1" applyFill="1" applyBorder="1" applyAlignment="1" applyProtection="1">
      <alignment horizontal="center" vertical="center" wrapText="1" readingOrder="2"/>
      <protection locked="0" hidden="1"/>
    </xf>
    <xf numFmtId="3" fontId="16" fillId="7" borderId="33" xfId="1" applyNumberFormat="1" applyFont="1" applyFill="1" applyBorder="1" applyAlignment="1" applyProtection="1">
      <alignment horizontal="center" vertical="center" wrapText="1" readingOrder="2"/>
      <protection locked="0" hidden="1"/>
    </xf>
    <xf numFmtId="0" fontId="7" fillId="14" borderId="48" xfId="0" applyFont="1" applyFill="1" applyBorder="1" applyAlignment="1">
      <alignment horizontal="center" vertical="center" wrapText="1" readingOrder="2"/>
    </xf>
    <xf numFmtId="166" fontId="4" fillId="7" borderId="36" xfId="2" applyNumberFormat="1" applyFont="1" applyFill="1" applyBorder="1" applyAlignment="1" applyProtection="1">
      <alignment horizontal="center" vertical="center" wrapText="1" readingOrder="2"/>
      <protection locked="0"/>
    </xf>
    <xf numFmtId="166" fontId="4" fillId="15" borderId="36" xfId="2" applyNumberFormat="1" applyFont="1" applyFill="1" applyBorder="1" applyAlignment="1" applyProtection="1">
      <alignment horizontal="center" vertical="center" wrapText="1" readingOrder="2"/>
      <protection locked="0"/>
    </xf>
    <xf numFmtId="166" fontId="13" fillId="7" borderId="36" xfId="2" applyNumberFormat="1" applyFont="1" applyFill="1" applyBorder="1" applyAlignment="1">
      <alignment horizontal="center" vertical="center" readingOrder="2"/>
    </xf>
    <xf numFmtId="166" fontId="9" fillId="7" borderId="37" xfId="2" applyNumberFormat="1" applyFont="1" applyFill="1" applyBorder="1" applyAlignment="1">
      <alignment horizontal="center" vertical="center" readingOrder="2"/>
    </xf>
    <xf numFmtId="3" fontId="16" fillId="0" borderId="29" xfId="1" applyNumberFormat="1" applyFont="1" applyBorder="1" applyAlignment="1" applyProtection="1">
      <alignment horizontal="center" vertical="center" wrapText="1" readingOrder="2"/>
      <protection locked="0" hidden="1"/>
    </xf>
    <xf numFmtId="3" fontId="16" fillId="0" borderId="33" xfId="1" applyNumberFormat="1" applyFont="1" applyBorder="1" applyAlignment="1" applyProtection="1">
      <alignment horizontal="center" vertical="center" wrapText="1" readingOrder="2"/>
      <protection locked="0" hidden="1"/>
    </xf>
    <xf numFmtId="166" fontId="4" fillId="15" borderId="29" xfId="2" applyNumberFormat="1" applyFont="1" applyFill="1" applyBorder="1" applyAlignment="1" applyProtection="1">
      <alignment horizontal="center" vertical="center" wrapText="1" readingOrder="2"/>
      <protection locked="0"/>
    </xf>
    <xf numFmtId="166" fontId="4" fillId="15" borderId="33" xfId="2" applyNumberFormat="1" applyFont="1" applyFill="1" applyBorder="1" applyAlignment="1" applyProtection="1">
      <alignment horizontal="center" vertical="center" wrapText="1" readingOrder="2"/>
      <protection locked="0"/>
    </xf>
    <xf numFmtId="166" fontId="4" fillId="7" borderId="29" xfId="2" applyNumberFormat="1" applyFont="1" applyFill="1" applyBorder="1" applyAlignment="1" applyProtection="1">
      <alignment horizontal="center" vertical="center" wrapText="1" readingOrder="2"/>
      <protection locked="0"/>
    </xf>
    <xf numFmtId="166" fontId="4" fillId="7" borderId="33" xfId="2" applyNumberFormat="1" applyFont="1" applyFill="1" applyBorder="1" applyAlignment="1" applyProtection="1">
      <alignment horizontal="center" vertical="center" wrapText="1" readingOrder="2"/>
      <protection locked="0"/>
    </xf>
    <xf numFmtId="0" fontId="3" fillId="15" borderId="1" xfId="0" applyFont="1" applyFill="1" applyBorder="1" applyAlignment="1">
      <alignment horizontal="center" vertical="center" readingOrder="2"/>
    </xf>
    <xf numFmtId="166" fontId="13" fillId="7" borderId="29" xfId="2" applyNumberFormat="1" applyFont="1" applyFill="1" applyBorder="1" applyAlignment="1" applyProtection="1">
      <alignment horizontal="center" vertical="center" wrapText="1" readingOrder="2"/>
      <protection locked="0"/>
    </xf>
    <xf numFmtId="0" fontId="7" fillId="14" borderId="42" xfId="0" applyFont="1" applyFill="1" applyBorder="1" applyAlignment="1">
      <alignment horizontal="center" vertical="center" wrapText="1" readingOrder="2"/>
    </xf>
    <xf numFmtId="0" fontId="7" fillId="14" borderId="38" xfId="0" applyFont="1" applyFill="1" applyBorder="1" applyAlignment="1">
      <alignment horizontal="center" vertical="center" wrapText="1" readingOrder="2"/>
    </xf>
    <xf numFmtId="166" fontId="13" fillId="15" borderId="29" xfId="2" applyNumberFormat="1" applyFont="1" applyFill="1" applyBorder="1" applyAlignment="1" applyProtection="1">
      <alignment horizontal="center" vertical="center" wrapText="1" readingOrder="2"/>
      <protection locked="0"/>
    </xf>
    <xf numFmtId="166" fontId="4" fillId="7" borderId="45" xfId="2" applyNumberFormat="1" applyFont="1" applyFill="1" applyBorder="1" applyAlignment="1" applyProtection="1">
      <alignment horizontal="center" vertical="center" wrapText="1" readingOrder="2"/>
      <protection locked="0"/>
    </xf>
    <xf numFmtId="166" fontId="4" fillId="7" borderId="28" xfId="2" applyNumberFormat="1" applyFont="1" applyFill="1" applyBorder="1" applyAlignment="1" applyProtection="1">
      <alignment horizontal="center" vertical="center" wrapText="1" readingOrder="2"/>
      <protection locked="0"/>
    </xf>
    <xf numFmtId="166" fontId="13" fillId="7" borderId="45" xfId="2" applyNumberFormat="1" applyFont="1" applyFill="1" applyBorder="1" applyAlignment="1" applyProtection="1">
      <alignment horizontal="center" vertical="center" wrapText="1" readingOrder="2"/>
      <protection locked="0"/>
    </xf>
    <xf numFmtId="166" fontId="13" fillId="7" borderId="28" xfId="2" applyNumberFormat="1" applyFont="1" applyFill="1" applyBorder="1" applyAlignment="1" applyProtection="1">
      <alignment horizontal="center" vertical="center" wrapText="1" readingOrder="2"/>
      <protection locked="0"/>
    </xf>
    <xf numFmtId="0" fontId="6" fillId="5" borderId="2" xfId="0" applyFont="1" applyFill="1" applyBorder="1" applyAlignment="1">
      <alignment horizontal="center" vertical="center" textRotation="180" wrapText="1" readingOrder="2"/>
    </xf>
    <xf numFmtId="0" fontId="6" fillId="5" borderId="8" xfId="0" applyFont="1" applyFill="1" applyBorder="1" applyAlignment="1">
      <alignment horizontal="center" vertical="center" textRotation="180" wrapText="1" readingOrder="2"/>
    </xf>
    <xf numFmtId="0" fontId="6" fillId="5" borderId="12" xfId="0" applyFont="1" applyFill="1" applyBorder="1" applyAlignment="1">
      <alignment horizontal="center" vertical="center" textRotation="180" wrapText="1" readingOrder="2"/>
    </xf>
    <xf numFmtId="0" fontId="7" fillId="14" borderId="22" xfId="0" applyFont="1" applyFill="1" applyBorder="1" applyAlignment="1">
      <alignment horizontal="center" vertical="center" wrapText="1" readingOrder="2"/>
    </xf>
    <xf numFmtId="0" fontId="7" fillId="14" borderId="23" xfId="0" applyFont="1" applyFill="1" applyBorder="1" applyAlignment="1">
      <alignment horizontal="center" vertical="center" wrapText="1" readingOrder="2"/>
    </xf>
    <xf numFmtId="0" fontId="7" fillId="14" borderId="3" xfId="0" applyFont="1" applyFill="1" applyBorder="1" applyAlignment="1">
      <alignment horizontal="center" vertical="center" wrapText="1" readingOrder="2"/>
    </xf>
    <xf numFmtId="0" fontId="7" fillId="14" borderId="4" xfId="0" applyFont="1" applyFill="1" applyBorder="1" applyAlignment="1">
      <alignment horizontal="center" vertical="center" wrapText="1" readingOrder="2"/>
    </xf>
    <xf numFmtId="0" fontId="7" fillId="14" borderId="5" xfId="0" applyFont="1" applyFill="1" applyBorder="1" applyAlignment="1">
      <alignment horizontal="center" vertical="center" wrapText="1" readingOrder="2"/>
    </xf>
    <xf numFmtId="0" fontId="7" fillId="14" borderId="7" xfId="0" applyFont="1" applyFill="1" applyBorder="1" applyAlignment="1">
      <alignment horizontal="center" vertical="center" wrapText="1" readingOrder="2"/>
    </xf>
    <xf numFmtId="0" fontId="7" fillId="14" borderId="11" xfId="0" applyFont="1" applyFill="1" applyBorder="1" applyAlignment="1">
      <alignment horizontal="center" vertical="center" wrapText="1" readingOrder="2"/>
    </xf>
    <xf numFmtId="0" fontId="15" fillId="0" borderId="0" xfId="0" applyFont="1" applyAlignment="1">
      <alignment horizontal="center" vertical="center" readingOrder="2"/>
    </xf>
    <xf numFmtId="0" fontId="14" fillId="0" borderId="0" xfId="0" applyFont="1" applyAlignment="1">
      <alignment horizontal="center" vertical="center" readingOrder="2"/>
    </xf>
    <xf numFmtId="0" fontId="7" fillId="14" borderId="35" xfId="0" applyFont="1" applyFill="1" applyBorder="1" applyAlignment="1">
      <alignment horizontal="center" vertical="center" wrapText="1" readingOrder="2"/>
    </xf>
    <xf numFmtId="0" fontId="7" fillId="14" borderId="36" xfId="0" applyFont="1" applyFill="1" applyBorder="1" applyAlignment="1">
      <alignment horizontal="center" vertical="center" wrapText="1" readingOrder="2"/>
    </xf>
    <xf numFmtId="0" fontId="4" fillId="17" borderId="24" xfId="3" applyFont="1" applyFill="1" applyBorder="1" applyAlignment="1" applyProtection="1">
      <alignment horizontal="center" vertical="center" readingOrder="2"/>
    </xf>
    <xf numFmtId="0" fontId="4" fillId="17" borderId="25" xfId="3" applyFont="1" applyFill="1" applyBorder="1" applyAlignment="1" applyProtection="1">
      <alignment horizontal="center" vertical="center" readingOrder="2"/>
    </xf>
    <xf numFmtId="0" fontId="4" fillId="12" borderId="27" xfId="4" applyFont="1" applyFill="1" applyBorder="1" applyAlignment="1" applyProtection="1">
      <alignment horizontal="center" vertical="center" readingOrder="2"/>
    </xf>
    <xf numFmtId="0" fontId="4" fillId="12" borderId="28" xfId="4" applyFont="1" applyFill="1" applyBorder="1" applyAlignment="1" applyProtection="1">
      <alignment horizontal="center" vertical="center" readingOrder="2"/>
    </xf>
    <xf numFmtId="0" fontId="4" fillId="17" borderId="31" xfId="5" applyFont="1" applyFill="1" applyBorder="1" applyAlignment="1" applyProtection="1">
      <alignment horizontal="center" vertical="center" readingOrder="2"/>
    </xf>
    <xf numFmtId="0" fontId="4" fillId="17" borderId="29" xfId="5" applyFont="1" applyFill="1" applyBorder="1" applyAlignment="1" applyProtection="1">
      <alignment horizontal="center" vertical="center" readingOrder="2"/>
    </xf>
    <xf numFmtId="0" fontId="4" fillId="12" borderId="31" xfId="4" applyFont="1" applyFill="1" applyBorder="1" applyAlignment="1" applyProtection="1">
      <alignment horizontal="center" vertical="center" readingOrder="2"/>
    </xf>
    <xf numFmtId="0" fontId="4" fillId="12" borderId="29" xfId="4" applyFont="1" applyFill="1" applyBorder="1" applyAlignment="1" applyProtection="1">
      <alignment horizontal="center" vertical="center" readingOrder="2"/>
    </xf>
    <xf numFmtId="0" fontId="4" fillId="16" borderId="31" xfId="3" applyFont="1" applyFill="1" applyBorder="1" applyAlignment="1" applyProtection="1">
      <alignment horizontal="center" vertical="center" readingOrder="2"/>
    </xf>
    <xf numFmtId="0" fontId="4" fillId="16" borderId="29" xfId="3" applyFont="1" applyFill="1" applyBorder="1" applyAlignment="1" applyProtection="1">
      <alignment horizontal="center" vertical="center" readingOrder="2"/>
    </xf>
    <xf numFmtId="0" fontId="4" fillId="13" borderId="31" xfId="5" applyFont="1" applyFill="1" applyBorder="1" applyAlignment="1" applyProtection="1">
      <alignment horizontal="center" vertical="center" readingOrder="2"/>
    </xf>
    <xf numFmtId="0" fontId="4" fillId="13" borderId="29" xfId="5" applyFont="1" applyFill="1" applyBorder="1" applyAlignment="1" applyProtection="1">
      <alignment horizontal="center" vertical="center" readingOrder="2"/>
    </xf>
    <xf numFmtId="0" fontId="4" fillId="16" borderId="31" xfId="5" applyFont="1" applyFill="1" applyBorder="1" applyAlignment="1" applyProtection="1">
      <alignment horizontal="center" vertical="center" readingOrder="2"/>
    </xf>
    <xf numFmtId="0" fontId="4" fillId="16" borderId="29" xfId="5" applyFont="1" applyFill="1" applyBorder="1" applyAlignment="1" applyProtection="1">
      <alignment horizontal="center" vertical="center" readingOrder="2"/>
    </xf>
    <xf numFmtId="0" fontId="4" fillId="12" borderId="31" xfId="3" applyFont="1" applyFill="1" applyBorder="1" applyAlignment="1" applyProtection="1">
      <alignment horizontal="center" vertical="center" readingOrder="2"/>
    </xf>
    <xf numFmtId="0" fontId="4" fillId="12" borderId="29" xfId="3" applyFont="1" applyFill="1" applyBorder="1" applyAlignment="1" applyProtection="1">
      <alignment horizontal="center" vertical="center" readingOrder="2"/>
    </xf>
    <xf numFmtId="0" fontId="4" fillId="13" borderId="32" xfId="5" applyFont="1" applyFill="1" applyBorder="1" applyAlignment="1" applyProtection="1">
      <alignment horizontal="center" vertical="center" readingOrder="2"/>
    </xf>
    <xf numFmtId="0" fontId="4" fillId="13" borderId="33" xfId="5" applyFont="1" applyFill="1" applyBorder="1" applyAlignment="1" applyProtection="1">
      <alignment horizontal="center" vertical="center" readingOrder="2"/>
    </xf>
    <xf numFmtId="0" fontId="6" fillId="7" borderId="31" xfId="0" applyFont="1" applyFill="1" applyBorder="1" applyAlignment="1">
      <alignment horizontal="center" vertical="center" wrapText="1" readingOrder="2"/>
    </xf>
    <xf numFmtId="0" fontId="6" fillId="7" borderId="29" xfId="0" applyFont="1" applyFill="1" applyBorder="1" applyAlignment="1">
      <alignment horizontal="center" vertical="center" wrapText="1" readingOrder="2"/>
    </xf>
    <xf numFmtId="0" fontId="6" fillId="15" borderId="32" xfId="0" applyFont="1" applyFill="1" applyBorder="1" applyAlignment="1">
      <alignment horizontal="center" vertical="center" wrapText="1" readingOrder="2"/>
    </xf>
    <xf numFmtId="0" fontId="6" fillId="15" borderId="33" xfId="0" applyFont="1" applyFill="1" applyBorder="1" applyAlignment="1">
      <alignment horizontal="center" vertical="center" wrapText="1" readingOrder="2"/>
    </xf>
    <xf numFmtId="0" fontId="4" fillId="16" borderId="31" xfId="4" applyFont="1" applyFill="1" applyBorder="1" applyAlignment="1" applyProtection="1">
      <alignment horizontal="center" vertical="center" readingOrder="2"/>
    </xf>
    <xf numFmtId="0" fontId="4" fillId="16" borderId="29" xfId="4" applyFont="1" applyFill="1" applyBorder="1" applyAlignment="1" applyProtection="1">
      <alignment horizontal="center" vertical="center" readingOrder="2"/>
    </xf>
    <xf numFmtId="0" fontId="6" fillId="11" borderId="2" xfId="0" applyFont="1" applyFill="1" applyBorder="1" applyAlignment="1">
      <alignment horizontal="center" vertical="center" textRotation="180" wrapText="1" readingOrder="2"/>
    </xf>
    <xf numFmtId="0" fontId="6" fillId="11" borderId="8" xfId="0" applyFont="1" applyFill="1" applyBorder="1" applyAlignment="1">
      <alignment horizontal="center" vertical="center" textRotation="180" wrapText="1" readingOrder="2"/>
    </xf>
    <xf numFmtId="0" fontId="6" fillId="11" borderId="12" xfId="0" applyFont="1" applyFill="1" applyBorder="1" applyAlignment="1">
      <alignment horizontal="center" vertical="center" textRotation="180" wrapText="1" readingOrder="2"/>
    </xf>
    <xf numFmtId="0" fontId="7" fillId="14" borderId="43" xfId="0" applyFont="1" applyFill="1" applyBorder="1" applyAlignment="1">
      <alignment horizontal="center" vertical="center" wrapText="1" readingOrder="2"/>
    </xf>
    <xf numFmtId="0" fontId="4" fillId="17" borderId="31" xfId="3" applyFont="1" applyFill="1" applyBorder="1" applyAlignment="1" applyProtection="1">
      <alignment horizontal="center" vertical="center" readingOrder="2"/>
    </xf>
    <xf numFmtId="0" fontId="4" fillId="17" borderId="29" xfId="3" applyFont="1" applyFill="1" applyBorder="1" applyAlignment="1" applyProtection="1">
      <alignment horizontal="center" vertical="center" readingOrder="2"/>
    </xf>
    <xf numFmtId="0" fontId="4" fillId="12" borderId="32" xfId="5" applyFont="1" applyFill="1" applyBorder="1" applyAlignment="1" applyProtection="1">
      <alignment horizontal="center" vertical="center" readingOrder="2"/>
    </xf>
    <xf numFmtId="0" fontId="4" fillId="12" borderId="33" xfId="5" applyFont="1" applyFill="1" applyBorder="1" applyAlignment="1" applyProtection="1">
      <alignment horizontal="center" vertical="center" readingOrder="2"/>
    </xf>
    <xf numFmtId="0" fontId="7" fillId="14" borderId="41" xfId="0" applyFont="1" applyFill="1" applyBorder="1" applyAlignment="1">
      <alignment horizontal="center" vertical="center" wrapText="1" readingOrder="2"/>
    </xf>
    <xf numFmtId="0" fontId="7" fillId="14" borderId="40" xfId="0" applyFont="1" applyFill="1" applyBorder="1" applyAlignment="1">
      <alignment horizontal="center" vertical="center" wrapText="1" readingOrder="2"/>
    </xf>
    <xf numFmtId="0" fontId="7" fillId="14" borderId="39" xfId="0" applyFont="1" applyFill="1" applyBorder="1" applyAlignment="1">
      <alignment horizontal="center" vertical="center" wrapText="1" readingOrder="2"/>
    </xf>
    <xf numFmtId="0" fontId="7" fillId="14" borderId="14" xfId="0" applyFont="1" applyFill="1" applyBorder="1" applyAlignment="1">
      <alignment horizontal="center" vertical="center" wrapText="1" readingOrder="2"/>
    </xf>
    <xf numFmtId="166" fontId="13" fillId="7" borderId="33" xfId="2" applyNumberFormat="1" applyFont="1" applyFill="1" applyBorder="1" applyAlignment="1" applyProtection="1">
      <alignment horizontal="center" vertical="center" wrapText="1" readingOrder="2"/>
      <protection locked="0"/>
    </xf>
    <xf numFmtId="167" fontId="16" fillId="0" borderId="54" xfId="2" applyNumberFormat="1" applyFont="1" applyBorder="1" applyAlignment="1" applyProtection="1">
      <alignment horizontal="center" vertical="center" wrapText="1" readingOrder="2"/>
      <protection locked="0"/>
    </xf>
    <xf numFmtId="167" fontId="16" fillId="0" borderId="55" xfId="2" applyNumberFormat="1" applyFont="1" applyBorder="1" applyAlignment="1" applyProtection="1">
      <alignment horizontal="center" vertical="center" wrapText="1" readingOrder="2"/>
      <protection locked="0"/>
    </xf>
    <xf numFmtId="164" fontId="16" fillId="0" borderId="51" xfId="2" applyNumberFormat="1" applyFont="1" applyBorder="1" applyAlignment="1" applyProtection="1">
      <alignment horizontal="center" vertical="center" readingOrder="2"/>
      <protection locked="0"/>
    </xf>
    <xf numFmtId="164" fontId="16" fillId="0" borderId="52" xfId="2" applyNumberFormat="1" applyFont="1" applyBorder="1" applyAlignment="1" applyProtection="1">
      <alignment horizontal="center" vertical="center" readingOrder="2"/>
      <protection locked="0"/>
    </xf>
    <xf numFmtId="166" fontId="13" fillId="15" borderId="45" xfId="2" applyNumberFormat="1" applyFont="1" applyFill="1" applyBorder="1" applyAlignment="1" applyProtection="1">
      <alignment horizontal="center" vertical="center" wrapText="1" readingOrder="2"/>
      <protection locked="0"/>
    </xf>
    <xf numFmtId="166" fontId="13" fillId="15" borderId="28" xfId="2" applyNumberFormat="1" applyFont="1" applyFill="1" applyBorder="1" applyAlignment="1" applyProtection="1">
      <alignment horizontal="center" vertical="center" wrapText="1" readingOrder="2"/>
      <protection locked="0"/>
    </xf>
    <xf numFmtId="167" fontId="16" fillId="0" borderId="53" xfId="2" applyNumberFormat="1" applyFont="1" applyBorder="1" applyAlignment="1" applyProtection="1">
      <alignment horizontal="center" vertical="center" wrapText="1" readingOrder="2"/>
      <protection locked="0"/>
    </xf>
    <xf numFmtId="167" fontId="16" fillId="0" borderId="52" xfId="2" applyNumberFormat="1" applyFont="1" applyBorder="1" applyAlignment="1" applyProtection="1">
      <alignment horizontal="center" vertical="center" wrapText="1" readingOrder="2"/>
      <protection locked="0"/>
    </xf>
    <xf numFmtId="166" fontId="4" fillId="15" borderId="45" xfId="2" applyNumberFormat="1" applyFont="1" applyFill="1" applyBorder="1" applyAlignment="1" applyProtection="1">
      <alignment horizontal="center" vertical="center" wrapText="1" readingOrder="2"/>
      <protection locked="0"/>
    </xf>
    <xf numFmtId="166" fontId="4" fillId="15" borderId="28" xfId="2" applyNumberFormat="1" applyFont="1" applyFill="1" applyBorder="1" applyAlignment="1" applyProtection="1">
      <alignment horizontal="center" vertical="center" wrapText="1" readingOrder="2"/>
      <protection locked="0"/>
    </xf>
    <xf numFmtId="167" fontId="16" fillId="8" borderId="53" xfId="6" applyNumberFormat="1" applyFont="1" applyFill="1" applyBorder="1" applyAlignment="1" applyProtection="1">
      <alignment horizontal="center" vertical="center" wrapText="1" readingOrder="1"/>
      <protection locked="0"/>
    </xf>
    <xf numFmtId="167" fontId="16" fillId="8" borderId="52" xfId="6" applyNumberFormat="1" applyFont="1" applyFill="1" applyBorder="1" applyAlignment="1" applyProtection="1">
      <alignment horizontal="center" vertical="center" wrapText="1" readingOrder="1"/>
      <protection locked="0"/>
    </xf>
    <xf numFmtId="167" fontId="16" fillId="0" borderId="49" xfId="2" applyNumberFormat="1" applyFont="1" applyBorder="1" applyAlignment="1" applyProtection="1">
      <alignment horizontal="center" vertical="center" wrapText="1" readingOrder="2"/>
      <protection locked="0"/>
    </xf>
    <xf numFmtId="167" fontId="16" fillId="0" borderId="50" xfId="2" applyNumberFormat="1" applyFont="1" applyBorder="1" applyAlignment="1" applyProtection="1">
      <alignment horizontal="center" vertical="center" wrapText="1" readingOrder="2"/>
      <protection locked="0"/>
    </xf>
    <xf numFmtId="166" fontId="13" fillId="15" borderId="33" xfId="2" applyNumberFormat="1" applyFont="1" applyFill="1" applyBorder="1" applyAlignment="1" applyProtection="1">
      <alignment horizontal="center" vertical="center" wrapText="1" readingOrder="2"/>
      <protection locked="0"/>
    </xf>
  </cellXfs>
  <cellStyles count="7">
    <cellStyle name="40% - Accent1 3" xfId="3" xr:uid="{00000000-0005-0000-0000-000000000000}"/>
    <cellStyle name="Bad 2" xfId="4" xr:uid="{00000000-0005-0000-0000-000001000000}"/>
    <cellStyle name="Good 2" xfId="5" xr:uid="{00000000-0005-0000-0000-000002000000}"/>
    <cellStyle name="Normal" xfId="0" builtinId="0"/>
    <cellStyle name="Normal 10" xfId="2" xr:uid="{00000000-0005-0000-0000-000004000000}"/>
    <cellStyle name="Normal 2" xfId="1" xr:uid="{00000000-0005-0000-0000-000005000000}"/>
    <cellStyle name="Normal 5" xfId="6" xr:uid="{00000000-0005-0000-0000-000006000000}"/>
  </cellStyles>
  <dxfs count="8">
    <dxf>
      <numFmt numFmtId="168" formatCode="&quot;&quot;"/>
    </dxf>
    <dxf>
      <numFmt numFmtId="168" formatCode="&quot;&quot;"/>
    </dxf>
    <dxf>
      <numFmt numFmtId="168" formatCode="&quot;&quot;"/>
    </dxf>
    <dxf>
      <numFmt numFmtId="168" formatCode="&quot;&quot;"/>
    </dxf>
    <dxf>
      <font>
        <color rgb="FFE60000"/>
      </font>
    </dxf>
    <dxf>
      <numFmt numFmtId="168" formatCode="&quot;&quot;"/>
    </dxf>
    <dxf>
      <numFmt numFmtId="168" formatCode="&quot;&quot;"/>
    </dxf>
    <dxf>
      <numFmt numFmtId="168" formatCode="&quot;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6604EE9\&#1602;&#1740;&#1605;&#1578;%20&#1578;&#1605;&#1575;&#1605;%20&#1588;&#1583;&#1607;%20-%2031-6-9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85FFB57\3-%20%20&#1602;&#1740;&#1605;&#1578;%20&#1578;&#1605;&#1575;&#1605;%20&#1588;&#1583;&#1607;.%20xlsx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B75C1E9\Driv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-server\RAZ\pakhsh%20razi\1387\138712\138712%202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.38\SrvShare\Users\Shafaghatian\Downloads\Users\auditor02\Desktop\Users\auditor01-a\Desktop\a.h\Auditor01-a\Downloads\&#1589;&#1606;&#1593;&#1578;&#1740;\&#1602;&#1740;&#1605;&#1578;%20&#1578;&#1605;&#1575;&#1605;%20&#1588;&#1583;&#1607;\&#1602;%20.%20&#1578;%20.%20&#1588;%20-%2090\&#1602;.&#1578;.&#1588;%20-%20&#1582;&#1585;&#1583;&#1575;&#1583;%20&#1605;&#1575;&#1607;%2090\3-%20%20&#1602;&#1740;&#1605;&#1578;%20&#1578;&#1605;&#1575;&#1605;%20&#1588;&#1583;&#1607;.%20xlsx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t-8\1390\&#1589;&#1608;&#1585;&#1578;&#1607;&#1575;&#1740;%20&#1605;&#1575;&#1604;&#1740;%20&#1580;&#1575;&#1576;&#1585;&#1575;&#1576;&#1606;%20&#1581;&#1740;&#1575;&#1606;\1390\&#1662;&#1575;&#1740;&#1575;&#1606;%20&#1587;&#1575;&#1604;89\&#1705;&#1575;&#1585;&#1576;&#1585;&#1711;%20&#1607;&#1575;&#1740;%20000\&#1605;&#1608;&#1580;&#1608;&#1583;&#1740;%20&#1580;&#1575;&#1576;&#1585;12-89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ouchakian-sj/Desktop/625139%20-%203Month%20-%20Ver03-1404-&#1575;&#1576;&#1604;&#1575;&#1594;%20&#1576;&#1607;%20&#1588;&#1585;&#1705;&#1578;%20&#1607;&#1575;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76;&#1585;&#1606;&#1575;&#1605;&#1607;%20&#1585;&#1740;&#1586;&#1740;/&#1576;&#1608;&#1583;&#1580;&#1607;%206%20&#1605;&#1575;&#1607;&#1607;%20&#1587;&#1575;&#1604;%201405%20&#1606;&#1607;&#1575;&#1740;&#1740;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گزارش تعداد نفرات"/>
      <sheetName val="مصرف مواد"/>
      <sheetName val="کارکرد صنایع "/>
      <sheetName val="تولید صنایع "/>
      <sheetName val="گردش کالا "/>
      <sheetName val="تسهیم هزینه"/>
      <sheetName val="آمار تولید و ساعات تولید"/>
      <sheetName val="توقفات تولید سال 91 "/>
      <sheetName val="تولید همگن و تسهیم مزد و سربار "/>
      <sheetName val="نرخ د.س کار در جریان اول دوره"/>
      <sheetName val="کار درجریان شهریور   91"/>
      <sheetName val="عوامل در مراکز91  "/>
      <sheetName val="تمام شده تولید"/>
      <sheetName val="خرید بازرگانی "/>
      <sheetName val="فروش910630"/>
      <sheetName val="3"/>
      <sheetName val="فروش "/>
      <sheetName val="برگشت کلا سنواتی (4 ماهه اول)"/>
      <sheetName val="برگشت کلا سنواتی (4 ماهه دوم)"/>
      <sheetName val="گردش کالای ساخته شده"/>
      <sheetName val="سند تولید"/>
      <sheetName val="سند بهای تمام شده"/>
      <sheetName val="سند بهای تمام شده (2)"/>
      <sheetName val="خ  د ه عملیاتی "/>
      <sheetName val="خ س د  ه غیرعملیاتی"/>
      <sheetName val="سود وزیان "/>
      <sheetName val="سود وزیان - مقایسه ای"/>
      <sheetName val="تربتی  "/>
      <sheetName val="کاربرگ محاسبه مالیات"/>
      <sheetName val="حاشیه سود"/>
      <sheetName val="گزارش1 -( کل) ارقام میلیون ریال"/>
      <sheetName val="گزارش 6 ماهه( کل) ارقام میلیون"/>
      <sheetName val="گزارش(واحد) "/>
      <sheetName val="گزارش 6  ماهه (واحد محصول)38"/>
      <sheetName val="کنترل حاشیه سود - کل"/>
      <sheetName val="کنترل حاشیه سود 6 ماهه - کل -43"/>
      <sheetName val="کنترل حاشیه سود - واحد کالا (2)"/>
      <sheetName val="کنترل حاشیه سود6 ماهه واحد کالا"/>
      <sheetName val="تعداد تولید 1391"/>
      <sheetName val="ذخیره کاهش ارزش موجودی"/>
      <sheetName val="100022"/>
      <sheetName val="ترازنامه 31-06-139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>
        <row r="164">
          <cell r="D164">
            <v>28129095</v>
          </cell>
        </row>
      </sheetData>
      <sheetData sheetId="17" refreshError="1"/>
      <sheetData sheetId="18" refreshError="1"/>
      <sheetData sheetId="19">
        <row r="167">
          <cell r="S167">
            <v>204729070256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 t="str">
            <v>حاشیه سود محصولات تولیدی در پایان 5 ماهه 1391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1">
          <cell r="A1" t="str">
            <v>کد حساب</v>
          </cell>
          <cell r="B1" t="str">
            <v>شرح  حساب</v>
          </cell>
          <cell r="C1" t="str">
            <v>مشترك استريل ها</v>
          </cell>
          <cell r="D1" t="str">
            <v>استريل فرزياني</v>
          </cell>
          <cell r="E1" t="str">
            <v>استريل قدس</v>
          </cell>
          <cell r="F1" t="str">
            <v>استريل بعثت</v>
          </cell>
          <cell r="G1" t="str">
            <v>استريل غفارزاده</v>
          </cell>
          <cell r="H1" t="str">
            <v>پمادوكرم</v>
          </cell>
          <cell r="I1" t="str">
            <v>سفالوسپورين</v>
          </cell>
          <cell r="J1" t="str">
            <v>پني سيلين وي</v>
          </cell>
          <cell r="K1" t="str">
            <v>نيستاتين</v>
          </cell>
          <cell r="L1" t="str">
            <v>دراژه(نيستا،سفالوس،پني سيلسن وي)</v>
          </cell>
          <cell r="M1" t="str">
            <v>قرص و كپسول و شربت</v>
          </cell>
          <cell r="N1" t="str">
            <v>مشترک اسپري ها</v>
          </cell>
          <cell r="O1" t="str">
            <v>اسپري دهاني</v>
          </cell>
          <cell r="P1" t="str">
            <v>اسپري بيني</v>
          </cell>
          <cell r="Q1" t="str">
            <v xml:space="preserve">سیل سازی </v>
          </cell>
          <cell r="R1" t="str">
            <v>سافت ژل</v>
          </cell>
          <cell r="S1" t="str">
            <v>جمع توليد</v>
          </cell>
          <cell r="T1" t="str">
            <v>بسته بندي</v>
          </cell>
          <cell r="U1" t="str">
            <v>عمومي توليد</v>
          </cell>
          <cell r="V1" t="str">
            <v>فني و مهندسي قديم</v>
          </cell>
          <cell r="W1" t="str">
            <v>فني مهندسي افشانه</v>
          </cell>
          <cell r="X1" t="str">
            <v>آزمايشگاه و چکينگ</v>
          </cell>
          <cell r="Y1" t="str">
            <v>انبارها قديم</v>
          </cell>
          <cell r="Z1" t="str">
            <v>انبار افشانه ها</v>
          </cell>
          <cell r="AA1" t="str">
            <v>مهندسي صنايع قديم</v>
          </cell>
          <cell r="AB1" t="str">
            <v>مهندسي صنايع اسپري</v>
          </cell>
          <cell r="AC1" t="str">
            <v>امور بازرگاني</v>
          </cell>
          <cell r="AD1" t="str">
            <v>انتظامات و نگهباني</v>
          </cell>
          <cell r="AE1" t="str">
            <v>خدمات عمومي</v>
          </cell>
          <cell r="AF1" t="str">
            <v>رستوران</v>
          </cell>
          <cell r="AG1" t="str">
            <v>حمل ونقل</v>
          </cell>
          <cell r="AH1" t="str">
            <v>جمع خدماتي</v>
          </cell>
          <cell r="AI1" t="str">
            <v>سربار</v>
          </cell>
          <cell r="AJ1" t="str">
            <v>فروش و بازاريابي</v>
          </cell>
          <cell r="AK1" t="str">
            <v>مديريت</v>
          </cell>
          <cell r="AL1" t="str">
            <v>تحقيقات</v>
          </cell>
          <cell r="AM1" t="str">
            <v>آموزش</v>
          </cell>
          <cell r="AN1" t="str">
            <v>مامورين</v>
          </cell>
          <cell r="AO1" t="str">
            <v>عمومي اداري</v>
          </cell>
          <cell r="AP1" t="str">
            <v>فن آوري اطلاعات</v>
          </cell>
          <cell r="AQ1" t="str">
            <v>امورمالي</v>
          </cell>
          <cell r="AR1" t="str">
            <v>دبيرخانه و كارگزيني</v>
          </cell>
          <cell r="AS1" t="str">
            <v>شورا ،انجمن و بسيج</v>
          </cell>
          <cell r="AT1" t="str">
            <v>HSE</v>
          </cell>
          <cell r="AU1" t="str">
            <v>تضمين كيفيت</v>
          </cell>
          <cell r="AV1" t="str">
            <v>جمع اداري</v>
          </cell>
        </row>
        <row r="2">
          <cell r="A2">
            <v>7101000</v>
          </cell>
          <cell r="B2" t="str">
            <v>هزينه مواداوليه توليدى</v>
          </cell>
          <cell r="C2">
            <v>0</v>
          </cell>
          <cell r="D2">
            <v>14906141895</v>
          </cell>
          <cell r="E2">
            <v>10537711017</v>
          </cell>
          <cell r="F2">
            <v>6578256662</v>
          </cell>
          <cell r="G2">
            <v>33730980659</v>
          </cell>
          <cell r="H2">
            <v>979118605</v>
          </cell>
          <cell r="I2">
            <v>11155535147</v>
          </cell>
          <cell r="J2">
            <v>9841932909</v>
          </cell>
          <cell r="K2">
            <v>754872627</v>
          </cell>
          <cell r="L2">
            <v>54084355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7987716923</v>
          </cell>
          <cell r="S2">
            <v>96526350799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</row>
        <row r="3">
          <cell r="A3">
            <v>7102000</v>
          </cell>
          <cell r="B3" t="str">
            <v>هزينه موادبسته بندى</v>
          </cell>
          <cell r="C3">
            <v>0</v>
          </cell>
          <cell r="D3">
            <v>1855661088</v>
          </cell>
          <cell r="E3">
            <v>6219993729</v>
          </cell>
          <cell r="F3">
            <v>2088524135</v>
          </cell>
          <cell r="G3">
            <v>11042229016</v>
          </cell>
          <cell r="H3">
            <v>373167119</v>
          </cell>
          <cell r="I3">
            <v>578048953</v>
          </cell>
          <cell r="J3">
            <v>1304482794</v>
          </cell>
          <cell r="K3">
            <v>550103597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441709369</v>
          </cell>
          <cell r="R3">
            <v>1453605389</v>
          </cell>
          <cell r="S3">
            <v>25907525189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</row>
        <row r="4">
          <cell r="A4">
            <v>7106000</v>
          </cell>
          <cell r="B4" t="str">
            <v>هزينه مواداوليه توليدى افشانه ها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3096391533</v>
          </cell>
          <cell r="P4">
            <v>423959674</v>
          </cell>
          <cell r="Q4">
            <v>0</v>
          </cell>
          <cell r="R4">
            <v>0</v>
          </cell>
          <cell r="S4">
            <v>3520351207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</row>
        <row r="5">
          <cell r="A5">
            <v>7107000</v>
          </cell>
          <cell r="B5" t="str">
            <v>هزينه موادبسته بندى افشانه ها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6968425659</v>
          </cell>
          <cell r="P5">
            <v>1460021326</v>
          </cell>
          <cell r="Q5">
            <v>0</v>
          </cell>
          <cell r="R5">
            <v>0</v>
          </cell>
          <cell r="S5">
            <v>8428446985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</row>
        <row r="6">
          <cell r="A6">
            <v>7201000</v>
          </cell>
          <cell r="B6" t="str">
            <v>هزينه حقوق ودستمزد</v>
          </cell>
          <cell r="C6">
            <v>0</v>
          </cell>
          <cell r="D6">
            <v>262764339</v>
          </cell>
          <cell r="E6">
            <v>277899856</v>
          </cell>
          <cell r="F6">
            <v>104673997</v>
          </cell>
          <cell r="G6">
            <v>245600880</v>
          </cell>
          <cell r="H6">
            <v>144789984</v>
          </cell>
          <cell r="I6">
            <v>473508142</v>
          </cell>
          <cell r="J6">
            <v>253604454</v>
          </cell>
          <cell r="K6">
            <v>88647595</v>
          </cell>
          <cell r="L6">
            <v>37526106</v>
          </cell>
          <cell r="M6">
            <v>179363242</v>
          </cell>
          <cell r="N6">
            <v>199283652</v>
          </cell>
          <cell r="O6">
            <v>0</v>
          </cell>
          <cell r="P6">
            <v>0</v>
          </cell>
          <cell r="Q6">
            <v>0</v>
          </cell>
          <cell r="R6">
            <v>39217184</v>
          </cell>
          <cell r="S6">
            <v>2306879431</v>
          </cell>
          <cell r="T6">
            <v>103177241</v>
          </cell>
          <cell r="U6">
            <v>315146134</v>
          </cell>
          <cell r="V6">
            <v>1353152006</v>
          </cell>
          <cell r="W6">
            <v>194684045</v>
          </cell>
          <cell r="X6">
            <v>2200267417</v>
          </cell>
          <cell r="Y6">
            <v>426857377</v>
          </cell>
          <cell r="Z6">
            <v>30566575</v>
          </cell>
          <cell r="AA6">
            <v>283257374</v>
          </cell>
          <cell r="AB6">
            <v>24108843</v>
          </cell>
          <cell r="AC6">
            <v>571520042</v>
          </cell>
          <cell r="AD6">
            <v>104722092</v>
          </cell>
          <cell r="AE6">
            <v>38616444</v>
          </cell>
          <cell r="AF6">
            <v>0</v>
          </cell>
          <cell r="AG6">
            <v>63801450</v>
          </cell>
          <cell r="AH6">
            <v>5709877040</v>
          </cell>
          <cell r="AI6">
            <v>5709877040</v>
          </cell>
          <cell r="AJ6">
            <v>1466786622</v>
          </cell>
          <cell r="AK6">
            <v>696761510</v>
          </cell>
          <cell r="AL6">
            <v>595169773</v>
          </cell>
          <cell r="AM6">
            <v>0</v>
          </cell>
          <cell r="AN6">
            <v>35340288</v>
          </cell>
          <cell r="AO6">
            <v>0</v>
          </cell>
          <cell r="AP6">
            <v>275151658</v>
          </cell>
          <cell r="AQ6">
            <v>678683331</v>
          </cell>
          <cell r="AR6">
            <v>355740316</v>
          </cell>
          <cell r="AS6">
            <v>0</v>
          </cell>
          <cell r="AT6">
            <v>80931040</v>
          </cell>
          <cell r="AU6">
            <v>898485082</v>
          </cell>
          <cell r="AV6">
            <v>5083049620</v>
          </cell>
        </row>
        <row r="7">
          <cell r="A7">
            <v>7201001</v>
          </cell>
          <cell r="B7" t="str">
            <v>هزينه حقوق ودستمزد ( پارس پاکان)</v>
          </cell>
          <cell r="C7">
            <v>0</v>
          </cell>
          <cell r="D7">
            <v>468576043</v>
          </cell>
          <cell r="E7">
            <v>361801635</v>
          </cell>
          <cell r="F7">
            <v>525956098</v>
          </cell>
          <cell r="G7">
            <v>638615593</v>
          </cell>
          <cell r="H7">
            <v>112263491</v>
          </cell>
          <cell r="I7">
            <v>524122717</v>
          </cell>
          <cell r="J7">
            <v>523928715</v>
          </cell>
          <cell r="K7">
            <v>392899906</v>
          </cell>
          <cell r="L7">
            <v>112165177</v>
          </cell>
          <cell r="M7">
            <v>0</v>
          </cell>
          <cell r="N7">
            <v>1761622636</v>
          </cell>
          <cell r="O7">
            <v>280522303</v>
          </cell>
          <cell r="P7">
            <v>251661854</v>
          </cell>
          <cell r="Q7">
            <v>293707903</v>
          </cell>
          <cell r="R7">
            <v>1196325589</v>
          </cell>
          <cell r="S7">
            <v>7444169660</v>
          </cell>
          <cell r="T7">
            <v>162827567</v>
          </cell>
          <cell r="U7">
            <v>990062557</v>
          </cell>
          <cell r="V7">
            <v>714585939</v>
          </cell>
          <cell r="W7">
            <v>0</v>
          </cell>
          <cell r="X7">
            <v>54662632</v>
          </cell>
          <cell r="Y7">
            <v>718599292</v>
          </cell>
          <cell r="Z7">
            <v>254819291</v>
          </cell>
          <cell r="AA7">
            <v>0</v>
          </cell>
          <cell r="AB7">
            <v>0</v>
          </cell>
          <cell r="AC7">
            <v>0</v>
          </cell>
          <cell r="AD7">
            <v>526219194</v>
          </cell>
          <cell r="AE7">
            <v>3048689452</v>
          </cell>
          <cell r="AF7">
            <v>0</v>
          </cell>
          <cell r="AG7">
            <v>0</v>
          </cell>
          <cell r="AH7">
            <v>6470465924</v>
          </cell>
          <cell r="AI7">
            <v>6470465924</v>
          </cell>
          <cell r="AJ7">
            <v>147091303</v>
          </cell>
          <cell r="AK7">
            <v>0</v>
          </cell>
          <cell r="AL7">
            <v>0</v>
          </cell>
          <cell r="AM7">
            <v>43619447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190710750</v>
          </cell>
        </row>
        <row r="8">
          <cell r="A8">
            <v>7202000</v>
          </cell>
          <cell r="B8" t="str">
            <v>هزينه مسکن</v>
          </cell>
          <cell r="C8">
            <v>0</v>
          </cell>
          <cell r="D8">
            <v>4666500</v>
          </cell>
          <cell r="E8">
            <v>4934530</v>
          </cell>
          <cell r="F8">
            <v>1830965</v>
          </cell>
          <cell r="G8">
            <v>4339986</v>
          </cell>
          <cell r="H8">
            <v>2479992</v>
          </cell>
          <cell r="I8">
            <v>8553704</v>
          </cell>
          <cell r="J8">
            <v>4522397</v>
          </cell>
          <cell r="K8">
            <v>1546359</v>
          </cell>
          <cell r="L8">
            <v>619998</v>
          </cell>
          <cell r="M8">
            <v>2479992</v>
          </cell>
          <cell r="N8">
            <v>2777413</v>
          </cell>
          <cell r="O8">
            <v>0</v>
          </cell>
          <cell r="P8">
            <v>0</v>
          </cell>
          <cell r="Q8">
            <v>0</v>
          </cell>
          <cell r="R8">
            <v>281492</v>
          </cell>
          <cell r="S8">
            <v>39033328</v>
          </cell>
          <cell r="T8">
            <v>1898482</v>
          </cell>
          <cell r="U8">
            <v>5145441</v>
          </cell>
          <cell r="V8">
            <v>22686494</v>
          </cell>
          <cell r="W8">
            <v>3278340</v>
          </cell>
          <cell r="X8">
            <v>30239128</v>
          </cell>
          <cell r="Y8">
            <v>7319588</v>
          </cell>
          <cell r="Z8">
            <v>381129</v>
          </cell>
          <cell r="AA8">
            <v>3990898</v>
          </cell>
          <cell r="AB8">
            <v>370529</v>
          </cell>
          <cell r="AC8">
            <v>7995537</v>
          </cell>
          <cell r="AD8">
            <v>1859994</v>
          </cell>
          <cell r="AE8">
            <v>619998</v>
          </cell>
          <cell r="AF8">
            <v>0</v>
          </cell>
          <cell r="AG8">
            <v>1239996</v>
          </cell>
          <cell r="AH8">
            <v>87025554</v>
          </cell>
          <cell r="AI8">
            <v>87025554</v>
          </cell>
          <cell r="AJ8">
            <v>19409333</v>
          </cell>
          <cell r="AK8">
            <v>3823321</v>
          </cell>
          <cell r="AL8">
            <v>6428466</v>
          </cell>
          <cell r="AM8">
            <v>0</v>
          </cell>
          <cell r="AN8">
            <v>619998</v>
          </cell>
          <cell r="AO8">
            <v>0</v>
          </cell>
          <cell r="AP8">
            <v>3506050</v>
          </cell>
          <cell r="AQ8">
            <v>10276531</v>
          </cell>
          <cell r="AR8">
            <v>4753318</v>
          </cell>
          <cell r="AS8">
            <v>0</v>
          </cell>
          <cell r="AT8">
            <v>1229087</v>
          </cell>
          <cell r="AU8">
            <v>9505144</v>
          </cell>
          <cell r="AV8">
            <v>59551248</v>
          </cell>
        </row>
        <row r="9">
          <cell r="A9">
            <v>7203000</v>
          </cell>
          <cell r="B9" t="str">
            <v>هزينه خواروبار</v>
          </cell>
          <cell r="C9">
            <v>0</v>
          </cell>
          <cell r="D9">
            <v>102633</v>
          </cell>
          <cell r="E9">
            <v>89469</v>
          </cell>
          <cell r="F9">
            <v>39577</v>
          </cell>
          <cell r="G9">
            <v>80610</v>
          </cell>
          <cell r="H9">
            <v>52704</v>
          </cell>
          <cell r="I9">
            <v>152492</v>
          </cell>
          <cell r="J9">
            <v>85447</v>
          </cell>
          <cell r="K9">
            <v>26814</v>
          </cell>
          <cell r="L9">
            <v>12402</v>
          </cell>
          <cell r="M9">
            <v>12408</v>
          </cell>
          <cell r="N9">
            <v>30311</v>
          </cell>
          <cell r="O9">
            <v>0</v>
          </cell>
          <cell r="P9">
            <v>0</v>
          </cell>
          <cell r="Q9">
            <v>0</v>
          </cell>
          <cell r="R9">
            <v>2815</v>
          </cell>
          <cell r="S9">
            <v>687682</v>
          </cell>
          <cell r="T9">
            <v>28293</v>
          </cell>
          <cell r="U9">
            <v>88181</v>
          </cell>
          <cell r="V9">
            <v>338779</v>
          </cell>
          <cell r="W9">
            <v>34419</v>
          </cell>
          <cell r="X9">
            <v>359031</v>
          </cell>
          <cell r="Y9">
            <v>151705</v>
          </cell>
          <cell r="Z9">
            <v>7622</v>
          </cell>
          <cell r="AA9">
            <v>51250</v>
          </cell>
          <cell r="AB9">
            <v>3704</v>
          </cell>
          <cell r="AC9">
            <v>104772</v>
          </cell>
          <cell r="AD9">
            <v>31002</v>
          </cell>
          <cell r="AE9">
            <v>12402</v>
          </cell>
          <cell r="AF9">
            <v>0</v>
          </cell>
          <cell r="AG9">
            <v>15498</v>
          </cell>
          <cell r="AH9">
            <v>1226658</v>
          </cell>
          <cell r="AI9">
            <v>1226658</v>
          </cell>
          <cell r="AJ9">
            <v>181228</v>
          </cell>
          <cell r="AK9">
            <v>49606</v>
          </cell>
          <cell r="AL9">
            <v>78785</v>
          </cell>
          <cell r="AM9">
            <v>0</v>
          </cell>
          <cell r="AN9">
            <v>12402</v>
          </cell>
          <cell r="AO9">
            <v>0</v>
          </cell>
          <cell r="AP9">
            <v>50560</v>
          </cell>
          <cell r="AQ9">
            <v>149934</v>
          </cell>
          <cell r="AR9">
            <v>68722</v>
          </cell>
          <cell r="AS9">
            <v>0</v>
          </cell>
          <cell r="AT9">
            <v>21538</v>
          </cell>
          <cell r="AU9">
            <v>107460</v>
          </cell>
          <cell r="AV9">
            <v>720235</v>
          </cell>
        </row>
        <row r="10">
          <cell r="A10">
            <v>7204000</v>
          </cell>
          <cell r="B10" t="str">
            <v>هزينه حق اولاد</v>
          </cell>
          <cell r="C10">
            <v>0</v>
          </cell>
          <cell r="D10">
            <v>36370819</v>
          </cell>
          <cell r="E10">
            <v>29657351</v>
          </cell>
          <cell r="F10">
            <v>14270578</v>
          </cell>
          <cell r="G10">
            <v>28993680</v>
          </cell>
          <cell r="H10">
            <v>19329120</v>
          </cell>
          <cell r="I10">
            <v>53781670</v>
          </cell>
          <cell r="J10">
            <v>28889642</v>
          </cell>
          <cell r="K10">
            <v>8845009</v>
          </cell>
          <cell r="L10">
            <v>4832280</v>
          </cell>
          <cell r="M10">
            <v>0</v>
          </cell>
          <cell r="N10">
            <v>4470774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229440923</v>
          </cell>
          <cell r="T10">
            <v>7256687</v>
          </cell>
          <cell r="U10">
            <v>25403716</v>
          </cell>
          <cell r="V10">
            <v>94350324</v>
          </cell>
          <cell r="W10">
            <v>2818830</v>
          </cell>
          <cell r="X10">
            <v>80143249</v>
          </cell>
          <cell r="Y10">
            <v>52372608</v>
          </cell>
          <cell r="Z10">
            <v>2970518</v>
          </cell>
          <cell r="AA10">
            <v>11470170</v>
          </cell>
          <cell r="AB10">
            <v>0</v>
          </cell>
          <cell r="AC10">
            <v>28993680</v>
          </cell>
          <cell r="AD10">
            <v>9664560</v>
          </cell>
          <cell r="AE10">
            <v>4832280</v>
          </cell>
          <cell r="AF10">
            <v>0</v>
          </cell>
          <cell r="AG10">
            <v>2416140</v>
          </cell>
          <cell r="AH10">
            <v>322692762</v>
          </cell>
          <cell r="AI10">
            <v>322692762</v>
          </cell>
          <cell r="AJ10">
            <v>18729218</v>
          </cell>
          <cell r="AK10">
            <v>13288770</v>
          </cell>
          <cell r="AL10">
            <v>14496840</v>
          </cell>
          <cell r="AM10">
            <v>0</v>
          </cell>
          <cell r="AN10">
            <v>4832280</v>
          </cell>
          <cell r="AO10">
            <v>0</v>
          </cell>
          <cell r="AP10">
            <v>12080700</v>
          </cell>
          <cell r="AQ10">
            <v>41434557</v>
          </cell>
          <cell r="AR10">
            <v>19329120</v>
          </cell>
          <cell r="AS10">
            <v>0</v>
          </cell>
          <cell r="AT10">
            <v>7205907</v>
          </cell>
          <cell r="AU10">
            <v>19329120</v>
          </cell>
          <cell r="AV10">
            <v>150726512</v>
          </cell>
        </row>
        <row r="11">
          <cell r="A11">
            <v>7205000</v>
          </cell>
          <cell r="B11" t="str">
            <v>هزينه حق جذب</v>
          </cell>
          <cell r="C11">
            <v>0</v>
          </cell>
          <cell r="D11">
            <v>70009206</v>
          </cell>
          <cell r="E11">
            <v>73934323</v>
          </cell>
          <cell r="F11">
            <v>31150038</v>
          </cell>
          <cell r="G11">
            <v>65789250</v>
          </cell>
          <cell r="H11">
            <v>40829616</v>
          </cell>
          <cell r="I11">
            <v>122166663</v>
          </cell>
          <cell r="J11">
            <v>56142933</v>
          </cell>
          <cell r="K11">
            <v>27614633</v>
          </cell>
          <cell r="L11">
            <v>15085998</v>
          </cell>
          <cell r="M11">
            <v>40686294</v>
          </cell>
          <cell r="N11">
            <v>30865296</v>
          </cell>
          <cell r="O11">
            <v>0</v>
          </cell>
          <cell r="P11">
            <v>0</v>
          </cell>
          <cell r="Q11">
            <v>0</v>
          </cell>
          <cell r="R11">
            <v>9804297</v>
          </cell>
          <cell r="S11">
            <v>584078547</v>
          </cell>
          <cell r="T11">
            <v>25515268</v>
          </cell>
          <cell r="U11">
            <v>34781948</v>
          </cell>
          <cell r="V11">
            <v>258921398</v>
          </cell>
          <cell r="W11">
            <v>24242496</v>
          </cell>
          <cell r="X11">
            <v>498380531</v>
          </cell>
          <cell r="Y11">
            <v>112704775</v>
          </cell>
          <cell r="Z11">
            <v>6113314</v>
          </cell>
          <cell r="AA11">
            <v>67264321</v>
          </cell>
          <cell r="AB11">
            <v>4821770</v>
          </cell>
          <cell r="AC11">
            <v>109107704</v>
          </cell>
          <cell r="AD11">
            <v>25978812</v>
          </cell>
          <cell r="AE11">
            <v>15477990</v>
          </cell>
          <cell r="AF11">
            <v>0</v>
          </cell>
          <cell r="AG11">
            <v>6380142</v>
          </cell>
          <cell r="AH11">
            <v>1189690469</v>
          </cell>
          <cell r="AI11">
            <v>1189690469</v>
          </cell>
          <cell r="AJ11">
            <v>282385128</v>
          </cell>
          <cell r="AK11">
            <v>52911198</v>
          </cell>
          <cell r="AL11">
            <v>139014239</v>
          </cell>
          <cell r="AM11">
            <v>0</v>
          </cell>
          <cell r="AN11">
            <v>5720802</v>
          </cell>
          <cell r="AO11">
            <v>0</v>
          </cell>
          <cell r="AP11">
            <v>53766790</v>
          </cell>
          <cell r="AQ11">
            <v>158180921</v>
          </cell>
          <cell r="AR11">
            <v>58356696</v>
          </cell>
          <cell r="AS11">
            <v>0</v>
          </cell>
          <cell r="AT11">
            <v>17892735</v>
          </cell>
          <cell r="AU11">
            <v>200920574</v>
          </cell>
          <cell r="AV11">
            <v>969149083</v>
          </cell>
        </row>
        <row r="12">
          <cell r="A12">
            <v>7206000</v>
          </cell>
          <cell r="B12" t="str">
            <v>هزينه اضافه کارى</v>
          </cell>
          <cell r="C12">
            <v>0</v>
          </cell>
          <cell r="D12">
            <v>72043030</v>
          </cell>
          <cell r="E12">
            <v>72205213</v>
          </cell>
          <cell r="F12">
            <v>18651243</v>
          </cell>
          <cell r="G12">
            <v>114919644</v>
          </cell>
          <cell r="H12">
            <v>49463917</v>
          </cell>
          <cell r="I12">
            <v>106591685</v>
          </cell>
          <cell r="J12">
            <v>63228380</v>
          </cell>
          <cell r="K12">
            <v>35890801</v>
          </cell>
          <cell r="L12">
            <v>37474893</v>
          </cell>
          <cell r="M12">
            <v>54005991</v>
          </cell>
          <cell r="N12">
            <v>38711671</v>
          </cell>
          <cell r="O12">
            <v>0</v>
          </cell>
          <cell r="P12">
            <v>0</v>
          </cell>
          <cell r="Q12">
            <v>1145455</v>
          </cell>
          <cell r="R12">
            <v>503262</v>
          </cell>
          <cell r="S12">
            <v>664835185</v>
          </cell>
          <cell r="T12">
            <v>12110768</v>
          </cell>
          <cell r="U12">
            <v>134220379</v>
          </cell>
          <cell r="V12">
            <v>1002474943</v>
          </cell>
          <cell r="W12">
            <v>54444170</v>
          </cell>
          <cell r="X12">
            <v>259181161</v>
          </cell>
          <cell r="Y12">
            <v>135789611</v>
          </cell>
          <cell r="Z12">
            <v>3089483</v>
          </cell>
          <cell r="AA12">
            <v>46125016</v>
          </cell>
          <cell r="AB12">
            <v>1534206</v>
          </cell>
          <cell r="AC12">
            <v>172333020</v>
          </cell>
          <cell r="AD12">
            <v>71812297</v>
          </cell>
          <cell r="AE12">
            <v>46462976</v>
          </cell>
          <cell r="AF12">
            <v>0</v>
          </cell>
          <cell r="AG12">
            <v>59004264</v>
          </cell>
          <cell r="AH12">
            <v>1998582294</v>
          </cell>
          <cell r="AI12">
            <v>1998582294</v>
          </cell>
          <cell r="AJ12">
            <v>44709437</v>
          </cell>
          <cell r="AK12">
            <v>259135547</v>
          </cell>
          <cell r="AL12">
            <v>41974528</v>
          </cell>
          <cell r="AM12">
            <v>0</v>
          </cell>
          <cell r="AN12">
            <v>25459516</v>
          </cell>
          <cell r="AO12">
            <v>0</v>
          </cell>
          <cell r="AP12">
            <v>77507110</v>
          </cell>
          <cell r="AQ12">
            <v>289705388</v>
          </cell>
          <cell r="AR12">
            <v>113331680</v>
          </cell>
          <cell r="AS12">
            <v>0</v>
          </cell>
          <cell r="AT12">
            <v>44132929</v>
          </cell>
          <cell r="AU12">
            <v>79031291</v>
          </cell>
          <cell r="AV12">
            <v>974987426</v>
          </cell>
        </row>
        <row r="13">
          <cell r="A13">
            <v>7206001</v>
          </cell>
          <cell r="B13" t="str">
            <v>هزينه اضافه كاري ( پارس پاکان)</v>
          </cell>
          <cell r="C13">
            <v>0</v>
          </cell>
          <cell r="D13">
            <v>30215782</v>
          </cell>
          <cell r="E13">
            <v>55054111</v>
          </cell>
          <cell r="F13">
            <v>42749084</v>
          </cell>
          <cell r="G13">
            <v>75576764</v>
          </cell>
          <cell r="H13">
            <v>7669646</v>
          </cell>
          <cell r="I13">
            <v>50659743</v>
          </cell>
          <cell r="J13">
            <v>44280471</v>
          </cell>
          <cell r="K13">
            <v>34962536</v>
          </cell>
          <cell r="L13">
            <v>22649889</v>
          </cell>
          <cell r="M13">
            <v>0</v>
          </cell>
          <cell r="N13">
            <v>154897129</v>
          </cell>
          <cell r="O13">
            <v>41464799</v>
          </cell>
          <cell r="P13">
            <v>34366955</v>
          </cell>
          <cell r="Q13">
            <v>33502747</v>
          </cell>
          <cell r="R13">
            <v>117612418</v>
          </cell>
          <cell r="S13">
            <v>745662074</v>
          </cell>
          <cell r="T13">
            <v>24294759</v>
          </cell>
          <cell r="U13">
            <v>97334415</v>
          </cell>
          <cell r="V13">
            <v>249618147</v>
          </cell>
          <cell r="W13">
            <v>0</v>
          </cell>
          <cell r="X13">
            <v>4202279</v>
          </cell>
          <cell r="Y13">
            <v>68853573</v>
          </cell>
          <cell r="Z13">
            <v>29936191</v>
          </cell>
          <cell r="AA13">
            <v>0</v>
          </cell>
          <cell r="AB13">
            <v>0</v>
          </cell>
          <cell r="AC13">
            <v>0</v>
          </cell>
          <cell r="AD13">
            <v>129638631</v>
          </cell>
          <cell r="AE13">
            <v>605163466</v>
          </cell>
          <cell r="AF13">
            <v>0</v>
          </cell>
          <cell r="AG13">
            <v>0</v>
          </cell>
          <cell r="AH13">
            <v>1209041461</v>
          </cell>
          <cell r="AI13">
            <v>1209041461</v>
          </cell>
          <cell r="AJ13">
            <v>10440952</v>
          </cell>
          <cell r="AK13">
            <v>0</v>
          </cell>
          <cell r="AL13">
            <v>0</v>
          </cell>
          <cell r="AM13">
            <v>1602192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12043144</v>
          </cell>
        </row>
        <row r="14">
          <cell r="A14">
            <v>7207000</v>
          </cell>
          <cell r="B14" t="str">
            <v>هزينه نوبتکارى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29364588</v>
          </cell>
          <cell r="AE14">
            <v>0</v>
          </cell>
          <cell r="AF14">
            <v>0</v>
          </cell>
          <cell r="AG14">
            <v>0</v>
          </cell>
          <cell r="AH14">
            <v>29364588</v>
          </cell>
          <cell r="AI14">
            <v>29364588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</row>
        <row r="15">
          <cell r="A15">
            <v>7208000</v>
          </cell>
          <cell r="B15" t="str">
            <v>هزينه شبکارى</v>
          </cell>
          <cell r="C15">
            <v>0</v>
          </cell>
          <cell r="D15">
            <v>383919</v>
          </cell>
          <cell r="E15">
            <v>556410</v>
          </cell>
          <cell r="F15">
            <v>0</v>
          </cell>
          <cell r="G15">
            <v>848967</v>
          </cell>
          <cell r="H15">
            <v>0</v>
          </cell>
          <cell r="I15">
            <v>43790</v>
          </cell>
          <cell r="J15">
            <v>0</v>
          </cell>
          <cell r="K15">
            <v>0</v>
          </cell>
          <cell r="L15">
            <v>40500</v>
          </cell>
          <cell r="M15">
            <v>31957</v>
          </cell>
          <cell r="N15">
            <v>90914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1996457</v>
          </cell>
          <cell r="T15">
            <v>0</v>
          </cell>
          <cell r="U15">
            <v>9179</v>
          </cell>
          <cell r="V15">
            <v>25426100</v>
          </cell>
          <cell r="W15">
            <v>52803</v>
          </cell>
          <cell r="X15">
            <v>2459102</v>
          </cell>
          <cell r="Y15">
            <v>147174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13881</v>
          </cell>
          <cell r="AF15">
            <v>0</v>
          </cell>
          <cell r="AG15">
            <v>72033</v>
          </cell>
          <cell r="AH15">
            <v>28180272</v>
          </cell>
          <cell r="AI15">
            <v>28180272</v>
          </cell>
          <cell r="AJ15">
            <v>0</v>
          </cell>
          <cell r="AK15">
            <v>475266</v>
          </cell>
          <cell r="AL15">
            <v>17909</v>
          </cell>
          <cell r="AM15">
            <v>0</v>
          </cell>
          <cell r="AN15">
            <v>0</v>
          </cell>
          <cell r="AO15">
            <v>0</v>
          </cell>
          <cell r="AP15">
            <v>23062</v>
          </cell>
          <cell r="AQ15">
            <v>722618</v>
          </cell>
          <cell r="AR15">
            <v>318993</v>
          </cell>
          <cell r="AS15">
            <v>0</v>
          </cell>
          <cell r="AT15">
            <v>0</v>
          </cell>
          <cell r="AU15">
            <v>39254</v>
          </cell>
          <cell r="AV15">
            <v>1597102</v>
          </cell>
        </row>
        <row r="16">
          <cell r="A16">
            <v>7211000</v>
          </cell>
          <cell r="B16" t="str">
            <v>هزينه عيدى وپاداش ساليانه</v>
          </cell>
          <cell r="C16">
            <v>0</v>
          </cell>
          <cell r="D16">
            <v>45488067</v>
          </cell>
          <cell r="E16">
            <v>45445572</v>
          </cell>
          <cell r="F16">
            <v>16904355</v>
          </cell>
          <cell r="G16">
            <v>40013590</v>
          </cell>
          <cell r="H16">
            <v>23470726</v>
          </cell>
          <cell r="I16">
            <v>77426773</v>
          </cell>
          <cell r="J16">
            <v>41469835</v>
          </cell>
          <cell r="K16">
            <v>14309654</v>
          </cell>
          <cell r="L16">
            <v>5941328</v>
          </cell>
          <cell r="M16">
            <v>23428719</v>
          </cell>
          <cell r="N16">
            <v>25005524</v>
          </cell>
          <cell r="O16">
            <v>0</v>
          </cell>
          <cell r="P16">
            <v>0</v>
          </cell>
          <cell r="Q16">
            <v>0</v>
          </cell>
          <cell r="R16">
            <v>2697482</v>
          </cell>
          <cell r="S16">
            <v>361601625</v>
          </cell>
          <cell r="T16">
            <v>17802576</v>
          </cell>
          <cell r="U16">
            <v>45110069</v>
          </cell>
          <cell r="V16">
            <v>209254169</v>
          </cell>
          <cell r="W16">
            <v>29984189</v>
          </cell>
          <cell r="X16">
            <v>286797264</v>
          </cell>
          <cell r="Y16">
            <v>68800271</v>
          </cell>
          <cell r="Z16">
            <v>3652276</v>
          </cell>
          <cell r="AA16">
            <v>37957583</v>
          </cell>
          <cell r="AB16">
            <v>3550713</v>
          </cell>
          <cell r="AC16">
            <v>80643491</v>
          </cell>
          <cell r="AD16">
            <v>17167555</v>
          </cell>
          <cell r="AE16">
            <v>5941328</v>
          </cell>
          <cell r="AF16">
            <v>0</v>
          </cell>
          <cell r="AG16">
            <v>10459255</v>
          </cell>
          <cell r="AH16">
            <v>817120739</v>
          </cell>
          <cell r="AI16">
            <v>817120739</v>
          </cell>
          <cell r="AJ16">
            <v>181662693</v>
          </cell>
          <cell r="AK16">
            <v>36539565</v>
          </cell>
          <cell r="AL16">
            <v>71060721</v>
          </cell>
          <cell r="AM16">
            <v>0</v>
          </cell>
          <cell r="AN16">
            <v>5793489</v>
          </cell>
          <cell r="AO16">
            <v>7927166</v>
          </cell>
          <cell r="AP16">
            <v>33319312</v>
          </cell>
          <cell r="AQ16">
            <v>97324591</v>
          </cell>
          <cell r="AR16">
            <v>44364957</v>
          </cell>
          <cell r="AS16">
            <v>0</v>
          </cell>
          <cell r="AT16">
            <v>11778116</v>
          </cell>
          <cell r="AU16">
            <v>94418190</v>
          </cell>
          <cell r="AV16">
            <v>584188800</v>
          </cell>
        </row>
        <row r="17">
          <cell r="A17">
            <v>7213000</v>
          </cell>
          <cell r="B17" t="str">
            <v>هزينه بن کالاى اساسى</v>
          </cell>
          <cell r="C17">
            <v>0</v>
          </cell>
          <cell r="D17">
            <v>16800000</v>
          </cell>
          <cell r="E17">
            <v>16800000</v>
          </cell>
          <cell r="F17">
            <v>6300000</v>
          </cell>
          <cell r="G17">
            <v>14700000</v>
          </cell>
          <cell r="H17">
            <v>8400000</v>
          </cell>
          <cell r="I17">
            <v>28700000</v>
          </cell>
          <cell r="J17">
            <v>15050000</v>
          </cell>
          <cell r="K17">
            <v>5250000</v>
          </cell>
          <cell r="L17">
            <v>2100000</v>
          </cell>
          <cell r="M17">
            <v>8400000</v>
          </cell>
          <cell r="N17">
            <v>11200000</v>
          </cell>
          <cell r="O17">
            <v>0</v>
          </cell>
          <cell r="P17">
            <v>0</v>
          </cell>
          <cell r="Q17">
            <v>0</v>
          </cell>
          <cell r="R17">
            <v>1050000</v>
          </cell>
          <cell r="S17">
            <v>134750000</v>
          </cell>
          <cell r="T17">
            <v>7000000</v>
          </cell>
          <cell r="U17">
            <v>17850000</v>
          </cell>
          <cell r="V17">
            <v>77350000</v>
          </cell>
          <cell r="W17">
            <v>11550000</v>
          </cell>
          <cell r="X17">
            <v>103950000</v>
          </cell>
          <cell r="Y17">
            <v>25200000</v>
          </cell>
          <cell r="Z17">
            <v>1400000</v>
          </cell>
          <cell r="AA17">
            <v>14350000</v>
          </cell>
          <cell r="AB17">
            <v>1400000</v>
          </cell>
          <cell r="AC17">
            <v>29400000</v>
          </cell>
          <cell r="AD17">
            <v>6300000</v>
          </cell>
          <cell r="AE17">
            <v>2100000</v>
          </cell>
          <cell r="AF17">
            <v>0</v>
          </cell>
          <cell r="AG17">
            <v>4200000</v>
          </cell>
          <cell r="AH17">
            <v>302050000</v>
          </cell>
          <cell r="AI17">
            <v>302050000</v>
          </cell>
          <cell r="AJ17">
            <v>66150000</v>
          </cell>
          <cell r="AK17">
            <v>12950000</v>
          </cell>
          <cell r="AL17">
            <v>25200000</v>
          </cell>
          <cell r="AM17">
            <v>0</v>
          </cell>
          <cell r="AN17">
            <v>2100000</v>
          </cell>
          <cell r="AO17">
            <v>0</v>
          </cell>
          <cell r="AP17">
            <v>11900000</v>
          </cell>
          <cell r="AQ17">
            <v>35000000</v>
          </cell>
          <cell r="AR17">
            <v>16100000</v>
          </cell>
          <cell r="AS17">
            <v>0</v>
          </cell>
          <cell r="AT17">
            <v>4200000</v>
          </cell>
          <cell r="AU17">
            <v>33600000</v>
          </cell>
          <cell r="AV17">
            <v>207200000</v>
          </cell>
        </row>
        <row r="18">
          <cell r="A18">
            <v>7215000</v>
          </cell>
          <cell r="B18" t="str">
            <v>هزينه حق بيمه سهم کارفرما</v>
          </cell>
          <cell r="C18">
            <v>0</v>
          </cell>
          <cell r="D18">
            <v>98471710</v>
          </cell>
          <cell r="E18">
            <v>104178411</v>
          </cell>
          <cell r="F18">
            <v>36991516</v>
          </cell>
          <cell r="G18">
            <v>108391273</v>
          </cell>
          <cell r="H18">
            <v>55365369</v>
          </cell>
          <cell r="I18">
            <v>167619481</v>
          </cell>
          <cell r="J18">
            <v>88339983</v>
          </cell>
          <cell r="K18">
            <v>35873563</v>
          </cell>
          <cell r="L18">
            <v>21296130</v>
          </cell>
          <cell r="M18">
            <v>65609772</v>
          </cell>
          <cell r="N18">
            <v>70216763</v>
          </cell>
          <cell r="O18">
            <v>0</v>
          </cell>
          <cell r="P18">
            <v>0</v>
          </cell>
          <cell r="Q18">
            <v>0</v>
          </cell>
          <cell r="R18">
            <v>15410845</v>
          </cell>
          <cell r="S18">
            <v>867764816</v>
          </cell>
          <cell r="T18">
            <v>33792248</v>
          </cell>
          <cell r="U18">
            <v>123769603</v>
          </cell>
          <cell r="V18">
            <v>629033721</v>
          </cell>
          <cell r="W18">
            <v>66505938</v>
          </cell>
          <cell r="X18">
            <v>718755119</v>
          </cell>
          <cell r="Y18">
            <v>162303220</v>
          </cell>
          <cell r="Z18">
            <v>10288284</v>
          </cell>
          <cell r="AA18">
            <v>97061342</v>
          </cell>
          <cell r="AB18">
            <v>7092983</v>
          </cell>
          <cell r="AC18">
            <v>173686871</v>
          </cell>
          <cell r="AD18">
            <v>55209942</v>
          </cell>
          <cell r="AE18">
            <v>24073846</v>
          </cell>
          <cell r="AF18">
            <v>0</v>
          </cell>
          <cell r="AG18">
            <v>31361650</v>
          </cell>
          <cell r="AH18">
            <v>2132934767</v>
          </cell>
          <cell r="AI18">
            <v>2132934767</v>
          </cell>
          <cell r="AJ18">
            <v>517003102</v>
          </cell>
          <cell r="AK18">
            <v>196276387</v>
          </cell>
          <cell r="AL18">
            <v>193338251</v>
          </cell>
          <cell r="AM18">
            <v>0</v>
          </cell>
          <cell r="AN18">
            <v>15445194</v>
          </cell>
          <cell r="AO18">
            <v>0</v>
          </cell>
          <cell r="AP18">
            <v>101474801</v>
          </cell>
          <cell r="AQ18">
            <v>283578891</v>
          </cell>
          <cell r="AR18">
            <v>132329790</v>
          </cell>
          <cell r="AS18">
            <v>0</v>
          </cell>
          <cell r="AT18">
            <v>35672076</v>
          </cell>
          <cell r="AU18">
            <v>312331342</v>
          </cell>
          <cell r="AV18">
            <v>1787449834</v>
          </cell>
        </row>
        <row r="19">
          <cell r="A19">
            <v>7216000</v>
          </cell>
          <cell r="B19" t="str">
            <v>هزينه بازخريدسنوات</v>
          </cell>
          <cell r="C19">
            <v>0</v>
          </cell>
          <cell r="D19">
            <v>163358871</v>
          </cell>
          <cell r="E19">
            <v>184604110</v>
          </cell>
          <cell r="F19">
            <v>252343164</v>
          </cell>
          <cell r="G19">
            <v>142345600</v>
          </cell>
          <cell r="H19">
            <v>83264527</v>
          </cell>
          <cell r="I19">
            <v>266911049</v>
          </cell>
          <cell r="J19">
            <v>130371975</v>
          </cell>
          <cell r="K19">
            <v>234089943</v>
          </cell>
          <cell r="L19">
            <v>20891306</v>
          </cell>
          <cell r="M19">
            <v>38385402</v>
          </cell>
          <cell r="N19">
            <v>46311419</v>
          </cell>
          <cell r="O19">
            <v>0</v>
          </cell>
          <cell r="P19">
            <v>0</v>
          </cell>
          <cell r="Q19">
            <v>0</v>
          </cell>
          <cell r="R19">
            <v>23998572</v>
          </cell>
          <cell r="S19">
            <v>1586875938</v>
          </cell>
          <cell r="T19">
            <v>78349471</v>
          </cell>
          <cell r="U19">
            <v>145728980</v>
          </cell>
          <cell r="V19">
            <v>491770340</v>
          </cell>
          <cell r="W19">
            <v>176831619</v>
          </cell>
          <cell r="X19">
            <v>893807077</v>
          </cell>
          <cell r="Y19">
            <v>262800663</v>
          </cell>
          <cell r="Z19">
            <v>11301706</v>
          </cell>
          <cell r="AA19">
            <v>386398940</v>
          </cell>
          <cell r="AB19">
            <v>6994465</v>
          </cell>
          <cell r="AC19">
            <v>228056201</v>
          </cell>
          <cell r="AD19">
            <v>62267985</v>
          </cell>
          <cell r="AE19">
            <v>22228222</v>
          </cell>
          <cell r="AF19">
            <v>0</v>
          </cell>
          <cell r="AG19">
            <v>9263315</v>
          </cell>
          <cell r="AH19">
            <v>2775798984</v>
          </cell>
          <cell r="AI19">
            <v>2775798984</v>
          </cell>
          <cell r="AJ19">
            <v>2802895125</v>
          </cell>
          <cell r="AK19">
            <v>1380605459</v>
          </cell>
          <cell r="AL19">
            <v>151518312</v>
          </cell>
          <cell r="AM19">
            <v>0</v>
          </cell>
          <cell r="AN19">
            <v>23865287</v>
          </cell>
          <cell r="AO19">
            <v>0</v>
          </cell>
          <cell r="AP19">
            <v>71095296</v>
          </cell>
          <cell r="AQ19">
            <v>685625466</v>
          </cell>
          <cell r="AR19">
            <v>71906755</v>
          </cell>
          <cell r="AS19">
            <v>0</v>
          </cell>
          <cell r="AT19">
            <v>32561351</v>
          </cell>
          <cell r="AU19">
            <v>371658010</v>
          </cell>
          <cell r="AV19">
            <v>5591731061</v>
          </cell>
        </row>
        <row r="20">
          <cell r="A20">
            <v>7217000</v>
          </cell>
          <cell r="B20" t="str">
            <v>هزينه اياب وذهاب</v>
          </cell>
          <cell r="C20">
            <v>0</v>
          </cell>
          <cell r="D20">
            <v>5230608</v>
          </cell>
          <cell r="E20">
            <v>4836078</v>
          </cell>
          <cell r="F20">
            <v>1735872</v>
          </cell>
          <cell r="G20">
            <v>4722426</v>
          </cell>
          <cell r="H20">
            <v>2302788</v>
          </cell>
          <cell r="I20">
            <v>12175710</v>
          </cell>
          <cell r="J20">
            <v>5803270</v>
          </cell>
          <cell r="K20">
            <v>2592033</v>
          </cell>
          <cell r="L20">
            <v>1211976</v>
          </cell>
          <cell r="M20">
            <v>0</v>
          </cell>
          <cell r="N20">
            <v>5200000</v>
          </cell>
          <cell r="O20">
            <v>0</v>
          </cell>
          <cell r="P20">
            <v>0</v>
          </cell>
          <cell r="Q20">
            <v>0</v>
          </cell>
          <cell r="R20">
            <v>3120000</v>
          </cell>
          <cell r="S20">
            <v>48930761</v>
          </cell>
          <cell r="T20">
            <v>1373164</v>
          </cell>
          <cell r="U20">
            <v>9607808</v>
          </cell>
          <cell r="V20">
            <v>24382284</v>
          </cell>
          <cell r="W20">
            <v>3120000</v>
          </cell>
          <cell r="X20">
            <v>21195172</v>
          </cell>
          <cell r="Y20">
            <v>11190970</v>
          </cell>
          <cell r="Z20">
            <v>0</v>
          </cell>
          <cell r="AA20">
            <v>4386960</v>
          </cell>
          <cell r="AB20">
            <v>0</v>
          </cell>
          <cell r="AC20">
            <v>11799346</v>
          </cell>
          <cell r="AD20">
            <v>18011430</v>
          </cell>
          <cell r="AE20">
            <v>20669300</v>
          </cell>
          <cell r="AF20">
            <v>0</v>
          </cell>
          <cell r="AG20">
            <v>2373665351</v>
          </cell>
          <cell r="AH20">
            <v>2245257785</v>
          </cell>
          <cell r="AI20">
            <v>2245257785</v>
          </cell>
          <cell r="AJ20">
            <v>138456000</v>
          </cell>
          <cell r="AK20">
            <v>52342500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6240000</v>
          </cell>
          <cell r="AQ20">
            <v>23307823</v>
          </cell>
          <cell r="AR20">
            <v>7165236</v>
          </cell>
          <cell r="AS20">
            <v>23078946</v>
          </cell>
          <cell r="AT20">
            <v>3803566</v>
          </cell>
          <cell r="AU20">
            <v>24399480</v>
          </cell>
          <cell r="AV20">
            <v>278793551</v>
          </cell>
        </row>
        <row r="21">
          <cell r="A21">
            <v>7218000</v>
          </cell>
          <cell r="B21" t="str">
            <v>هزينه پاداش بهره ورى</v>
          </cell>
          <cell r="C21">
            <v>0</v>
          </cell>
          <cell r="D21">
            <v>30400000</v>
          </cell>
          <cell r="E21">
            <v>30400000</v>
          </cell>
          <cell r="F21">
            <v>11400000</v>
          </cell>
          <cell r="G21">
            <v>26600000</v>
          </cell>
          <cell r="H21">
            <v>15200000</v>
          </cell>
          <cell r="I21">
            <v>57000000</v>
          </cell>
          <cell r="J21">
            <v>30400000</v>
          </cell>
          <cell r="K21">
            <v>11400000</v>
          </cell>
          <cell r="L21">
            <v>3800000</v>
          </cell>
          <cell r="M21">
            <v>15200000</v>
          </cell>
          <cell r="N21">
            <v>19000000</v>
          </cell>
          <cell r="O21">
            <v>0</v>
          </cell>
          <cell r="P21">
            <v>3800000</v>
          </cell>
          <cell r="Q21">
            <v>3800000</v>
          </cell>
          <cell r="R21">
            <v>3800000</v>
          </cell>
          <cell r="S21">
            <v>262200000</v>
          </cell>
          <cell r="T21">
            <v>11400000</v>
          </cell>
          <cell r="U21">
            <v>30400000</v>
          </cell>
          <cell r="V21">
            <v>148200000</v>
          </cell>
          <cell r="W21">
            <v>19000000</v>
          </cell>
          <cell r="X21">
            <v>193800000</v>
          </cell>
          <cell r="Y21">
            <v>45600000</v>
          </cell>
          <cell r="Z21">
            <v>3800000</v>
          </cell>
          <cell r="AA21">
            <v>26600000</v>
          </cell>
          <cell r="AB21">
            <v>3800000</v>
          </cell>
          <cell r="AC21">
            <v>57000000</v>
          </cell>
          <cell r="AD21">
            <v>11400000</v>
          </cell>
          <cell r="AE21">
            <v>7600000</v>
          </cell>
          <cell r="AF21">
            <v>0</v>
          </cell>
          <cell r="AG21">
            <v>7600000</v>
          </cell>
          <cell r="AH21">
            <v>566200000</v>
          </cell>
          <cell r="AI21">
            <v>566200000</v>
          </cell>
          <cell r="AJ21">
            <v>125400000</v>
          </cell>
          <cell r="AK21">
            <v>30400000</v>
          </cell>
          <cell r="AL21">
            <v>45600000</v>
          </cell>
          <cell r="AM21">
            <v>0</v>
          </cell>
          <cell r="AN21">
            <v>7600000</v>
          </cell>
          <cell r="AO21">
            <v>0</v>
          </cell>
          <cell r="AP21">
            <v>22800000</v>
          </cell>
          <cell r="AQ21">
            <v>68400000</v>
          </cell>
          <cell r="AR21">
            <v>34200000</v>
          </cell>
          <cell r="AS21">
            <v>0</v>
          </cell>
          <cell r="AT21">
            <v>11400000</v>
          </cell>
          <cell r="AU21">
            <v>60800000</v>
          </cell>
          <cell r="AV21">
            <v>406600000</v>
          </cell>
        </row>
        <row r="22">
          <cell r="A22">
            <v>7218001</v>
          </cell>
          <cell r="B22" t="str">
            <v>هزينه پاداش بهره ورى( پارس پاکان)</v>
          </cell>
          <cell r="C22">
            <v>0</v>
          </cell>
          <cell r="D22">
            <v>16200000</v>
          </cell>
          <cell r="E22">
            <v>12600000</v>
          </cell>
          <cell r="F22">
            <v>18000000</v>
          </cell>
          <cell r="G22">
            <v>21600000</v>
          </cell>
          <cell r="H22">
            <v>5400000</v>
          </cell>
          <cell r="I22">
            <v>19800000</v>
          </cell>
          <cell r="J22">
            <v>18000000</v>
          </cell>
          <cell r="K22">
            <v>12600000</v>
          </cell>
          <cell r="L22">
            <v>3600000</v>
          </cell>
          <cell r="M22">
            <v>0</v>
          </cell>
          <cell r="N22">
            <v>66600000</v>
          </cell>
          <cell r="O22">
            <v>9000000</v>
          </cell>
          <cell r="P22">
            <v>9000000</v>
          </cell>
          <cell r="Q22">
            <v>0</v>
          </cell>
          <cell r="R22">
            <v>0</v>
          </cell>
          <cell r="S22">
            <v>212400000</v>
          </cell>
          <cell r="T22">
            <v>5400000</v>
          </cell>
          <cell r="U22">
            <v>120600000</v>
          </cell>
          <cell r="V22">
            <v>25200000</v>
          </cell>
          <cell r="W22">
            <v>0</v>
          </cell>
          <cell r="X22">
            <v>1800000</v>
          </cell>
          <cell r="Y22">
            <v>25200000</v>
          </cell>
          <cell r="Z22">
            <v>10800000</v>
          </cell>
          <cell r="AA22">
            <v>0</v>
          </cell>
          <cell r="AB22">
            <v>0</v>
          </cell>
          <cell r="AC22">
            <v>0</v>
          </cell>
          <cell r="AD22">
            <v>18000000</v>
          </cell>
          <cell r="AE22">
            <v>117000000</v>
          </cell>
          <cell r="AF22">
            <v>0</v>
          </cell>
          <cell r="AG22">
            <v>0</v>
          </cell>
          <cell r="AH22">
            <v>324000000</v>
          </cell>
          <cell r="AI22">
            <v>324000000</v>
          </cell>
          <cell r="AJ22">
            <v>5400000</v>
          </cell>
          <cell r="AK22">
            <v>0</v>
          </cell>
          <cell r="AL22">
            <v>0</v>
          </cell>
          <cell r="AM22">
            <v>1800000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7200000</v>
          </cell>
        </row>
        <row r="23">
          <cell r="A23">
            <v>7219000</v>
          </cell>
          <cell r="B23" t="str">
            <v>هزينه سايرمزاياى نقدى</v>
          </cell>
          <cell r="C23">
            <v>0</v>
          </cell>
          <cell r="D23">
            <v>5683590</v>
          </cell>
          <cell r="E23">
            <v>8528483</v>
          </cell>
          <cell r="F23">
            <v>2750969</v>
          </cell>
          <cell r="G23">
            <v>9782099</v>
          </cell>
          <cell r="H23">
            <v>799998</v>
          </cell>
          <cell r="I23">
            <v>5281656</v>
          </cell>
          <cell r="J23">
            <v>700000</v>
          </cell>
          <cell r="K23">
            <v>619998</v>
          </cell>
          <cell r="L23">
            <v>619998</v>
          </cell>
          <cell r="M23">
            <v>8680002</v>
          </cell>
          <cell r="N23">
            <v>33993390</v>
          </cell>
          <cell r="O23">
            <v>0</v>
          </cell>
          <cell r="P23">
            <v>0</v>
          </cell>
          <cell r="Q23">
            <v>0</v>
          </cell>
          <cell r="R23">
            <v>14074622</v>
          </cell>
          <cell r="S23">
            <v>91514805</v>
          </cell>
          <cell r="T23">
            <v>1460000</v>
          </cell>
          <cell r="U23">
            <v>43779760</v>
          </cell>
          <cell r="V23">
            <v>36196164</v>
          </cell>
          <cell r="W23">
            <v>9300000</v>
          </cell>
          <cell r="X23">
            <v>126125902</v>
          </cell>
          <cell r="Y23">
            <v>61961248</v>
          </cell>
          <cell r="Z23">
            <v>14129100</v>
          </cell>
          <cell r="AA23">
            <v>38627775</v>
          </cell>
          <cell r="AB23">
            <v>0</v>
          </cell>
          <cell r="AC23">
            <v>25675863</v>
          </cell>
          <cell r="AD23">
            <v>7160000</v>
          </cell>
          <cell r="AE23">
            <v>8827017</v>
          </cell>
          <cell r="AF23">
            <v>0</v>
          </cell>
          <cell r="AG23">
            <v>1492640</v>
          </cell>
          <cell r="AH23">
            <v>374735469</v>
          </cell>
          <cell r="AI23">
            <v>374735469</v>
          </cell>
          <cell r="AJ23">
            <v>456525999</v>
          </cell>
          <cell r="AK23">
            <v>178837092</v>
          </cell>
          <cell r="AL23">
            <v>62002244</v>
          </cell>
          <cell r="AM23">
            <v>0</v>
          </cell>
          <cell r="AN23">
            <v>0</v>
          </cell>
          <cell r="AO23">
            <v>0</v>
          </cell>
          <cell r="AP23">
            <v>45488886</v>
          </cell>
          <cell r="AQ23">
            <v>196598707</v>
          </cell>
          <cell r="AR23">
            <v>35390132</v>
          </cell>
          <cell r="AS23">
            <v>0</v>
          </cell>
          <cell r="AT23">
            <v>10090909</v>
          </cell>
          <cell r="AU23">
            <v>160560010</v>
          </cell>
          <cell r="AV23">
            <v>1145493979</v>
          </cell>
        </row>
        <row r="24">
          <cell r="A24">
            <v>7219001</v>
          </cell>
          <cell r="B24" t="str">
            <v>هزينه سايرمزاياى نقدى ( پارس پاکان)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600000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600000</v>
          </cell>
          <cell r="T24">
            <v>0</v>
          </cell>
          <cell r="U24">
            <v>600000</v>
          </cell>
          <cell r="V24">
            <v>600000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1200000</v>
          </cell>
          <cell r="AF24">
            <v>0</v>
          </cell>
          <cell r="AG24">
            <v>0</v>
          </cell>
          <cell r="AH24">
            <v>2400000</v>
          </cell>
          <cell r="AI24">
            <v>2400000</v>
          </cell>
          <cell r="AJ24">
            <v>1200000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600000</v>
          </cell>
          <cell r="AS24">
            <v>0</v>
          </cell>
          <cell r="AT24">
            <v>0</v>
          </cell>
          <cell r="AU24">
            <v>0</v>
          </cell>
          <cell r="AV24">
            <v>1800000</v>
          </cell>
        </row>
        <row r="25">
          <cell r="A25">
            <v>7223000</v>
          </cell>
          <cell r="B25" t="str">
            <v>هزينه بيمه حوادث كاركنان</v>
          </cell>
          <cell r="C25">
            <v>0</v>
          </cell>
          <cell r="D25">
            <v>11690083</v>
          </cell>
          <cell r="E25">
            <v>8179183</v>
          </cell>
          <cell r="F25">
            <v>4788601</v>
          </cell>
          <cell r="G25">
            <v>7718938</v>
          </cell>
          <cell r="H25">
            <v>7387266</v>
          </cell>
          <cell r="I25">
            <v>17450252</v>
          </cell>
          <cell r="J25">
            <v>10309786</v>
          </cell>
          <cell r="K25">
            <v>2737682</v>
          </cell>
          <cell r="L25">
            <v>1380296</v>
          </cell>
          <cell r="M25">
            <v>3578049</v>
          </cell>
          <cell r="N25">
            <v>5499234</v>
          </cell>
          <cell r="O25">
            <v>0</v>
          </cell>
          <cell r="P25">
            <v>0</v>
          </cell>
          <cell r="Q25">
            <v>0</v>
          </cell>
          <cell r="R25">
            <v>179241</v>
          </cell>
          <cell r="S25">
            <v>80898611</v>
          </cell>
          <cell r="T25">
            <v>3901905</v>
          </cell>
          <cell r="U25">
            <v>10965315</v>
          </cell>
          <cell r="V25">
            <v>41572717</v>
          </cell>
          <cell r="W25">
            <v>6888022</v>
          </cell>
          <cell r="X25">
            <v>41020214</v>
          </cell>
          <cell r="Y25">
            <v>18020908</v>
          </cell>
          <cell r="Z25">
            <v>1380296</v>
          </cell>
          <cell r="AA25">
            <v>6647494</v>
          </cell>
          <cell r="AB25">
            <v>732584</v>
          </cell>
          <cell r="AC25">
            <v>15016595</v>
          </cell>
          <cell r="AD25">
            <v>4464745</v>
          </cell>
          <cell r="AE25">
            <v>7620296</v>
          </cell>
          <cell r="AF25">
            <v>0</v>
          </cell>
          <cell r="AG25">
            <v>1789025</v>
          </cell>
          <cell r="AH25">
            <v>160020116</v>
          </cell>
          <cell r="AI25">
            <v>160020116</v>
          </cell>
          <cell r="AJ25">
            <v>48475986</v>
          </cell>
          <cell r="AK25">
            <v>9969260</v>
          </cell>
          <cell r="AL25">
            <v>8780039</v>
          </cell>
          <cell r="AM25">
            <v>0</v>
          </cell>
          <cell r="AN25">
            <v>1380296</v>
          </cell>
          <cell r="AO25">
            <v>0</v>
          </cell>
          <cell r="AP25">
            <v>4972434</v>
          </cell>
          <cell r="AQ25">
            <v>23921150</v>
          </cell>
          <cell r="AR25">
            <v>8256418</v>
          </cell>
          <cell r="AS25">
            <v>0</v>
          </cell>
          <cell r="AT25">
            <v>1873897</v>
          </cell>
          <cell r="AU25">
            <v>11094743</v>
          </cell>
          <cell r="AV25">
            <v>118724223</v>
          </cell>
        </row>
        <row r="26">
          <cell r="A26">
            <v>7224000</v>
          </cell>
          <cell r="B26" t="str">
            <v>هزينه بهداشت ودرمان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11156500</v>
          </cell>
          <cell r="W26">
            <v>0</v>
          </cell>
          <cell r="X26">
            <v>282450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583000</v>
          </cell>
          <cell r="AF26">
            <v>0</v>
          </cell>
          <cell r="AG26">
            <v>0</v>
          </cell>
          <cell r="AH26">
            <v>12021950</v>
          </cell>
          <cell r="AI26">
            <v>12021950</v>
          </cell>
          <cell r="AJ26">
            <v>0</v>
          </cell>
          <cell r="AK26">
            <v>193095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203160</v>
          </cell>
          <cell r="AQ26">
            <v>0</v>
          </cell>
          <cell r="AR26">
            <v>0</v>
          </cell>
          <cell r="AS26">
            <v>0</v>
          </cell>
          <cell r="AT26">
            <v>82560250</v>
          </cell>
          <cell r="AU26">
            <v>617622</v>
          </cell>
          <cell r="AV26">
            <v>83574127</v>
          </cell>
        </row>
        <row r="27">
          <cell r="A27">
            <v>7225000</v>
          </cell>
          <cell r="B27" t="str">
            <v>هزينه تغذيه پرسنل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480000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480000</v>
          </cell>
          <cell r="T27">
            <v>0</v>
          </cell>
          <cell r="U27">
            <v>130000</v>
          </cell>
          <cell r="V27">
            <v>564000</v>
          </cell>
          <cell r="W27">
            <v>0</v>
          </cell>
          <cell r="X27">
            <v>50000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5195500</v>
          </cell>
          <cell r="AD27">
            <v>3306000</v>
          </cell>
          <cell r="AE27">
            <v>190500</v>
          </cell>
          <cell r="AF27">
            <v>4090965890</v>
          </cell>
          <cell r="AG27">
            <v>475000</v>
          </cell>
          <cell r="AH27">
            <v>4100876890</v>
          </cell>
          <cell r="AI27">
            <v>4100876890</v>
          </cell>
          <cell r="AJ27">
            <v>505000</v>
          </cell>
          <cell r="AK27">
            <v>1160000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2814000</v>
          </cell>
          <cell r="AR27">
            <v>0</v>
          </cell>
          <cell r="AS27">
            <v>1780000</v>
          </cell>
          <cell r="AT27">
            <v>0</v>
          </cell>
          <cell r="AU27">
            <v>418000</v>
          </cell>
          <cell r="AV27">
            <v>6677000</v>
          </cell>
        </row>
        <row r="28">
          <cell r="A28">
            <v>7226000</v>
          </cell>
          <cell r="B28" t="str">
            <v>هزينه 3%صندوق پس انداز آتيه سهم کارفرما</v>
          </cell>
          <cell r="C28">
            <v>0</v>
          </cell>
          <cell r="D28">
            <v>11217407</v>
          </cell>
          <cell r="E28">
            <v>11595468</v>
          </cell>
          <cell r="F28">
            <v>4558955</v>
          </cell>
          <cell r="G28">
            <v>10344138</v>
          </cell>
          <cell r="H28">
            <v>6229842</v>
          </cell>
          <cell r="I28">
            <v>19754079</v>
          </cell>
          <cell r="J28">
            <v>10297352</v>
          </cell>
          <cell r="K28">
            <v>3800409</v>
          </cell>
          <cell r="L28">
            <v>1742304</v>
          </cell>
          <cell r="M28">
            <v>6862261</v>
          </cell>
          <cell r="N28">
            <v>7582515</v>
          </cell>
          <cell r="O28">
            <v>0</v>
          </cell>
          <cell r="P28">
            <v>0</v>
          </cell>
          <cell r="Q28">
            <v>0</v>
          </cell>
          <cell r="R28">
            <v>1732518</v>
          </cell>
          <cell r="S28">
            <v>95717248</v>
          </cell>
          <cell r="T28">
            <v>4136276</v>
          </cell>
          <cell r="U28">
            <v>11974966</v>
          </cell>
          <cell r="V28">
            <v>52837118</v>
          </cell>
          <cell r="W28">
            <v>7030744</v>
          </cell>
          <cell r="X28">
            <v>86515695</v>
          </cell>
          <cell r="Y28">
            <v>18056320</v>
          </cell>
          <cell r="Z28">
            <v>1315514</v>
          </cell>
          <cell r="AA28">
            <v>11461026</v>
          </cell>
          <cell r="AB28">
            <v>879146</v>
          </cell>
          <cell r="AC28">
            <v>22395068</v>
          </cell>
          <cell r="AD28">
            <v>4267692</v>
          </cell>
          <cell r="AE28">
            <v>1786776</v>
          </cell>
          <cell r="AF28">
            <v>0</v>
          </cell>
          <cell r="AG28">
            <v>2215596</v>
          </cell>
          <cell r="AH28">
            <v>224871937</v>
          </cell>
          <cell r="AI28">
            <v>224871937</v>
          </cell>
          <cell r="AJ28">
            <v>45196708</v>
          </cell>
          <cell r="AK28">
            <v>35325191</v>
          </cell>
          <cell r="AL28">
            <v>24596746</v>
          </cell>
          <cell r="AM28">
            <v>0</v>
          </cell>
          <cell r="AN28">
            <v>1395774</v>
          </cell>
          <cell r="AO28">
            <v>0</v>
          </cell>
          <cell r="AP28">
            <v>11085162</v>
          </cell>
          <cell r="AQ28">
            <v>28501673</v>
          </cell>
          <cell r="AR28">
            <v>14077441</v>
          </cell>
          <cell r="AS28">
            <v>0</v>
          </cell>
          <cell r="AT28">
            <v>3407561</v>
          </cell>
          <cell r="AU28">
            <v>37801716</v>
          </cell>
          <cell r="AV28">
            <v>201387972</v>
          </cell>
        </row>
        <row r="29">
          <cell r="A29">
            <v>7231000</v>
          </cell>
          <cell r="B29" t="str">
            <v>هزينه بازخريدمرخصي</v>
          </cell>
          <cell r="C29">
            <v>0</v>
          </cell>
          <cell r="D29">
            <v>7254055</v>
          </cell>
          <cell r="E29">
            <v>9965250</v>
          </cell>
          <cell r="F29">
            <v>0</v>
          </cell>
          <cell r="G29">
            <v>38991344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56210649</v>
          </cell>
          <cell r="T29">
            <v>1359597</v>
          </cell>
          <cell r="U29">
            <v>3565126</v>
          </cell>
          <cell r="V29">
            <v>10562944</v>
          </cell>
          <cell r="W29">
            <v>0</v>
          </cell>
          <cell r="X29">
            <v>6196072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2310744</v>
          </cell>
          <cell r="AD29">
            <v>0</v>
          </cell>
          <cell r="AE29">
            <v>0</v>
          </cell>
          <cell r="AF29">
            <v>0</v>
          </cell>
          <cell r="AG29">
            <v>3997215</v>
          </cell>
          <cell r="AH29">
            <v>27991698</v>
          </cell>
          <cell r="AI29">
            <v>27991698</v>
          </cell>
          <cell r="AJ29">
            <v>0</v>
          </cell>
          <cell r="AK29">
            <v>10707059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13763610</v>
          </cell>
          <cell r="AR29">
            <v>5165412</v>
          </cell>
          <cell r="AS29">
            <v>0</v>
          </cell>
          <cell r="AT29">
            <v>0</v>
          </cell>
          <cell r="AU29">
            <v>26322316</v>
          </cell>
          <cell r="AV29">
            <v>55958397</v>
          </cell>
        </row>
        <row r="30">
          <cell r="A30">
            <v>7233000</v>
          </cell>
          <cell r="B30" t="str">
            <v>هزينه مزاياى غيرنقدى</v>
          </cell>
          <cell r="C30">
            <v>4200000</v>
          </cell>
          <cell r="D30">
            <v>15120000</v>
          </cell>
          <cell r="E30">
            <v>15120000</v>
          </cell>
          <cell r="F30">
            <v>4320000</v>
          </cell>
          <cell r="G30">
            <v>12960000</v>
          </cell>
          <cell r="H30">
            <v>8760000</v>
          </cell>
          <cell r="I30">
            <v>21600000</v>
          </cell>
          <cell r="J30">
            <v>14520000</v>
          </cell>
          <cell r="K30">
            <v>4320000</v>
          </cell>
          <cell r="L30">
            <v>2160000</v>
          </cell>
          <cell r="M30">
            <v>6480000</v>
          </cell>
          <cell r="N30">
            <v>4320000</v>
          </cell>
          <cell r="O30">
            <v>6480000</v>
          </cell>
          <cell r="P30">
            <v>600000</v>
          </cell>
          <cell r="Q30">
            <v>1500000</v>
          </cell>
          <cell r="R30">
            <v>600000</v>
          </cell>
          <cell r="S30">
            <v>123060000</v>
          </cell>
          <cell r="T30">
            <v>6480000</v>
          </cell>
          <cell r="U30">
            <v>23760000</v>
          </cell>
          <cell r="V30">
            <v>69460000</v>
          </cell>
          <cell r="W30">
            <v>12000000</v>
          </cell>
          <cell r="X30">
            <v>102980000</v>
          </cell>
          <cell r="Y30">
            <v>17280000</v>
          </cell>
          <cell r="Z30">
            <v>2160000</v>
          </cell>
          <cell r="AA30">
            <v>14420000</v>
          </cell>
          <cell r="AB30">
            <v>2160000</v>
          </cell>
          <cell r="AC30">
            <v>29640000</v>
          </cell>
          <cell r="AD30">
            <v>4320000</v>
          </cell>
          <cell r="AE30">
            <v>4320000</v>
          </cell>
          <cell r="AF30">
            <v>0</v>
          </cell>
          <cell r="AG30">
            <v>4320000</v>
          </cell>
          <cell r="AH30">
            <v>293300000</v>
          </cell>
          <cell r="AI30">
            <v>293300000</v>
          </cell>
          <cell r="AJ30">
            <v>41600000</v>
          </cell>
          <cell r="AK30">
            <v>16570000</v>
          </cell>
          <cell r="AL30">
            <v>30500000</v>
          </cell>
          <cell r="AM30">
            <v>0</v>
          </cell>
          <cell r="AN30">
            <v>2160000</v>
          </cell>
          <cell r="AO30">
            <v>0</v>
          </cell>
          <cell r="AP30">
            <v>10800000</v>
          </cell>
          <cell r="AQ30">
            <v>34460000</v>
          </cell>
          <cell r="AR30">
            <v>12960000</v>
          </cell>
          <cell r="AS30">
            <v>2160000</v>
          </cell>
          <cell r="AT30">
            <v>4320000</v>
          </cell>
          <cell r="AU30">
            <v>34560000</v>
          </cell>
          <cell r="AV30">
            <v>190090000</v>
          </cell>
        </row>
        <row r="31">
          <cell r="A31">
            <v>7233001</v>
          </cell>
          <cell r="B31" t="str">
            <v>هزينه مزاياى غيرنقدى ( پارس پاکان)</v>
          </cell>
          <cell r="C31">
            <v>0</v>
          </cell>
          <cell r="D31">
            <v>19440000</v>
          </cell>
          <cell r="E31">
            <v>15120000</v>
          </cell>
          <cell r="F31">
            <v>21600000</v>
          </cell>
          <cell r="G31">
            <v>25920000</v>
          </cell>
          <cell r="H31">
            <v>4320000</v>
          </cell>
          <cell r="I31">
            <v>23160000</v>
          </cell>
          <cell r="J31">
            <v>21600000</v>
          </cell>
          <cell r="K31">
            <v>15120000</v>
          </cell>
          <cell r="L31">
            <v>4320000</v>
          </cell>
          <cell r="M31">
            <v>0</v>
          </cell>
          <cell r="N31">
            <v>78360000</v>
          </cell>
          <cell r="O31">
            <v>10800000</v>
          </cell>
          <cell r="P31">
            <v>10800000</v>
          </cell>
          <cell r="Q31">
            <v>0</v>
          </cell>
          <cell r="R31">
            <v>10800000</v>
          </cell>
          <cell r="S31">
            <v>261360000</v>
          </cell>
          <cell r="T31">
            <v>6480000</v>
          </cell>
          <cell r="U31">
            <v>130340000</v>
          </cell>
          <cell r="V31">
            <v>30240000</v>
          </cell>
          <cell r="W31">
            <v>0</v>
          </cell>
          <cell r="X31">
            <v>2160000</v>
          </cell>
          <cell r="Y31">
            <v>34440000</v>
          </cell>
          <cell r="Z31">
            <v>8160000</v>
          </cell>
          <cell r="AA31">
            <v>0</v>
          </cell>
          <cell r="AB31">
            <v>0</v>
          </cell>
          <cell r="AC31">
            <v>0</v>
          </cell>
          <cell r="AD31">
            <v>19440000</v>
          </cell>
          <cell r="AE31">
            <v>132960000</v>
          </cell>
          <cell r="AF31">
            <v>0</v>
          </cell>
          <cell r="AG31">
            <v>0</v>
          </cell>
          <cell r="AH31">
            <v>364220000</v>
          </cell>
          <cell r="AI31">
            <v>364220000</v>
          </cell>
          <cell r="AJ31">
            <v>4060000</v>
          </cell>
          <cell r="AK31">
            <v>0</v>
          </cell>
          <cell r="AL31">
            <v>0</v>
          </cell>
          <cell r="AM31">
            <v>1460000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5520000</v>
          </cell>
        </row>
        <row r="32">
          <cell r="A32">
            <v>7234000</v>
          </cell>
          <cell r="B32" t="str">
            <v>هزينه سفروماموريت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428193</v>
          </cell>
          <cell r="L32">
            <v>424291</v>
          </cell>
          <cell r="M32">
            <v>0</v>
          </cell>
          <cell r="N32">
            <v>990114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1842598</v>
          </cell>
          <cell r="T32">
            <v>0</v>
          </cell>
          <cell r="U32">
            <v>109331964</v>
          </cell>
          <cell r="V32">
            <v>1506940</v>
          </cell>
          <cell r="W32">
            <v>106798000</v>
          </cell>
          <cell r="X32">
            <v>1426658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1948150</v>
          </cell>
          <cell r="AE32">
            <v>1718090</v>
          </cell>
          <cell r="AF32">
            <v>0</v>
          </cell>
          <cell r="AG32">
            <v>0</v>
          </cell>
          <cell r="AH32">
            <v>222729802</v>
          </cell>
          <cell r="AI32">
            <v>222729802</v>
          </cell>
          <cell r="AJ32">
            <v>95179742</v>
          </cell>
          <cell r="AK32">
            <v>58744458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1968946</v>
          </cell>
          <cell r="AV32">
            <v>155893146</v>
          </cell>
        </row>
        <row r="33">
          <cell r="A33">
            <v>7235000</v>
          </cell>
          <cell r="B33" t="str">
            <v>هزينه پوشاک</v>
          </cell>
          <cell r="C33">
            <v>0</v>
          </cell>
          <cell r="D33">
            <v>0</v>
          </cell>
          <cell r="E33">
            <v>371000</v>
          </cell>
          <cell r="F33">
            <v>0</v>
          </cell>
          <cell r="G33">
            <v>4275000</v>
          </cell>
          <cell r="H33">
            <v>0</v>
          </cell>
          <cell r="I33">
            <v>0</v>
          </cell>
          <cell r="J33">
            <v>0</v>
          </cell>
          <cell r="K33">
            <v>125000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714320</v>
          </cell>
          <cell r="R33">
            <v>0</v>
          </cell>
          <cell r="S33">
            <v>5485320</v>
          </cell>
          <cell r="T33">
            <v>0</v>
          </cell>
          <cell r="U33">
            <v>1905000</v>
          </cell>
          <cell r="V33">
            <v>1963940</v>
          </cell>
          <cell r="W33">
            <v>0</v>
          </cell>
          <cell r="X33">
            <v>596580</v>
          </cell>
          <cell r="Y33">
            <v>0</v>
          </cell>
          <cell r="Z33">
            <v>249900</v>
          </cell>
          <cell r="AA33">
            <v>2140000</v>
          </cell>
          <cell r="AB33">
            <v>0</v>
          </cell>
          <cell r="AC33">
            <v>0</v>
          </cell>
          <cell r="AD33">
            <v>0</v>
          </cell>
          <cell r="AE33">
            <v>74902373</v>
          </cell>
          <cell r="AF33">
            <v>3504000</v>
          </cell>
          <cell r="AG33">
            <v>0</v>
          </cell>
          <cell r="AH33">
            <v>85261793</v>
          </cell>
          <cell r="AI33">
            <v>85261793</v>
          </cell>
          <cell r="AJ33">
            <v>240000</v>
          </cell>
          <cell r="AK33">
            <v>268500</v>
          </cell>
          <cell r="AL33">
            <v>1002000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33944800</v>
          </cell>
          <cell r="AS33">
            <v>0</v>
          </cell>
          <cell r="AT33">
            <v>600000</v>
          </cell>
          <cell r="AU33">
            <v>1465000</v>
          </cell>
          <cell r="AV33">
            <v>37520300</v>
          </cell>
        </row>
        <row r="34">
          <cell r="A34">
            <v>7236000</v>
          </cell>
          <cell r="B34" t="str">
            <v>هزينه هاى ورزشى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165623500</v>
          </cell>
          <cell r="AF34">
            <v>0</v>
          </cell>
          <cell r="AG34">
            <v>0</v>
          </cell>
          <cell r="AH34">
            <v>165623500</v>
          </cell>
          <cell r="AI34">
            <v>165623500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</row>
        <row r="35">
          <cell r="A35">
            <v>7237000</v>
          </cell>
          <cell r="B35" t="str">
            <v>هزينه هاى آموزشى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44444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44444</v>
          </cell>
          <cell r="T35">
            <v>0</v>
          </cell>
          <cell r="U35">
            <v>0</v>
          </cell>
          <cell r="V35">
            <v>3421667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48600</v>
          </cell>
          <cell r="AF35">
            <v>0</v>
          </cell>
          <cell r="AG35">
            <v>0</v>
          </cell>
          <cell r="AH35">
            <v>3470267</v>
          </cell>
          <cell r="AI35">
            <v>3470267</v>
          </cell>
          <cell r="AJ35">
            <v>20000000</v>
          </cell>
          <cell r="AK35">
            <v>0</v>
          </cell>
          <cell r="AL35">
            <v>0</v>
          </cell>
          <cell r="AM35">
            <v>10407152</v>
          </cell>
          <cell r="AN35">
            <v>0</v>
          </cell>
          <cell r="AO35">
            <v>0</v>
          </cell>
          <cell r="AP35">
            <v>4370526</v>
          </cell>
          <cell r="AQ35">
            <v>0</v>
          </cell>
          <cell r="AR35">
            <v>2900000</v>
          </cell>
          <cell r="AS35">
            <v>500000</v>
          </cell>
          <cell r="AT35">
            <v>0</v>
          </cell>
          <cell r="AU35">
            <v>4476818</v>
          </cell>
          <cell r="AV35">
            <v>42654496</v>
          </cell>
        </row>
        <row r="36">
          <cell r="A36">
            <v>7313000</v>
          </cell>
          <cell r="B36" t="str">
            <v>هزينه سربار مواد اوليه</v>
          </cell>
          <cell r="C36">
            <v>0</v>
          </cell>
          <cell r="D36">
            <v>18959782</v>
          </cell>
          <cell r="E36">
            <v>125568684</v>
          </cell>
          <cell r="F36">
            <v>33639008</v>
          </cell>
          <cell r="G36">
            <v>40625261</v>
          </cell>
          <cell r="H36">
            <v>7168984</v>
          </cell>
          <cell r="I36">
            <v>32301953</v>
          </cell>
          <cell r="J36">
            <v>26991881</v>
          </cell>
          <cell r="K36">
            <v>3007336</v>
          </cell>
          <cell r="L36">
            <v>716258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94640</v>
          </cell>
          <cell r="R36">
            <v>28011384</v>
          </cell>
          <cell r="S36">
            <v>317085171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307540797</v>
          </cell>
          <cell r="Y36">
            <v>938125</v>
          </cell>
          <cell r="Z36">
            <v>20737076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329215998</v>
          </cell>
          <cell r="AI36">
            <v>329215998</v>
          </cell>
          <cell r="AJ36">
            <v>0</v>
          </cell>
          <cell r="AK36">
            <v>0</v>
          </cell>
          <cell r="AL36">
            <v>37579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37579</v>
          </cell>
        </row>
        <row r="37">
          <cell r="A37">
            <v>7314000</v>
          </cell>
          <cell r="B37" t="str">
            <v>هزينه  سربار مواد بسته بندى</v>
          </cell>
          <cell r="C37">
            <v>8767268</v>
          </cell>
          <cell r="D37">
            <v>5121324</v>
          </cell>
          <cell r="E37">
            <v>5604768</v>
          </cell>
          <cell r="F37">
            <v>1510496</v>
          </cell>
          <cell r="G37">
            <v>7984162</v>
          </cell>
          <cell r="H37">
            <v>0</v>
          </cell>
          <cell r="I37">
            <v>2440437</v>
          </cell>
          <cell r="J37">
            <v>2869568</v>
          </cell>
          <cell r="K37">
            <v>2695734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2190240</v>
          </cell>
          <cell r="S37">
            <v>39183997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3987753</v>
          </cell>
          <cell r="Y37">
            <v>2408546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6396299</v>
          </cell>
          <cell r="AI37">
            <v>6396299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</row>
        <row r="38">
          <cell r="A38">
            <v>7316000</v>
          </cell>
          <cell r="B38" t="str">
            <v>هزينه سربار مواد اوليه (افشانه ها )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44871349</v>
          </cell>
          <cell r="P38">
            <v>11974607</v>
          </cell>
          <cell r="Q38">
            <v>0</v>
          </cell>
          <cell r="R38">
            <v>0</v>
          </cell>
          <cell r="S38">
            <v>56845956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88411890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88411890</v>
          </cell>
          <cell r="AI38">
            <v>88411890</v>
          </cell>
          <cell r="AJ38">
            <v>0</v>
          </cell>
          <cell r="AK38">
            <v>0</v>
          </cell>
          <cell r="AL38">
            <v>6020628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6020628</v>
          </cell>
        </row>
        <row r="39">
          <cell r="A39">
            <v>7317000</v>
          </cell>
          <cell r="B39" t="str">
            <v>هزينه  سربار  بسته بندى (افشا نه ها )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2280717</v>
          </cell>
          <cell r="P39">
            <v>0</v>
          </cell>
          <cell r="Q39">
            <v>0</v>
          </cell>
          <cell r="R39">
            <v>0</v>
          </cell>
          <cell r="S39">
            <v>2280717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203153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203153</v>
          </cell>
          <cell r="AI39">
            <v>203153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</row>
        <row r="40">
          <cell r="A40">
            <v>7319000</v>
          </cell>
          <cell r="B40" t="str">
            <v>تعميرونگهدارى ساختمان وتاسيسات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80500000</v>
          </cell>
          <cell r="H40">
            <v>0</v>
          </cell>
          <cell r="I40">
            <v>0</v>
          </cell>
          <cell r="J40">
            <v>120576869</v>
          </cell>
          <cell r="K40">
            <v>0</v>
          </cell>
          <cell r="L40">
            <v>0</v>
          </cell>
          <cell r="M40">
            <v>0</v>
          </cell>
          <cell r="N40">
            <v>926000</v>
          </cell>
          <cell r="O40">
            <v>0</v>
          </cell>
          <cell r="P40">
            <v>640000</v>
          </cell>
          <cell r="Q40">
            <v>20689684</v>
          </cell>
          <cell r="R40">
            <v>1800000</v>
          </cell>
          <cell r="S40">
            <v>225132553</v>
          </cell>
          <cell r="T40">
            <v>0</v>
          </cell>
          <cell r="U40">
            <v>24839750</v>
          </cell>
          <cell r="V40">
            <v>1054945404</v>
          </cell>
          <cell r="W40">
            <v>23874400</v>
          </cell>
          <cell r="X40">
            <v>37550000</v>
          </cell>
          <cell r="Y40">
            <v>20746000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3340000</v>
          </cell>
          <cell r="AE40">
            <v>0</v>
          </cell>
          <cell r="AF40">
            <v>36300000</v>
          </cell>
          <cell r="AG40">
            <v>0</v>
          </cell>
          <cell r="AH40">
            <v>1201595554</v>
          </cell>
          <cell r="AI40">
            <v>1201595554</v>
          </cell>
          <cell r="AJ40">
            <v>5504356</v>
          </cell>
          <cell r="AK40">
            <v>1041000</v>
          </cell>
          <cell r="AL40">
            <v>2890000</v>
          </cell>
          <cell r="AM40">
            <v>1750000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2457000</v>
          </cell>
          <cell r="AU40">
            <v>3650100</v>
          </cell>
          <cell r="AV40">
            <v>17292456</v>
          </cell>
        </row>
        <row r="41">
          <cell r="A41">
            <v>7320000</v>
          </cell>
          <cell r="B41" t="str">
            <v>تعميرونگهدارى ماشين آلات</v>
          </cell>
          <cell r="C41">
            <v>0</v>
          </cell>
          <cell r="D41">
            <v>27732842</v>
          </cell>
          <cell r="E41">
            <v>23608442</v>
          </cell>
          <cell r="F41">
            <v>5768509</v>
          </cell>
          <cell r="G41">
            <v>151872353</v>
          </cell>
          <cell r="H41">
            <v>1410606</v>
          </cell>
          <cell r="I41">
            <v>44105681</v>
          </cell>
          <cell r="J41">
            <v>4152773</v>
          </cell>
          <cell r="K41">
            <v>3039152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762750</v>
          </cell>
          <cell r="R41">
            <v>291314887</v>
          </cell>
          <cell r="S41">
            <v>553767995</v>
          </cell>
          <cell r="T41">
            <v>12900160</v>
          </cell>
          <cell r="U41">
            <v>4716600</v>
          </cell>
          <cell r="V41">
            <v>211492050</v>
          </cell>
          <cell r="W41">
            <v>38648533</v>
          </cell>
          <cell r="X41">
            <v>909833</v>
          </cell>
          <cell r="Y41">
            <v>122492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343</v>
          </cell>
          <cell r="AF41">
            <v>1220996</v>
          </cell>
          <cell r="AG41">
            <v>0</v>
          </cell>
          <cell r="AH41">
            <v>270011007</v>
          </cell>
          <cell r="AI41">
            <v>270011007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135000</v>
          </cell>
          <cell r="AU41">
            <v>0</v>
          </cell>
          <cell r="AV41">
            <v>135000</v>
          </cell>
        </row>
        <row r="42">
          <cell r="A42">
            <v>7321000</v>
          </cell>
          <cell r="B42" t="str">
            <v>تعميرونگهدارى وسائط نقليه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14050000</v>
          </cell>
          <cell r="W42">
            <v>0</v>
          </cell>
          <cell r="X42">
            <v>165000</v>
          </cell>
          <cell r="Y42">
            <v>220000</v>
          </cell>
          <cell r="Z42">
            <v>0</v>
          </cell>
          <cell r="AA42">
            <v>0</v>
          </cell>
          <cell r="AB42">
            <v>0</v>
          </cell>
          <cell r="AC42">
            <v>8475246</v>
          </cell>
          <cell r="AD42">
            <v>200000</v>
          </cell>
          <cell r="AE42">
            <v>0</v>
          </cell>
          <cell r="AF42">
            <v>0</v>
          </cell>
          <cell r="AG42">
            <v>2450541</v>
          </cell>
          <cell r="AH42">
            <v>25560787</v>
          </cell>
          <cell r="AI42">
            <v>25560787</v>
          </cell>
          <cell r="AJ42">
            <v>0</v>
          </cell>
          <cell r="AK42">
            <v>17310000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17310000</v>
          </cell>
        </row>
        <row r="43">
          <cell r="A43">
            <v>7322000</v>
          </cell>
          <cell r="B43" t="str">
            <v>تعميرونگهدارى اثاثيه ومنصوبات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4450000</v>
          </cell>
          <cell r="W43">
            <v>0</v>
          </cell>
          <cell r="X43">
            <v>8101950</v>
          </cell>
          <cell r="Y43">
            <v>9390675</v>
          </cell>
          <cell r="Z43">
            <v>0</v>
          </cell>
          <cell r="AA43">
            <v>0</v>
          </cell>
          <cell r="AB43">
            <v>0</v>
          </cell>
          <cell r="AC43">
            <v>737850</v>
          </cell>
          <cell r="AD43">
            <v>10170001</v>
          </cell>
          <cell r="AE43">
            <v>398000</v>
          </cell>
          <cell r="AF43">
            <v>0</v>
          </cell>
          <cell r="AG43">
            <v>0</v>
          </cell>
          <cell r="AH43">
            <v>33248476</v>
          </cell>
          <cell r="AI43">
            <v>33248476</v>
          </cell>
          <cell r="AJ43">
            <v>32756199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11933277</v>
          </cell>
          <cell r="AQ43">
            <v>950000</v>
          </cell>
          <cell r="AR43">
            <v>1197374</v>
          </cell>
          <cell r="AS43">
            <v>0</v>
          </cell>
          <cell r="AT43">
            <v>7400000</v>
          </cell>
          <cell r="AU43">
            <v>5118000</v>
          </cell>
          <cell r="AV43">
            <v>59354850</v>
          </cell>
        </row>
        <row r="44">
          <cell r="A44">
            <v>7323000</v>
          </cell>
          <cell r="B44" t="str">
            <v>تعميرونگهدارى سايردارائيها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7421350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7421350</v>
          </cell>
          <cell r="T44">
            <v>0</v>
          </cell>
          <cell r="U44">
            <v>1723500</v>
          </cell>
          <cell r="V44">
            <v>11350000</v>
          </cell>
          <cell r="W44">
            <v>3734707</v>
          </cell>
          <cell r="X44">
            <v>57575000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1162500</v>
          </cell>
          <cell r="AF44">
            <v>0</v>
          </cell>
          <cell r="AG44">
            <v>0</v>
          </cell>
          <cell r="AH44">
            <v>75545707</v>
          </cell>
          <cell r="AI44">
            <v>75545707</v>
          </cell>
          <cell r="AJ44">
            <v>1047525</v>
          </cell>
          <cell r="AK44">
            <v>330000</v>
          </cell>
          <cell r="AL44">
            <v>33890000</v>
          </cell>
          <cell r="AM44">
            <v>0</v>
          </cell>
          <cell r="AN44">
            <v>0</v>
          </cell>
          <cell r="AO44">
            <v>0</v>
          </cell>
          <cell r="AP44">
            <v>200000</v>
          </cell>
          <cell r="AQ44">
            <v>836850</v>
          </cell>
          <cell r="AR44">
            <v>3476812</v>
          </cell>
          <cell r="AS44">
            <v>0</v>
          </cell>
          <cell r="AT44">
            <v>0</v>
          </cell>
          <cell r="AU44">
            <v>13573400</v>
          </cell>
          <cell r="AV44">
            <v>53354587</v>
          </cell>
        </row>
        <row r="45">
          <cell r="A45">
            <v>7324000</v>
          </cell>
          <cell r="B45" t="str">
            <v>هزينه موادوملزومات مصرفى</v>
          </cell>
          <cell r="C45">
            <v>0</v>
          </cell>
          <cell r="D45">
            <v>11159502</v>
          </cell>
          <cell r="E45">
            <v>22119224</v>
          </cell>
          <cell r="F45">
            <v>11580950</v>
          </cell>
          <cell r="G45">
            <v>42191800</v>
          </cell>
          <cell r="H45">
            <v>9291118</v>
          </cell>
          <cell r="I45">
            <v>21305980</v>
          </cell>
          <cell r="J45">
            <v>18908266</v>
          </cell>
          <cell r="K45">
            <v>5210248</v>
          </cell>
          <cell r="L45">
            <v>0</v>
          </cell>
          <cell r="M45">
            <v>0</v>
          </cell>
          <cell r="N45">
            <v>40941029</v>
          </cell>
          <cell r="O45">
            <v>0</v>
          </cell>
          <cell r="P45">
            <v>0</v>
          </cell>
          <cell r="Q45">
            <v>24732870</v>
          </cell>
          <cell r="R45">
            <v>77400127</v>
          </cell>
          <cell r="S45">
            <v>284841114</v>
          </cell>
          <cell r="T45">
            <v>8591843</v>
          </cell>
          <cell r="U45">
            <v>95188167</v>
          </cell>
          <cell r="V45">
            <v>453115540</v>
          </cell>
          <cell r="W45">
            <v>37087312</v>
          </cell>
          <cell r="X45">
            <v>543049746</v>
          </cell>
          <cell r="Y45">
            <v>47782420</v>
          </cell>
          <cell r="Z45">
            <v>7237650</v>
          </cell>
          <cell r="AA45">
            <v>4944670</v>
          </cell>
          <cell r="AB45">
            <v>930577</v>
          </cell>
          <cell r="AC45">
            <v>50627407</v>
          </cell>
          <cell r="AD45">
            <v>8031730</v>
          </cell>
          <cell r="AE45">
            <v>236875042</v>
          </cell>
          <cell r="AF45">
            <v>17536465</v>
          </cell>
          <cell r="AG45">
            <v>1305000</v>
          </cell>
          <cell r="AH45">
            <v>1512303569</v>
          </cell>
          <cell r="AI45">
            <v>1512303569</v>
          </cell>
          <cell r="AJ45">
            <v>117671540</v>
          </cell>
          <cell r="AK45">
            <v>14969809</v>
          </cell>
          <cell r="AL45">
            <v>256049101</v>
          </cell>
          <cell r="AM45">
            <v>5810429</v>
          </cell>
          <cell r="AN45">
            <v>0</v>
          </cell>
          <cell r="AO45">
            <v>0</v>
          </cell>
          <cell r="AP45">
            <v>66590546</v>
          </cell>
          <cell r="AQ45">
            <v>28891243</v>
          </cell>
          <cell r="AR45">
            <v>127544854</v>
          </cell>
          <cell r="AS45">
            <v>2907830</v>
          </cell>
          <cell r="AT45">
            <v>78182007</v>
          </cell>
          <cell r="AU45">
            <v>136698689</v>
          </cell>
          <cell r="AV45">
            <v>835316048</v>
          </cell>
        </row>
        <row r="46">
          <cell r="A46">
            <v>7349000</v>
          </cell>
          <cell r="B46" t="str">
            <v>هزينه ثبت محصولات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45081000</v>
          </cell>
          <cell r="AV46">
            <v>45081000</v>
          </cell>
        </row>
        <row r="47">
          <cell r="A47">
            <v>7350000</v>
          </cell>
          <cell r="B47" t="str">
            <v>هزينه حق المشاوره حقوقى وساير حق المشاوره ها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20860476</v>
          </cell>
          <cell r="R47">
            <v>71062800</v>
          </cell>
          <cell r="S47">
            <v>91923276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36818760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66637191</v>
          </cell>
          <cell r="AD47">
            <v>0</v>
          </cell>
          <cell r="AE47">
            <v>63457392</v>
          </cell>
          <cell r="AF47">
            <v>0</v>
          </cell>
          <cell r="AG47">
            <v>0</v>
          </cell>
          <cell r="AH47">
            <v>166913343</v>
          </cell>
          <cell r="AI47">
            <v>166913343</v>
          </cell>
          <cell r="AJ47">
            <v>72297648</v>
          </cell>
          <cell r="AK47">
            <v>781120740</v>
          </cell>
          <cell r="AL47">
            <v>158936080</v>
          </cell>
          <cell r="AM47">
            <v>0</v>
          </cell>
          <cell r="AN47">
            <v>0</v>
          </cell>
          <cell r="AO47">
            <v>38167806</v>
          </cell>
          <cell r="AP47">
            <v>0</v>
          </cell>
          <cell r="AQ47">
            <v>41105480</v>
          </cell>
          <cell r="AR47">
            <v>0</v>
          </cell>
          <cell r="AS47">
            <v>0</v>
          </cell>
          <cell r="AT47">
            <v>42508660</v>
          </cell>
          <cell r="AU47">
            <v>41189820</v>
          </cell>
          <cell r="AV47">
            <v>1175326234</v>
          </cell>
        </row>
        <row r="48">
          <cell r="A48">
            <v>7376000</v>
          </cell>
          <cell r="B48" t="str">
            <v>هزينه اجاره</v>
          </cell>
        </row>
        <row r="49">
          <cell r="A49">
            <v>7325000</v>
          </cell>
          <cell r="B49" t="str">
            <v>هزينه ضايعات مواد اوليه وبسته بندي</v>
          </cell>
        </row>
        <row r="50">
          <cell r="A50">
            <v>7351000</v>
          </cell>
          <cell r="B50" t="str">
            <v>حق الزحمه بازرس قانوني وحسابرسي</v>
          </cell>
        </row>
        <row r="51">
          <cell r="A51">
            <v>7352000</v>
          </cell>
          <cell r="B51" t="str">
            <v>هزينه پشتيباني سيستم هاي مكانيزه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21202222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21202222</v>
          </cell>
        </row>
        <row r="52">
          <cell r="A52">
            <v>7353100</v>
          </cell>
          <cell r="B52" t="str">
            <v>هزينه جابجايى بين کدها (داخل انبار )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39692</v>
          </cell>
          <cell r="Q52">
            <v>0</v>
          </cell>
          <cell r="R52">
            <v>0</v>
          </cell>
          <cell r="S52">
            <v>39692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1069908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1069908</v>
          </cell>
          <cell r="AI52">
            <v>1069908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</row>
        <row r="53">
          <cell r="A53">
            <v>7354000</v>
          </cell>
          <cell r="B53" t="str">
            <v>حق الزحمه سايرخدمات حرفه اى ومشاوره اى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25000000</v>
          </cell>
          <cell r="AU53">
            <v>0</v>
          </cell>
          <cell r="AV53">
            <v>25000000</v>
          </cell>
        </row>
        <row r="54">
          <cell r="A54">
            <v>7355000</v>
          </cell>
          <cell r="B54" t="str">
            <v>هزينه حق الزحمه هيات مديره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59500000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59500000</v>
          </cell>
        </row>
        <row r="55">
          <cell r="A55">
            <v>7356000</v>
          </cell>
          <cell r="B55" t="str">
            <v>هزينه هاى ثبتى ومحضرى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550000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550000</v>
          </cell>
          <cell r="AI55">
            <v>550000</v>
          </cell>
          <cell r="AJ55">
            <v>1400000</v>
          </cell>
          <cell r="AK55">
            <v>500000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80000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1980000</v>
          </cell>
        </row>
        <row r="56">
          <cell r="A56">
            <v>7357000</v>
          </cell>
          <cell r="B56" t="str">
            <v>هزينه هاى عوارض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34759000</v>
          </cell>
          <cell r="AD56">
            <v>0</v>
          </cell>
          <cell r="AE56">
            <v>48000</v>
          </cell>
          <cell r="AF56">
            <v>0</v>
          </cell>
          <cell r="AG56">
            <v>480000</v>
          </cell>
          <cell r="AH56">
            <v>35287000</v>
          </cell>
          <cell r="AI56">
            <v>35287000</v>
          </cell>
          <cell r="AJ56">
            <v>492000</v>
          </cell>
          <cell r="AK56">
            <v>2477000</v>
          </cell>
          <cell r="AL56">
            <v>0</v>
          </cell>
          <cell r="AM56">
            <v>0</v>
          </cell>
          <cell r="AN56">
            <v>0</v>
          </cell>
          <cell r="AO56">
            <v>-105557000</v>
          </cell>
          <cell r="AP56">
            <v>0</v>
          </cell>
          <cell r="AQ56">
            <v>253500</v>
          </cell>
          <cell r="AR56">
            <v>0</v>
          </cell>
          <cell r="AS56">
            <v>0</v>
          </cell>
          <cell r="AT56">
            <v>250000</v>
          </cell>
          <cell r="AU56">
            <v>0</v>
          </cell>
          <cell r="AV56">
            <v>-102084500</v>
          </cell>
        </row>
        <row r="57">
          <cell r="A57">
            <v>7358000</v>
          </cell>
          <cell r="B57" t="str">
            <v>هزينه سه درهزارفروش سهم وزارت صنايع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1898226385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1898226385</v>
          </cell>
        </row>
        <row r="58">
          <cell r="A58">
            <v>7359000</v>
          </cell>
          <cell r="B58" t="str">
            <v>يك درصدبازآموزي ونوآموزي</v>
          </cell>
        </row>
        <row r="59">
          <cell r="A59">
            <v>7361000</v>
          </cell>
          <cell r="B59" t="str">
            <v>هزينه هاى آزمايشگاهى مواد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4693300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199982456</v>
          </cell>
          <cell r="AV59">
            <v>204675756</v>
          </cell>
        </row>
        <row r="60">
          <cell r="A60">
            <v>7364000</v>
          </cell>
          <cell r="B60" t="str">
            <v>هزينه حمل ونگهدارى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80000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80000</v>
          </cell>
          <cell r="T60">
            <v>0</v>
          </cell>
          <cell r="U60">
            <v>1450000</v>
          </cell>
          <cell r="V60">
            <v>4354000</v>
          </cell>
          <cell r="W60">
            <v>200000</v>
          </cell>
          <cell r="X60">
            <v>200000</v>
          </cell>
          <cell r="Y60">
            <v>67751998</v>
          </cell>
          <cell r="Z60">
            <v>3120000</v>
          </cell>
          <cell r="AA60">
            <v>0</v>
          </cell>
          <cell r="AB60">
            <v>0</v>
          </cell>
          <cell r="AC60">
            <v>1350000</v>
          </cell>
          <cell r="AD60">
            <v>120000</v>
          </cell>
          <cell r="AE60">
            <v>10619632</v>
          </cell>
          <cell r="AF60">
            <v>100000</v>
          </cell>
          <cell r="AG60">
            <v>16250000</v>
          </cell>
          <cell r="AH60">
            <v>105515630</v>
          </cell>
          <cell r="AI60">
            <v>105515630</v>
          </cell>
          <cell r="AJ60">
            <v>13739000</v>
          </cell>
          <cell r="AK60">
            <v>570000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530000</v>
          </cell>
          <cell r="AQ60">
            <v>2670000</v>
          </cell>
          <cell r="AR60">
            <v>48875500</v>
          </cell>
          <cell r="AS60">
            <v>0</v>
          </cell>
          <cell r="AT60">
            <v>260000</v>
          </cell>
          <cell r="AU60">
            <v>1130000</v>
          </cell>
          <cell r="AV60">
            <v>67774500</v>
          </cell>
        </row>
        <row r="61">
          <cell r="A61">
            <v>7367000</v>
          </cell>
          <cell r="B61" t="str">
            <v>هزينه حق عضويت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5848000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14908800</v>
          </cell>
          <cell r="AV61">
            <v>20756800</v>
          </cell>
        </row>
        <row r="62">
          <cell r="A62">
            <v>7368000</v>
          </cell>
          <cell r="B62" t="str">
            <v>هزينه تبليغات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682718230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682718230</v>
          </cell>
        </row>
        <row r="63">
          <cell r="A63">
            <v>7368100</v>
          </cell>
          <cell r="B63" t="str">
            <v>هزينه پورسانت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1453423733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1453423733</v>
          </cell>
        </row>
        <row r="64">
          <cell r="A64">
            <v>7369000</v>
          </cell>
          <cell r="B64" t="str">
            <v>هزينه کارمزد بانکى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72000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72000</v>
          </cell>
          <cell r="AI64">
            <v>72000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130738729</v>
          </cell>
          <cell r="AP64">
            <v>0</v>
          </cell>
          <cell r="AQ64">
            <v>321500</v>
          </cell>
          <cell r="AR64">
            <v>40000</v>
          </cell>
          <cell r="AS64">
            <v>0</v>
          </cell>
          <cell r="AT64">
            <v>0</v>
          </cell>
          <cell r="AU64">
            <v>0</v>
          </cell>
          <cell r="AV64">
            <v>131100229</v>
          </cell>
        </row>
        <row r="65">
          <cell r="A65">
            <v>7371000</v>
          </cell>
          <cell r="B65" t="str">
            <v>هزینه مطالبات سوخت و مشکوک الوصول غیر تجاری</v>
          </cell>
        </row>
        <row r="66">
          <cell r="A66">
            <v>7372000</v>
          </cell>
          <cell r="B66" t="str">
            <v>هزينه مراسم وپذيرائى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165000</v>
          </cell>
          <cell r="M66">
            <v>0</v>
          </cell>
          <cell r="N66">
            <v>14754500</v>
          </cell>
          <cell r="O66">
            <v>0</v>
          </cell>
          <cell r="P66">
            <v>0</v>
          </cell>
          <cell r="Q66">
            <v>0</v>
          </cell>
          <cell r="R66">
            <v>3790000</v>
          </cell>
          <cell r="S66">
            <v>18709500</v>
          </cell>
          <cell r="T66">
            <v>0</v>
          </cell>
          <cell r="U66">
            <v>31451000</v>
          </cell>
          <cell r="V66">
            <v>3065000</v>
          </cell>
          <cell r="W66">
            <v>0</v>
          </cell>
          <cell r="X66">
            <v>6822250</v>
          </cell>
          <cell r="Y66">
            <v>0</v>
          </cell>
          <cell r="Z66">
            <v>0</v>
          </cell>
          <cell r="AA66">
            <v>120000</v>
          </cell>
          <cell r="AB66">
            <v>0</v>
          </cell>
          <cell r="AC66">
            <v>930000</v>
          </cell>
          <cell r="AD66">
            <v>11226300</v>
          </cell>
          <cell r="AE66">
            <v>205540830</v>
          </cell>
          <cell r="AF66">
            <v>42769800</v>
          </cell>
          <cell r="AG66">
            <v>0</v>
          </cell>
          <cell r="AH66">
            <v>301925180</v>
          </cell>
          <cell r="AI66">
            <v>301925180</v>
          </cell>
          <cell r="AJ66">
            <v>36741590</v>
          </cell>
          <cell r="AK66">
            <v>90668420</v>
          </cell>
          <cell r="AL66">
            <v>380000</v>
          </cell>
          <cell r="AM66">
            <v>2036225</v>
          </cell>
          <cell r="AN66">
            <v>0</v>
          </cell>
          <cell r="AO66">
            <v>-189000000</v>
          </cell>
          <cell r="AP66">
            <v>55000</v>
          </cell>
          <cell r="AQ66">
            <v>11492597</v>
          </cell>
          <cell r="AR66">
            <v>2688800</v>
          </cell>
          <cell r="AS66">
            <v>36342500</v>
          </cell>
          <cell r="AT66">
            <v>0</v>
          </cell>
          <cell r="AU66">
            <v>1996689</v>
          </cell>
          <cell r="AV66">
            <v>-6598179</v>
          </cell>
        </row>
        <row r="67">
          <cell r="A67">
            <v>7373000</v>
          </cell>
          <cell r="B67" t="str">
            <v>هزينه اشتراک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25431210</v>
          </cell>
          <cell r="AK67">
            <v>930000</v>
          </cell>
          <cell r="AL67">
            <v>0</v>
          </cell>
          <cell r="AM67">
            <v>0</v>
          </cell>
          <cell r="AN67">
            <v>0</v>
          </cell>
          <cell r="AO67">
            <v>50000000</v>
          </cell>
          <cell r="AP67">
            <v>71456707</v>
          </cell>
          <cell r="AQ67">
            <v>32821555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180639472</v>
          </cell>
        </row>
        <row r="68">
          <cell r="A68">
            <v>7374001</v>
          </cell>
          <cell r="B68" t="str">
            <v>هزينه آب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736200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736200</v>
          </cell>
        </row>
        <row r="69">
          <cell r="A69">
            <v>7374002</v>
          </cell>
          <cell r="B69" t="str">
            <v>هزينه برق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1374785548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1374785548</v>
          </cell>
          <cell r="AI69">
            <v>1374785548</v>
          </cell>
          <cell r="AJ69">
            <v>7115000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7115000</v>
          </cell>
        </row>
        <row r="70">
          <cell r="A70">
            <v>7374003</v>
          </cell>
          <cell r="B70" t="str">
            <v>هزينه گاز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880865355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880865355</v>
          </cell>
          <cell r="AI70">
            <v>880865355</v>
          </cell>
          <cell r="AJ70">
            <v>6836200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6836200</v>
          </cell>
        </row>
        <row r="71">
          <cell r="A71">
            <v>7374004</v>
          </cell>
          <cell r="B71" t="str">
            <v>هزينه سوخت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80000</v>
          </cell>
          <cell r="W71">
            <v>0</v>
          </cell>
          <cell r="X71">
            <v>160000</v>
          </cell>
          <cell r="Y71">
            <v>7323475</v>
          </cell>
          <cell r="Z71">
            <v>0</v>
          </cell>
          <cell r="AA71">
            <v>0</v>
          </cell>
          <cell r="AB71">
            <v>0</v>
          </cell>
          <cell r="AC71">
            <v>7516000</v>
          </cell>
          <cell r="AD71">
            <v>200000</v>
          </cell>
          <cell r="AE71">
            <v>1588000</v>
          </cell>
          <cell r="AF71">
            <v>0</v>
          </cell>
          <cell r="AG71">
            <v>0</v>
          </cell>
          <cell r="AH71">
            <v>16867475</v>
          </cell>
          <cell r="AI71">
            <v>16867475</v>
          </cell>
          <cell r="AJ71">
            <v>0</v>
          </cell>
          <cell r="AK71">
            <v>18216000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2580000</v>
          </cell>
          <cell r="AR71">
            <v>910000</v>
          </cell>
          <cell r="AS71">
            <v>0</v>
          </cell>
          <cell r="AT71">
            <v>784000</v>
          </cell>
          <cell r="AU71">
            <v>0</v>
          </cell>
          <cell r="AV71">
            <v>22490000</v>
          </cell>
        </row>
        <row r="72">
          <cell r="A72">
            <v>7374009</v>
          </cell>
          <cell r="B72" t="str">
            <v>هزينه تلفن -تلکس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58161371</v>
          </cell>
          <cell r="AF72">
            <v>0</v>
          </cell>
          <cell r="AG72">
            <v>0</v>
          </cell>
          <cell r="AH72">
            <v>58161371</v>
          </cell>
          <cell r="AI72">
            <v>58161371</v>
          </cell>
          <cell r="AJ72">
            <v>5661000</v>
          </cell>
          <cell r="AK72">
            <v>1243000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6904000</v>
          </cell>
        </row>
        <row r="73">
          <cell r="A73">
            <v>7375000</v>
          </cell>
          <cell r="B73" t="str">
            <v xml:space="preserve"> هزينه كارشناسان رسمي</v>
          </cell>
        </row>
        <row r="74">
          <cell r="A74">
            <v>7366000</v>
          </cell>
          <cell r="B74" t="str">
            <v>سايرهزينه هاي بانكي</v>
          </cell>
        </row>
        <row r="75">
          <cell r="A75">
            <v>7377000</v>
          </cell>
          <cell r="B75" t="str">
            <v>هزينه مميزى    ISO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22398947</v>
          </cell>
          <cell r="AV75">
            <v>22398947</v>
          </cell>
        </row>
        <row r="76">
          <cell r="A76">
            <v>7378000</v>
          </cell>
          <cell r="B76" t="str">
            <v>هزينه آگهى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26300000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76200000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102500000</v>
          </cell>
        </row>
        <row r="77">
          <cell r="A77">
            <v>7379000</v>
          </cell>
          <cell r="B77" t="str">
            <v>هزينه انتشارات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23700768</v>
          </cell>
          <cell r="AV77">
            <v>23700768</v>
          </cell>
        </row>
        <row r="78">
          <cell r="A78">
            <v>7380006</v>
          </cell>
          <cell r="B78" t="str">
            <v>هزينه بيمه وسائطنقليه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925534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7971382</v>
          </cell>
          <cell r="AD78">
            <v>0</v>
          </cell>
          <cell r="AE78">
            <v>214316</v>
          </cell>
          <cell r="AF78">
            <v>0</v>
          </cell>
          <cell r="AG78">
            <v>3335103</v>
          </cell>
          <cell r="AH78">
            <v>12446335</v>
          </cell>
          <cell r="AI78">
            <v>12446335</v>
          </cell>
          <cell r="AJ78">
            <v>0</v>
          </cell>
          <cell r="AK78">
            <v>36590467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885764</v>
          </cell>
          <cell r="AR78">
            <v>0</v>
          </cell>
          <cell r="AS78">
            <v>0</v>
          </cell>
          <cell r="AT78">
            <v>2903943</v>
          </cell>
          <cell r="AU78">
            <v>0</v>
          </cell>
          <cell r="AV78">
            <v>40380174</v>
          </cell>
        </row>
        <row r="79">
          <cell r="A79">
            <v>7380010</v>
          </cell>
          <cell r="B79" t="str">
            <v>هزينه بيمه مسئولیت مدنی کارفرما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115923641</v>
          </cell>
          <cell r="AF79">
            <v>0</v>
          </cell>
          <cell r="AG79">
            <v>0</v>
          </cell>
          <cell r="AH79">
            <v>115923641</v>
          </cell>
          <cell r="AI79">
            <v>115923641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</row>
        <row r="80">
          <cell r="A80">
            <v>7380002</v>
          </cell>
          <cell r="B80" t="str">
            <v>هزينه بيمه موجوديها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96447939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113637525</v>
          </cell>
          <cell r="AF80">
            <v>0</v>
          </cell>
          <cell r="AG80">
            <v>0</v>
          </cell>
          <cell r="AH80">
            <v>210085464</v>
          </cell>
          <cell r="AI80">
            <v>210085464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</row>
        <row r="81">
          <cell r="A81">
            <v>7380003</v>
          </cell>
          <cell r="B81" t="str">
            <v>هزينه بيمه ساختمانها</v>
          </cell>
          <cell r="C81">
            <v>2373469</v>
          </cell>
          <cell r="D81">
            <v>914841</v>
          </cell>
          <cell r="E81">
            <v>1055586</v>
          </cell>
          <cell r="F81">
            <v>716519</v>
          </cell>
          <cell r="G81">
            <v>2827691</v>
          </cell>
          <cell r="H81">
            <v>748506</v>
          </cell>
          <cell r="I81">
            <v>1912850</v>
          </cell>
          <cell r="J81">
            <v>2117569</v>
          </cell>
          <cell r="K81">
            <v>1560988</v>
          </cell>
          <cell r="L81">
            <v>371054</v>
          </cell>
          <cell r="M81">
            <v>818879</v>
          </cell>
          <cell r="N81">
            <v>4932465</v>
          </cell>
          <cell r="O81">
            <v>3064398</v>
          </cell>
          <cell r="P81">
            <v>2136766</v>
          </cell>
          <cell r="Q81">
            <v>0</v>
          </cell>
          <cell r="R81">
            <v>0</v>
          </cell>
          <cell r="S81">
            <v>25551581</v>
          </cell>
          <cell r="T81">
            <v>614159</v>
          </cell>
          <cell r="U81">
            <v>1279498</v>
          </cell>
          <cell r="V81">
            <v>0</v>
          </cell>
          <cell r="W81">
            <v>0</v>
          </cell>
          <cell r="X81">
            <v>4388679</v>
          </cell>
          <cell r="Y81">
            <v>55447246</v>
          </cell>
          <cell r="Z81">
            <v>8796550</v>
          </cell>
          <cell r="AA81">
            <v>447825</v>
          </cell>
          <cell r="AB81">
            <v>108757</v>
          </cell>
          <cell r="AC81">
            <v>671737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71754451</v>
          </cell>
          <cell r="AI81">
            <v>71754451</v>
          </cell>
          <cell r="AJ81">
            <v>0</v>
          </cell>
          <cell r="AK81">
            <v>646147</v>
          </cell>
          <cell r="AL81">
            <v>486209</v>
          </cell>
          <cell r="AM81">
            <v>703724</v>
          </cell>
          <cell r="AN81">
            <v>0</v>
          </cell>
          <cell r="AO81">
            <v>0</v>
          </cell>
          <cell r="AP81">
            <v>121552</v>
          </cell>
          <cell r="AQ81">
            <v>1701733</v>
          </cell>
          <cell r="AR81">
            <v>601364</v>
          </cell>
          <cell r="AS81">
            <v>127950</v>
          </cell>
          <cell r="AT81">
            <v>0</v>
          </cell>
          <cell r="AU81">
            <v>0</v>
          </cell>
          <cell r="AV81">
            <v>4388679</v>
          </cell>
        </row>
        <row r="82">
          <cell r="A82">
            <v>7380005</v>
          </cell>
          <cell r="B82" t="str">
            <v>هزينه بيمه ماشين آلات وتجهيزات</v>
          </cell>
          <cell r="C82">
            <v>707608</v>
          </cell>
          <cell r="D82">
            <v>24622</v>
          </cell>
          <cell r="E82">
            <v>1958</v>
          </cell>
          <cell r="F82">
            <v>11232</v>
          </cell>
          <cell r="G82">
            <v>57110</v>
          </cell>
          <cell r="H82">
            <v>1563289</v>
          </cell>
          <cell r="I82">
            <v>0</v>
          </cell>
          <cell r="J82">
            <v>208233</v>
          </cell>
          <cell r="K82">
            <v>348189</v>
          </cell>
          <cell r="L82">
            <v>26070</v>
          </cell>
          <cell r="M82">
            <v>0</v>
          </cell>
          <cell r="N82">
            <v>2906336</v>
          </cell>
          <cell r="O82">
            <v>5762574</v>
          </cell>
          <cell r="P82">
            <v>3401422</v>
          </cell>
          <cell r="Q82">
            <v>3062126</v>
          </cell>
          <cell r="R82">
            <v>2741150</v>
          </cell>
          <cell r="S82">
            <v>20821919</v>
          </cell>
          <cell r="T82">
            <v>33503</v>
          </cell>
          <cell r="U82">
            <v>0</v>
          </cell>
          <cell r="V82">
            <v>28170</v>
          </cell>
          <cell r="W82">
            <v>781660</v>
          </cell>
          <cell r="X82">
            <v>1038469</v>
          </cell>
          <cell r="Y82">
            <v>34195</v>
          </cell>
          <cell r="Z82">
            <v>217626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5993</v>
          </cell>
          <cell r="AF82">
            <v>0</v>
          </cell>
          <cell r="AG82">
            <v>0</v>
          </cell>
          <cell r="AH82">
            <v>2139616</v>
          </cell>
          <cell r="AI82">
            <v>2139616</v>
          </cell>
          <cell r="AJ82">
            <v>0</v>
          </cell>
          <cell r="AK82">
            <v>0</v>
          </cell>
          <cell r="AL82">
            <v>185541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428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185969</v>
          </cell>
        </row>
        <row r="83">
          <cell r="A83">
            <v>7380007</v>
          </cell>
          <cell r="B83" t="str">
            <v>هزينه بيمه اثاثيه ومنصوبات</v>
          </cell>
          <cell r="C83">
            <v>27001</v>
          </cell>
          <cell r="D83">
            <v>20231</v>
          </cell>
          <cell r="E83">
            <v>8320</v>
          </cell>
          <cell r="F83">
            <v>2385</v>
          </cell>
          <cell r="G83">
            <v>30097</v>
          </cell>
          <cell r="H83">
            <v>8311</v>
          </cell>
          <cell r="I83">
            <v>11771</v>
          </cell>
          <cell r="J83">
            <v>79680</v>
          </cell>
          <cell r="K83">
            <v>75442</v>
          </cell>
          <cell r="L83">
            <v>1218</v>
          </cell>
          <cell r="M83">
            <v>537993</v>
          </cell>
          <cell r="N83">
            <v>1001005</v>
          </cell>
          <cell r="O83">
            <v>6482</v>
          </cell>
          <cell r="P83">
            <v>3771</v>
          </cell>
          <cell r="Q83">
            <v>87209</v>
          </cell>
          <cell r="R83">
            <v>1304676</v>
          </cell>
          <cell r="S83">
            <v>3205592</v>
          </cell>
          <cell r="T83">
            <v>17639</v>
          </cell>
          <cell r="U83">
            <v>319123</v>
          </cell>
          <cell r="V83">
            <v>399771</v>
          </cell>
          <cell r="W83">
            <v>48241</v>
          </cell>
          <cell r="X83">
            <v>1352480</v>
          </cell>
          <cell r="Y83">
            <v>762722</v>
          </cell>
          <cell r="Z83">
            <v>157211</v>
          </cell>
          <cell r="AA83">
            <v>62790</v>
          </cell>
          <cell r="AB83">
            <v>0</v>
          </cell>
          <cell r="AC83">
            <v>71319</v>
          </cell>
          <cell r="AD83">
            <v>160260</v>
          </cell>
          <cell r="AE83">
            <v>302339</v>
          </cell>
          <cell r="AF83">
            <v>177383</v>
          </cell>
          <cell r="AG83">
            <v>6586</v>
          </cell>
          <cell r="AH83">
            <v>3837864</v>
          </cell>
          <cell r="AI83">
            <v>3837864</v>
          </cell>
          <cell r="AJ83">
            <v>212561</v>
          </cell>
          <cell r="AK83">
            <v>182659</v>
          </cell>
          <cell r="AL83">
            <v>75127</v>
          </cell>
          <cell r="AM83">
            <v>63092</v>
          </cell>
          <cell r="AN83">
            <v>0</v>
          </cell>
          <cell r="AO83">
            <v>0</v>
          </cell>
          <cell r="AP83">
            <v>122053</v>
          </cell>
          <cell r="AQ83">
            <v>83018</v>
          </cell>
          <cell r="AR83">
            <v>125741</v>
          </cell>
          <cell r="AS83">
            <v>4756</v>
          </cell>
          <cell r="AT83">
            <v>42397</v>
          </cell>
          <cell r="AU83">
            <v>146765</v>
          </cell>
          <cell r="AV83">
            <v>1058169</v>
          </cell>
        </row>
        <row r="84">
          <cell r="A84">
            <v>7395000</v>
          </cell>
          <cell r="B84" t="str">
            <v>هزينه ماليات بر ارزش افزوده</v>
          </cell>
        </row>
        <row r="85">
          <cell r="A85">
            <v>7380008</v>
          </cell>
          <cell r="B85" t="str">
            <v>هزينه بيمه ابزارولوازم فنى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308633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308633</v>
          </cell>
          <cell r="AI85">
            <v>308633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</row>
        <row r="86">
          <cell r="A86">
            <v>7380009</v>
          </cell>
          <cell r="B86" t="str">
            <v>هزينه بيمه لوازم آزمايشگاهى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8873210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8873210</v>
          </cell>
          <cell r="AI86">
            <v>8873210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</row>
        <row r="87">
          <cell r="A87">
            <v>7400000</v>
          </cell>
          <cell r="B87" t="str">
            <v>هزينه استهلاک دارائيهاى ثابت</v>
          </cell>
          <cell r="C87">
            <v>178163526</v>
          </cell>
          <cell r="D87">
            <v>14058547</v>
          </cell>
          <cell r="E87">
            <v>1581859</v>
          </cell>
          <cell r="F87">
            <v>3315392</v>
          </cell>
          <cell r="G87">
            <v>876784497</v>
          </cell>
          <cell r="H87">
            <v>178461825</v>
          </cell>
          <cell r="I87">
            <v>1582496</v>
          </cell>
          <cell r="J87">
            <v>78610886</v>
          </cell>
          <cell r="K87">
            <v>85654917</v>
          </cell>
          <cell r="L87">
            <v>2333323</v>
          </cell>
          <cell r="M87">
            <v>739637788</v>
          </cell>
          <cell r="N87">
            <v>392474237</v>
          </cell>
          <cell r="O87">
            <v>540389400</v>
          </cell>
          <cell r="P87">
            <v>323399663</v>
          </cell>
          <cell r="Q87">
            <v>299598372</v>
          </cell>
          <cell r="R87">
            <v>1129308946</v>
          </cell>
          <cell r="S87">
            <v>4845355674</v>
          </cell>
          <cell r="T87">
            <v>9200321</v>
          </cell>
          <cell r="U87">
            <v>711747318</v>
          </cell>
          <cell r="V87">
            <v>2188339574</v>
          </cell>
          <cell r="W87">
            <v>2136678674</v>
          </cell>
          <cell r="X87">
            <v>1345840127</v>
          </cell>
          <cell r="Y87">
            <v>222547348</v>
          </cell>
          <cell r="Z87">
            <v>63686028</v>
          </cell>
          <cell r="AA87">
            <v>10027278</v>
          </cell>
          <cell r="AB87">
            <v>0</v>
          </cell>
          <cell r="AC87">
            <v>18140245</v>
          </cell>
          <cell r="AD87">
            <v>46937461</v>
          </cell>
          <cell r="AE87">
            <v>54437960</v>
          </cell>
          <cell r="AF87">
            <v>29123661</v>
          </cell>
          <cell r="AG87">
            <v>2413999</v>
          </cell>
          <cell r="AH87">
            <v>6839119994</v>
          </cell>
          <cell r="AI87">
            <v>6839119994</v>
          </cell>
          <cell r="AJ87">
            <v>325066821</v>
          </cell>
          <cell r="AK87">
            <v>179077170</v>
          </cell>
          <cell r="AL87">
            <v>219674308</v>
          </cell>
          <cell r="AM87">
            <v>14619409</v>
          </cell>
          <cell r="AN87">
            <v>0</v>
          </cell>
          <cell r="AO87">
            <v>0</v>
          </cell>
          <cell r="AP87">
            <v>30829643</v>
          </cell>
          <cell r="AQ87">
            <v>28882484</v>
          </cell>
          <cell r="AR87">
            <v>21222787</v>
          </cell>
          <cell r="AS87">
            <v>1009409</v>
          </cell>
          <cell r="AT87">
            <v>8113952</v>
          </cell>
          <cell r="AU87">
            <v>64045931</v>
          </cell>
          <cell r="AV87">
            <v>892541914</v>
          </cell>
        </row>
        <row r="88">
          <cell r="A88">
            <v>9999</v>
          </cell>
          <cell r="B88" t="str">
            <v xml:space="preserve">جمع </v>
          </cell>
          <cell r="C88">
            <v>194238872</v>
          </cell>
          <cell r="D88">
            <v>18231281336</v>
          </cell>
          <cell r="E88">
            <v>18281130040</v>
          </cell>
          <cell r="F88">
            <v>9844340300</v>
          </cell>
          <cell r="G88">
            <v>47619212428</v>
          </cell>
          <cell r="H88">
            <v>2148717349</v>
          </cell>
          <cell r="I88">
            <v>13893704874</v>
          </cell>
          <cell r="J88">
            <v>12762476068</v>
          </cell>
          <cell r="K88">
            <v>2340868358</v>
          </cell>
          <cell r="L88">
            <v>357592150</v>
          </cell>
          <cell r="M88">
            <v>1194198749</v>
          </cell>
          <cell r="N88">
            <v>3032990121</v>
          </cell>
          <cell r="O88">
            <v>11009459214</v>
          </cell>
          <cell r="P88">
            <v>2535805730</v>
          </cell>
          <cell r="Q88">
            <v>1145967921</v>
          </cell>
          <cell r="R88">
            <v>12491456859</v>
          </cell>
          <cell r="S88">
            <v>157083440369</v>
          </cell>
          <cell r="T88">
            <v>547401927</v>
          </cell>
          <cell r="U88">
            <v>3304325497</v>
          </cell>
          <cell r="V88">
            <v>11788147046</v>
          </cell>
          <cell r="W88">
            <v>2969617142</v>
          </cell>
          <cell r="X88">
            <v>8171267364</v>
          </cell>
          <cell r="Y88">
            <v>2806951025</v>
          </cell>
          <cell r="Z88">
            <v>500473340</v>
          </cell>
          <cell r="AA88">
            <v>1067812712</v>
          </cell>
          <cell r="AB88">
            <v>58488277</v>
          </cell>
          <cell r="AC88">
            <v>1769383811</v>
          </cell>
          <cell r="AD88">
            <v>1212940421</v>
          </cell>
          <cell r="AE88">
            <v>5221654621</v>
          </cell>
          <cell r="AF88">
            <v>4221698195</v>
          </cell>
          <cell r="AG88">
            <v>2610009799</v>
          </cell>
          <cell r="AH88">
            <v>45996027177</v>
          </cell>
          <cell r="AI88">
            <v>45996027177</v>
          </cell>
          <cell r="AJ88">
            <v>9354834389</v>
          </cell>
          <cell r="AK88">
            <v>4252706196</v>
          </cell>
          <cell r="AL88">
            <v>2099944726</v>
          </cell>
          <cell r="AM88">
            <v>83871670</v>
          </cell>
          <cell r="AN88">
            <v>131725326</v>
          </cell>
          <cell r="AO88">
            <v>1906703086</v>
          </cell>
          <cell r="AP88">
            <v>948876507</v>
          </cell>
          <cell r="AQ88">
            <v>2826005343</v>
          </cell>
          <cell r="AR88">
            <v>1177943018</v>
          </cell>
          <cell r="AS88">
            <v>67911391</v>
          </cell>
          <cell r="AT88">
            <v>521717921</v>
          </cell>
          <cell r="AU88">
            <v>2957531483</v>
          </cell>
          <cell r="AV88">
            <v>26329771056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254144000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U90">
            <v>0</v>
          </cell>
          <cell r="AV90">
            <v>0</v>
          </cell>
        </row>
      </sheetData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هزینه تولید تائید نشده(خنثی)"/>
      <sheetName val="تمام شده تولید 89"/>
      <sheetName val="آمار تولید و ساعات تولید 89"/>
      <sheetName val="توقفات تولید سال90"/>
      <sheetName val="کار در جریان 89 "/>
      <sheetName val="تسهیم توقفات"/>
      <sheetName val="فروش اردیبهشت"/>
      <sheetName val="کار در جریان اردیبهشت 90"/>
      <sheetName val="فروش خرداد (2)"/>
      <sheetName val="تولید صنایع خرداد"/>
      <sheetName val="کارکرد صنایع خردادماه 90"/>
      <sheetName val="گردش کالا خرداد ماه"/>
      <sheetName val="برگشتی-نمونه-ضایعات"/>
      <sheetName val="گزارش تعداد نفرات"/>
      <sheetName val="مصرف مواد"/>
      <sheetName val="آمار تولید و ساعات تولید"/>
      <sheetName val="تولید همگن و تسهیم مزد و سربار "/>
      <sheetName val="عوامل در مراکز  "/>
      <sheetName val="تسهیم هزینه"/>
      <sheetName val="نرخ د.س کار در جریان اول دوره"/>
      <sheetName val="کار در جریان خرداد 90"/>
      <sheetName val="گردش کالای ساخته شده  (2)"/>
      <sheetName val="سود وزیان - بودجه ریال (2)"/>
      <sheetName val="سود وزیان - بودجه ریال"/>
      <sheetName val="گردش کالای ساخته شده "/>
      <sheetName val="تمام شده تولید"/>
      <sheetName val="گزارش1 -( کل) ارقام میلیون ریال"/>
      <sheetName val="گزارش1 -(واحد)"/>
      <sheetName val="کنترل حاشیه سود - کل"/>
      <sheetName val="کنترل حاشیه سود - واحد کالا (2)"/>
      <sheetName val="خرید بازرگانی"/>
      <sheetName val="برگشت کلا (2)"/>
      <sheetName val="فروش خرداد"/>
      <sheetName val="حاشیه سود"/>
      <sheetName val="سند تولید"/>
      <sheetName val="سند بهای تمام شده"/>
      <sheetName val="تربتی "/>
      <sheetName val="تربتی  (2)"/>
      <sheetName val="100022"/>
      <sheetName val="کاربرگ محاسبه مالیات"/>
      <sheetName val="خ  د ه عملیاتی "/>
      <sheetName val="خ س د  ه غیرعملیاتی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گزارش عوامل در مراکز</v>
          </cell>
        </row>
        <row r="2">
          <cell r="A2" t="str">
            <v>کد حساب</v>
          </cell>
          <cell r="B2" t="str">
            <v>شرح  حساب</v>
          </cell>
          <cell r="C2" t="str">
            <v>مشترك استريل ها</v>
          </cell>
          <cell r="D2" t="str">
            <v>استريل فرزياني</v>
          </cell>
          <cell r="E2" t="str">
            <v>استريل قدس</v>
          </cell>
          <cell r="F2" t="str">
            <v>استريل بعثت</v>
          </cell>
          <cell r="G2" t="str">
            <v>استريل غفارزاده</v>
          </cell>
          <cell r="H2" t="str">
            <v>پمادوكرم</v>
          </cell>
          <cell r="I2" t="str">
            <v>سفالوسپورين</v>
          </cell>
          <cell r="J2" t="str">
            <v>پني سيلين وي</v>
          </cell>
          <cell r="K2" t="str">
            <v>نيستاتين</v>
          </cell>
          <cell r="L2" t="str">
            <v>دراژه (نيستا،سفالوس،پني سيلسن وي)</v>
          </cell>
          <cell r="M2" t="str">
            <v>قرص و كپسول و شربت</v>
          </cell>
          <cell r="N2" t="str">
            <v>مشترک اسپري ها</v>
          </cell>
          <cell r="O2" t="str">
            <v>اسپري دهاني</v>
          </cell>
          <cell r="P2" t="str">
            <v>اسپري بيني</v>
          </cell>
          <cell r="Q2" t="str">
            <v>سافت ژل</v>
          </cell>
          <cell r="R2" t="str">
            <v>جمع تولید</v>
          </cell>
          <cell r="S2" t="str">
            <v>بسته بندي</v>
          </cell>
          <cell r="T2" t="str">
            <v>عمومي توليد</v>
          </cell>
          <cell r="U2" t="str">
            <v>فني و مهندسي قديم</v>
          </cell>
          <cell r="V2" t="str">
            <v>فني مهندسي افشانه</v>
          </cell>
          <cell r="W2" t="str">
            <v>آزمايشگاه و چکينگ</v>
          </cell>
          <cell r="X2" t="str">
            <v>انبارها قديم</v>
          </cell>
          <cell r="Y2" t="str">
            <v>انبار افشانه ها</v>
          </cell>
          <cell r="Z2" t="str">
            <v>مهندسي صنايع قديم</v>
          </cell>
          <cell r="AA2" t="str">
            <v>مهندسي صنايع اسپري</v>
          </cell>
          <cell r="AB2" t="str">
            <v>امور بازرگاني</v>
          </cell>
          <cell r="AC2" t="str">
            <v>انتظامات و نگهباني</v>
          </cell>
          <cell r="AD2" t="str">
            <v>خدمات عمومي</v>
          </cell>
          <cell r="AE2" t="str">
            <v>رستوران</v>
          </cell>
          <cell r="AF2" t="str">
            <v>حمل ونقل</v>
          </cell>
          <cell r="AG2" t="str">
            <v>جمع خدماتي</v>
          </cell>
          <cell r="AH2" t="str">
            <v>سربار</v>
          </cell>
          <cell r="AI2" t="str">
            <v>فروش و بازاريابي</v>
          </cell>
          <cell r="AJ2" t="str">
            <v>مديريت</v>
          </cell>
          <cell r="AK2" t="str">
            <v>تحقيقات</v>
          </cell>
          <cell r="AL2" t="str">
            <v>آموزش</v>
          </cell>
          <cell r="AM2" t="str">
            <v>مامورين</v>
          </cell>
          <cell r="AN2" t="str">
            <v>عمومي اداري</v>
          </cell>
          <cell r="AO2" t="str">
            <v>فن آوري اطلاعات</v>
          </cell>
          <cell r="AP2" t="str">
            <v>امورمالي</v>
          </cell>
          <cell r="AQ2" t="str">
            <v>دبيرخانه و كارگزيني</v>
          </cell>
          <cell r="AR2" t="str">
            <v>شورا ،انجمن و بسيج</v>
          </cell>
          <cell r="AS2" t="str">
            <v>HSE</v>
          </cell>
          <cell r="AT2" t="str">
            <v>تضمين كيفيت</v>
          </cell>
          <cell r="AU2" t="str">
            <v>جمع اداري</v>
          </cell>
          <cell r="AV2" t="str">
            <v>جمع کل</v>
          </cell>
        </row>
        <row r="3">
          <cell r="A3">
            <v>7101000</v>
          </cell>
          <cell r="B3" t="str">
            <v>هزينه مواداوليه توليدي</v>
          </cell>
          <cell r="C3">
            <v>0</v>
          </cell>
          <cell r="D3">
            <v>4604851218</v>
          </cell>
          <cell r="E3">
            <v>7018795990</v>
          </cell>
          <cell r="F3">
            <v>3951034403</v>
          </cell>
          <cell r="G3">
            <v>45896927938</v>
          </cell>
          <cell r="H3">
            <v>685456209</v>
          </cell>
          <cell r="I3">
            <v>6458122436</v>
          </cell>
          <cell r="J3">
            <v>7115410124</v>
          </cell>
          <cell r="K3">
            <v>531878634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3079064878</v>
          </cell>
          <cell r="R3">
            <v>79341541830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79341541830</v>
          </cell>
        </row>
        <row r="4">
          <cell r="A4">
            <v>7102000</v>
          </cell>
          <cell r="B4" t="str">
            <v>هزينه موادبسته بندي</v>
          </cell>
          <cell r="C4">
            <v>0</v>
          </cell>
          <cell r="D4">
            <v>753076685</v>
          </cell>
          <cell r="E4">
            <v>7167423446</v>
          </cell>
          <cell r="F4">
            <v>2034314272</v>
          </cell>
          <cell r="G4">
            <v>10003064606</v>
          </cell>
          <cell r="H4">
            <v>370527788</v>
          </cell>
          <cell r="I4">
            <v>527584658</v>
          </cell>
          <cell r="J4">
            <v>207613441</v>
          </cell>
          <cell r="K4">
            <v>1005589918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662780029</v>
          </cell>
          <cell r="R4">
            <v>22731974843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22731974843</v>
          </cell>
        </row>
        <row r="5">
          <cell r="A5">
            <v>7106000</v>
          </cell>
          <cell r="B5" t="str">
            <v>هزينه مواداوليه توليدي افشانه ها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4116794309</v>
          </cell>
          <cell r="P5">
            <v>125659084</v>
          </cell>
          <cell r="Q5">
            <v>0</v>
          </cell>
          <cell r="R5">
            <v>4242453393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4242453393</v>
          </cell>
        </row>
        <row r="6">
          <cell r="A6">
            <v>7107000</v>
          </cell>
          <cell r="B6" t="str">
            <v>هزينه موادبسته بندي افشانه ها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9147467000</v>
          </cell>
          <cell r="P6">
            <v>904833681</v>
          </cell>
          <cell r="Q6">
            <v>0</v>
          </cell>
          <cell r="R6">
            <v>10052300681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10052300681</v>
          </cell>
        </row>
        <row r="7">
          <cell r="A7" t="str">
            <v>جمع مواد</v>
          </cell>
          <cell r="C7">
            <v>0</v>
          </cell>
          <cell r="D7">
            <v>5357927903</v>
          </cell>
          <cell r="E7">
            <v>14186219436</v>
          </cell>
          <cell r="F7">
            <v>5985348675</v>
          </cell>
          <cell r="G7">
            <v>55899992544</v>
          </cell>
          <cell r="H7">
            <v>1055983997</v>
          </cell>
          <cell r="I7">
            <v>6985707094</v>
          </cell>
          <cell r="J7">
            <v>7323023565</v>
          </cell>
          <cell r="K7">
            <v>1537468552</v>
          </cell>
          <cell r="L7">
            <v>0</v>
          </cell>
          <cell r="M7">
            <v>0</v>
          </cell>
          <cell r="N7">
            <v>0</v>
          </cell>
          <cell r="O7">
            <v>13264261309</v>
          </cell>
          <cell r="P7">
            <v>1030492765</v>
          </cell>
          <cell r="Q7">
            <v>3741844907</v>
          </cell>
          <cell r="R7">
            <v>116368270747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116368270747</v>
          </cell>
        </row>
        <row r="8">
          <cell r="A8">
            <v>7201000</v>
          </cell>
          <cell r="B8" t="str">
            <v>هزينه حقوق ودستمزد</v>
          </cell>
          <cell r="C8">
            <v>22660612</v>
          </cell>
          <cell r="D8">
            <v>118873411</v>
          </cell>
          <cell r="E8">
            <v>133374455</v>
          </cell>
          <cell r="F8">
            <v>60086996</v>
          </cell>
          <cell r="G8">
            <v>105002141</v>
          </cell>
          <cell r="H8">
            <v>76666222</v>
          </cell>
          <cell r="I8">
            <v>186070310</v>
          </cell>
          <cell r="J8">
            <v>105194392</v>
          </cell>
          <cell r="K8">
            <v>45120051</v>
          </cell>
          <cell r="L8">
            <v>0</v>
          </cell>
          <cell r="M8">
            <v>55002090</v>
          </cell>
          <cell r="N8">
            <v>94709098</v>
          </cell>
          <cell r="O8">
            <v>0</v>
          </cell>
          <cell r="P8">
            <v>0</v>
          </cell>
          <cell r="Q8">
            <v>27727948</v>
          </cell>
          <cell r="R8">
            <v>1030487726</v>
          </cell>
          <cell r="S8">
            <v>71025528</v>
          </cell>
          <cell r="T8">
            <v>185098866</v>
          </cell>
          <cell r="U8">
            <v>494164878</v>
          </cell>
          <cell r="V8">
            <v>103496838</v>
          </cell>
          <cell r="W8">
            <v>853904697</v>
          </cell>
          <cell r="X8">
            <v>180846819</v>
          </cell>
          <cell r="Y8">
            <v>19306575</v>
          </cell>
          <cell r="Z8">
            <v>153186416</v>
          </cell>
          <cell r="AA8">
            <v>14430986</v>
          </cell>
          <cell r="AB8">
            <v>232860217</v>
          </cell>
          <cell r="AC8">
            <v>44887104</v>
          </cell>
          <cell r="AD8">
            <v>16655022</v>
          </cell>
          <cell r="AE8">
            <v>0</v>
          </cell>
          <cell r="AF8">
            <v>13950036</v>
          </cell>
          <cell r="AG8">
            <v>2383813982</v>
          </cell>
          <cell r="AH8">
            <v>2383813982</v>
          </cell>
          <cell r="AI8">
            <v>933914794</v>
          </cell>
          <cell r="AJ8">
            <v>234643247</v>
          </cell>
          <cell r="AK8">
            <v>279514720</v>
          </cell>
          <cell r="AL8">
            <v>0</v>
          </cell>
          <cell r="AM8">
            <v>50723481</v>
          </cell>
          <cell r="AN8">
            <v>0</v>
          </cell>
          <cell r="AO8">
            <v>99153316</v>
          </cell>
          <cell r="AP8">
            <v>313639298</v>
          </cell>
          <cell r="AQ8">
            <v>120373168</v>
          </cell>
          <cell r="AR8">
            <v>0</v>
          </cell>
          <cell r="AS8">
            <v>34473526</v>
          </cell>
          <cell r="AT8">
            <v>370213557</v>
          </cell>
          <cell r="AU8">
            <v>2436649107</v>
          </cell>
          <cell r="AV8">
            <v>5850950815</v>
          </cell>
        </row>
        <row r="9">
          <cell r="A9">
            <v>7201001</v>
          </cell>
          <cell r="B9" t="str">
            <v>هزينه حقوق ودستمزد ( پارس پاکان)</v>
          </cell>
          <cell r="C9">
            <v>0</v>
          </cell>
          <cell r="D9">
            <v>60634751</v>
          </cell>
          <cell r="E9">
            <v>56651915</v>
          </cell>
          <cell r="F9">
            <v>77047075</v>
          </cell>
          <cell r="G9">
            <v>83670382</v>
          </cell>
          <cell r="H9">
            <v>20935149</v>
          </cell>
          <cell r="I9">
            <v>83515692</v>
          </cell>
          <cell r="J9">
            <v>102754166</v>
          </cell>
          <cell r="K9">
            <v>60545637</v>
          </cell>
          <cell r="L9">
            <v>0</v>
          </cell>
          <cell r="M9">
            <v>0</v>
          </cell>
          <cell r="N9">
            <v>216970499</v>
          </cell>
          <cell r="O9">
            <v>46351317</v>
          </cell>
          <cell r="P9">
            <v>42114752</v>
          </cell>
          <cell r="Q9">
            <v>0</v>
          </cell>
          <cell r="R9">
            <v>851191335</v>
          </cell>
          <cell r="S9">
            <v>32492689</v>
          </cell>
          <cell r="T9">
            <v>160904805</v>
          </cell>
          <cell r="U9">
            <v>110038568</v>
          </cell>
          <cell r="V9">
            <v>15522554</v>
          </cell>
          <cell r="W9">
            <v>22068512</v>
          </cell>
          <cell r="X9">
            <v>81737864</v>
          </cell>
          <cell r="Y9">
            <v>36367024</v>
          </cell>
          <cell r="Z9">
            <v>0</v>
          </cell>
          <cell r="AA9">
            <v>0</v>
          </cell>
          <cell r="AB9">
            <v>13621093</v>
          </cell>
          <cell r="AC9">
            <v>80710101</v>
          </cell>
          <cell r="AD9">
            <v>398912414</v>
          </cell>
          <cell r="AE9">
            <v>0</v>
          </cell>
          <cell r="AF9">
            <v>0</v>
          </cell>
          <cell r="AG9">
            <v>952375624</v>
          </cell>
          <cell r="AH9">
            <v>952375624</v>
          </cell>
          <cell r="AI9">
            <v>15449455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15535854</v>
          </cell>
          <cell r="AR9">
            <v>0</v>
          </cell>
          <cell r="AS9">
            <v>0</v>
          </cell>
          <cell r="AT9">
            <v>14315731</v>
          </cell>
          <cell r="AU9">
            <v>45301040</v>
          </cell>
          <cell r="AV9">
            <v>1848867999</v>
          </cell>
        </row>
        <row r="10">
          <cell r="A10">
            <v>7202000</v>
          </cell>
          <cell r="B10" t="str">
            <v>هزينه مسكن</v>
          </cell>
          <cell r="C10">
            <v>226666</v>
          </cell>
          <cell r="D10">
            <v>2479992</v>
          </cell>
          <cell r="E10">
            <v>2789991</v>
          </cell>
          <cell r="F10">
            <v>1239996</v>
          </cell>
          <cell r="G10">
            <v>2169993</v>
          </cell>
          <cell r="H10">
            <v>1549995</v>
          </cell>
          <cell r="I10">
            <v>3939534</v>
          </cell>
          <cell r="J10">
            <v>2169993</v>
          </cell>
          <cell r="K10">
            <v>929997</v>
          </cell>
          <cell r="L10">
            <v>0</v>
          </cell>
          <cell r="M10">
            <v>929997</v>
          </cell>
          <cell r="N10">
            <v>1603837</v>
          </cell>
          <cell r="O10">
            <v>0</v>
          </cell>
          <cell r="P10">
            <v>0</v>
          </cell>
          <cell r="Q10">
            <v>269811</v>
          </cell>
          <cell r="R10">
            <v>20299802</v>
          </cell>
          <cell r="S10">
            <v>1520906</v>
          </cell>
          <cell r="T10">
            <v>3288475</v>
          </cell>
          <cell r="U10">
            <v>9481183</v>
          </cell>
          <cell r="V10">
            <v>2041207</v>
          </cell>
          <cell r="W10">
            <v>14152012</v>
          </cell>
          <cell r="X10">
            <v>3668636</v>
          </cell>
          <cell r="Y10">
            <v>294122</v>
          </cell>
          <cell r="Z10">
            <v>2718931</v>
          </cell>
          <cell r="AA10">
            <v>274250</v>
          </cell>
          <cell r="AB10">
            <v>3712027</v>
          </cell>
          <cell r="AC10">
            <v>929997</v>
          </cell>
          <cell r="AD10">
            <v>309999</v>
          </cell>
          <cell r="AE10">
            <v>0</v>
          </cell>
          <cell r="AF10">
            <v>309999</v>
          </cell>
          <cell r="AG10">
            <v>42701744</v>
          </cell>
          <cell r="AH10">
            <v>42701744</v>
          </cell>
          <cell r="AI10">
            <v>14914499</v>
          </cell>
          <cell r="AJ10">
            <v>1859994</v>
          </cell>
          <cell r="AK10">
            <v>4008170</v>
          </cell>
          <cell r="AL10">
            <v>0</v>
          </cell>
          <cell r="AM10">
            <v>929997</v>
          </cell>
          <cell r="AN10">
            <v>0</v>
          </cell>
          <cell r="AO10">
            <v>1343329</v>
          </cell>
          <cell r="AP10">
            <v>5637212</v>
          </cell>
          <cell r="AQ10">
            <v>1859994</v>
          </cell>
          <cell r="AR10">
            <v>0</v>
          </cell>
          <cell r="AS10">
            <v>619998</v>
          </cell>
          <cell r="AT10">
            <v>4583319</v>
          </cell>
          <cell r="AU10">
            <v>35756512</v>
          </cell>
          <cell r="AV10">
            <v>98758058</v>
          </cell>
        </row>
        <row r="11">
          <cell r="A11">
            <v>7203000</v>
          </cell>
          <cell r="B11" t="str">
            <v>هزينه خواروبار</v>
          </cell>
          <cell r="C11">
            <v>1134</v>
          </cell>
          <cell r="D11">
            <v>54252</v>
          </cell>
          <cell r="E11">
            <v>52704</v>
          </cell>
          <cell r="F11">
            <v>27900</v>
          </cell>
          <cell r="G11">
            <v>38754</v>
          </cell>
          <cell r="H11">
            <v>27903</v>
          </cell>
          <cell r="I11">
            <v>70256</v>
          </cell>
          <cell r="J11">
            <v>46503</v>
          </cell>
          <cell r="K11">
            <v>13950</v>
          </cell>
          <cell r="L11">
            <v>0</v>
          </cell>
          <cell r="M11">
            <v>4653</v>
          </cell>
          <cell r="N11">
            <v>12320</v>
          </cell>
          <cell r="O11">
            <v>0</v>
          </cell>
          <cell r="P11">
            <v>0</v>
          </cell>
          <cell r="Q11">
            <v>2698</v>
          </cell>
          <cell r="R11">
            <v>353027</v>
          </cell>
          <cell r="S11">
            <v>19604</v>
          </cell>
          <cell r="T11">
            <v>53976</v>
          </cell>
          <cell r="U11">
            <v>150526</v>
          </cell>
          <cell r="V11">
            <v>22015</v>
          </cell>
          <cell r="W11">
            <v>177736</v>
          </cell>
          <cell r="X11">
            <v>76310</v>
          </cell>
          <cell r="Y11">
            <v>5883</v>
          </cell>
          <cell r="Z11">
            <v>30414</v>
          </cell>
          <cell r="AA11">
            <v>2742</v>
          </cell>
          <cell r="AB11">
            <v>49568</v>
          </cell>
          <cell r="AC11">
            <v>15501</v>
          </cell>
          <cell r="AD11">
            <v>6201</v>
          </cell>
          <cell r="AE11">
            <v>0</v>
          </cell>
          <cell r="AF11">
            <v>3099</v>
          </cell>
          <cell r="AG11">
            <v>613575</v>
          </cell>
          <cell r="AH11">
            <v>613575</v>
          </cell>
          <cell r="AI11">
            <v>138687</v>
          </cell>
          <cell r="AJ11">
            <v>23253</v>
          </cell>
          <cell r="AK11">
            <v>44195</v>
          </cell>
          <cell r="AL11">
            <v>0</v>
          </cell>
          <cell r="AM11">
            <v>10851</v>
          </cell>
          <cell r="AN11">
            <v>0</v>
          </cell>
          <cell r="AO11">
            <v>19120</v>
          </cell>
          <cell r="AP11">
            <v>83716</v>
          </cell>
          <cell r="AQ11">
            <v>27903</v>
          </cell>
          <cell r="AR11">
            <v>0</v>
          </cell>
          <cell r="AS11">
            <v>10851</v>
          </cell>
          <cell r="AT11">
            <v>53915</v>
          </cell>
          <cell r="AU11">
            <v>412491</v>
          </cell>
          <cell r="AV11">
            <v>1379093</v>
          </cell>
        </row>
        <row r="12">
          <cell r="A12">
            <v>7204000</v>
          </cell>
          <cell r="B12" t="str">
            <v>هزينه حق اولاد</v>
          </cell>
          <cell r="C12">
            <v>0</v>
          </cell>
          <cell r="D12">
            <v>16382880</v>
          </cell>
          <cell r="E12">
            <v>15358950</v>
          </cell>
          <cell r="F12">
            <v>8191440</v>
          </cell>
          <cell r="G12">
            <v>11263230</v>
          </cell>
          <cell r="H12">
            <v>8191440</v>
          </cell>
          <cell r="I12">
            <v>21238291</v>
          </cell>
          <cell r="J12">
            <v>14335020</v>
          </cell>
          <cell r="K12">
            <v>3071790</v>
          </cell>
          <cell r="L12">
            <v>0</v>
          </cell>
          <cell r="M12">
            <v>0</v>
          </cell>
          <cell r="N12">
            <v>1023930</v>
          </cell>
          <cell r="O12">
            <v>0</v>
          </cell>
          <cell r="P12">
            <v>0</v>
          </cell>
          <cell r="Q12">
            <v>0</v>
          </cell>
          <cell r="R12">
            <v>99056971</v>
          </cell>
          <cell r="S12">
            <v>3927567</v>
          </cell>
          <cell r="T12">
            <v>12909725</v>
          </cell>
          <cell r="U12">
            <v>36789415</v>
          </cell>
          <cell r="V12">
            <v>2047860</v>
          </cell>
          <cell r="W12">
            <v>36112325</v>
          </cell>
          <cell r="X12">
            <v>22187200</v>
          </cell>
          <cell r="Y12">
            <v>1942965</v>
          </cell>
          <cell r="Z12">
            <v>7029385</v>
          </cell>
          <cell r="AA12">
            <v>0</v>
          </cell>
          <cell r="AB12">
            <v>12287160</v>
          </cell>
          <cell r="AC12">
            <v>4095720</v>
          </cell>
          <cell r="AD12">
            <v>2047860</v>
          </cell>
          <cell r="AE12">
            <v>0</v>
          </cell>
          <cell r="AF12">
            <v>0</v>
          </cell>
          <cell r="AG12">
            <v>141377182</v>
          </cell>
          <cell r="AH12">
            <v>141377182</v>
          </cell>
          <cell r="AI12">
            <v>12472328</v>
          </cell>
          <cell r="AJ12">
            <v>5119650</v>
          </cell>
          <cell r="AK12">
            <v>5448949</v>
          </cell>
          <cell r="AL12">
            <v>0</v>
          </cell>
          <cell r="AM12">
            <v>2047860</v>
          </cell>
          <cell r="AN12">
            <v>0</v>
          </cell>
          <cell r="AO12">
            <v>5119650</v>
          </cell>
          <cell r="AP12">
            <v>20378208</v>
          </cell>
          <cell r="AQ12">
            <v>7167510</v>
          </cell>
          <cell r="AR12">
            <v>0</v>
          </cell>
          <cell r="AS12">
            <v>3071790</v>
          </cell>
          <cell r="AT12">
            <v>8191440</v>
          </cell>
          <cell r="AU12">
            <v>69017385</v>
          </cell>
          <cell r="AV12">
            <v>309451538</v>
          </cell>
        </row>
        <row r="13">
          <cell r="A13">
            <v>7205000</v>
          </cell>
          <cell r="B13" t="str">
            <v>هزينه حق جذب</v>
          </cell>
          <cell r="C13">
            <v>5482406</v>
          </cell>
          <cell r="D13">
            <v>30809067</v>
          </cell>
          <cell r="E13">
            <v>33121728</v>
          </cell>
          <cell r="F13">
            <v>16773564</v>
          </cell>
          <cell r="G13">
            <v>27410970</v>
          </cell>
          <cell r="H13">
            <v>20526153</v>
          </cell>
          <cell r="I13">
            <v>46985249</v>
          </cell>
          <cell r="J13">
            <v>27410970</v>
          </cell>
          <cell r="K13">
            <v>13286844</v>
          </cell>
          <cell r="L13">
            <v>0</v>
          </cell>
          <cell r="M13">
            <v>11683023</v>
          </cell>
          <cell r="N13">
            <v>14345902</v>
          </cell>
          <cell r="O13">
            <v>0</v>
          </cell>
          <cell r="P13">
            <v>0</v>
          </cell>
          <cell r="Q13">
            <v>6708375</v>
          </cell>
          <cell r="R13">
            <v>254544251</v>
          </cell>
          <cell r="S13">
            <v>17110558</v>
          </cell>
          <cell r="T13">
            <v>26466589</v>
          </cell>
          <cell r="U13">
            <v>99053283</v>
          </cell>
          <cell r="V13">
            <v>11918744</v>
          </cell>
          <cell r="W13">
            <v>195777478</v>
          </cell>
          <cell r="X13">
            <v>46872261</v>
          </cell>
          <cell r="Y13">
            <v>3713755</v>
          </cell>
          <cell r="Z13">
            <v>32985721</v>
          </cell>
          <cell r="AA13">
            <v>2793092</v>
          </cell>
          <cell r="AB13">
            <v>45884084</v>
          </cell>
          <cell r="AC13">
            <v>10832379</v>
          </cell>
          <cell r="AD13">
            <v>6490650</v>
          </cell>
          <cell r="AE13">
            <v>0</v>
          </cell>
          <cell r="AF13">
            <v>0</v>
          </cell>
          <cell r="AG13">
            <v>499898594</v>
          </cell>
          <cell r="AH13">
            <v>499898594</v>
          </cell>
          <cell r="AI13">
            <v>162282715</v>
          </cell>
          <cell r="AJ13">
            <v>20635477</v>
          </cell>
          <cell r="AK13">
            <v>59338938</v>
          </cell>
          <cell r="AL13">
            <v>0</v>
          </cell>
          <cell r="AM13">
            <v>2383563</v>
          </cell>
          <cell r="AN13">
            <v>0</v>
          </cell>
          <cell r="AO13">
            <v>19142965</v>
          </cell>
          <cell r="AP13">
            <v>71465709</v>
          </cell>
          <cell r="AQ13">
            <v>20301717</v>
          </cell>
          <cell r="AR13">
            <v>0</v>
          </cell>
          <cell r="AS13">
            <v>7430976</v>
          </cell>
          <cell r="AT13">
            <v>83932197</v>
          </cell>
          <cell r="AU13">
            <v>446914257</v>
          </cell>
          <cell r="AV13">
            <v>1201357102</v>
          </cell>
        </row>
        <row r="14">
          <cell r="A14">
            <v>7206000</v>
          </cell>
          <cell r="B14" t="str">
            <v>هزينه اضافه كاري</v>
          </cell>
          <cell r="C14">
            <v>12723872</v>
          </cell>
          <cell r="D14">
            <v>82626607</v>
          </cell>
          <cell r="E14">
            <v>80668206</v>
          </cell>
          <cell r="F14">
            <v>37488893</v>
          </cell>
          <cell r="G14">
            <v>81380137</v>
          </cell>
          <cell r="H14">
            <v>54318314</v>
          </cell>
          <cell r="I14">
            <v>104083161</v>
          </cell>
          <cell r="J14">
            <v>73426294</v>
          </cell>
          <cell r="K14">
            <v>39230103</v>
          </cell>
          <cell r="L14">
            <v>0</v>
          </cell>
          <cell r="M14">
            <v>30152804</v>
          </cell>
          <cell r="N14">
            <v>34767552</v>
          </cell>
          <cell r="O14">
            <v>0</v>
          </cell>
          <cell r="P14">
            <v>0</v>
          </cell>
          <cell r="Q14">
            <v>3224936</v>
          </cell>
          <cell r="R14">
            <v>634090879</v>
          </cell>
          <cell r="S14">
            <v>35167933</v>
          </cell>
          <cell r="T14">
            <v>109332076</v>
          </cell>
          <cell r="U14">
            <v>475261123</v>
          </cell>
          <cell r="V14">
            <v>32309949</v>
          </cell>
          <cell r="W14">
            <v>283886536</v>
          </cell>
          <cell r="X14">
            <v>135322484</v>
          </cell>
          <cell r="Y14">
            <v>2685676</v>
          </cell>
          <cell r="Z14">
            <v>43015888</v>
          </cell>
          <cell r="AA14">
            <v>1305928</v>
          </cell>
          <cell r="AB14">
            <v>67996960</v>
          </cell>
          <cell r="AC14">
            <v>30145746</v>
          </cell>
          <cell r="AD14">
            <v>21097927</v>
          </cell>
          <cell r="AE14">
            <v>0</v>
          </cell>
          <cell r="AF14">
            <v>8934569</v>
          </cell>
          <cell r="AG14">
            <v>1246462795</v>
          </cell>
          <cell r="AH14">
            <v>1246462795</v>
          </cell>
          <cell r="AI14">
            <v>18498266</v>
          </cell>
          <cell r="AJ14">
            <v>128964856</v>
          </cell>
          <cell r="AK14">
            <v>34186862</v>
          </cell>
          <cell r="AL14">
            <v>0</v>
          </cell>
          <cell r="AM14">
            <v>48343532</v>
          </cell>
          <cell r="AN14">
            <v>0</v>
          </cell>
          <cell r="AO14">
            <v>33164299</v>
          </cell>
          <cell r="AP14">
            <v>160877604</v>
          </cell>
          <cell r="AQ14">
            <v>32880061</v>
          </cell>
          <cell r="AR14">
            <v>0</v>
          </cell>
          <cell r="AS14">
            <v>22857394</v>
          </cell>
          <cell r="AT14">
            <v>48230932</v>
          </cell>
          <cell r="AU14">
            <v>528003806</v>
          </cell>
          <cell r="AV14">
            <v>2408557480</v>
          </cell>
        </row>
        <row r="15">
          <cell r="A15">
            <v>7206001</v>
          </cell>
          <cell r="B15" t="str">
            <v>هزينه اضافه كاري ( پارس پاکان)</v>
          </cell>
          <cell r="C15">
            <v>0</v>
          </cell>
          <cell r="D15">
            <v>13464182</v>
          </cell>
          <cell r="E15">
            <v>11996554</v>
          </cell>
          <cell r="F15">
            <v>15971431</v>
          </cell>
          <cell r="G15">
            <v>18875852</v>
          </cell>
          <cell r="H15">
            <v>6705620</v>
          </cell>
          <cell r="I15">
            <v>12977057</v>
          </cell>
          <cell r="J15">
            <v>21540257</v>
          </cell>
          <cell r="K15">
            <v>15537241</v>
          </cell>
          <cell r="L15">
            <v>0</v>
          </cell>
          <cell r="M15">
            <v>0</v>
          </cell>
          <cell r="N15">
            <v>51156848</v>
          </cell>
          <cell r="O15">
            <v>9547226</v>
          </cell>
          <cell r="P15">
            <v>8839360</v>
          </cell>
          <cell r="Q15">
            <v>0</v>
          </cell>
          <cell r="R15">
            <v>186611628</v>
          </cell>
          <cell r="S15">
            <v>5093627</v>
          </cell>
          <cell r="T15">
            <v>29168392</v>
          </cell>
          <cell r="U15">
            <v>60115382</v>
          </cell>
          <cell r="V15">
            <v>219792</v>
          </cell>
          <cell r="W15">
            <v>3284141</v>
          </cell>
          <cell r="X15">
            <v>15113729</v>
          </cell>
          <cell r="Y15">
            <v>11837594</v>
          </cell>
          <cell r="Z15">
            <v>0</v>
          </cell>
          <cell r="AA15">
            <v>0</v>
          </cell>
          <cell r="AB15">
            <v>2230401</v>
          </cell>
          <cell r="AC15">
            <v>125145651</v>
          </cell>
          <cell r="AD15">
            <v>29787347</v>
          </cell>
          <cell r="AE15">
            <v>0</v>
          </cell>
          <cell r="AF15">
            <v>0</v>
          </cell>
          <cell r="AG15">
            <v>281996056</v>
          </cell>
          <cell r="AH15">
            <v>281996056</v>
          </cell>
          <cell r="AI15">
            <v>3032438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1897989</v>
          </cell>
          <cell r="AR15">
            <v>0</v>
          </cell>
          <cell r="AS15">
            <v>0</v>
          </cell>
          <cell r="AT15">
            <v>1568792</v>
          </cell>
          <cell r="AU15">
            <v>6499219</v>
          </cell>
          <cell r="AV15">
            <v>475106903</v>
          </cell>
        </row>
        <row r="16">
          <cell r="A16">
            <v>7207000</v>
          </cell>
          <cell r="B16" t="str">
            <v>هزينه نوبتكاري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12536880</v>
          </cell>
          <cell r="AD16">
            <v>0</v>
          </cell>
          <cell r="AE16">
            <v>0</v>
          </cell>
          <cell r="AF16">
            <v>0</v>
          </cell>
          <cell r="AG16">
            <v>12536880</v>
          </cell>
          <cell r="AH16">
            <v>12536880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12536880</v>
          </cell>
        </row>
        <row r="17">
          <cell r="A17">
            <v>7208000</v>
          </cell>
          <cell r="B17" t="str">
            <v>هزينه شبكاري</v>
          </cell>
          <cell r="C17">
            <v>159048</v>
          </cell>
          <cell r="D17">
            <v>709489</v>
          </cell>
          <cell r="E17">
            <v>643808</v>
          </cell>
          <cell r="F17">
            <v>0</v>
          </cell>
          <cell r="G17">
            <v>1158841</v>
          </cell>
          <cell r="H17">
            <v>0</v>
          </cell>
          <cell r="I17">
            <v>18534</v>
          </cell>
          <cell r="J17">
            <v>0</v>
          </cell>
          <cell r="K17">
            <v>0</v>
          </cell>
          <cell r="L17">
            <v>0</v>
          </cell>
          <cell r="M17">
            <v>63007</v>
          </cell>
          <cell r="N17">
            <v>15960</v>
          </cell>
          <cell r="O17">
            <v>0</v>
          </cell>
          <cell r="P17">
            <v>0</v>
          </cell>
          <cell r="Q17">
            <v>0</v>
          </cell>
          <cell r="R17">
            <v>2768687</v>
          </cell>
          <cell r="S17">
            <v>0</v>
          </cell>
          <cell r="T17">
            <v>95492</v>
          </cell>
          <cell r="U17">
            <v>16641273</v>
          </cell>
          <cell r="V17">
            <v>43151</v>
          </cell>
          <cell r="W17">
            <v>1624232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52257</v>
          </cell>
          <cell r="AE17">
            <v>0</v>
          </cell>
          <cell r="AF17">
            <v>0</v>
          </cell>
          <cell r="AG17">
            <v>18456405</v>
          </cell>
          <cell r="AH17">
            <v>18456405</v>
          </cell>
          <cell r="AI17">
            <v>0</v>
          </cell>
          <cell r="AJ17">
            <v>57282</v>
          </cell>
          <cell r="AK17">
            <v>34000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329253</v>
          </cell>
          <cell r="AQ17">
            <v>11316</v>
          </cell>
          <cell r="AR17">
            <v>0</v>
          </cell>
          <cell r="AS17">
            <v>11367</v>
          </cell>
          <cell r="AT17">
            <v>0</v>
          </cell>
          <cell r="AU17">
            <v>443218</v>
          </cell>
          <cell r="AV17">
            <v>21668310</v>
          </cell>
        </row>
        <row r="18">
          <cell r="A18">
            <v>7211000</v>
          </cell>
          <cell r="B18" t="str">
            <v>هزينه عيدي وپاداش ساليانه</v>
          </cell>
          <cell r="C18">
            <v>1693479</v>
          </cell>
          <cell r="D18">
            <v>18510498</v>
          </cell>
          <cell r="E18">
            <v>20832225</v>
          </cell>
          <cell r="F18">
            <v>9252145</v>
          </cell>
          <cell r="G18">
            <v>16212574</v>
          </cell>
          <cell r="H18">
            <v>11580410</v>
          </cell>
          <cell r="I18">
            <v>29769919</v>
          </cell>
          <cell r="J18">
            <v>16211831</v>
          </cell>
          <cell r="K18">
            <v>6948246</v>
          </cell>
          <cell r="L18">
            <v>0</v>
          </cell>
          <cell r="M18">
            <v>6948246</v>
          </cell>
          <cell r="N18">
            <v>11787444</v>
          </cell>
          <cell r="O18">
            <v>0</v>
          </cell>
          <cell r="P18">
            <v>0</v>
          </cell>
          <cell r="Q18">
            <v>2015818</v>
          </cell>
          <cell r="R18">
            <v>151762835</v>
          </cell>
          <cell r="S18">
            <v>11362137</v>
          </cell>
          <cell r="T18">
            <v>24180132</v>
          </cell>
          <cell r="U18">
            <v>70819695</v>
          </cell>
          <cell r="V18">
            <v>16022398</v>
          </cell>
          <cell r="W18">
            <v>105733276</v>
          </cell>
          <cell r="X18">
            <v>27409292</v>
          </cell>
          <cell r="Y18">
            <v>2197448</v>
          </cell>
          <cell r="Z18">
            <v>20364768</v>
          </cell>
          <cell r="AA18">
            <v>2048986</v>
          </cell>
          <cell r="AB18">
            <v>29924418</v>
          </cell>
          <cell r="AC18">
            <v>6948246</v>
          </cell>
          <cell r="AD18">
            <v>2316082</v>
          </cell>
          <cell r="AE18">
            <v>0</v>
          </cell>
          <cell r="AF18">
            <v>2293157</v>
          </cell>
          <cell r="AG18">
            <v>321620035</v>
          </cell>
          <cell r="AH18">
            <v>321620035</v>
          </cell>
          <cell r="AI18">
            <v>111367531</v>
          </cell>
          <cell r="AJ18">
            <v>13896492</v>
          </cell>
          <cell r="AK18">
            <v>29946058</v>
          </cell>
          <cell r="AL18">
            <v>0</v>
          </cell>
          <cell r="AM18">
            <v>6663515</v>
          </cell>
          <cell r="AN18">
            <v>0</v>
          </cell>
          <cell r="AO18">
            <v>10036355</v>
          </cell>
          <cell r="AP18">
            <v>42117034</v>
          </cell>
          <cell r="AQ18">
            <v>13896492</v>
          </cell>
          <cell r="AR18">
            <v>6500000</v>
          </cell>
          <cell r="AS18">
            <v>4632164</v>
          </cell>
          <cell r="AT18">
            <v>34243148</v>
          </cell>
          <cell r="AU18">
            <v>273298789</v>
          </cell>
          <cell r="AV18">
            <v>746681659</v>
          </cell>
        </row>
        <row r="19">
          <cell r="A19">
            <v>7213000</v>
          </cell>
          <cell r="B19" t="str">
            <v>هزينه بن كالاي اساسي</v>
          </cell>
          <cell r="C19">
            <v>840000</v>
          </cell>
          <cell r="D19">
            <v>6720000</v>
          </cell>
          <cell r="E19">
            <v>7560000</v>
          </cell>
          <cell r="F19">
            <v>3360000</v>
          </cell>
          <cell r="G19">
            <v>5880000</v>
          </cell>
          <cell r="H19">
            <v>4200000</v>
          </cell>
          <cell r="I19">
            <v>10360000</v>
          </cell>
          <cell r="J19">
            <v>5880000</v>
          </cell>
          <cell r="K19">
            <v>2520000</v>
          </cell>
          <cell r="L19">
            <v>0</v>
          </cell>
          <cell r="M19">
            <v>2520000</v>
          </cell>
          <cell r="N19">
            <v>5040000</v>
          </cell>
          <cell r="O19">
            <v>0</v>
          </cell>
          <cell r="P19">
            <v>0</v>
          </cell>
          <cell r="Q19">
            <v>840000</v>
          </cell>
          <cell r="R19">
            <v>55720000</v>
          </cell>
          <cell r="S19">
            <v>4200000</v>
          </cell>
          <cell r="T19">
            <v>8960000</v>
          </cell>
          <cell r="U19">
            <v>25760000</v>
          </cell>
          <cell r="V19">
            <v>5600000</v>
          </cell>
          <cell r="W19">
            <v>38920000</v>
          </cell>
          <cell r="X19">
            <v>10080000</v>
          </cell>
          <cell r="Y19">
            <v>840000</v>
          </cell>
          <cell r="Z19">
            <v>7560000</v>
          </cell>
          <cell r="AA19">
            <v>840000</v>
          </cell>
          <cell r="AB19">
            <v>10920000</v>
          </cell>
          <cell r="AC19">
            <v>2520000</v>
          </cell>
          <cell r="AD19">
            <v>840000</v>
          </cell>
          <cell r="AE19">
            <v>0</v>
          </cell>
          <cell r="AF19">
            <v>840000</v>
          </cell>
          <cell r="AG19">
            <v>117880000</v>
          </cell>
          <cell r="AH19">
            <v>117880000</v>
          </cell>
          <cell r="AI19">
            <v>41160000</v>
          </cell>
          <cell r="AJ19">
            <v>5040000</v>
          </cell>
          <cell r="AK19">
            <v>10920000</v>
          </cell>
          <cell r="AL19">
            <v>0</v>
          </cell>
          <cell r="AM19">
            <v>2520000</v>
          </cell>
          <cell r="AN19">
            <v>0</v>
          </cell>
          <cell r="AO19">
            <v>3640000</v>
          </cell>
          <cell r="AP19">
            <v>15120000</v>
          </cell>
          <cell r="AQ19">
            <v>5040000</v>
          </cell>
          <cell r="AR19">
            <v>0</v>
          </cell>
          <cell r="AS19">
            <v>1680000</v>
          </cell>
          <cell r="AT19">
            <v>12600000</v>
          </cell>
          <cell r="AU19">
            <v>97720000</v>
          </cell>
          <cell r="AV19">
            <v>271320000</v>
          </cell>
        </row>
        <row r="20">
          <cell r="A20">
            <v>7215000</v>
          </cell>
          <cell r="B20" t="str">
            <v>هزينه حق بيمه سهم كارفرما</v>
          </cell>
          <cell r="C20">
            <v>10853638</v>
          </cell>
          <cell r="D20">
            <v>56099801</v>
          </cell>
          <cell r="E20">
            <v>59453203</v>
          </cell>
          <cell r="F20">
            <v>27223626</v>
          </cell>
          <cell r="G20">
            <v>51845062</v>
          </cell>
          <cell r="H20">
            <v>35737646</v>
          </cell>
          <cell r="I20">
            <v>80353542</v>
          </cell>
          <cell r="J20">
            <v>48585974</v>
          </cell>
          <cell r="K20">
            <v>23100578</v>
          </cell>
          <cell r="L20">
            <v>0</v>
          </cell>
          <cell r="M20">
            <v>23019684</v>
          </cell>
          <cell r="N20">
            <v>35861004</v>
          </cell>
          <cell r="O20">
            <v>0</v>
          </cell>
          <cell r="P20">
            <v>0</v>
          </cell>
          <cell r="Q20">
            <v>11851205</v>
          </cell>
          <cell r="R20">
            <v>463984963</v>
          </cell>
          <cell r="S20">
            <v>30282733</v>
          </cell>
          <cell r="T20">
            <v>79685164</v>
          </cell>
          <cell r="U20">
            <v>265354478</v>
          </cell>
          <cell r="V20">
            <v>36765062</v>
          </cell>
          <cell r="W20">
            <v>326144651</v>
          </cell>
          <cell r="X20">
            <v>87300633</v>
          </cell>
          <cell r="Y20">
            <v>6793157</v>
          </cell>
          <cell r="Z20">
            <v>56884010</v>
          </cell>
          <cell r="AA20">
            <v>4325610</v>
          </cell>
          <cell r="AB20">
            <v>70862729</v>
          </cell>
          <cell r="AC20">
            <v>23418099</v>
          </cell>
          <cell r="AD20">
            <v>10086287</v>
          </cell>
          <cell r="AE20">
            <v>0</v>
          </cell>
          <cell r="AF20">
            <v>5368324</v>
          </cell>
          <cell r="AG20">
            <v>1003270937</v>
          </cell>
          <cell r="AH20">
            <v>1003270937</v>
          </cell>
          <cell r="AI20">
            <v>363455954</v>
          </cell>
          <cell r="AJ20">
            <v>76028987</v>
          </cell>
          <cell r="AK20">
            <v>91835248</v>
          </cell>
          <cell r="AL20">
            <v>0</v>
          </cell>
          <cell r="AM20">
            <v>24976026</v>
          </cell>
          <cell r="AN20">
            <v>0</v>
          </cell>
          <cell r="AO20">
            <v>37491462</v>
          </cell>
          <cell r="AP20">
            <v>141141133</v>
          </cell>
          <cell r="AQ20">
            <v>45131537</v>
          </cell>
          <cell r="AR20">
            <v>0</v>
          </cell>
          <cell r="AS20">
            <v>15597998</v>
          </cell>
          <cell r="AT20">
            <v>129038849</v>
          </cell>
          <cell r="AU20">
            <v>924697194</v>
          </cell>
          <cell r="AV20">
            <v>2391953094</v>
          </cell>
        </row>
        <row r="21">
          <cell r="A21">
            <v>7216000</v>
          </cell>
          <cell r="B21" t="str">
            <v>هزينه بازخريدسنوات</v>
          </cell>
          <cell r="C21">
            <v>4488049</v>
          </cell>
          <cell r="D21">
            <v>87394935</v>
          </cell>
          <cell r="E21">
            <v>96719019</v>
          </cell>
          <cell r="F21">
            <v>46742347</v>
          </cell>
          <cell r="G21">
            <v>79395371</v>
          </cell>
          <cell r="H21">
            <v>54872577</v>
          </cell>
          <cell r="I21">
            <v>140515544</v>
          </cell>
          <cell r="J21">
            <v>81097892</v>
          </cell>
          <cell r="K21">
            <v>31543543</v>
          </cell>
          <cell r="L21">
            <v>0</v>
          </cell>
          <cell r="M21">
            <v>10197951</v>
          </cell>
          <cell r="N21">
            <v>12338432</v>
          </cell>
          <cell r="O21">
            <v>0</v>
          </cell>
          <cell r="P21">
            <v>0</v>
          </cell>
          <cell r="Q21">
            <v>4174735</v>
          </cell>
          <cell r="R21">
            <v>649480395</v>
          </cell>
          <cell r="S21">
            <v>50323695</v>
          </cell>
          <cell r="T21">
            <v>152882533</v>
          </cell>
          <cell r="U21">
            <v>307058697</v>
          </cell>
          <cell r="V21">
            <v>19800165</v>
          </cell>
          <cell r="W21">
            <v>308004613</v>
          </cell>
          <cell r="X21">
            <v>142047396</v>
          </cell>
          <cell r="Y21">
            <v>4934112</v>
          </cell>
          <cell r="Z21">
            <v>52187069</v>
          </cell>
          <cell r="AA21">
            <v>2802244</v>
          </cell>
          <cell r="AB21">
            <v>105675156</v>
          </cell>
          <cell r="AC21">
            <v>31903752</v>
          </cell>
          <cell r="AD21">
            <v>18696298</v>
          </cell>
          <cell r="AE21">
            <v>0</v>
          </cell>
          <cell r="AF21">
            <v>2737103</v>
          </cell>
          <cell r="AG21">
            <v>1199052833</v>
          </cell>
          <cell r="AH21">
            <v>1199052833</v>
          </cell>
          <cell r="AI21">
            <v>212313914</v>
          </cell>
          <cell r="AJ21">
            <v>71521795</v>
          </cell>
          <cell r="AK21">
            <v>55045444</v>
          </cell>
          <cell r="AL21">
            <v>0</v>
          </cell>
          <cell r="AM21">
            <v>23607554</v>
          </cell>
          <cell r="AN21">
            <v>0</v>
          </cell>
          <cell r="AO21">
            <v>28992548</v>
          </cell>
          <cell r="AP21">
            <v>165261992</v>
          </cell>
          <cell r="AQ21">
            <v>26960694</v>
          </cell>
          <cell r="AR21">
            <v>0</v>
          </cell>
          <cell r="AS21">
            <v>16125186</v>
          </cell>
          <cell r="AT21">
            <v>77513909</v>
          </cell>
          <cell r="AU21">
            <v>677343036</v>
          </cell>
          <cell r="AV21">
            <v>2525876264</v>
          </cell>
        </row>
        <row r="22">
          <cell r="A22" t="str">
            <v xml:space="preserve">دستمزد </v>
          </cell>
          <cell r="B22" t="str">
            <v>دستمزد مستقیم</v>
          </cell>
          <cell r="C22">
            <v>59128904</v>
          </cell>
          <cell r="D22">
            <v>494759865</v>
          </cell>
          <cell r="E22">
            <v>519222758</v>
          </cell>
          <cell r="F22">
            <v>303405413</v>
          </cell>
          <cell r="G22">
            <v>484303307</v>
          </cell>
          <cell r="H22">
            <v>295311429</v>
          </cell>
          <cell r="I22">
            <v>719897089</v>
          </cell>
          <cell r="J22">
            <v>498653292</v>
          </cell>
          <cell r="K22">
            <v>241847980</v>
          </cell>
          <cell r="L22">
            <v>0</v>
          </cell>
          <cell r="M22">
            <v>140521455</v>
          </cell>
          <cell r="N22">
            <v>479632826</v>
          </cell>
          <cell r="O22">
            <v>55898543</v>
          </cell>
          <cell r="P22">
            <v>50954112</v>
          </cell>
          <cell r="Q22">
            <v>56815526</v>
          </cell>
          <cell r="R22">
            <v>4400352499</v>
          </cell>
          <cell r="S22">
            <v>262526977</v>
          </cell>
          <cell r="T22">
            <v>793026225</v>
          </cell>
          <cell r="U22">
            <v>1970688501</v>
          </cell>
          <cell r="V22">
            <v>245809735</v>
          </cell>
          <cell r="W22">
            <v>2189790209</v>
          </cell>
          <cell r="X22">
            <v>752662624</v>
          </cell>
          <cell r="Y22">
            <v>90918311</v>
          </cell>
          <cell r="Z22">
            <v>375962602</v>
          </cell>
          <cell r="AA22">
            <v>28823838</v>
          </cell>
          <cell r="AB22">
            <v>596023813</v>
          </cell>
          <cell r="AC22">
            <v>374089176</v>
          </cell>
          <cell r="AD22">
            <v>507298344</v>
          </cell>
          <cell r="AE22">
            <v>0</v>
          </cell>
          <cell r="AF22">
            <v>34436287</v>
          </cell>
          <cell r="AG22">
            <v>8222056642</v>
          </cell>
          <cell r="AH22">
            <v>8222056642</v>
          </cell>
          <cell r="AI22">
            <v>1889000581</v>
          </cell>
          <cell r="AJ22">
            <v>557791033</v>
          </cell>
          <cell r="AK22">
            <v>570322584</v>
          </cell>
          <cell r="AL22">
            <v>0</v>
          </cell>
          <cell r="AM22">
            <v>162206379</v>
          </cell>
          <cell r="AN22">
            <v>0</v>
          </cell>
          <cell r="AO22">
            <v>238103044</v>
          </cell>
          <cell r="AP22">
            <v>936051159</v>
          </cell>
          <cell r="AQ22">
            <v>291084235</v>
          </cell>
          <cell r="AR22">
            <v>6500000</v>
          </cell>
          <cell r="AS22">
            <v>106511250</v>
          </cell>
          <cell r="AT22">
            <v>784485789</v>
          </cell>
          <cell r="AU22">
            <v>5542056054</v>
          </cell>
          <cell r="AV22">
            <v>18164465195</v>
          </cell>
        </row>
        <row r="23">
          <cell r="A23">
            <v>7217000</v>
          </cell>
          <cell r="B23" t="str">
            <v>هزينه اياب وذهاب</v>
          </cell>
          <cell r="C23">
            <v>146000</v>
          </cell>
          <cell r="D23">
            <v>2408314</v>
          </cell>
          <cell r="E23">
            <v>3468025</v>
          </cell>
          <cell r="F23">
            <v>1743240</v>
          </cell>
          <cell r="G23">
            <v>3226351</v>
          </cell>
          <cell r="H23">
            <v>1292485</v>
          </cell>
          <cell r="I23">
            <v>4598698</v>
          </cell>
          <cell r="J23">
            <v>2685216</v>
          </cell>
          <cell r="K23">
            <v>1546352</v>
          </cell>
          <cell r="L23">
            <v>0</v>
          </cell>
          <cell r="M23">
            <v>390000</v>
          </cell>
          <cell r="N23">
            <v>0</v>
          </cell>
          <cell r="O23">
            <v>0</v>
          </cell>
          <cell r="P23">
            <v>0</v>
          </cell>
          <cell r="Q23">
            <v>2950000</v>
          </cell>
          <cell r="R23">
            <v>24454681</v>
          </cell>
          <cell r="S23">
            <v>967137</v>
          </cell>
          <cell r="T23">
            <v>5473708</v>
          </cell>
          <cell r="U23">
            <v>10975396</v>
          </cell>
          <cell r="V23">
            <v>2950000</v>
          </cell>
          <cell r="W23">
            <v>7204863</v>
          </cell>
          <cell r="X23">
            <v>5467414</v>
          </cell>
          <cell r="Y23">
            <v>0</v>
          </cell>
          <cell r="Z23">
            <v>3757996</v>
          </cell>
          <cell r="AA23">
            <v>0</v>
          </cell>
          <cell r="AB23">
            <v>5019488</v>
          </cell>
          <cell r="AC23">
            <v>1870205</v>
          </cell>
          <cell r="AD23">
            <v>789040</v>
          </cell>
          <cell r="AE23">
            <v>40000</v>
          </cell>
          <cell r="AF23">
            <v>1212637487</v>
          </cell>
          <cell r="AG23">
            <v>1257152734</v>
          </cell>
          <cell r="AH23">
            <v>1281607415</v>
          </cell>
          <cell r="AI23">
            <v>93636000</v>
          </cell>
          <cell r="AJ23">
            <v>16275500</v>
          </cell>
          <cell r="AK23">
            <v>0</v>
          </cell>
          <cell r="AL23">
            <v>160000</v>
          </cell>
          <cell r="AM23">
            <v>0</v>
          </cell>
          <cell r="AN23">
            <v>0</v>
          </cell>
          <cell r="AO23">
            <v>2950000</v>
          </cell>
          <cell r="AP23">
            <v>23793354</v>
          </cell>
          <cell r="AQ23">
            <v>3341792</v>
          </cell>
          <cell r="AR23">
            <v>7346000</v>
          </cell>
          <cell r="AS23">
            <v>1898271</v>
          </cell>
          <cell r="AT23">
            <v>11216307</v>
          </cell>
          <cell r="AU23">
            <v>160617224</v>
          </cell>
          <cell r="AV23">
            <v>1442224639</v>
          </cell>
        </row>
        <row r="24">
          <cell r="A24">
            <v>7218000</v>
          </cell>
          <cell r="B24" t="str">
            <v>هزينه پاداش بهره وري</v>
          </cell>
          <cell r="C24">
            <v>1625000</v>
          </cell>
          <cell r="D24">
            <v>13000000</v>
          </cell>
          <cell r="E24">
            <v>14625000</v>
          </cell>
          <cell r="F24">
            <v>6500000</v>
          </cell>
          <cell r="G24">
            <v>11375000</v>
          </cell>
          <cell r="H24">
            <v>8125000</v>
          </cell>
          <cell r="I24">
            <v>30474999</v>
          </cell>
          <cell r="J24">
            <v>11375000</v>
          </cell>
          <cell r="K24">
            <v>4875000</v>
          </cell>
          <cell r="L24">
            <v>0</v>
          </cell>
          <cell r="M24">
            <v>4875000</v>
          </cell>
          <cell r="N24">
            <v>9750000</v>
          </cell>
          <cell r="O24">
            <v>0</v>
          </cell>
          <cell r="P24">
            <v>0</v>
          </cell>
          <cell r="Q24">
            <v>3250000</v>
          </cell>
          <cell r="R24">
            <v>119849999</v>
          </cell>
          <cell r="S24">
            <v>8125000</v>
          </cell>
          <cell r="T24">
            <v>17875000</v>
          </cell>
          <cell r="U24">
            <v>50375000</v>
          </cell>
          <cell r="V24">
            <v>11375000</v>
          </cell>
          <cell r="W24">
            <v>76925000</v>
          </cell>
          <cell r="X24">
            <v>19500000</v>
          </cell>
          <cell r="Y24">
            <v>1625000</v>
          </cell>
          <cell r="Z24">
            <v>14625000</v>
          </cell>
          <cell r="AA24">
            <v>1625000</v>
          </cell>
          <cell r="AB24">
            <v>22750000</v>
          </cell>
          <cell r="AC24">
            <v>6500000</v>
          </cell>
          <cell r="AD24">
            <v>4875000</v>
          </cell>
          <cell r="AE24">
            <v>0</v>
          </cell>
          <cell r="AF24">
            <v>1625000</v>
          </cell>
          <cell r="AG24">
            <v>237800000</v>
          </cell>
          <cell r="AH24">
            <v>357649999</v>
          </cell>
          <cell r="AI24">
            <v>84500000</v>
          </cell>
          <cell r="AJ24">
            <v>14625000</v>
          </cell>
          <cell r="AK24">
            <v>22750000</v>
          </cell>
          <cell r="AL24">
            <v>0</v>
          </cell>
          <cell r="AM24">
            <v>4875000</v>
          </cell>
          <cell r="AN24">
            <v>0</v>
          </cell>
          <cell r="AO24">
            <v>6500000</v>
          </cell>
          <cell r="AP24">
            <v>30875000</v>
          </cell>
          <cell r="AQ24">
            <v>11375000</v>
          </cell>
          <cell r="AR24">
            <v>0</v>
          </cell>
          <cell r="AS24">
            <v>4875000</v>
          </cell>
          <cell r="AT24">
            <v>24375000</v>
          </cell>
          <cell r="AU24">
            <v>204750000</v>
          </cell>
          <cell r="AV24">
            <v>562399999</v>
          </cell>
        </row>
        <row r="25">
          <cell r="A25">
            <v>7218001</v>
          </cell>
          <cell r="B25" t="str">
            <v>هزينه پاداش بهره وري( پارس پاکان)</v>
          </cell>
          <cell r="C25">
            <v>0</v>
          </cell>
          <cell r="D25">
            <v>4949999</v>
          </cell>
          <cell r="E25">
            <v>2750000</v>
          </cell>
          <cell r="F25">
            <v>7699999</v>
          </cell>
          <cell r="G25">
            <v>6599999</v>
          </cell>
          <cell r="H25">
            <v>1650000</v>
          </cell>
          <cell r="I25">
            <v>6599999</v>
          </cell>
          <cell r="J25">
            <v>7149999</v>
          </cell>
          <cell r="K25">
            <v>4399999</v>
          </cell>
          <cell r="L25">
            <v>0</v>
          </cell>
          <cell r="M25">
            <v>0</v>
          </cell>
          <cell r="N25">
            <v>18699997</v>
          </cell>
          <cell r="O25">
            <v>3300000</v>
          </cell>
          <cell r="P25">
            <v>3300000</v>
          </cell>
          <cell r="Q25">
            <v>0</v>
          </cell>
          <cell r="R25">
            <v>67099991</v>
          </cell>
          <cell r="S25">
            <v>2750000</v>
          </cell>
          <cell r="T25">
            <v>17599997</v>
          </cell>
          <cell r="U25">
            <v>8799999</v>
          </cell>
          <cell r="V25">
            <v>1100000</v>
          </cell>
          <cell r="W25">
            <v>1100000</v>
          </cell>
          <cell r="X25">
            <v>6599999</v>
          </cell>
          <cell r="Y25">
            <v>2750000</v>
          </cell>
          <cell r="Z25">
            <v>0</v>
          </cell>
          <cell r="AA25">
            <v>0</v>
          </cell>
          <cell r="AB25">
            <v>1100000</v>
          </cell>
          <cell r="AC25">
            <v>5499999</v>
          </cell>
          <cell r="AD25">
            <v>32999995</v>
          </cell>
          <cell r="AE25">
            <v>0</v>
          </cell>
          <cell r="AF25">
            <v>0</v>
          </cell>
          <cell r="AG25">
            <v>80299989</v>
          </cell>
          <cell r="AH25">
            <v>147399980</v>
          </cell>
          <cell r="AI25">
            <v>1100000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1100000</v>
          </cell>
          <cell r="AR25">
            <v>0</v>
          </cell>
          <cell r="AS25">
            <v>0</v>
          </cell>
          <cell r="AT25">
            <v>1100000</v>
          </cell>
          <cell r="AU25">
            <v>3300000</v>
          </cell>
          <cell r="AV25">
            <v>150699980</v>
          </cell>
        </row>
        <row r="26">
          <cell r="A26">
            <v>7219000</v>
          </cell>
          <cell r="B26" t="str">
            <v>هزينه سايرمزاياي نقدي</v>
          </cell>
          <cell r="C26">
            <v>6480000</v>
          </cell>
          <cell r="D26">
            <v>5951068</v>
          </cell>
          <cell r="E26">
            <v>4373262</v>
          </cell>
          <cell r="F26">
            <v>1002999</v>
          </cell>
          <cell r="G26">
            <v>21303901</v>
          </cell>
          <cell r="H26">
            <v>999999</v>
          </cell>
          <cell r="I26">
            <v>3597483</v>
          </cell>
          <cell r="J26">
            <v>309999</v>
          </cell>
          <cell r="K26">
            <v>309999</v>
          </cell>
          <cell r="L26">
            <v>0</v>
          </cell>
          <cell r="M26">
            <v>1860003</v>
          </cell>
          <cell r="N26">
            <v>19605123</v>
          </cell>
          <cell r="O26">
            <v>0</v>
          </cell>
          <cell r="P26">
            <v>0</v>
          </cell>
          <cell r="Q26">
            <v>10792424</v>
          </cell>
          <cell r="R26">
            <v>76586260</v>
          </cell>
          <cell r="S26">
            <v>5852393</v>
          </cell>
          <cell r="T26">
            <v>24763642</v>
          </cell>
          <cell r="U26">
            <v>50209134</v>
          </cell>
          <cell r="V26">
            <v>6200001</v>
          </cell>
          <cell r="W26">
            <v>63952364</v>
          </cell>
          <cell r="X26">
            <v>48618206</v>
          </cell>
          <cell r="Y26">
            <v>3529455</v>
          </cell>
          <cell r="Z26">
            <v>29884198</v>
          </cell>
          <cell r="AA26">
            <v>0</v>
          </cell>
          <cell r="AB26">
            <v>8609001</v>
          </cell>
          <cell r="AC26">
            <v>600000</v>
          </cell>
          <cell r="AD26">
            <v>791277</v>
          </cell>
          <cell r="AE26">
            <v>0</v>
          </cell>
          <cell r="AF26">
            <v>0</v>
          </cell>
          <cell r="AG26">
            <v>243009671</v>
          </cell>
          <cell r="AH26">
            <v>319595931</v>
          </cell>
          <cell r="AI26">
            <v>454862160</v>
          </cell>
          <cell r="AJ26">
            <v>58577781</v>
          </cell>
          <cell r="AK26">
            <v>21286668</v>
          </cell>
          <cell r="AL26">
            <v>0</v>
          </cell>
          <cell r="AM26">
            <v>6200001</v>
          </cell>
          <cell r="AN26">
            <v>0</v>
          </cell>
          <cell r="AO26">
            <v>23122224</v>
          </cell>
          <cell r="AP26">
            <v>125790581</v>
          </cell>
          <cell r="AQ26">
            <v>17428120</v>
          </cell>
          <cell r="AR26">
            <v>0</v>
          </cell>
          <cell r="AS26">
            <v>1840002</v>
          </cell>
          <cell r="AT26">
            <v>84215014</v>
          </cell>
          <cell r="AU26">
            <v>793322551</v>
          </cell>
          <cell r="AV26">
            <v>1112918482</v>
          </cell>
        </row>
        <row r="27">
          <cell r="A27">
            <v>7219001</v>
          </cell>
          <cell r="B27" t="str">
            <v>هزينه سايرمزاياي نقدي ( پارس پاکان)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</row>
        <row r="28">
          <cell r="A28">
            <v>7223000</v>
          </cell>
          <cell r="B28" t="str">
            <v>هزينه بيمه حوادث كاركنان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</row>
        <row r="29">
          <cell r="A29">
            <v>7224000</v>
          </cell>
          <cell r="B29" t="str">
            <v>هزينه بهداشت ودرمان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79000</v>
          </cell>
          <cell r="U29">
            <v>313400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864000</v>
          </cell>
          <cell r="AE29">
            <v>213000</v>
          </cell>
          <cell r="AF29">
            <v>140000</v>
          </cell>
          <cell r="AG29">
            <v>1609400</v>
          </cell>
          <cell r="AH29">
            <v>1609400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3132270</v>
          </cell>
          <cell r="AT29">
            <v>0</v>
          </cell>
          <cell r="AU29">
            <v>3132270</v>
          </cell>
          <cell r="AV29">
            <v>4741670</v>
          </cell>
        </row>
        <row r="30">
          <cell r="A30">
            <v>7225000</v>
          </cell>
          <cell r="B30" t="str">
            <v>هزينه تغذيه پرسنل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184000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8850000</v>
          </cell>
          <cell r="AC30">
            <v>0</v>
          </cell>
          <cell r="AD30">
            <v>2872000</v>
          </cell>
          <cell r="AE30">
            <v>1628386545</v>
          </cell>
          <cell r="AF30">
            <v>702000</v>
          </cell>
          <cell r="AG30">
            <v>1640994545</v>
          </cell>
          <cell r="AH30">
            <v>1640994545</v>
          </cell>
          <cell r="AI30">
            <v>366500</v>
          </cell>
          <cell r="AJ30">
            <v>86000</v>
          </cell>
          <cell r="AK30">
            <v>0</v>
          </cell>
          <cell r="AL30">
            <v>50000</v>
          </cell>
          <cell r="AM30">
            <v>0</v>
          </cell>
          <cell r="AN30">
            <v>0</v>
          </cell>
          <cell r="AO30">
            <v>291000</v>
          </cell>
          <cell r="AP30">
            <v>1325500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2119000</v>
          </cell>
          <cell r="AV30">
            <v>1643113545</v>
          </cell>
        </row>
        <row r="31">
          <cell r="A31">
            <v>7226000</v>
          </cell>
          <cell r="B31" t="str">
            <v>هزينه 3%صندوق پس انداز آتيه سهم کارفرما</v>
          </cell>
          <cell r="C31">
            <v>919125</v>
          </cell>
          <cell r="D31">
            <v>5057991</v>
          </cell>
          <cell r="E31">
            <v>5540928</v>
          </cell>
          <cell r="F31">
            <v>2589594</v>
          </cell>
          <cell r="G31">
            <v>4376553</v>
          </cell>
          <cell r="H31">
            <v>3211548</v>
          </cell>
          <cell r="I31">
            <v>7749112</v>
          </cell>
          <cell r="J31">
            <v>4474707</v>
          </cell>
          <cell r="K31">
            <v>1872678</v>
          </cell>
          <cell r="L31">
            <v>0</v>
          </cell>
          <cell r="M31">
            <v>2028591</v>
          </cell>
          <cell r="N31">
            <v>3470554</v>
          </cell>
          <cell r="O31">
            <v>0</v>
          </cell>
          <cell r="P31">
            <v>0</v>
          </cell>
          <cell r="Q31">
            <v>1203151</v>
          </cell>
          <cell r="R31">
            <v>42494532</v>
          </cell>
          <cell r="S31">
            <v>2808126</v>
          </cell>
          <cell r="T31">
            <v>7113528</v>
          </cell>
          <cell r="U31">
            <v>19600735</v>
          </cell>
          <cell r="V31">
            <v>3771801</v>
          </cell>
          <cell r="W31">
            <v>33389614</v>
          </cell>
          <cell r="X31">
            <v>7612860</v>
          </cell>
          <cell r="Y31">
            <v>846135</v>
          </cell>
          <cell r="Z31">
            <v>6216980</v>
          </cell>
          <cell r="AA31">
            <v>525032</v>
          </cell>
          <cell r="AB31">
            <v>9030303</v>
          </cell>
          <cell r="AC31">
            <v>1822821</v>
          </cell>
          <cell r="AD31">
            <v>765291</v>
          </cell>
          <cell r="AE31">
            <v>0</v>
          </cell>
          <cell r="AF31">
            <v>427893</v>
          </cell>
          <cell r="AG31">
            <v>93931119</v>
          </cell>
          <cell r="AH31">
            <v>136425651</v>
          </cell>
          <cell r="AI31">
            <v>34176682</v>
          </cell>
          <cell r="AJ31">
            <v>11854336</v>
          </cell>
          <cell r="AK31">
            <v>10569752</v>
          </cell>
          <cell r="AL31">
            <v>0</v>
          </cell>
          <cell r="AM31">
            <v>1682871</v>
          </cell>
          <cell r="AN31">
            <v>0</v>
          </cell>
          <cell r="AO31">
            <v>3960351</v>
          </cell>
          <cell r="AP31">
            <v>13026645</v>
          </cell>
          <cell r="AQ31">
            <v>4770909</v>
          </cell>
          <cell r="AR31">
            <v>0</v>
          </cell>
          <cell r="AS31">
            <v>1368216</v>
          </cell>
          <cell r="AT31">
            <v>14753230</v>
          </cell>
          <cell r="AU31">
            <v>96162992</v>
          </cell>
          <cell r="AV31">
            <v>232588643</v>
          </cell>
        </row>
        <row r="32">
          <cell r="A32">
            <v>7231000</v>
          </cell>
          <cell r="B32" t="str">
            <v>هزينه بازخريدمرخصي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</row>
        <row r="33">
          <cell r="A33">
            <v>7233000</v>
          </cell>
          <cell r="B33" t="str">
            <v>هزينه مزاياي غيرنقدي</v>
          </cell>
          <cell r="C33">
            <v>600000</v>
          </cell>
          <cell r="D33">
            <v>4800000</v>
          </cell>
          <cell r="E33">
            <v>4800000</v>
          </cell>
          <cell r="F33">
            <v>1800000</v>
          </cell>
          <cell r="G33">
            <v>3600000</v>
          </cell>
          <cell r="H33">
            <v>3000000</v>
          </cell>
          <cell r="I33">
            <v>6000000</v>
          </cell>
          <cell r="J33">
            <v>4200000</v>
          </cell>
          <cell r="K33">
            <v>1800000</v>
          </cell>
          <cell r="L33">
            <v>0</v>
          </cell>
          <cell r="M33">
            <v>1800000</v>
          </cell>
          <cell r="N33">
            <v>2400000</v>
          </cell>
          <cell r="O33">
            <v>1800000</v>
          </cell>
          <cell r="P33">
            <v>0</v>
          </cell>
          <cell r="Q33">
            <v>600000</v>
          </cell>
          <cell r="R33">
            <v>37200000</v>
          </cell>
          <cell r="S33">
            <v>2400000</v>
          </cell>
          <cell r="T33">
            <v>7200000</v>
          </cell>
          <cell r="U33">
            <v>18600000</v>
          </cell>
          <cell r="V33">
            <v>4800000</v>
          </cell>
          <cell r="W33">
            <v>25200000</v>
          </cell>
          <cell r="X33">
            <v>5400000</v>
          </cell>
          <cell r="Y33">
            <v>600000</v>
          </cell>
          <cell r="Z33">
            <v>4800000</v>
          </cell>
          <cell r="AA33">
            <v>600000</v>
          </cell>
          <cell r="AB33">
            <v>6600000</v>
          </cell>
          <cell r="AC33">
            <v>1800000</v>
          </cell>
          <cell r="AD33">
            <v>3600000</v>
          </cell>
          <cell r="AE33">
            <v>0</v>
          </cell>
          <cell r="AF33">
            <v>600000</v>
          </cell>
          <cell r="AG33">
            <v>82200000</v>
          </cell>
          <cell r="AH33">
            <v>119400000</v>
          </cell>
          <cell r="AI33">
            <v>29400000</v>
          </cell>
          <cell r="AJ33">
            <v>4200000</v>
          </cell>
          <cell r="AK33">
            <v>8400000</v>
          </cell>
          <cell r="AL33">
            <v>0</v>
          </cell>
          <cell r="AM33">
            <v>1800000</v>
          </cell>
          <cell r="AN33">
            <v>0</v>
          </cell>
          <cell r="AO33">
            <v>2400000</v>
          </cell>
          <cell r="AP33">
            <v>9000000</v>
          </cell>
          <cell r="AQ33">
            <v>3600000</v>
          </cell>
          <cell r="AR33">
            <v>1200000</v>
          </cell>
          <cell r="AS33">
            <v>1200000</v>
          </cell>
          <cell r="AT33">
            <v>9000000</v>
          </cell>
          <cell r="AU33">
            <v>70200000</v>
          </cell>
          <cell r="AV33">
            <v>189600000</v>
          </cell>
        </row>
        <row r="34">
          <cell r="A34">
            <v>7233001</v>
          </cell>
          <cell r="B34" t="str">
            <v>هزينه مزاياي غيرنقدي ( پارس پاکان)</v>
          </cell>
          <cell r="C34">
            <v>0</v>
          </cell>
          <cell r="D34">
            <v>5400000</v>
          </cell>
          <cell r="E34">
            <v>4800000</v>
          </cell>
          <cell r="F34">
            <v>6600000</v>
          </cell>
          <cell r="G34">
            <v>7200000</v>
          </cell>
          <cell r="H34">
            <v>1800000</v>
          </cell>
          <cell r="I34">
            <v>16200000</v>
          </cell>
          <cell r="J34">
            <v>8400000</v>
          </cell>
          <cell r="K34">
            <v>4800000</v>
          </cell>
          <cell r="L34">
            <v>0</v>
          </cell>
          <cell r="M34">
            <v>0</v>
          </cell>
          <cell r="N34">
            <v>16800000</v>
          </cell>
          <cell r="O34">
            <v>4200000</v>
          </cell>
          <cell r="P34">
            <v>3600000</v>
          </cell>
          <cell r="Q34">
            <v>0</v>
          </cell>
          <cell r="R34">
            <v>79800000</v>
          </cell>
          <cell r="S34">
            <v>3000000</v>
          </cell>
          <cell r="T34">
            <v>13200000</v>
          </cell>
          <cell r="U34">
            <v>8400000</v>
          </cell>
          <cell r="V34">
            <v>1200000</v>
          </cell>
          <cell r="W34">
            <v>1800000</v>
          </cell>
          <cell r="X34">
            <v>6600000</v>
          </cell>
          <cell r="Y34">
            <v>2400000</v>
          </cell>
          <cell r="Z34">
            <v>0</v>
          </cell>
          <cell r="AA34">
            <v>0</v>
          </cell>
          <cell r="AB34">
            <v>1200000</v>
          </cell>
          <cell r="AC34">
            <v>6000000</v>
          </cell>
          <cell r="AD34">
            <v>31200000</v>
          </cell>
          <cell r="AE34">
            <v>0</v>
          </cell>
          <cell r="AF34">
            <v>0</v>
          </cell>
          <cell r="AG34">
            <v>75000000</v>
          </cell>
          <cell r="AH34">
            <v>154800000</v>
          </cell>
          <cell r="AI34">
            <v>1200000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10800000</v>
          </cell>
          <cell r="AR34">
            <v>0</v>
          </cell>
          <cell r="AS34">
            <v>0</v>
          </cell>
          <cell r="AT34">
            <v>1200000</v>
          </cell>
          <cell r="AU34">
            <v>13200000</v>
          </cell>
          <cell r="AV34">
            <v>168000000</v>
          </cell>
        </row>
        <row r="35">
          <cell r="A35">
            <v>7234000</v>
          </cell>
          <cell r="B35" t="str">
            <v>هزينه سفروماموريت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365915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365915</v>
          </cell>
          <cell r="S35">
            <v>0</v>
          </cell>
          <cell r="T35">
            <v>495915</v>
          </cell>
          <cell r="U35">
            <v>1471878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711266</v>
          </cell>
          <cell r="AD35">
            <v>753613</v>
          </cell>
          <cell r="AE35">
            <v>0</v>
          </cell>
          <cell r="AF35">
            <v>0</v>
          </cell>
          <cell r="AG35">
            <v>3432672</v>
          </cell>
          <cell r="AH35">
            <v>3798587</v>
          </cell>
          <cell r="AI35">
            <v>87991877</v>
          </cell>
          <cell r="AJ35">
            <v>131753000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41650000</v>
          </cell>
          <cell r="AU35">
            <v>261394877</v>
          </cell>
          <cell r="AV35">
            <v>265193464</v>
          </cell>
        </row>
        <row r="36">
          <cell r="A36">
            <v>7235000</v>
          </cell>
          <cell r="B36" t="str">
            <v>هزينه پوشاك</v>
          </cell>
          <cell r="C36">
            <v>0</v>
          </cell>
          <cell r="D36">
            <v>0</v>
          </cell>
          <cell r="E36">
            <v>316067</v>
          </cell>
          <cell r="F36">
            <v>0</v>
          </cell>
          <cell r="G36">
            <v>0</v>
          </cell>
          <cell r="H36">
            <v>0</v>
          </cell>
          <cell r="I36">
            <v>3402000</v>
          </cell>
          <cell r="J36">
            <v>52000</v>
          </cell>
          <cell r="K36">
            <v>305509</v>
          </cell>
          <cell r="L36">
            <v>0</v>
          </cell>
          <cell r="M36">
            <v>0</v>
          </cell>
          <cell r="N36">
            <v>2145775</v>
          </cell>
          <cell r="O36">
            <v>0</v>
          </cell>
          <cell r="P36">
            <v>0</v>
          </cell>
          <cell r="Q36">
            <v>5714500</v>
          </cell>
          <cell r="R36">
            <v>11935851</v>
          </cell>
          <cell r="S36">
            <v>0</v>
          </cell>
          <cell r="T36">
            <v>51086000</v>
          </cell>
          <cell r="U36">
            <v>2012000</v>
          </cell>
          <cell r="V36">
            <v>0</v>
          </cell>
          <cell r="W36">
            <v>1065444</v>
          </cell>
          <cell r="X36">
            <v>1116875</v>
          </cell>
          <cell r="Y36">
            <v>151375</v>
          </cell>
          <cell r="Z36">
            <v>2250000</v>
          </cell>
          <cell r="AA36">
            <v>0</v>
          </cell>
          <cell r="AB36">
            <v>2250000</v>
          </cell>
          <cell r="AC36">
            <v>5540000</v>
          </cell>
          <cell r="AD36">
            <v>126975446</v>
          </cell>
          <cell r="AE36">
            <v>0</v>
          </cell>
          <cell r="AF36">
            <v>280000</v>
          </cell>
          <cell r="AG36">
            <v>192727140</v>
          </cell>
          <cell r="AH36">
            <v>204662991</v>
          </cell>
          <cell r="AI36">
            <v>0</v>
          </cell>
          <cell r="AJ36">
            <v>750000</v>
          </cell>
          <cell r="AK36">
            <v>313375</v>
          </cell>
          <cell r="AL36">
            <v>1500000</v>
          </cell>
          <cell r="AM36">
            <v>0</v>
          </cell>
          <cell r="AN36">
            <v>0</v>
          </cell>
          <cell r="AO36">
            <v>750000</v>
          </cell>
          <cell r="AP36">
            <v>2510000</v>
          </cell>
          <cell r="AQ36">
            <v>2250000</v>
          </cell>
          <cell r="AR36">
            <v>14750000</v>
          </cell>
          <cell r="AS36">
            <v>1270000</v>
          </cell>
          <cell r="AT36">
            <v>6095000</v>
          </cell>
          <cell r="AU36">
            <v>30188375</v>
          </cell>
          <cell r="AV36">
            <v>234851366</v>
          </cell>
        </row>
        <row r="37">
          <cell r="A37">
            <v>7236000</v>
          </cell>
          <cell r="B37" t="str">
            <v>هزينه هاي ورزشي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26574800</v>
          </cell>
          <cell r="AE37">
            <v>0</v>
          </cell>
          <cell r="AF37">
            <v>0</v>
          </cell>
          <cell r="AG37">
            <v>26574800</v>
          </cell>
          <cell r="AH37">
            <v>26574800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26574800</v>
          </cell>
        </row>
        <row r="38">
          <cell r="A38">
            <v>7237000</v>
          </cell>
          <cell r="B38" t="str">
            <v>هزينه هاي آموزشي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2200000</v>
          </cell>
          <cell r="O38">
            <v>0</v>
          </cell>
          <cell r="P38">
            <v>0</v>
          </cell>
          <cell r="Q38">
            <v>550000</v>
          </cell>
          <cell r="R38">
            <v>2750000</v>
          </cell>
          <cell r="S38">
            <v>0</v>
          </cell>
          <cell r="T38">
            <v>4512000</v>
          </cell>
          <cell r="U38">
            <v>0</v>
          </cell>
          <cell r="V38">
            <v>2625000</v>
          </cell>
          <cell r="W38">
            <v>11000000</v>
          </cell>
          <cell r="X38">
            <v>72500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18209500</v>
          </cell>
          <cell r="AH38">
            <v>20959500</v>
          </cell>
          <cell r="AI38">
            <v>550000</v>
          </cell>
          <cell r="AJ38">
            <v>2750000</v>
          </cell>
          <cell r="AK38">
            <v>3300000</v>
          </cell>
          <cell r="AL38">
            <v>3035000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315789</v>
          </cell>
          <cell r="AT38">
            <v>2124232</v>
          </cell>
          <cell r="AU38">
            <v>12075021</v>
          </cell>
          <cell r="AV38">
            <v>33034521</v>
          </cell>
        </row>
        <row r="39">
          <cell r="A39" t="str">
            <v>جمع سایر هزینه های کارکنان</v>
          </cell>
          <cell r="C39">
            <v>9770125</v>
          </cell>
          <cell r="D39">
            <v>41567372</v>
          </cell>
          <cell r="E39">
            <v>40673282</v>
          </cell>
          <cell r="F39">
            <v>27935832</v>
          </cell>
          <cell r="G39">
            <v>57681804</v>
          </cell>
          <cell r="H39">
            <v>20079032</v>
          </cell>
          <cell r="I39">
            <v>78622291</v>
          </cell>
          <cell r="J39">
            <v>39012836</v>
          </cell>
          <cell r="K39">
            <v>19909537</v>
          </cell>
          <cell r="L39">
            <v>0</v>
          </cell>
          <cell r="M39">
            <v>10953594</v>
          </cell>
          <cell r="N39">
            <v>75071449</v>
          </cell>
          <cell r="O39">
            <v>9300000</v>
          </cell>
          <cell r="P39">
            <v>6900000</v>
          </cell>
          <cell r="Q39">
            <v>25060075</v>
          </cell>
          <cell r="R39">
            <v>462537229</v>
          </cell>
          <cell r="S39">
            <v>25902656</v>
          </cell>
          <cell r="T39">
            <v>149398790</v>
          </cell>
          <cell r="U39">
            <v>170941542</v>
          </cell>
          <cell r="V39">
            <v>34021802</v>
          </cell>
          <cell r="W39">
            <v>221637285</v>
          </cell>
          <cell r="X39">
            <v>100987854</v>
          </cell>
          <cell r="Y39">
            <v>11901965</v>
          </cell>
          <cell r="Z39">
            <v>61534174</v>
          </cell>
          <cell r="AA39">
            <v>2750032</v>
          </cell>
          <cell r="AB39">
            <v>65408792</v>
          </cell>
          <cell r="AC39">
            <v>30344291</v>
          </cell>
          <cell r="AD39">
            <v>233060462</v>
          </cell>
          <cell r="AE39">
            <v>1628639545</v>
          </cell>
          <cell r="AF39">
            <v>1216412380</v>
          </cell>
          <cell r="AG39">
            <v>3952941570</v>
          </cell>
          <cell r="AH39">
            <v>4415478799</v>
          </cell>
          <cell r="AI39">
            <v>787783219</v>
          </cell>
          <cell r="AJ39">
            <v>240871617</v>
          </cell>
          <cell r="AK39">
            <v>66619795</v>
          </cell>
          <cell r="AL39">
            <v>4745000</v>
          </cell>
          <cell r="AM39">
            <v>14557872</v>
          </cell>
          <cell r="AN39">
            <v>0</v>
          </cell>
          <cell r="AO39">
            <v>39973575</v>
          </cell>
          <cell r="AP39">
            <v>206321080</v>
          </cell>
          <cell r="AQ39">
            <v>54665821</v>
          </cell>
          <cell r="AR39">
            <v>23296000</v>
          </cell>
          <cell r="AS39">
            <v>15899548</v>
          </cell>
          <cell r="AT39">
            <v>195728783</v>
          </cell>
          <cell r="AU39">
            <v>1650462310</v>
          </cell>
          <cell r="AV39">
            <v>6065941109</v>
          </cell>
        </row>
        <row r="40">
          <cell r="A40" t="str">
            <v>جمع هزینه های کارکنان</v>
          </cell>
          <cell r="C40">
            <v>68899029</v>
          </cell>
          <cell r="D40">
            <v>536327237</v>
          </cell>
          <cell r="E40">
            <v>559896040</v>
          </cell>
          <cell r="F40">
            <v>331341245</v>
          </cell>
          <cell r="G40">
            <v>541985111</v>
          </cell>
          <cell r="H40">
            <v>315390461</v>
          </cell>
          <cell r="I40">
            <v>798519380</v>
          </cell>
          <cell r="J40">
            <v>537666128</v>
          </cell>
          <cell r="K40">
            <v>261757517</v>
          </cell>
          <cell r="L40">
            <v>0</v>
          </cell>
          <cell r="M40">
            <v>151475049</v>
          </cell>
          <cell r="N40">
            <v>554704275</v>
          </cell>
          <cell r="O40">
            <v>65198543</v>
          </cell>
          <cell r="P40">
            <v>57854112</v>
          </cell>
          <cell r="Q40">
            <v>81875601</v>
          </cell>
          <cell r="R40">
            <v>4862889728</v>
          </cell>
          <cell r="S40">
            <v>288429633</v>
          </cell>
          <cell r="T40">
            <v>942425015</v>
          </cell>
          <cell r="U40">
            <v>2141630043</v>
          </cell>
          <cell r="V40">
            <v>279831537</v>
          </cell>
          <cell r="W40">
            <v>2411427494</v>
          </cell>
          <cell r="X40">
            <v>853650478</v>
          </cell>
          <cell r="Y40">
            <v>102820276</v>
          </cell>
          <cell r="Z40">
            <v>437496776</v>
          </cell>
          <cell r="AA40">
            <v>31573870</v>
          </cell>
          <cell r="AB40">
            <v>661432605</v>
          </cell>
          <cell r="AC40">
            <v>404433467</v>
          </cell>
          <cell r="AD40">
            <v>740358806</v>
          </cell>
          <cell r="AE40">
            <v>1628639545</v>
          </cell>
          <cell r="AF40">
            <v>1250848667</v>
          </cell>
          <cell r="AG40">
            <v>12174998212</v>
          </cell>
          <cell r="AH40">
            <v>12637535441</v>
          </cell>
          <cell r="AI40">
            <v>2676783800</v>
          </cell>
          <cell r="AJ40">
            <v>798662650</v>
          </cell>
          <cell r="AK40">
            <v>636942379</v>
          </cell>
          <cell r="AL40">
            <v>4745000</v>
          </cell>
          <cell r="AM40">
            <v>176764251</v>
          </cell>
          <cell r="AN40">
            <v>0</v>
          </cell>
          <cell r="AO40">
            <v>278076619</v>
          </cell>
          <cell r="AP40">
            <v>1142372239</v>
          </cell>
          <cell r="AQ40">
            <v>345750056</v>
          </cell>
          <cell r="AR40">
            <v>29796000</v>
          </cell>
          <cell r="AS40">
            <v>122410798</v>
          </cell>
          <cell r="AT40">
            <v>980214572</v>
          </cell>
          <cell r="AU40">
            <v>7192518364</v>
          </cell>
          <cell r="AV40">
            <v>24230406304</v>
          </cell>
        </row>
        <row r="41">
          <cell r="A41">
            <v>7313000</v>
          </cell>
          <cell r="B41" t="str">
            <v>هزينه سربار مواد اوليه</v>
          </cell>
          <cell r="C41">
            <v>0</v>
          </cell>
          <cell r="D41">
            <v>24649971</v>
          </cell>
          <cell r="E41">
            <v>105881933</v>
          </cell>
          <cell r="F41">
            <v>46742865</v>
          </cell>
          <cell r="G41">
            <v>33577631</v>
          </cell>
          <cell r="H41">
            <v>272500</v>
          </cell>
          <cell r="I41">
            <v>9056107</v>
          </cell>
          <cell r="J41">
            <v>744756</v>
          </cell>
          <cell r="K41">
            <v>5405683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3854277</v>
          </cell>
          <cell r="R41">
            <v>230185723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79261722</v>
          </cell>
          <cell r="X41">
            <v>0</v>
          </cell>
          <cell r="Y41">
            <v>4286093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83547815</v>
          </cell>
          <cell r="AH41">
            <v>313733538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313733538</v>
          </cell>
        </row>
        <row r="42">
          <cell r="A42">
            <v>7314000</v>
          </cell>
          <cell r="B42" t="str">
            <v>هزينه  سربار مواد بسته بندي</v>
          </cell>
          <cell r="C42">
            <v>0</v>
          </cell>
          <cell r="D42">
            <v>0</v>
          </cell>
          <cell r="E42">
            <v>5634121</v>
          </cell>
          <cell r="F42">
            <v>2015215</v>
          </cell>
          <cell r="G42">
            <v>4660647</v>
          </cell>
          <cell r="H42">
            <v>0</v>
          </cell>
          <cell r="I42">
            <v>1690210</v>
          </cell>
          <cell r="J42">
            <v>632021</v>
          </cell>
          <cell r="K42">
            <v>1648468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2047827</v>
          </cell>
          <cell r="R42">
            <v>18328509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12530197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12530197</v>
          </cell>
          <cell r="AH42">
            <v>30858706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30858706</v>
          </cell>
        </row>
        <row r="43">
          <cell r="A43">
            <v>7316000</v>
          </cell>
          <cell r="B43" t="str">
            <v>هزينه سربار مواد اوليه (افشانه ها )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1487404</v>
          </cell>
          <cell r="P43">
            <v>0</v>
          </cell>
          <cell r="Q43">
            <v>0</v>
          </cell>
          <cell r="R43">
            <v>1487404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42672949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1387961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44060910</v>
          </cell>
          <cell r="AH43">
            <v>45548314</v>
          </cell>
          <cell r="AI43">
            <v>0</v>
          </cell>
          <cell r="AJ43">
            <v>0</v>
          </cell>
          <cell r="AK43">
            <v>91667111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91667111</v>
          </cell>
          <cell r="AV43">
            <v>137215425</v>
          </cell>
        </row>
        <row r="44">
          <cell r="A44">
            <v>7317000</v>
          </cell>
          <cell r="B44" t="str">
            <v>هزينه  سربار  بسته بندي (افشا نه ها )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1701000</v>
          </cell>
          <cell r="P44">
            <v>7710540</v>
          </cell>
          <cell r="Q44">
            <v>0</v>
          </cell>
          <cell r="R44">
            <v>9411540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291357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291357</v>
          </cell>
          <cell r="AH44">
            <v>9702897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9702897</v>
          </cell>
        </row>
        <row r="45">
          <cell r="A45">
            <v>7319000</v>
          </cell>
          <cell r="B45" t="str">
            <v>تعميرونگهداري ساختمان وتاسيسات</v>
          </cell>
          <cell r="C45">
            <v>0</v>
          </cell>
          <cell r="D45">
            <v>1090000</v>
          </cell>
          <cell r="E45">
            <v>12502500</v>
          </cell>
          <cell r="F45">
            <v>0</v>
          </cell>
          <cell r="G45">
            <v>0</v>
          </cell>
          <cell r="H45">
            <v>0</v>
          </cell>
          <cell r="I45">
            <v>930000</v>
          </cell>
          <cell r="J45">
            <v>584000</v>
          </cell>
          <cell r="K45">
            <v>0</v>
          </cell>
          <cell r="L45">
            <v>0</v>
          </cell>
          <cell r="M45">
            <v>0</v>
          </cell>
          <cell r="N45">
            <v>18150000</v>
          </cell>
          <cell r="O45">
            <v>0</v>
          </cell>
          <cell r="P45">
            <v>0</v>
          </cell>
          <cell r="Q45">
            <v>7130000</v>
          </cell>
          <cell r="R45">
            <v>40386500</v>
          </cell>
          <cell r="S45">
            <v>0</v>
          </cell>
          <cell r="T45">
            <v>0</v>
          </cell>
          <cell r="U45">
            <v>698195122</v>
          </cell>
          <cell r="V45">
            <v>7048000</v>
          </cell>
          <cell r="W45">
            <v>13500000</v>
          </cell>
          <cell r="X45">
            <v>24115000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4377000</v>
          </cell>
          <cell r="AD45">
            <v>0</v>
          </cell>
          <cell r="AE45">
            <v>0</v>
          </cell>
          <cell r="AF45">
            <v>0</v>
          </cell>
          <cell r="AG45">
            <v>747235122</v>
          </cell>
          <cell r="AH45">
            <v>787621622</v>
          </cell>
          <cell r="AI45">
            <v>14273333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6000000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5000000</v>
          </cell>
          <cell r="AU45">
            <v>25273333</v>
          </cell>
          <cell r="AV45">
            <v>812894955</v>
          </cell>
        </row>
        <row r="46">
          <cell r="A46">
            <v>7320000</v>
          </cell>
          <cell r="B46" t="str">
            <v>تعميرونگهداري ماشين آلات</v>
          </cell>
          <cell r="C46">
            <v>0</v>
          </cell>
          <cell r="D46">
            <v>38443737</v>
          </cell>
          <cell r="E46">
            <v>17198950</v>
          </cell>
          <cell r="F46">
            <v>17116150</v>
          </cell>
          <cell r="G46">
            <v>68005594</v>
          </cell>
          <cell r="H46">
            <v>595040</v>
          </cell>
          <cell r="I46">
            <v>28099791</v>
          </cell>
          <cell r="J46">
            <v>497420</v>
          </cell>
          <cell r="K46">
            <v>370000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3189636</v>
          </cell>
          <cell r="R46">
            <v>173516318</v>
          </cell>
          <cell r="S46">
            <v>0</v>
          </cell>
          <cell r="T46">
            <v>0</v>
          </cell>
          <cell r="U46">
            <v>81186078</v>
          </cell>
          <cell r="V46">
            <v>43634472</v>
          </cell>
          <cell r="W46">
            <v>485527</v>
          </cell>
          <cell r="X46">
            <v>545354</v>
          </cell>
          <cell r="Y46">
            <v>1424500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60000</v>
          </cell>
          <cell r="AF46">
            <v>0</v>
          </cell>
          <cell r="AG46">
            <v>127335931</v>
          </cell>
          <cell r="AH46">
            <v>300852249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11625</v>
          </cell>
          <cell r="AR46">
            <v>0</v>
          </cell>
          <cell r="AS46">
            <v>0</v>
          </cell>
          <cell r="AT46">
            <v>0</v>
          </cell>
          <cell r="AU46">
            <v>11625</v>
          </cell>
          <cell r="AV46">
            <v>300863874</v>
          </cell>
        </row>
        <row r="47">
          <cell r="A47">
            <v>7321000</v>
          </cell>
          <cell r="B47" t="str">
            <v>تعميرونگهداري وسائطنقليه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12433685</v>
          </cell>
          <cell r="V47">
            <v>0</v>
          </cell>
          <cell r="W47">
            <v>50000</v>
          </cell>
          <cell r="X47">
            <v>14132288</v>
          </cell>
          <cell r="Y47">
            <v>0</v>
          </cell>
          <cell r="Z47">
            <v>0</v>
          </cell>
          <cell r="AA47">
            <v>0</v>
          </cell>
          <cell r="AB47">
            <v>7992000</v>
          </cell>
          <cell r="AC47">
            <v>0</v>
          </cell>
          <cell r="AD47">
            <v>885000</v>
          </cell>
          <cell r="AE47">
            <v>0</v>
          </cell>
          <cell r="AF47">
            <v>0</v>
          </cell>
          <cell r="AG47">
            <v>35492973</v>
          </cell>
          <cell r="AH47">
            <v>35492973</v>
          </cell>
          <cell r="AI47">
            <v>0</v>
          </cell>
          <cell r="AJ47">
            <v>7084180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530000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7614180</v>
          </cell>
          <cell r="AV47">
            <v>43107153</v>
          </cell>
        </row>
        <row r="48">
          <cell r="A48">
            <v>7322000</v>
          </cell>
          <cell r="B48" t="str">
            <v>تعميرونگهداري اثاثيه ومنصوبات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1186790</v>
          </cell>
          <cell r="O48">
            <v>0</v>
          </cell>
          <cell r="P48">
            <v>0</v>
          </cell>
          <cell r="Q48">
            <v>0</v>
          </cell>
          <cell r="R48">
            <v>1186790</v>
          </cell>
          <cell r="S48">
            <v>0</v>
          </cell>
          <cell r="T48">
            <v>300000</v>
          </cell>
          <cell r="U48">
            <v>25695500</v>
          </cell>
          <cell r="V48">
            <v>0</v>
          </cell>
          <cell r="W48">
            <v>3000000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200000</v>
          </cell>
          <cell r="AC48">
            <v>0</v>
          </cell>
          <cell r="AD48">
            <v>4562862</v>
          </cell>
          <cell r="AE48">
            <v>0</v>
          </cell>
          <cell r="AF48">
            <v>0</v>
          </cell>
          <cell r="AG48">
            <v>33758362</v>
          </cell>
          <cell r="AH48">
            <v>34945152</v>
          </cell>
          <cell r="AI48">
            <v>16578496</v>
          </cell>
          <cell r="AJ48">
            <v>465000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2990000</v>
          </cell>
          <cell r="AP48">
            <v>1617000</v>
          </cell>
          <cell r="AQ48">
            <v>2686000</v>
          </cell>
          <cell r="AR48">
            <v>0</v>
          </cell>
          <cell r="AS48">
            <v>0</v>
          </cell>
          <cell r="AT48">
            <v>8390000</v>
          </cell>
          <cell r="AU48">
            <v>32726496</v>
          </cell>
          <cell r="AV48">
            <v>67671648</v>
          </cell>
        </row>
        <row r="49">
          <cell r="A49">
            <v>7323000</v>
          </cell>
          <cell r="B49" t="str">
            <v>تعميرونگهداري سايردارائيها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2910000</v>
          </cell>
          <cell r="V49">
            <v>0</v>
          </cell>
          <cell r="W49">
            <v>152750000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155660000</v>
          </cell>
          <cell r="AH49">
            <v>155660000</v>
          </cell>
          <cell r="AI49">
            <v>0</v>
          </cell>
          <cell r="AJ49">
            <v>0</v>
          </cell>
          <cell r="AK49">
            <v>30900000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9050000</v>
          </cell>
          <cell r="AU49">
            <v>39950000</v>
          </cell>
          <cell r="AV49">
            <v>195610000</v>
          </cell>
        </row>
        <row r="50">
          <cell r="A50">
            <v>7324000</v>
          </cell>
          <cell r="B50" t="str">
            <v>هزينه موادوملزومات مصرفي</v>
          </cell>
          <cell r="C50">
            <v>0</v>
          </cell>
          <cell r="D50">
            <v>15233050</v>
          </cell>
          <cell r="E50">
            <v>9975555</v>
          </cell>
          <cell r="F50">
            <v>8919944</v>
          </cell>
          <cell r="G50">
            <v>9369887</v>
          </cell>
          <cell r="H50">
            <v>11917360</v>
          </cell>
          <cell r="I50">
            <v>45670000</v>
          </cell>
          <cell r="J50">
            <v>6556505</v>
          </cell>
          <cell r="K50">
            <v>5254671</v>
          </cell>
          <cell r="L50">
            <v>0</v>
          </cell>
          <cell r="M50">
            <v>0</v>
          </cell>
          <cell r="N50">
            <v>80291065</v>
          </cell>
          <cell r="O50">
            <v>0</v>
          </cell>
          <cell r="P50">
            <v>0</v>
          </cell>
          <cell r="Q50">
            <v>56548412</v>
          </cell>
          <cell r="R50">
            <v>249736449</v>
          </cell>
          <cell r="S50">
            <v>2278005</v>
          </cell>
          <cell r="T50">
            <v>90078375</v>
          </cell>
          <cell r="U50">
            <v>242585094</v>
          </cell>
          <cell r="V50">
            <v>31210944</v>
          </cell>
          <cell r="W50">
            <v>295503389</v>
          </cell>
          <cell r="X50">
            <v>30328537</v>
          </cell>
          <cell r="Y50">
            <v>21623161</v>
          </cell>
          <cell r="Z50">
            <v>5212950</v>
          </cell>
          <cell r="AA50">
            <v>2910884</v>
          </cell>
          <cell r="AB50">
            <v>12569942</v>
          </cell>
          <cell r="AC50">
            <v>5838177</v>
          </cell>
          <cell r="AD50">
            <v>177521411</v>
          </cell>
          <cell r="AE50">
            <v>8630200</v>
          </cell>
          <cell r="AF50">
            <v>1990000</v>
          </cell>
          <cell r="AG50">
            <v>928281069</v>
          </cell>
          <cell r="AH50">
            <v>1178017518</v>
          </cell>
          <cell r="AI50">
            <v>47951149</v>
          </cell>
          <cell r="AJ50">
            <v>6103400</v>
          </cell>
          <cell r="AK50">
            <v>407400194</v>
          </cell>
          <cell r="AL50">
            <v>4923994</v>
          </cell>
          <cell r="AM50">
            <v>0</v>
          </cell>
          <cell r="AN50">
            <v>0</v>
          </cell>
          <cell r="AO50">
            <v>66515801</v>
          </cell>
          <cell r="AP50">
            <v>8323759</v>
          </cell>
          <cell r="AQ50">
            <v>37409166</v>
          </cell>
          <cell r="AR50">
            <v>0</v>
          </cell>
          <cell r="AS50">
            <v>11070014</v>
          </cell>
          <cell r="AT50">
            <v>94357077</v>
          </cell>
          <cell r="AU50">
            <v>684054554</v>
          </cell>
          <cell r="AV50">
            <v>1862072072</v>
          </cell>
        </row>
        <row r="51">
          <cell r="A51">
            <v>7350000</v>
          </cell>
          <cell r="B51" t="str">
            <v xml:space="preserve">هزينه حق المشاوره حقوقي 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27526800</v>
          </cell>
          <cell r="AC51">
            <v>23020200</v>
          </cell>
          <cell r="AD51">
            <v>24901239</v>
          </cell>
          <cell r="AE51">
            <v>0</v>
          </cell>
          <cell r="AF51">
            <v>0</v>
          </cell>
          <cell r="AG51">
            <v>75448239</v>
          </cell>
          <cell r="AH51">
            <v>75448239</v>
          </cell>
          <cell r="AI51">
            <v>45521329</v>
          </cell>
          <cell r="AJ51">
            <v>434430000</v>
          </cell>
          <cell r="AK51">
            <v>112653750</v>
          </cell>
          <cell r="AL51">
            <v>0</v>
          </cell>
          <cell r="AM51">
            <v>0</v>
          </cell>
          <cell r="AN51">
            <v>76028068</v>
          </cell>
          <cell r="AO51">
            <v>0</v>
          </cell>
          <cell r="AP51">
            <v>17490000</v>
          </cell>
          <cell r="AQ51">
            <v>19845000</v>
          </cell>
          <cell r="AR51">
            <v>0</v>
          </cell>
          <cell r="AS51">
            <v>18659775</v>
          </cell>
          <cell r="AT51">
            <v>21713430</v>
          </cell>
          <cell r="AU51">
            <v>746341352</v>
          </cell>
          <cell r="AV51">
            <v>821789591</v>
          </cell>
        </row>
        <row r="52">
          <cell r="A52">
            <v>7376000</v>
          </cell>
          <cell r="B52" t="str">
            <v>هزينه اجاره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22050000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22050000</v>
          </cell>
          <cell r="AV52">
            <v>22050000</v>
          </cell>
        </row>
        <row r="53">
          <cell r="A53">
            <v>7325000</v>
          </cell>
          <cell r="B53" t="str">
            <v>هزينه ضايعات مواد اوليه وبسته بندي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249222092</v>
          </cell>
          <cell r="AE53">
            <v>0</v>
          </cell>
          <cell r="AF53">
            <v>0</v>
          </cell>
          <cell r="AG53">
            <v>249222092</v>
          </cell>
          <cell r="AH53">
            <v>249222092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249222092</v>
          </cell>
        </row>
        <row r="54">
          <cell r="A54">
            <v>7353000</v>
          </cell>
          <cell r="B54" t="str">
            <v>تعديل انبارگرداني ومصرف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</row>
        <row r="55">
          <cell r="A55">
            <v>7355000</v>
          </cell>
          <cell r="B55" t="str">
            <v>هزينه حق الزحمه هيات مديره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40500000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40500000</v>
          </cell>
          <cell r="AV55">
            <v>40500000</v>
          </cell>
        </row>
        <row r="56">
          <cell r="A56">
            <v>7356000</v>
          </cell>
          <cell r="B56" t="str">
            <v>هزينه هاي ثبتي ومحضري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800000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800000</v>
          </cell>
          <cell r="AH56">
            <v>800000</v>
          </cell>
          <cell r="AI56">
            <v>2605263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31860000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800000</v>
          </cell>
          <cell r="AU56">
            <v>35265263</v>
          </cell>
          <cell r="AV56">
            <v>36065263</v>
          </cell>
        </row>
        <row r="57">
          <cell r="A57">
            <v>7357000</v>
          </cell>
          <cell r="B57" t="str">
            <v>هزينه هاي عوارض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359000</v>
          </cell>
          <cell r="AC57">
            <v>0</v>
          </cell>
          <cell r="AD57">
            <v>378208000</v>
          </cell>
          <cell r="AE57">
            <v>0</v>
          </cell>
          <cell r="AF57">
            <v>0</v>
          </cell>
          <cell r="AG57">
            <v>378567000</v>
          </cell>
          <cell r="AH57">
            <v>378567000</v>
          </cell>
          <cell r="AI57">
            <v>192000</v>
          </cell>
          <cell r="AJ57">
            <v>3219000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125000</v>
          </cell>
          <cell r="AT57">
            <v>0</v>
          </cell>
          <cell r="AU57">
            <v>3536000</v>
          </cell>
          <cell r="AV57">
            <v>382103000</v>
          </cell>
        </row>
        <row r="58">
          <cell r="A58">
            <v>7359000</v>
          </cell>
          <cell r="B58" t="str">
            <v>يك درصدبازآموزي ونوآموزي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88888888</v>
          </cell>
          <cell r="AL58">
            <v>0</v>
          </cell>
          <cell r="AM58">
            <v>0</v>
          </cell>
          <cell r="AN58">
            <v>844520561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933409449</v>
          </cell>
          <cell r="AV58">
            <v>933409449</v>
          </cell>
        </row>
        <row r="59">
          <cell r="A59">
            <v>7361000</v>
          </cell>
          <cell r="B59" t="str">
            <v>هزينه هاي آزمايشگاهي مواد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2200000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3300000</v>
          </cell>
          <cell r="AU59">
            <v>5500000</v>
          </cell>
          <cell r="AV59">
            <v>5500000</v>
          </cell>
        </row>
        <row r="60">
          <cell r="A60">
            <v>7364000</v>
          </cell>
          <cell r="B60" t="str">
            <v>هزينه حمل ونگهداري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150000</v>
          </cell>
          <cell r="O60">
            <v>0</v>
          </cell>
          <cell r="P60">
            <v>0</v>
          </cell>
          <cell r="Q60">
            <v>60000</v>
          </cell>
          <cell r="R60">
            <v>210000</v>
          </cell>
          <cell r="S60">
            <v>0</v>
          </cell>
          <cell r="T60">
            <v>0</v>
          </cell>
          <cell r="U60">
            <v>21461820</v>
          </cell>
          <cell r="V60">
            <v>0</v>
          </cell>
          <cell r="W60">
            <v>1500000</v>
          </cell>
          <cell r="X60">
            <v>173313368</v>
          </cell>
          <cell r="Y60">
            <v>410000</v>
          </cell>
          <cell r="Z60">
            <v>0</v>
          </cell>
          <cell r="AA60">
            <v>0</v>
          </cell>
          <cell r="AB60">
            <v>115000</v>
          </cell>
          <cell r="AC60">
            <v>0</v>
          </cell>
          <cell r="AD60">
            <v>18987000</v>
          </cell>
          <cell r="AE60">
            <v>0</v>
          </cell>
          <cell r="AF60">
            <v>10730000</v>
          </cell>
          <cell r="AG60">
            <v>226517188</v>
          </cell>
          <cell r="AH60">
            <v>226727188</v>
          </cell>
          <cell r="AI60">
            <v>20149000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765000</v>
          </cell>
          <cell r="AP60">
            <v>575000</v>
          </cell>
          <cell r="AQ60">
            <v>5360000</v>
          </cell>
          <cell r="AR60">
            <v>0</v>
          </cell>
          <cell r="AS60">
            <v>9058394</v>
          </cell>
          <cell r="AT60">
            <v>890000</v>
          </cell>
          <cell r="AU60">
            <v>36797394</v>
          </cell>
          <cell r="AV60">
            <v>263524582</v>
          </cell>
        </row>
        <row r="61">
          <cell r="A61">
            <v>7365000</v>
          </cell>
          <cell r="B61" t="str">
            <v>هزينه كارآموزان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</row>
        <row r="62">
          <cell r="A62">
            <v>7367000</v>
          </cell>
          <cell r="B62" t="str">
            <v>هزينه حق عضويت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1339550</v>
          </cell>
          <cell r="AC62">
            <v>0</v>
          </cell>
          <cell r="AD62">
            <v>20000000</v>
          </cell>
          <cell r="AE62">
            <v>0</v>
          </cell>
          <cell r="AF62">
            <v>0</v>
          </cell>
          <cell r="AG62">
            <v>21339550</v>
          </cell>
          <cell r="AH62">
            <v>21339550</v>
          </cell>
          <cell r="AI62">
            <v>0</v>
          </cell>
          <cell r="AJ62">
            <v>0</v>
          </cell>
          <cell r="AK62">
            <v>9108000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9108000</v>
          </cell>
          <cell r="AV62">
            <v>30447550</v>
          </cell>
        </row>
        <row r="63">
          <cell r="A63">
            <v>7368000</v>
          </cell>
          <cell r="B63" t="str">
            <v>هزينه تبليغات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5000000</v>
          </cell>
          <cell r="AE63">
            <v>0</v>
          </cell>
          <cell r="AF63">
            <v>0</v>
          </cell>
          <cell r="AG63">
            <v>5000000</v>
          </cell>
          <cell r="AH63">
            <v>5000000</v>
          </cell>
          <cell r="AI63">
            <v>1722909525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1722909525</v>
          </cell>
          <cell r="AV63">
            <v>1727909525</v>
          </cell>
        </row>
        <row r="64">
          <cell r="A64">
            <v>7368100</v>
          </cell>
          <cell r="B64" t="str">
            <v>هزينه پورسانت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1232000000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1232000000</v>
          </cell>
          <cell r="AV64">
            <v>1232000000</v>
          </cell>
        </row>
        <row r="65">
          <cell r="A65">
            <v>7369000</v>
          </cell>
          <cell r="B65" t="str">
            <v>هزينه کارمزد بانکي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192000</v>
          </cell>
          <cell r="AC65">
            <v>0</v>
          </cell>
          <cell r="AD65">
            <v>11443861</v>
          </cell>
          <cell r="AE65">
            <v>0</v>
          </cell>
          <cell r="AF65">
            <v>0</v>
          </cell>
          <cell r="AG65">
            <v>11635861</v>
          </cell>
          <cell r="AH65">
            <v>11635861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3027133</v>
          </cell>
          <cell r="AO65">
            <v>0</v>
          </cell>
          <cell r="AP65">
            <v>150000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3177133</v>
          </cell>
          <cell r="AV65">
            <v>14812994</v>
          </cell>
        </row>
        <row r="66">
          <cell r="A66">
            <v>7372000</v>
          </cell>
          <cell r="B66" t="str">
            <v>هزينه مراسم وپذيرائي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4728000</v>
          </cell>
          <cell r="O66">
            <v>0</v>
          </cell>
          <cell r="P66">
            <v>0</v>
          </cell>
          <cell r="Q66">
            <v>0</v>
          </cell>
          <cell r="R66">
            <v>4728000</v>
          </cell>
          <cell r="S66">
            <v>0</v>
          </cell>
          <cell r="T66">
            <v>1802640</v>
          </cell>
          <cell r="U66">
            <v>787250</v>
          </cell>
          <cell r="V66">
            <v>0</v>
          </cell>
          <cell r="W66">
            <v>5040450</v>
          </cell>
          <cell r="X66">
            <v>2135000</v>
          </cell>
          <cell r="Y66">
            <v>0</v>
          </cell>
          <cell r="Z66">
            <v>0</v>
          </cell>
          <cell r="AA66">
            <v>0</v>
          </cell>
          <cell r="AB66">
            <v>655500</v>
          </cell>
          <cell r="AC66">
            <v>636000</v>
          </cell>
          <cell r="AD66">
            <v>72668127</v>
          </cell>
          <cell r="AE66">
            <v>4949200</v>
          </cell>
          <cell r="AF66">
            <v>1000000</v>
          </cell>
          <cell r="AG66">
            <v>89674167</v>
          </cell>
          <cell r="AH66">
            <v>94402167</v>
          </cell>
          <cell r="AI66">
            <v>51174738</v>
          </cell>
          <cell r="AJ66">
            <v>64843995</v>
          </cell>
          <cell r="AK66">
            <v>0</v>
          </cell>
          <cell r="AL66">
            <v>2967830</v>
          </cell>
          <cell r="AM66">
            <v>0</v>
          </cell>
          <cell r="AN66">
            <v>0</v>
          </cell>
          <cell r="AO66">
            <v>137000</v>
          </cell>
          <cell r="AP66">
            <v>7167490</v>
          </cell>
          <cell r="AQ66">
            <v>44790500</v>
          </cell>
          <cell r="AR66">
            <v>15695808</v>
          </cell>
          <cell r="AS66">
            <v>0</v>
          </cell>
          <cell r="AT66">
            <v>1687480</v>
          </cell>
          <cell r="AU66">
            <v>188464841</v>
          </cell>
          <cell r="AV66">
            <v>282867008</v>
          </cell>
        </row>
        <row r="67">
          <cell r="A67">
            <v>7373000</v>
          </cell>
          <cell r="B67" t="str">
            <v>هزينه اشتراک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1025295</v>
          </cell>
          <cell r="AE67">
            <v>0</v>
          </cell>
          <cell r="AF67">
            <v>0</v>
          </cell>
          <cell r="AG67">
            <v>1025295</v>
          </cell>
          <cell r="AH67">
            <v>1025295</v>
          </cell>
          <cell r="AI67">
            <v>11847589</v>
          </cell>
          <cell r="AJ67">
            <v>500000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56970000</v>
          </cell>
          <cell r="AP67">
            <v>5000000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74317589</v>
          </cell>
          <cell r="AV67">
            <v>75342884</v>
          </cell>
        </row>
        <row r="68">
          <cell r="A68">
            <v>7374001</v>
          </cell>
          <cell r="B68" t="str">
            <v>هزينه آب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5184000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5184000</v>
          </cell>
          <cell r="AH68">
            <v>5184000</v>
          </cell>
          <cell r="AI68">
            <v>967855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967855</v>
          </cell>
          <cell r="AV68">
            <v>6151855</v>
          </cell>
        </row>
        <row r="69">
          <cell r="A69">
            <v>7374002</v>
          </cell>
          <cell r="B69" t="str">
            <v>هزينه برق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329649599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329649599</v>
          </cell>
          <cell r="AH69">
            <v>329649599</v>
          </cell>
          <cell r="AI69">
            <v>6489761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6489761</v>
          </cell>
          <cell r="AV69">
            <v>336139360</v>
          </cell>
        </row>
        <row r="70">
          <cell r="A70">
            <v>7374003</v>
          </cell>
          <cell r="B70" t="str">
            <v>هزينه گاز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117982156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117982156</v>
          </cell>
          <cell r="AH70">
            <v>117982156</v>
          </cell>
          <cell r="AI70">
            <v>4541664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4541664</v>
          </cell>
          <cell r="AV70">
            <v>122523820</v>
          </cell>
        </row>
        <row r="71">
          <cell r="A71">
            <v>7374004</v>
          </cell>
          <cell r="B71" t="str">
            <v>هزينه سوخت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80000</v>
          </cell>
          <cell r="X71">
            <v>2530000</v>
          </cell>
          <cell r="Y71">
            <v>0</v>
          </cell>
          <cell r="Z71">
            <v>0</v>
          </cell>
          <cell r="AA71">
            <v>0</v>
          </cell>
          <cell r="AB71">
            <v>2888000</v>
          </cell>
          <cell r="AC71">
            <v>80000</v>
          </cell>
          <cell r="AD71">
            <v>570000</v>
          </cell>
          <cell r="AE71">
            <v>0</v>
          </cell>
          <cell r="AF71">
            <v>0</v>
          </cell>
          <cell r="AG71">
            <v>6148000</v>
          </cell>
          <cell r="AH71">
            <v>6148000</v>
          </cell>
          <cell r="AI71">
            <v>0</v>
          </cell>
          <cell r="AJ71">
            <v>10704000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1290000</v>
          </cell>
          <cell r="AQ71">
            <v>70000</v>
          </cell>
          <cell r="AR71">
            <v>0</v>
          </cell>
          <cell r="AS71">
            <v>340000</v>
          </cell>
          <cell r="AT71">
            <v>0</v>
          </cell>
          <cell r="AU71">
            <v>12404000</v>
          </cell>
          <cell r="AV71">
            <v>18552000</v>
          </cell>
        </row>
        <row r="72">
          <cell r="A72">
            <v>7374009</v>
          </cell>
          <cell r="B72" t="str">
            <v>هزينه تلفن -تلكس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14774045</v>
          </cell>
          <cell r="AE72">
            <v>0</v>
          </cell>
          <cell r="AF72">
            <v>0</v>
          </cell>
          <cell r="AG72">
            <v>14774045</v>
          </cell>
          <cell r="AH72">
            <v>14774045</v>
          </cell>
          <cell r="AI72">
            <v>3356718</v>
          </cell>
          <cell r="AJ72">
            <v>2087624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5444342</v>
          </cell>
          <cell r="AV72">
            <v>20218387</v>
          </cell>
        </row>
        <row r="73">
          <cell r="A73">
            <v>7377000</v>
          </cell>
          <cell r="B73" t="str">
            <v>هزينه مميزي    ISO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</row>
        <row r="74">
          <cell r="A74">
            <v>7375000</v>
          </cell>
          <cell r="B74" t="str">
            <v xml:space="preserve"> هزينه كارشناسان رسمي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10800000</v>
          </cell>
          <cell r="AE74">
            <v>0</v>
          </cell>
          <cell r="AF74">
            <v>0</v>
          </cell>
          <cell r="AG74">
            <v>10800000</v>
          </cell>
          <cell r="AH74">
            <v>10800000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10800000</v>
          </cell>
        </row>
        <row r="75">
          <cell r="A75">
            <v>7378000</v>
          </cell>
          <cell r="B75" t="str">
            <v>هزينه آگهي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32040000</v>
          </cell>
          <cell r="AE75">
            <v>0</v>
          </cell>
          <cell r="AF75">
            <v>0</v>
          </cell>
          <cell r="AG75">
            <v>32040000</v>
          </cell>
          <cell r="AH75">
            <v>32040000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41220000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41220000</v>
          </cell>
          <cell r="AV75">
            <v>73260000</v>
          </cell>
        </row>
        <row r="76">
          <cell r="A76">
            <v>7379000</v>
          </cell>
          <cell r="B76" t="str">
            <v>هزينه انتشارات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20000000</v>
          </cell>
          <cell r="AJ76">
            <v>4311200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33500000</v>
          </cell>
          <cell r="AU76">
            <v>57811200</v>
          </cell>
          <cell r="AV76">
            <v>57811200</v>
          </cell>
        </row>
        <row r="77">
          <cell r="A77">
            <v>7601001</v>
          </cell>
          <cell r="B77" t="str">
            <v xml:space="preserve"> سودوكارمزدتسهيلات مالي وسايرخدمات بانكي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</row>
        <row r="78">
          <cell r="A78">
            <v>7602000</v>
          </cell>
          <cell r="B78" t="str">
            <v xml:space="preserve"> هزينه تمبرسفته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</row>
        <row r="79">
          <cell r="A79">
            <v>7602001</v>
          </cell>
          <cell r="B79" t="str">
            <v xml:space="preserve"> هزينه تمبرسفته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</row>
        <row r="80">
          <cell r="A80">
            <v>7698001</v>
          </cell>
          <cell r="B80" t="str">
            <v xml:space="preserve"> سايرهزينه هاي تامين مالي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</row>
        <row r="81">
          <cell r="A81">
            <v>7704000</v>
          </cell>
          <cell r="B81" t="str">
            <v xml:space="preserve"> هزينه جرائم دولتي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</row>
        <row r="82">
          <cell r="A82">
            <v>7380010</v>
          </cell>
          <cell r="B82" t="str">
            <v>هزينه بيمه مسئوليت مدني کارفرما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</row>
        <row r="83">
          <cell r="A83" t="str">
            <v>جمع هزینه های عملیاتی</v>
          </cell>
          <cell r="C83">
            <v>0</v>
          </cell>
          <cell r="D83">
            <v>79416758</v>
          </cell>
          <cell r="E83">
            <v>151193059</v>
          </cell>
          <cell r="F83">
            <v>74794174</v>
          </cell>
          <cell r="G83">
            <v>115613759</v>
          </cell>
          <cell r="H83">
            <v>12784900</v>
          </cell>
          <cell r="I83">
            <v>85446108</v>
          </cell>
          <cell r="J83">
            <v>9014702</v>
          </cell>
          <cell r="K83">
            <v>12678822</v>
          </cell>
          <cell r="L83">
            <v>0</v>
          </cell>
          <cell r="M83">
            <v>0</v>
          </cell>
          <cell r="N83">
            <v>104505855</v>
          </cell>
          <cell r="O83">
            <v>3188404</v>
          </cell>
          <cell r="P83">
            <v>7710540</v>
          </cell>
          <cell r="Q83">
            <v>72830152</v>
          </cell>
          <cell r="R83">
            <v>729177233</v>
          </cell>
          <cell r="S83">
            <v>2278005</v>
          </cell>
          <cell r="T83">
            <v>92181015</v>
          </cell>
          <cell r="U83">
            <v>1538070304</v>
          </cell>
          <cell r="V83">
            <v>81893416</v>
          </cell>
          <cell r="W83">
            <v>606665591</v>
          </cell>
          <cell r="X83">
            <v>247099547</v>
          </cell>
          <cell r="Y83">
            <v>27743754</v>
          </cell>
          <cell r="Z83">
            <v>5212950</v>
          </cell>
          <cell r="AA83">
            <v>2910884</v>
          </cell>
          <cell r="AB83">
            <v>56025753</v>
          </cell>
          <cell r="AC83">
            <v>33951377</v>
          </cell>
          <cell r="AD83">
            <v>1022608932</v>
          </cell>
          <cell r="AE83">
            <v>13639400</v>
          </cell>
          <cell r="AF83">
            <v>13720000</v>
          </cell>
          <cell r="AG83">
            <v>3744000928</v>
          </cell>
          <cell r="AH83">
            <v>4473178161</v>
          </cell>
          <cell r="AI83">
            <v>3222608420</v>
          </cell>
          <cell r="AJ83">
            <v>574248399</v>
          </cell>
          <cell r="AK83">
            <v>742817943</v>
          </cell>
          <cell r="AL83">
            <v>7891824</v>
          </cell>
          <cell r="AM83">
            <v>0</v>
          </cell>
          <cell r="AN83">
            <v>996655762</v>
          </cell>
          <cell r="AO83">
            <v>133377801</v>
          </cell>
          <cell r="AP83">
            <v>42143249</v>
          </cell>
          <cell r="AQ83">
            <v>110172291</v>
          </cell>
          <cell r="AR83">
            <v>15695808</v>
          </cell>
          <cell r="AS83">
            <v>39253183</v>
          </cell>
          <cell r="AT83">
            <v>178687987</v>
          </cell>
          <cell r="AU83">
            <v>6063552667</v>
          </cell>
          <cell r="AV83">
            <v>10536730828</v>
          </cell>
        </row>
        <row r="84">
          <cell r="A84">
            <v>7400000</v>
          </cell>
          <cell r="B84" t="str">
            <v>هزينه استهلاك دارائيهاي ثابت</v>
          </cell>
          <cell r="C84">
            <v>90088329</v>
          </cell>
          <cell r="D84">
            <v>12503387</v>
          </cell>
          <cell r="E84">
            <v>7928526</v>
          </cell>
          <cell r="F84">
            <v>1683202</v>
          </cell>
          <cell r="G84">
            <v>4550834</v>
          </cell>
          <cell r="H84">
            <v>89681455</v>
          </cell>
          <cell r="I84">
            <v>123764044</v>
          </cell>
          <cell r="J84">
            <v>38224485</v>
          </cell>
          <cell r="K84">
            <v>39912285</v>
          </cell>
          <cell r="L84">
            <v>0</v>
          </cell>
          <cell r="M84">
            <v>204748</v>
          </cell>
          <cell r="N84">
            <v>203607014</v>
          </cell>
          <cell r="O84">
            <v>285614022</v>
          </cell>
          <cell r="P84">
            <v>164034083</v>
          </cell>
          <cell r="Q84">
            <v>519587427</v>
          </cell>
          <cell r="R84">
            <v>1581383841</v>
          </cell>
          <cell r="S84">
            <v>4566023</v>
          </cell>
          <cell r="T84">
            <v>78024870</v>
          </cell>
          <cell r="U84">
            <v>934462861</v>
          </cell>
          <cell r="V84">
            <v>1182942491</v>
          </cell>
          <cell r="W84">
            <v>640359422</v>
          </cell>
          <cell r="X84">
            <v>116124377</v>
          </cell>
          <cell r="Y84">
            <v>33012663</v>
          </cell>
          <cell r="Z84">
            <v>5220561</v>
          </cell>
          <cell r="AA84">
            <v>0</v>
          </cell>
          <cell r="AB84">
            <v>10397284</v>
          </cell>
          <cell r="AC84">
            <v>10789174</v>
          </cell>
          <cell r="AD84">
            <v>27931874</v>
          </cell>
          <cell r="AE84">
            <v>14635036</v>
          </cell>
          <cell r="AF84">
            <v>1410931</v>
          </cell>
          <cell r="AG84">
            <v>3059877567</v>
          </cell>
          <cell r="AH84">
            <v>4641261408</v>
          </cell>
          <cell r="AI84">
            <v>306650502</v>
          </cell>
          <cell r="AJ84">
            <v>78436360</v>
          </cell>
          <cell r="AK84">
            <v>117154371</v>
          </cell>
          <cell r="AL84">
            <v>7630432</v>
          </cell>
          <cell r="AM84">
            <v>0</v>
          </cell>
          <cell r="AN84">
            <v>0</v>
          </cell>
          <cell r="AO84">
            <v>16567401</v>
          </cell>
          <cell r="AP84">
            <v>12473013</v>
          </cell>
          <cell r="AQ84">
            <v>9884953</v>
          </cell>
          <cell r="AR84">
            <v>549495</v>
          </cell>
          <cell r="AS84">
            <v>3589072</v>
          </cell>
          <cell r="AT84">
            <v>32578746</v>
          </cell>
          <cell r="AU84">
            <v>585514345</v>
          </cell>
          <cell r="AV84">
            <v>5226775753</v>
          </cell>
        </row>
        <row r="85">
          <cell r="A85" t="str">
            <v xml:space="preserve">جمع استهلاک </v>
          </cell>
          <cell r="C85">
            <v>90088329</v>
          </cell>
          <cell r="D85">
            <v>12503387</v>
          </cell>
          <cell r="E85">
            <v>7928526</v>
          </cell>
          <cell r="F85">
            <v>1683202</v>
          </cell>
          <cell r="G85">
            <v>4550834</v>
          </cell>
          <cell r="H85">
            <v>89681455</v>
          </cell>
          <cell r="I85">
            <v>123764044</v>
          </cell>
          <cell r="J85">
            <v>38224485</v>
          </cell>
          <cell r="K85">
            <v>39912285</v>
          </cell>
          <cell r="L85">
            <v>0</v>
          </cell>
          <cell r="M85">
            <v>204748</v>
          </cell>
          <cell r="N85">
            <v>203607014</v>
          </cell>
          <cell r="O85">
            <v>285614022</v>
          </cell>
          <cell r="P85">
            <v>164034083</v>
          </cell>
          <cell r="Q85">
            <v>519587427</v>
          </cell>
          <cell r="R85">
            <v>1581383841</v>
          </cell>
          <cell r="S85">
            <v>4566023</v>
          </cell>
          <cell r="T85">
            <v>78024870</v>
          </cell>
          <cell r="U85">
            <v>934462861</v>
          </cell>
          <cell r="V85">
            <v>1182942491</v>
          </cell>
          <cell r="W85">
            <v>640359422</v>
          </cell>
          <cell r="X85">
            <v>116124377</v>
          </cell>
          <cell r="Y85">
            <v>33012663</v>
          </cell>
          <cell r="Z85">
            <v>5220561</v>
          </cell>
          <cell r="AA85">
            <v>0</v>
          </cell>
          <cell r="AB85">
            <v>10397284</v>
          </cell>
          <cell r="AC85">
            <v>10789174</v>
          </cell>
          <cell r="AD85">
            <v>27931874</v>
          </cell>
          <cell r="AE85">
            <v>14635036</v>
          </cell>
          <cell r="AF85">
            <v>1410931</v>
          </cell>
          <cell r="AG85">
            <v>3059877567</v>
          </cell>
          <cell r="AH85">
            <v>4641261408</v>
          </cell>
          <cell r="AI85">
            <v>306650502</v>
          </cell>
          <cell r="AJ85">
            <v>78436360</v>
          </cell>
          <cell r="AK85">
            <v>117154371</v>
          </cell>
          <cell r="AL85">
            <v>7630432</v>
          </cell>
          <cell r="AM85">
            <v>0</v>
          </cell>
          <cell r="AN85">
            <v>0</v>
          </cell>
          <cell r="AO85">
            <v>16567401</v>
          </cell>
          <cell r="AP85">
            <v>12473013</v>
          </cell>
          <cell r="AQ85">
            <v>9884953</v>
          </cell>
          <cell r="AR85">
            <v>549495</v>
          </cell>
          <cell r="AS85">
            <v>3589072</v>
          </cell>
          <cell r="AT85">
            <v>32578746</v>
          </cell>
          <cell r="AU85">
            <v>585514345</v>
          </cell>
          <cell r="AV85">
            <v>5226775753</v>
          </cell>
        </row>
        <row r="86">
          <cell r="A86" t="str">
            <v>جمع سربار</v>
          </cell>
          <cell r="C86">
            <v>99858454</v>
          </cell>
          <cell r="D86">
            <v>133487517</v>
          </cell>
          <cell r="E86">
            <v>199794867</v>
          </cell>
          <cell r="F86">
            <v>104413208</v>
          </cell>
          <cell r="G86">
            <v>177846397</v>
          </cell>
          <cell r="H86">
            <v>122545387</v>
          </cell>
          <cell r="I86">
            <v>287832443</v>
          </cell>
          <cell r="J86">
            <v>86252023</v>
          </cell>
          <cell r="K86">
            <v>72500644</v>
          </cell>
          <cell r="L86">
            <v>0</v>
          </cell>
          <cell r="M86">
            <v>11158342</v>
          </cell>
          <cell r="N86">
            <v>383184318</v>
          </cell>
          <cell r="O86">
            <v>298102426</v>
          </cell>
          <cell r="P86">
            <v>178644623</v>
          </cell>
          <cell r="Q86">
            <v>617477654</v>
          </cell>
          <cell r="R86">
            <v>2773098303</v>
          </cell>
          <cell r="S86">
            <v>32746684</v>
          </cell>
          <cell r="T86">
            <v>319604675</v>
          </cell>
          <cell r="U86">
            <v>2643474707</v>
          </cell>
          <cell r="V86">
            <v>1298857709</v>
          </cell>
          <cell r="W86">
            <v>1468662298</v>
          </cell>
          <cell r="X86">
            <v>464211778</v>
          </cell>
          <cell r="Y86">
            <v>72658382</v>
          </cell>
          <cell r="Z86">
            <v>71967685</v>
          </cell>
          <cell r="AA86">
            <v>5660916</v>
          </cell>
          <cell r="AB86">
            <v>131831829</v>
          </cell>
          <cell r="AC86">
            <v>75084842</v>
          </cell>
          <cell r="AD86">
            <v>1283601268</v>
          </cell>
          <cell r="AE86">
            <v>1656913981</v>
          </cell>
          <cell r="AF86">
            <v>1231543311</v>
          </cell>
          <cell r="AG86">
            <v>10756820065</v>
          </cell>
          <cell r="AH86">
            <v>13529918368</v>
          </cell>
          <cell r="AI86">
            <v>4317042141</v>
          </cell>
          <cell r="AJ86">
            <v>893556376</v>
          </cell>
          <cell r="AK86">
            <v>926592109</v>
          </cell>
          <cell r="AL86">
            <v>20267256</v>
          </cell>
          <cell r="AM86">
            <v>14557872</v>
          </cell>
          <cell r="AN86">
            <v>996655762</v>
          </cell>
          <cell r="AO86">
            <v>189918777</v>
          </cell>
          <cell r="AP86">
            <v>260937342</v>
          </cell>
          <cell r="AQ86">
            <v>174723065</v>
          </cell>
          <cell r="AR86">
            <v>39541303</v>
          </cell>
          <cell r="AS86">
            <v>58741803</v>
          </cell>
          <cell r="AT86">
            <v>406995516</v>
          </cell>
          <cell r="AU86">
            <v>8299529322</v>
          </cell>
          <cell r="AV86">
            <v>21829447690</v>
          </cell>
        </row>
        <row r="87">
          <cell r="A87" t="str">
            <v xml:space="preserve">جمع کل </v>
          </cell>
          <cell r="C87">
            <v>158987358</v>
          </cell>
          <cell r="D87">
            <v>5986175285</v>
          </cell>
          <cell r="E87">
            <v>14905237061</v>
          </cell>
          <cell r="F87">
            <v>6393167296</v>
          </cell>
          <cell r="G87">
            <v>56562142248</v>
          </cell>
          <cell r="H87">
            <v>1473840813</v>
          </cell>
          <cell r="I87">
            <v>7993436626</v>
          </cell>
          <cell r="J87">
            <v>7907928880</v>
          </cell>
          <cell r="K87">
            <v>1851817176</v>
          </cell>
          <cell r="L87">
            <v>0</v>
          </cell>
          <cell r="M87">
            <v>151679797</v>
          </cell>
          <cell r="N87">
            <v>862817144</v>
          </cell>
          <cell r="O87">
            <v>13618262278</v>
          </cell>
          <cell r="P87">
            <v>1260091500</v>
          </cell>
          <cell r="Q87">
            <v>4416138087</v>
          </cell>
          <cell r="R87">
            <v>123541721549</v>
          </cell>
          <cell r="S87">
            <v>295273661</v>
          </cell>
          <cell r="T87">
            <v>1112630900</v>
          </cell>
          <cell r="U87">
            <v>4614163208</v>
          </cell>
          <cell r="V87">
            <v>1544667444</v>
          </cell>
          <cell r="W87">
            <v>3658452507</v>
          </cell>
          <cell r="X87">
            <v>1216874402</v>
          </cell>
          <cell r="Y87">
            <v>163576693</v>
          </cell>
          <cell r="Z87">
            <v>447930287</v>
          </cell>
          <cell r="AA87">
            <v>34484754</v>
          </cell>
          <cell r="AB87">
            <v>727855642</v>
          </cell>
          <cell r="AC87">
            <v>449174018</v>
          </cell>
          <cell r="AD87">
            <v>1790899612</v>
          </cell>
          <cell r="AE87">
            <v>1656913981</v>
          </cell>
          <cell r="AF87">
            <v>1265979598</v>
          </cell>
          <cell r="AG87">
            <v>18978876707</v>
          </cell>
          <cell r="AH87">
            <v>21751975010</v>
          </cell>
          <cell r="AI87">
            <v>6206042722</v>
          </cell>
          <cell r="AJ87">
            <v>1451347409</v>
          </cell>
          <cell r="AK87">
            <v>1496914693</v>
          </cell>
          <cell r="AL87">
            <v>20267256</v>
          </cell>
          <cell r="AM87">
            <v>176764251</v>
          </cell>
          <cell r="AN87">
            <v>996655762</v>
          </cell>
          <cell r="AO87">
            <v>428021821</v>
          </cell>
          <cell r="AP87">
            <v>1196988501</v>
          </cell>
          <cell r="AQ87">
            <v>465807300</v>
          </cell>
          <cell r="AR87">
            <v>46041303</v>
          </cell>
          <cell r="AS87">
            <v>165253053</v>
          </cell>
          <cell r="AT87">
            <v>1191481305</v>
          </cell>
          <cell r="AU87">
            <v>13841585376</v>
          </cell>
          <cell r="AV87">
            <v>156362183632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2">
          <cell r="D92">
            <v>19001798</v>
          </cell>
        </row>
      </sheetData>
      <sheetData sheetId="27">
        <row r="92">
          <cell r="I92">
            <v>548078.92384783155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"/>
      <sheetName val="Report"/>
      <sheetName val="Data_Wage"/>
      <sheetName val="Data_Navgan"/>
      <sheetName val="Data_Cost &amp; Revenue"/>
    </sheetNames>
    <sheetDataSet>
      <sheetData sheetId="0">
        <row r="3">
          <cell r="C3">
            <v>74</v>
          </cell>
        </row>
        <row r="7">
          <cell r="C7">
            <v>0.1</v>
          </cell>
        </row>
      </sheetData>
      <sheetData sheetId="1">
        <row r="2">
          <cell r="D2">
            <v>18115200000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mary"/>
      <sheetName val="CENTERS-SALE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هزینه تولید تائید نشده(خنثی)"/>
      <sheetName val="تمام شده تولید 89"/>
      <sheetName val="آمار تولید و ساعات تولید 89"/>
      <sheetName val="توقفات تولید سال90"/>
      <sheetName val="کار در جریان 89 "/>
      <sheetName val="تسهیم توقفات"/>
      <sheetName val="فروش اردیبهشت"/>
      <sheetName val="کار در جریان اردیبهشت 90"/>
      <sheetName val="فروش خرداد (2)"/>
      <sheetName val="تولید صنایع خرداد"/>
      <sheetName val="کارکرد صنایع خردادماه 90"/>
      <sheetName val="گردش کالا خرداد ماه"/>
      <sheetName val="برگشتی-نمونه-ضایعات"/>
      <sheetName val="گزارش تعداد نفرات"/>
      <sheetName val="مصرف مواد"/>
      <sheetName val="آمار تولید و ساعات تولید"/>
      <sheetName val="تولید همگن و تسهیم مزد و سربار "/>
      <sheetName val="عوامل در مراکز  "/>
      <sheetName val="تسهیم هزینه"/>
      <sheetName val="نرخ د.س کار در جریان اول دوره"/>
      <sheetName val="کار در جریان خرداد 90"/>
      <sheetName val="گردش کالای ساخته شده  (2)"/>
      <sheetName val="سود وزیان - بودجه ریال (2)"/>
      <sheetName val="سود وزیان - بودجه ریال"/>
      <sheetName val="گردش کالای ساخته شده "/>
      <sheetName val="تمام شده تولید"/>
      <sheetName val="گزارش1 -( کل) ارقام میلیون ریال"/>
      <sheetName val="گزارش1 -(واحد)"/>
      <sheetName val="کنترل حاشیه سود - کل"/>
      <sheetName val="کنترل حاشیه سود - واحد کالا (2)"/>
      <sheetName val="خرید بازرگانی"/>
      <sheetName val="برگشت کلا (2)"/>
      <sheetName val="فروش خرداد"/>
      <sheetName val="حاشیه سود"/>
      <sheetName val="سند تولید"/>
      <sheetName val="سند بهای تمام شده"/>
      <sheetName val="تربتی "/>
      <sheetName val="تربتی  (2)"/>
      <sheetName val="100022"/>
      <sheetName val="کاربرگ محاسبه مالیات"/>
      <sheetName val="خ  د ه عملیاتی "/>
      <sheetName val="خ س د  ه غیرعملیاتی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گزارش عوامل در مراکز</v>
          </cell>
        </row>
        <row r="2">
          <cell r="A2" t="str">
            <v>کد حساب</v>
          </cell>
          <cell r="B2" t="str">
            <v>شرح  حساب</v>
          </cell>
          <cell r="C2" t="str">
            <v>مشترك استريل ها</v>
          </cell>
          <cell r="D2" t="str">
            <v>استريل فرزياني</v>
          </cell>
          <cell r="E2" t="str">
            <v>استريل قدس</v>
          </cell>
          <cell r="F2" t="str">
            <v>استريل بعثت</v>
          </cell>
          <cell r="G2" t="str">
            <v>استريل غفارزاده</v>
          </cell>
          <cell r="H2" t="str">
            <v>پمادوكرم</v>
          </cell>
          <cell r="I2" t="str">
            <v>سفالوسپورين</v>
          </cell>
          <cell r="J2" t="str">
            <v>پني سيلين وي</v>
          </cell>
          <cell r="K2" t="str">
            <v>نيستاتين</v>
          </cell>
          <cell r="L2" t="str">
            <v>دراژه (نيستا،سفالوس،پني سيلسن وي)</v>
          </cell>
          <cell r="M2" t="str">
            <v>قرص و كپسول و شربت</v>
          </cell>
          <cell r="N2" t="str">
            <v>مشترک اسپري ها</v>
          </cell>
          <cell r="O2" t="str">
            <v>اسپري دهاني</v>
          </cell>
          <cell r="P2" t="str">
            <v>اسپري بيني</v>
          </cell>
          <cell r="Q2" t="str">
            <v>سافت ژل</v>
          </cell>
          <cell r="R2" t="str">
            <v>جمع تولید</v>
          </cell>
          <cell r="S2" t="str">
            <v>بسته بندي</v>
          </cell>
          <cell r="T2" t="str">
            <v>عمومي توليد</v>
          </cell>
          <cell r="U2" t="str">
            <v>فني و مهندسي قديم</v>
          </cell>
          <cell r="V2" t="str">
            <v>فني مهندسي افشانه</v>
          </cell>
          <cell r="W2" t="str">
            <v>آزمايشگاه و چکينگ</v>
          </cell>
          <cell r="X2" t="str">
            <v>انبارها قديم</v>
          </cell>
          <cell r="Y2" t="str">
            <v>انبار افشانه ها</v>
          </cell>
          <cell r="Z2" t="str">
            <v>مهندسي صنايع قديم</v>
          </cell>
          <cell r="AA2" t="str">
            <v>مهندسي صنايع اسپري</v>
          </cell>
          <cell r="AB2" t="str">
            <v>امور بازرگاني</v>
          </cell>
          <cell r="AC2" t="str">
            <v>انتظامات و نگهباني</v>
          </cell>
          <cell r="AD2" t="str">
            <v>خدمات عمومي</v>
          </cell>
          <cell r="AE2" t="str">
            <v>رستوران</v>
          </cell>
          <cell r="AF2" t="str">
            <v>حمل ونقل</v>
          </cell>
          <cell r="AG2" t="str">
            <v>جمع خدماتي</v>
          </cell>
          <cell r="AH2" t="str">
            <v>سربار</v>
          </cell>
          <cell r="AI2" t="str">
            <v>فروش و بازاريابي</v>
          </cell>
          <cell r="AJ2" t="str">
            <v>مديريت</v>
          </cell>
          <cell r="AK2" t="str">
            <v>تحقيقات</v>
          </cell>
          <cell r="AL2" t="str">
            <v>آموزش</v>
          </cell>
          <cell r="AM2" t="str">
            <v>مامورين</v>
          </cell>
          <cell r="AN2" t="str">
            <v>عمومي اداري</v>
          </cell>
          <cell r="AO2" t="str">
            <v>فن آوري اطلاعات</v>
          </cell>
          <cell r="AP2" t="str">
            <v>امورمالي</v>
          </cell>
          <cell r="AQ2" t="str">
            <v>دبيرخانه و كارگزيني</v>
          </cell>
          <cell r="AR2" t="str">
            <v>شورا ،انجمن و بسيج</v>
          </cell>
          <cell r="AS2" t="str">
            <v>HSE</v>
          </cell>
          <cell r="AT2" t="str">
            <v>تضمين كيفيت</v>
          </cell>
          <cell r="AU2" t="str">
            <v>جمع اداري</v>
          </cell>
          <cell r="AV2" t="str">
            <v>جمع کل</v>
          </cell>
        </row>
        <row r="3">
          <cell r="A3">
            <v>7101000</v>
          </cell>
          <cell r="B3" t="str">
            <v>هزينه مواداوليه توليدي</v>
          </cell>
          <cell r="C3">
            <v>0</v>
          </cell>
          <cell r="D3">
            <v>4604851218</v>
          </cell>
          <cell r="E3">
            <v>7018795990</v>
          </cell>
          <cell r="F3">
            <v>3951034403</v>
          </cell>
          <cell r="G3">
            <v>45896927938</v>
          </cell>
          <cell r="H3">
            <v>685456209</v>
          </cell>
          <cell r="I3">
            <v>6458122436</v>
          </cell>
          <cell r="J3">
            <v>7115410124</v>
          </cell>
          <cell r="K3">
            <v>531878634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3079064878</v>
          </cell>
          <cell r="R3">
            <v>79341541830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79341541830</v>
          </cell>
        </row>
        <row r="4">
          <cell r="A4">
            <v>7102000</v>
          </cell>
          <cell r="B4" t="str">
            <v>هزينه موادبسته بندي</v>
          </cell>
          <cell r="C4">
            <v>0</v>
          </cell>
          <cell r="D4">
            <v>753076685</v>
          </cell>
          <cell r="E4">
            <v>7167423446</v>
          </cell>
          <cell r="F4">
            <v>2034314272</v>
          </cell>
          <cell r="G4">
            <v>10003064606</v>
          </cell>
          <cell r="H4">
            <v>370527788</v>
          </cell>
          <cell r="I4">
            <v>527584658</v>
          </cell>
          <cell r="J4">
            <v>207613441</v>
          </cell>
          <cell r="K4">
            <v>1005589918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662780029</v>
          </cell>
          <cell r="R4">
            <v>22731974843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22731974843</v>
          </cell>
        </row>
        <row r="5">
          <cell r="A5">
            <v>7106000</v>
          </cell>
          <cell r="B5" t="str">
            <v>هزينه مواداوليه توليدي افشانه ها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4116794309</v>
          </cell>
          <cell r="P5">
            <v>125659084</v>
          </cell>
          <cell r="Q5">
            <v>0</v>
          </cell>
          <cell r="R5">
            <v>4242453393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4242453393</v>
          </cell>
        </row>
        <row r="6">
          <cell r="A6">
            <v>7107000</v>
          </cell>
          <cell r="B6" t="str">
            <v>هزينه موادبسته بندي افشانه ها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9147467000</v>
          </cell>
          <cell r="P6">
            <v>904833681</v>
          </cell>
          <cell r="Q6">
            <v>0</v>
          </cell>
          <cell r="R6">
            <v>10052300681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10052300681</v>
          </cell>
        </row>
        <row r="7">
          <cell r="A7" t="str">
            <v>جمع مواد</v>
          </cell>
          <cell r="C7">
            <v>0</v>
          </cell>
          <cell r="D7">
            <v>5357927903</v>
          </cell>
          <cell r="E7">
            <v>14186219436</v>
          </cell>
          <cell r="F7">
            <v>5985348675</v>
          </cell>
          <cell r="G7">
            <v>55899992544</v>
          </cell>
          <cell r="H7">
            <v>1055983997</v>
          </cell>
          <cell r="I7">
            <v>6985707094</v>
          </cell>
          <cell r="J7">
            <v>7323023565</v>
          </cell>
          <cell r="K7">
            <v>1537468552</v>
          </cell>
          <cell r="L7">
            <v>0</v>
          </cell>
          <cell r="M7">
            <v>0</v>
          </cell>
          <cell r="N7">
            <v>0</v>
          </cell>
          <cell r="O7">
            <v>13264261309</v>
          </cell>
          <cell r="P7">
            <v>1030492765</v>
          </cell>
          <cell r="Q7">
            <v>3741844907</v>
          </cell>
          <cell r="R7">
            <v>116368270747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116368270747</v>
          </cell>
        </row>
        <row r="8">
          <cell r="A8">
            <v>7201000</v>
          </cell>
          <cell r="B8" t="str">
            <v>هزينه حقوق ودستمزد</v>
          </cell>
          <cell r="C8">
            <v>22660612</v>
          </cell>
          <cell r="D8">
            <v>118873411</v>
          </cell>
          <cell r="E8">
            <v>133374455</v>
          </cell>
          <cell r="F8">
            <v>60086996</v>
          </cell>
          <cell r="G8">
            <v>105002141</v>
          </cell>
          <cell r="H8">
            <v>76666222</v>
          </cell>
          <cell r="I8">
            <v>186070310</v>
          </cell>
          <cell r="J8">
            <v>105194392</v>
          </cell>
          <cell r="K8">
            <v>45120051</v>
          </cell>
          <cell r="L8">
            <v>0</v>
          </cell>
          <cell r="M8">
            <v>55002090</v>
          </cell>
          <cell r="N8">
            <v>94709098</v>
          </cell>
          <cell r="O8">
            <v>0</v>
          </cell>
          <cell r="P8">
            <v>0</v>
          </cell>
          <cell r="Q8">
            <v>27727948</v>
          </cell>
          <cell r="R8">
            <v>1030487726</v>
          </cell>
          <cell r="S8">
            <v>71025528</v>
          </cell>
          <cell r="T8">
            <v>185098866</v>
          </cell>
          <cell r="U8">
            <v>494164878</v>
          </cell>
          <cell r="V8">
            <v>103496838</v>
          </cell>
          <cell r="W8">
            <v>853904697</v>
          </cell>
          <cell r="X8">
            <v>180846819</v>
          </cell>
          <cell r="Y8">
            <v>19306575</v>
          </cell>
          <cell r="Z8">
            <v>153186416</v>
          </cell>
          <cell r="AA8">
            <v>14430986</v>
          </cell>
          <cell r="AB8">
            <v>232860217</v>
          </cell>
          <cell r="AC8">
            <v>44887104</v>
          </cell>
          <cell r="AD8">
            <v>16655022</v>
          </cell>
          <cell r="AE8">
            <v>0</v>
          </cell>
          <cell r="AF8">
            <v>13950036</v>
          </cell>
          <cell r="AG8">
            <v>2383813982</v>
          </cell>
          <cell r="AH8">
            <v>2383813982</v>
          </cell>
          <cell r="AI8">
            <v>933914794</v>
          </cell>
          <cell r="AJ8">
            <v>234643247</v>
          </cell>
          <cell r="AK8">
            <v>279514720</v>
          </cell>
          <cell r="AL8">
            <v>0</v>
          </cell>
          <cell r="AM8">
            <v>50723481</v>
          </cell>
          <cell r="AN8">
            <v>0</v>
          </cell>
          <cell r="AO8">
            <v>99153316</v>
          </cell>
          <cell r="AP8">
            <v>313639298</v>
          </cell>
          <cell r="AQ8">
            <v>120373168</v>
          </cell>
          <cell r="AR8">
            <v>0</v>
          </cell>
          <cell r="AS8">
            <v>34473526</v>
          </cell>
          <cell r="AT8">
            <v>370213557</v>
          </cell>
          <cell r="AU8">
            <v>2436649107</v>
          </cell>
          <cell r="AV8">
            <v>5850950815</v>
          </cell>
        </row>
        <row r="9">
          <cell r="A9">
            <v>7201001</v>
          </cell>
          <cell r="B9" t="str">
            <v>هزينه حقوق ودستمزد ( پارس پاکان)</v>
          </cell>
          <cell r="C9">
            <v>0</v>
          </cell>
          <cell r="D9">
            <v>60634751</v>
          </cell>
          <cell r="E9">
            <v>56651915</v>
          </cell>
          <cell r="F9">
            <v>77047075</v>
          </cell>
          <cell r="G9">
            <v>83670382</v>
          </cell>
          <cell r="H9">
            <v>20935149</v>
          </cell>
          <cell r="I9">
            <v>83515692</v>
          </cell>
          <cell r="J9">
            <v>102754166</v>
          </cell>
          <cell r="K9">
            <v>60545637</v>
          </cell>
          <cell r="L9">
            <v>0</v>
          </cell>
          <cell r="M9">
            <v>0</v>
          </cell>
          <cell r="N9">
            <v>216970499</v>
          </cell>
          <cell r="O9">
            <v>46351317</v>
          </cell>
          <cell r="P9">
            <v>42114752</v>
          </cell>
          <cell r="Q9">
            <v>0</v>
          </cell>
          <cell r="R9">
            <v>851191335</v>
          </cell>
          <cell r="S9">
            <v>32492689</v>
          </cell>
          <cell r="T9">
            <v>160904805</v>
          </cell>
          <cell r="U9">
            <v>110038568</v>
          </cell>
          <cell r="V9">
            <v>15522554</v>
          </cell>
          <cell r="W9">
            <v>22068512</v>
          </cell>
          <cell r="X9">
            <v>81737864</v>
          </cell>
          <cell r="Y9">
            <v>36367024</v>
          </cell>
          <cell r="Z9">
            <v>0</v>
          </cell>
          <cell r="AA9">
            <v>0</v>
          </cell>
          <cell r="AB9">
            <v>13621093</v>
          </cell>
          <cell r="AC9">
            <v>80710101</v>
          </cell>
          <cell r="AD9">
            <v>398912414</v>
          </cell>
          <cell r="AE9">
            <v>0</v>
          </cell>
          <cell r="AF9">
            <v>0</v>
          </cell>
          <cell r="AG9">
            <v>952375624</v>
          </cell>
          <cell r="AH9">
            <v>952375624</v>
          </cell>
          <cell r="AI9">
            <v>15449455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15535854</v>
          </cell>
          <cell r="AR9">
            <v>0</v>
          </cell>
          <cell r="AS9">
            <v>0</v>
          </cell>
          <cell r="AT9">
            <v>14315731</v>
          </cell>
          <cell r="AU9">
            <v>45301040</v>
          </cell>
          <cell r="AV9">
            <v>1848867999</v>
          </cell>
        </row>
        <row r="10">
          <cell r="A10">
            <v>7202000</v>
          </cell>
          <cell r="B10" t="str">
            <v>هزينه مسكن</v>
          </cell>
          <cell r="C10">
            <v>226666</v>
          </cell>
          <cell r="D10">
            <v>2479992</v>
          </cell>
          <cell r="E10">
            <v>2789991</v>
          </cell>
          <cell r="F10">
            <v>1239996</v>
          </cell>
          <cell r="G10">
            <v>2169993</v>
          </cell>
          <cell r="H10">
            <v>1549995</v>
          </cell>
          <cell r="I10">
            <v>3939534</v>
          </cell>
          <cell r="J10">
            <v>2169993</v>
          </cell>
          <cell r="K10">
            <v>929997</v>
          </cell>
          <cell r="L10">
            <v>0</v>
          </cell>
          <cell r="M10">
            <v>929997</v>
          </cell>
          <cell r="N10">
            <v>1603837</v>
          </cell>
          <cell r="O10">
            <v>0</v>
          </cell>
          <cell r="P10">
            <v>0</v>
          </cell>
          <cell r="Q10">
            <v>269811</v>
          </cell>
          <cell r="R10">
            <v>20299802</v>
          </cell>
          <cell r="S10">
            <v>1520906</v>
          </cell>
          <cell r="T10">
            <v>3288475</v>
          </cell>
          <cell r="U10">
            <v>9481183</v>
          </cell>
          <cell r="V10">
            <v>2041207</v>
          </cell>
          <cell r="W10">
            <v>14152012</v>
          </cell>
          <cell r="X10">
            <v>3668636</v>
          </cell>
          <cell r="Y10">
            <v>294122</v>
          </cell>
          <cell r="Z10">
            <v>2718931</v>
          </cell>
          <cell r="AA10">
            <v>274250</v>
          </cell>
          <cell r="AB10">
            <v>3712027</v>
          </cell>
          <cell r="AC10">
            <v>929997</v>
          </cell>
          <cell r="AD10">
            <v>309999</v>
          </cell>
          <cell r="AE10">
            <v>0</v>
          </cell>
          <cell r="AF10">
            <v>309999</v>
          </cell>
          <cell r="AG10">
            <v>42701744</v>
          </cell>
          <cell r="AH10">
            <v>42701744</v>
          </cell>
          <cell r="AI10">
            <v>14914499</v>
          </cell>
          <cell r="AJ10">
            <v>1859994</v>
          </cell>
          <cell r="AK10">
            <v>4008170</v>
          </cell>
          <cell r="AL10">
            <v>0</v>
          </cell>
          <cell r="AM10">
            <v>929997</v>
          </cell>
          <cell r="AN10">
            <v>0</v>
          </cell>
          <cell r="AO10">
            <v>1343329</v>
          </cell>
          <cell r="AP10">
            <v>5637212</v>
          </cell>
          <cell r="AQ10">
            <v>1859994</v>
          </cell>
          <cell r="AR10">
            <v>0</v>
          </cell>
          <cell r="AS10">
            <v>619998</v>
          </cell>
          <cell r="AT10">
            <v>4583319</v>
          </cell>
          <cell r="AU10">
            <v>35756512</v>
          </cell>
          <cell r="AV10">
            <v>98758058</v>
          </cell>
        </row>
        <row r="11">
          <cell r="A11">
            <v>7203000</v>
          </cell>
          <cell r="B11" t="str">
            <v>هزينه خواروبار</v>
          </cell>
          <cell r="C11">
            <v>1134</v>
          </cell>
          <cell r="D11">
            <v>54252</v>
          </cell>
          <cell r="E11">
            <v>52704</v>
          </cell>
          <cell r="F11">
            <v>27900</v>
          </cell>
          <cell r="G11">
            <v>38754</v>
          </cell>
          <cell r="H11">
            <v>27903</v>
          </cell>
          <cell r="I11">
            <v>70256</v>
          </cell>
          <cell r="J11">
            <v>46503</v>
          </cell>
          <cell r="K11">
            <v>13950</v>
          </cell>
          <cell r="L11">
            <v>0</v>
          </cell>
          <cell r="M11">
            <v>4653</v>
          </cell>
          <cell r="N11">
            <v>12320</v>
          </cell>
          <cell r="O11">
            <v>0</v>
          </cell>
          <cell r="P11">
            <v>0</v>
          </cell>
          <cell r="Q11">
            <v>2698</v>
          </cell>
          <cell r="R11">
            <v>353027</v>
          </cell>
          <cell r="S11">
            <v>19604</v>
          </cell>
          <cell r="T11">
            <v>53976</v>
          </cell>
          <cell r="U11">
            <v>150526</v>
          </cell>
          <cell r="V11">
            <v>22015</v>
          </cell>
          <cell r="W11">
            <v>177736</v>
          </cell>
          <cell r="X11">
            <v>76310</v>
          </cell>
          <cell r="Y11">
            <v>5883</v>
          </cell>
          <cell r="Z11">
            <v>30414</v>
          </cell>
          <cell r="AA11">
            <v>2742</v>
          </cell>
          <cell r="AB11">
            <v>49568</v>
          </cell>
          <cell r="AC11">
            <v>15501</v>
          </cell>
          <cell r="AD11">
            <v>6201</v>
          </cell>
          <cell r="AE11">
            <v>0</v>
          </cell>
          <cell r="AF11">
            <v>3099</v>
          </cell>
          <cell r="AG11">
            <v>613575</v>
          </cell>
          <cell r="AH11">
            <v>613575</v>
          </cell>
          <cell r="AI11">
            <v>138687</v>
          </cell>
          <cell r="AJ11">
            <v>23253</v>
          </cell>
          <cell r="AK11">
            <v>44195</v>
          </cell>
          <cell r="AL11">
            <v>0</v>
          </cell>
          <cell r="AM11">
            <v>10851</v>
          </cell>
          <cell r="AN11">
            <v>0</v>
          </cell>
          <cell r="AO11">
            <v>19120</v>
          </cell>
          <cell r="AP11">
            <v>83716</v>
          </cell>
          <cell r="AQ11">
            <v>27903</v>
          </cell>
          <cell r="AR11">
            <v>0</v>
          </cell>
          <cell r="AS11">
            <v>10851</v>
          </cell>
          <cell r="AT11">
            <v>53915</v>
          </cell>
          <cell r="AU11">
            <v>412491</v>
          </cell>
          <cell r="AV11">
            <v>1379093</v>
          </cell>
        </row>
        <row r="12">
          <cell r="A12">
            <v>7204000</v>
          </cell>
          <cell r="B12" t="str">
            <v>هزينه حق اولاد</v>
          </cell>
          <cell r="C12">
            <v>0</v>
          </cell>
          <cell r="D12">
            <v>16382880</v>
          </cell>
          <cell r="E12">
            <v>15358950</v>
          </cell>
          <cell r="F12">
            <v>8191440</v>
          </cell>
          <cell r="G12">
            <v>11263230</v>
          </cell>
          <cell r="H12">
            <v>8191440</v>
          </cell>
          <cell r="I12">
            <v>21238291</v>
          </cell>
          <cell r="J12">
            <v>14335020</v>
          </cell>
          <cell r="K12">
            <v>3071790</v>
          </cell>
          <cell r="L12">
            <v>0</v>
          </cell>
          <cell r="M12">
            <v>0</v>
          </cell>
          <cell r="N12">
            <v>1023930</v>
          </cell>
          <cell r="O12">
            <v>0</v>
          </cell>
          <cell r="P12">
            <v>0</v>
          </cell>
          <cell r="Q12">
            <v>0</v>
          </cell>
          <cell r="R12">
            <v>99056971</v>
          </cell>
          <cell r="S12">
            <v>3927567</v>
          </cell>
          <cell r="T12">
            <v>12909725</v>
          </cell>
          <cell r="U12">
            <v>36789415</v>
          </cell>
          <cell r="V12">
            <v>2047860</v>
          </cell>
          <cell r="W12">
            <v>36112325</v>
          </cell>
          <cell r="X12">
            <v>22187200</v>
          </cell>
          <cell r="Y12">
            <v>1942965</v>
          </cell>
          <cell r="Z12">
            <v>7029385</v>
          </cell>
          <cell r="AA12">
            <v>0</v>
          </cell>
          <cell r="AB12">
            <v>12287160</v>
          </cell>
          <cell r="AC12">
            <v>4095720</v>
          </cell>
          <cell r="AD12">
            <v>2047860</v>
          </cell>
          <cell r="AE12">
            <v>0</v>
          </cell>
          <cell r="AF12">
            <v>0</v>
          </cell>
          <cell r="AG12">
            <v>141377182</v>
          </cell>
          <cell r="AH12">
            <v>141377182</v>
          </cell>
          <cell r="AI12">
            <v>12472328</v>
          </cell>
          <cell r="AJ12">
            <v>5119650</v>
          </cell>
          <cell r="AK12">
            <v>5448949</v>
          </cell>
          <cell r="AL12">
            <v>0</v>
          </cell>
          <cell r="AM12">
            <v>2047860</v>
          </cell>
          <cell r="AN12">
            <v>0</v>
          </cell>
          <cell r="AO12">
            <v>5119650</v>
          </cell>
          <cell r="AP12">
            <v>20378208</v>
          </cell>
          <cell r="AQ12">
            <v>7167510</v>
          </cell>
          <cell r="AR12">
            <v>0</v>
          </cell>
          <cell r="AS12">
            <v>3071790</v>
          </cell>
          <cell r="AT12">
            <v>8191440</v>
          </cell>
          <cell r="AU12">
            <v>69017385</v>
          </cell>
          <cell r="AV12">
            <v>309451538</v>
          </cell>
        </row>
        <row r="13">
          <cell r="A13">
            <v>7205000</v>
          </cell>
          <cell r="B13" t="str">
            <v>هزينه حق جذب</v>
          </cell>
          <cell r="C13">
            <v>5482406</v>
          </cell>
          <cell r="D13">
            <v>30809067</v>
          </cell>
          <cell r="E13">
            <v>33121728</v>
          </cell>
          <cell r="F13">
            <v>16773564</v>
          </cell>
          <cell r="G13">
            <v>27410970</v>
          </cell>
          <cell r="H13">
            <v>20526153</v>
          </cell>
          <cell r="I13">
            <v>46985249</v>
          </cell>
          <cell r="J13">
            <v>27410970</v>
          </cell>
          <cell r="K13">
            <v>13286844</v>
          </cell>
          <cell r="L13">
            <v>0</v>
          </cell>
          <cell r="M13">
            <v>11683023</v>
          </cell>
          <cell r="N13">
            <v>14345902</v>
          </cell>
          <cell r="O13">
            <v>0</v>
          </cell>
          <cell r="P13">
            <v>0</v>
          </cell>
          <cell r="Q13">
            <v>6708375</v>
          </cell>
          <cell r="R13">
            <v>254544251</v>
          </cell>
          <cell r="S13">
            <v>17110558</v>
          </cell>
          <cell r="T13">
            <v>26466589</v>
          </cell>
          <cell r="U13">
            <v>99053283</v>
          </cell>
          <cell r="V13">
            <v>11918744</v>
          </cell>
          <cell r="W13">
            <v>195777478</v>
          </cell>
          <cell r="X13">
            <v>46872261</v>
          </cell>
          <cell r="Y13">
            <v>3713755</v>
          </cell>
          <cell r="Z13">
            <v>32985721</v>
          </cell>
          <cell r="AA13">
            <v>2793092</v>
          </cell>
          <cell r="AB13">
            <v>45884084</v>
          </cell>
          <cell r="AC13">
            <v>10832379</v>
          </cell>
          <cell r="AD13">
            <v>6490650</v>
          </cell>
          <cell r="AE13">
            <v>0</v>
          </cell>
          <cell r="AF13">
            <v>0</v>
          </cell>
          <cell r="AG13">
            <v>499898594</v>
          </cell>
          <cell r="AH13">
            <v>499898594</v>
          </cell>
          <cell r="AI13">
            <v>162282715</v>
          </cell>
          <cell r="AJ13">
            <v>20635477</v>
          </cell>
          <cell r="AK13">
            <v>59338938</v>
          </cell>
          <cell r="AL13">
            <v>0</v>
          </cell>
          <cell r="AM13">
            <v>2383563</v>
          </cell>
          <cell r="AN13">
            <v>0</v>
          </cell>
          <cell r="AO13">
            <v>19142965</v>
          </cell>
          <cell r="AP13">
            <v>71465709</v>
          </cell>
          <cell r="AQ13">
            <v>20301717</v>
          </cell>
          <cell r="AR13">
            <v>0</v>
          </cell>
          <cell r="AS13">
            <v>7430976</v>
          </cell>
          <cell r="AT13">
            <v>83932197</v>
          </cell>
          <cell r="AU13">
            <v>446914257</v>
          </cell>
          <cell r="AV13">
            <v>1201357102</v>
          </cell>
        </row>
        <row r="14">
          <cell r="A14">
            <v>7206000</v>
          </cell>
          <cell r="B14" t="str">
            <v>هزينه اضافه كاري</v>
          </cell>
          <cell r="C14">
            <v>12723872</v>
          </cell>
          <cell r="D14">
            <v>82626607</v>
          </cell>
          <cell r="E14">
            <v>80668206</v>
          </cell>
          <cell r="F14">
            <v>37488893</v>
          </cell>
          <cell r="G14">
            <v>81380137</v>
          </cell>
          <cell r="H14">
            <v>54318314</v>
          </cell>
          <cell r="I14">
            <v>104083161</v>
          </cell>
          <cell r="J14">
            <v>73426294</v>
          </cell>
          <cell r="K14">
            <v>39230103</v>
          </cell>
          <cell r="L14">
            <v>0</v>
          </cell>
          <cell r="M14">
            <v>30152804</v>
          </cell>
          <cell r="N14">
            <v>34767552</v>
          </cell>
          <cell r="O14">
            <v>0</v>
          </cell>
          <cell r="P14">
            <v>0</v>
          </cell>
          <cell r="Q14">
            <v>3224936</v>
          </cell>
          <cell r="R14">
            <v>634090879</v>
          </cell>
          <cell r="S14">
            <v>35167933</v>
          </cell>
          <cell r="T14">
            <v>109332076</v>
          </cell>
          <cell r="U14">
            <v>475261123</v>
          </cell>
          <cell r="V14">
            <v>32309949</v>
          </cell>
          <cell r="W14">
            <v>283886536</v>
          </cell>
          <cell r="X14">
            <v>135322484</v>
          </cell>
          <cell r="Y14">
            <v>2685676</v>
          </cell>
          <cell r="Z14">
            <v>43015888</v>
          </cell>
          <cell r="AA14">
            <v>1305928</v>
          </cell>
          <cell r="AB14">
            <v>67996960</v>
          </cell>
          <cell r="AC14">
            <v>30145746</v>
          </cell>
          <cell r="AD14">
            <v>21097927</v>
          </cell>
          <cell r="AE14">
            <v>0</v>
          </cell>
          <cell r="AF14">
            <v>8934569</v>
          </cell>
          <cell r="AG14">
            <v>1246462795</v>
          </cell>
          <cell r="AH14">
            <v>1246462795</v>
          </cell>
          <cell r="AI14">
            <v>18498266</v>
          </cell>
          <cell r="AJ14">
            <v>128964856</v>
          </cell>
          <cell r="AK14">
            <v>34186862</v>
          </cell>
          <cell r="AL14">
            <v>0</v>
          </cell>
          <cell r="AM14">
            <v>48343532</v>
          </cell>
          <cell r="AN14">
            <v>0</v>
          </cell>
          <cell r="AO14">
            <v>33164299</v>
          </cell>
          <cell r="AP14">
            <v>160877604</v>
          </cell>
          <cell r="AQ14">
            <v>32880061</v>
          </cell>
          <cell r="AR14">
            <v>0</v>
          </cell>
          <cell r="AS14">
            <v>22857394</v>
          </cell>
          <cell r="AT14">
            <v>48230932</v>
          </cell>
          <cell r="AU14">
            <v>528003806</v>
          </cell>
          <cell r="AV14">
            <v>2408557480</v>
          </cell>
        </row>
        <row r="15">
          <cell r="A15">
            <v>7206001</v>
          </cell>
          <cell r="B15" t="str">
            <v>هزينه اضافه كاري ( پارس پاکان)</v>
          </cell>
          <cell r="C15">
            <v>0</v>
          </cell>
          <cell r="D15">
            <v>13464182</v>
          </cell>
          <cell r="E15">
            <v>11996554</v>
          </cell>
          <cell r="F15">
            <v>15971431</v>
          </cell>
          <cell r="G15">
            <v>18875852</v>
          </cell>
          <cell r="H15">
            <v>6705620</v>
          </cell>
          <cell r="I15">
            <v>12977057</v>
          </cell>
          <cell r="J15">
            <v>21540257</v>
          </cell>
          <cell r="K15">
            <v>15537241</v>
          </cell>
          <cell r="L15">
            <v>0</v>
          </cell>
          <cell r="M15">
            <v>0</v>
          </cell>
          <cell r="N15">
            <v>51156848</v>
          </cell>
          <cell r="O15">
            <v>9547226</v>
          </cell>
          <cell r="P15">
            <v>8839360</v>
          </cell>
          <cell r="Q15">
            <v>0</v>
          </cell>
          <cell r="R15">
            <v>186611628</v>
          </cell>
          <cell r="S15">
            <v>5093627</v>
          </cell>
          <cell r="T15">
            <v>29168392</v>
          </cell>
          <cell r="U15">
            <v>60115382</v>
          </cell>
          <cell r="V15">
            <v>219792</v>
          </cell>
          <cell r="W15">
            <v>3284141</v>
          </cell>
          <cell r="X15">
            <v>15113729</v>
          </cell>
          <cell r="Y15">
            <v>11837594</v>
          </cell>
          <cell r="Z15">
            <v>0</v>
          </cell>
          <cell r="AA15">
            <v>0</v>
          </cell>
          <cell r="AB15">
            <v>2230401</v>
          </cell>
          <cell r="AC15">
            <v>125145651</v>
          </cell>
          <cell r="AD15">
            <v>29787347</v>
          </cell>
          <cell r="AE15">
            <v>0</v>
          </cell>
          <cell r="AF15">
            <v>0</v>
          </cell>
          <cell r="AG15">
            <v>281996056</v>
          </cell>
          <cell r="AH15">
            <v>281996056</v>
          </cell>
          <cell r="AI15">
            <v>3032438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1897989</v>
          </cell>
          <cell r="AR15">
            <v>0</v>
          </cell>
          <cell r="AS15">
            <v>0</v>
          </cell>
          <cell r="AT15">
            <v>1568792</v>
          </cell>
          <cell r="AU15">
            <v>6499219</v>
          </cell>
          <cell r="AV15">
            <v>475106903</v>
          </cell>
        </row>
        <row r="16">
          <cell r="A16">
            <v>7207000</v>
          </cell>
          <cell r="B16" t="str">
            <v>هزينه نوبتكاري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12536880</v>
          </cell>
          <cell r="AD16">
            <v>0</v>
          </cell>
          <cell r="AE16">
            <v>0</v>
          </cell>
          <cell r="AF16">
            <v>0</v>
          </cell>
          <cell r="AG16">
            <v>12536880</v>
          </cell>
          <cell r="AH16">
            <v>12536880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12536880</v>
          </cell>
        </row>
        <row r="17">
          <cell r="A17">
            <v>7208000</v>
          </cell>
          <cell r="B17" t="str">
            <v>هزينه شبكاري</v>
          </cell>
          <cell r="C17">
            <v>159048</v>
          </cell>
          <cell r="D17">
            <v>709489</v>
          </cell>
          <cell r="E17">
            <v>643808</v>
          </cell>
          <cell r="F17">
            <v>0</v>
          </cell>
          <cell r="G17">
            <v>1158841</v>
          </cell>
          <cell r="H17">
            <v>0</v>
          </cell>
          <cell r="I17">
            <v>18534</v>
          </cell>
          <cell r="J17">
            <v>0</v>
          </cell>
          <cell r="K17">
            <v>0</v>
          </cell>
          <cell r="L17">
            <v>0</v>
          </cell>
          <cell r="M17">
            <v>63007</v>
          </cell>
          <cell r="N17">
            <v>15960</v>
          </cell>
          <cell r="O17">
            <v>0</v>
          </cell>
          <cell r="P17">
            <v>0</v>
          </cell>
          <cell r="Q17">
            <v>0</v>
          </cell>
          <cell r="R17">
            <v>2768687</v>
          </cell>
          <cell r="S17">
            <v>0</v>
          </cell>
          <cell r="T17">
            <v>95492</v>
          </cell>
          <cell r="U17">
            <v>16641273</v>
          </cell>
          <cell r="V17">
            <v>43151</v>
          </cell>
          <cell r="W17">
            <v>1624232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52257</v>
          </cell>
          <cell r="AE17">
            <v>0</v>
          </cell>
          <cell r="AF17">
            <v>0</v>
          </cell>
          <cell r="AG17">
            <v>18456405</v>
          </cell>
          <cell r="AH17">
            <v>18456405</v>
          </cell>
          <cell r="AI17">
            <v>0</v>
          </cell>
          <cell r="AJ17">
            <v>57282</v>
          </cell>
          <cell r="AK17">
            <v>34000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329253</v>
          </cell>
          <cell r="AQ17">
            <v>11316</v>
          </cell>
          <cell r="AR17">
            <v>0</v>
          </cell>
          <cell r="AS17">
            <v>11367</v>
          </cell>
          <cell r="AT17">
            <v>0</v>
          </cell>
          <cell r="AU17">
            <v>443218</v>
          </cell>
          <cell r="AV17">
            <v>21668310</v>
          </cell>
        </row>
        <row r="18">
          <cell r="A18">
            <v>7211000</v>
          </cell>
          <cell r="B18" t="str">
            <v>هزينه عيدي وپاداش ساليانه</v>
          </cell>
          <cell r="C18">
            <v>1693479</v>
          </cell>
          <cell r="D18">
            <v>18510498</v>
          </cell>
          <cell r="E18">
            <v>20832225</v>
          </cell>
          <cell r="F18">
            <v>9252145</v>
          </cell>
          <cell r="G18">
            <v>16212574</v>
          </cell>
          <cell r="H18">
            <v>11580410</v>
          </cell>
          <cell r="I18">
            <v>29769919</v>
          </cell>
          <cell r="J18">
            <v>16211831</v>
          </cell>
          <cell r="K18">
            <v>6948246</v>
          </cell>
          <cell r="L18">
            <v>0</v>
          </cell>
          <cell r="M18">
            <v>6948246</v>
          </cell>
          <cell r="N18">
            <v>11787444</v>
          </cell>
          <cell r="O18">
            <v>0</v>
          </cell>
          <cell r="P18">
            <v>0</v>
          </cell>
          <cell r="Q18">
            <v>2015818</v>
          </cell>
          <cell r="R18">
            <v>151762835</v>
          </cell>
          <cell r="S18">
            <v>11362137</v>
          </cell>
          <cell r="T18">
            <v>24180132</v>
          </cell>
          <cell r="U18">
            <v>70819695</v>
          </cell>
          <cell r="V18">
            <v>16022398</v>
          </cell>
          <cell r="W18">
            <v>105733276</v>
          </cell>
          <cell r="X18">
            <v>27409292</v>
          </cell>
          <cell r="Y18">
            <v>2197448</v>
          </cell>
          <cell r="Z18">
            <v>20364768</v>
          </cell>
          <cell r="AA18">
            <v>2048986</v>
          </cell>
          <cell r="AB18">
            <v>29924418</v>
          </cell>
          <cell r="AC18">
            <v>6948246</v>
          </cell>
          <cell r="AD18">
            <v>2316082</v>
          </cell>
          <cell r="AE18">
            <v>0</v>
          </cell>
          <cell r="AF18">
            <v>2293157</v>
          </cell>
          <cell r="AG18">
            <v>321620035</v>
          </cell>
          <cell r="AH18">
            <v>321620035</v>
          </cell>
          <cell r="AI18">
            <v>111367531</v>
          </cell>
          <cell r="AJ18">
            <v>13896492</v>
          </cell>
          <cell r="AK18">
            <v>29946058</v>
          </cell>
          <cell r="AL18">
            <v>0</v>
          </cell>
          <cell r="AM18">
            <v>6663515</v>
          </cell>
          <cell r="AN18">
            <v>0</v>
          </cell>
          <cell r="AO18">
            <v>10036355</v>
          </cell>
          <cell r="AP18">
            <v>42117034</v>
          </cell>
          <cell r="AQ18">
            <v>13896492</v>
          </cell>
          <cell r="AR18">
            <v>6500000</v>
          </cell>
          <cell r="AS18">
            <v>4632164</v>
          </cell>
          <cell r="AT18">
            <v>34243148</v>
          </cell>
          <cell r="AU18">
            <v>273298789</v>
          </cell>
          <cell r="AV18">
            <v>746681659</v>
          </cell>
        </row>
        <row r="19">
          <cell r="A19">
            <v>7213000</v>
          </cell>
          <cell r="B19" t="str">
            <v>هزينه بن كالاي اساسي</v>
          </cell>
          <cell r="C19">
            <v>840000</v>
          </cell>
          <cell r="D19">
            <v>6720000</v>
          </cell>
          <cell r="E19">
            <v>7560000</v>
          </cell>
          <cell r="F19">
            <v>3360000</v>
          </cell>
          <cell r="G19">
            <v>5880000</v>
          </cell>
          <cell r="H19">
            <v>4200000</v>
          </cell>
          <cell r="I19">
            <v>10360000</v>
          </cell>
          <cell r="J19">
            <v>5880000</v>
          </cell>
          <cell r="K19">
            <v>2520000</v>
          </cell>
          <cell r="L19">
            <v>0</v>
          </cell>
          <cell r="M19">
            <v>2520000</v>
          </cell>
          <cell r="N19">
            <v>5040000</v>
          </cell>
          <cell r="O19">
            <v>0</v>
          </cell>
          <cell r="P19">
            <v>0</v>
          </cell>
          <cell r="Q19">
            <v>840000</v>
          </cell>
          <cell r="R19">
            <v>55720000</v>
          </cell>
          <cell r="S19">
            <v>4200000</v>
          </cell>
          <cell r="T19">
            <v>8960000</v>
          </cell>
          <cell r="U19">
            <v>25760000</v>
          </cell>
          <cell r="V19">
            <v>5600000</v>
          </cell>
          <cell r="W19">
            <v>38920000</v>
          </cell>
          <cell r="X19">
            <v>10080000</v>
          </cell>
          <cell r="Y19">
            <v>840000</v>
          </cell>
          <cell r="Z19">
            <v>7560000</v>
          </cell>
          <cell r="AA19">
            <v>840000</v>
          </cell>
          <cell r="AB19">
            <v>10920000</v>
          </cell>
          <cell r="AC19">
            <v>2520000</v>
          </cell>
          <cell r="AD19">
            <v>840000</v>
          </cell>
          <cell r="AE19">
            <v>0</v>
          </cell>
          <cell r="AF19">
            <v>840000</v>
          </cell>
          <cell r="AG19">
            <v>117880000</v>
          </cell>
          <cell r="AH19">
            <v>117880000</v>
          </cell>
          <cell r="AI19">
            <v>41160000</v>
          </cell>
          <cell r="AJ19">
            <v>5040000</v>
          </cell>
          <cell r="AK19">
            <v>10920000</v>
          </cell>
          <cell r="AL19">
            <v>0</v>
          </cell>
          <cell r="AM19">
            <v>2520000</v>
          </cell>
          <cell r="AN19">
            <v>0</v>
          </cell>
          <cell r="AO19">
            <v>3640000</v>
          </cell>
          <cell r="AP19">
            <v>15120000</v>
          </cell>
          <cell r="AQ19">
            <v>5040000</v>
          </cell>
          <cell r="AR19">
            <v>0</v>
          </cell>
          <cell r="AS19">
            <v>1680000</v>
          </cell>
          <cell r="AT19">
            <v>12600000</v>
          </cell>
          <cell r="AU19">
            <v>97720000</v>
          </cell>
          <cell r="AV19">
            <v>271320000</v>
          </cell>
        </row>
        <row r="20">
          <cell r="A20">
            <v>7215000</v>
          </cell>
          <cell r="B20" t="str">
            <v>هزينه حق بيمه سهم كارفرما</v>
          </cell>
          <cell r="C20">
            <v>10853638</v>
          </cell>
          <cell r="D20">
            <v>56099801</v>
          </cell>
          <cell r="E20">
            <v>59453203</v>
          </cell>
          <cell r="F20">
            <v>27223626</v>
          </cell>
          <cell r="G20">
            <v>51845062</v>
          </cell>
          <cell r="H20">
            <v>35737646</v>
          </cell>
          <cell r="I20">
            <v>80353542</v>
          </cell>
          <cell r="J20">
            <v>48585974</v>
          </cell>
          <cell r="K20">
            <v>23100578</v>
          </cell>
          <cell r="L20">
            <v>0</v>
          </cell>
          <cell r="M20">
            <v>23019684</v>
          </cell>
          <cell r="N20">
            <v>35861004</v>
          </cell>
          <cell r="O20">
            <v>0</v>
          </cell>
          <cell r="P20">
            <v>0</v>
          </cell>
          <cell r="Q20">
            <v>11851205</v>
          </cell>
          <cell r="R20">
            <v>463984963</v>
          </cell>
          <cell r="S20">
            <v>30282733</v>
          </cell>
          <cell r="T20">
            <v>79685164</v>
          </cell>
          <cell r="U20">
            <v>265354478</v>
          </cell>
          <cell r="V20">
            <v>36765062</v>
          </cell>
          <cell r="W20">
            <v>326144651</v>
          </cell>
          <cell r="X20">
            <v>87300633</v>
          </cell>
          <cell r="Y20">
            <v>6793157</v>
          </cell>
          <cell r="Z20">
            <v>56884010</v>
          </cell>
          <cell r="AA20">
            <v>4325610</v>
          </cell>
          <cell r="AB20">
            <v>70862729</v>
          </cell>
          <cell r="AC20">
            <v>23418099</v>
          </cell>
          <cell r="AD20">
            <v>10086287</v>
          </cell>
          <cell r="AE20">
            <v>0</v>
          </cell>
          <cell r="AF20">
            <v>5368324</v>
          </cell>
          <cell r="AG20">
            <v>1003270937</v>
          </cell>
          <cell r="AH20">
            <v>1003270937</v>
          </cell>
          <cell r="AI20">
            <v>363455954</v>
          </cell>
          <cell r="AJ20">
            <v>76028987</v>
          </cell>
          <cell r="AK20">
            <v>91835248</v>
          </cell>
          <cell r="AL20">
            <v>0</v>
          </cell>
          <cell r="AM20">
            <v>24976026</v>
          </cell>
          <cell r="AN20">
            <v>0</v>
          </cell>
          <cell r="AO20">
            <v>37491462</v>
          </cell>
          <cell r="AP20">
            <v>141141133</v>
          </cell>
          <cell r="AQ20">
            <v>45131537</v>
          </cell>
          <cell r="AR20">
            <v>0</v>
          </cell>
          <cell r="AS20">
            <v>15597998</v>
          </cell>
          <cell r="AT20">
            <v>129038849</v>
          </cell>
          <cell r="AU20">
            <v>924697194</v>
          </cell>
          <cell r="AV20">
            <v>2391953094</v>
          </cell>
        </row>
        <row r="21">
          <cell r="A21">
            <v>7216000</v>
          </cell>
          <cell r="B21" t="str">
            <v>هزينه بازخريدسنوات</v>
          </cell>
          <cell r="C21">
            <v>4488049</v>
          </cell>
          <cell r="D21">
            <v>87394935</v>
          </cell>
          <cell r="E21">
            <v>96719019</v>
          </cell>
          <cell r="F21">
            <v>46742347</v>
          </cell>
          <cell r="G21">
            <v>79395371</v>
          </cell>
          <cell r="H21">
            <v>54872577</v>
          </cell>
          <cell r="I21">
            <v>140515544</v>
          </cell>
          <cell r="J21">
            <v>81097892</v>
          </cell>
          <cell r="K21">
            <v>31543543</v>
          </cell>
          <cell r="L21">
            <v>0</v>
          </cell>
          <cell r="M21">
            <v>10197951</v>
          </cell>
          <cell r="N21">
            <v>12338432</v>
          </cell>
          <cell r="O21">
            <v>0</v>
          </cell>
          <cell r="P21">
            <v>0</v>
          </cell>
          <cell r="Q21">
            <v>4174735</v>
          </cell>
          <cell r="R21">
            <v>649480395</v>
          </cell>
          <cell r="S21">
            <v>50323695</v>
          </cell>
          <cell r="T21">
            <v>152882533</v>
          </cell>
          <cell r="U21">
            <v>307058697</v>
          </cell>
          <cell r="V21">
            <v>19800165</v>
          </cell>
          <cell r="W21">
            <v>308004613</v>
          </cell>
          <cell r="X21">
            <v>142047396</v>
          </cell>
          <cell r="Y21">
            <v>4934112</v>
          </cell>
          <cell r="Z21">
            <v>52187069</v>
          </cell>
          <cell r="AA21">
            <v>2802244</v>
          </cell>
          <cell r="AB21">
            <v>105675156</v>
          </cell>
          <cell r="AC21">
            <v>31903752</v>
          </cell>
          <cell r="AD21">
            <v>18696298</v>
          </cell>
          <cell r="AE21">
            <v>0</v>
          </cell>
          <cell r="AF21">
            <v>2737103</v>
          </cell>
          <cell r="AG21">
            <v>1199052833</v>
          </cell>
          <cell r="AH21">
            <v>1199052833</v>
          </cell>
          <cell r="AI21">
            <v>212313914</v>
          </cell>
          <cell r="AJ21">
            <v>71521795</v>
          </cell>
          <cell r="AK21">
            <v>55045444</v>
          </cell>
          <cell r="AL21">
            <v>0</v>
          </cell>
          <cell r="AM21">
            <v>23607554</v>
          </cell>
          <cell r="AN21">
            <v>0</v>
          </cell>
          <cell r="AO21">
            <v>28992548</v>
          </cell>
          <cell r="AP21">
            <v>165261992</v>
          </cell>
          <cell r="AQ21">
            <v>26960694</v>
          </cell>
          <cell r="AR21">
            <v>0</v>
          </cell>
          <cell r="AS21">
            <v>16125186</v>
          </cell>
          <cell r="AT21">
            <v>77513909</v>
          </cell>
          <cell r="AU21">
            <v>677343036</v>
          </cell>
          <cell r="AV21">
            <v>2525876264</v>
          </cell>
        </row>
        <row r="22">
          <cell r="A22" t="str">
            <v xml:space="preserve">دستمزد </v>
          </cell>
          <cell r="B22" t="str">
            <v>دستمزد مستقیم</v>
          </cell>
          <cell r="C22">
            <v>59128904</v>
          </cell>
          <cell r="D22">
            <v>494759865</v>
          </cell>
          <cell r="E22">
            <v>519222758</v>
          </cell>
          <cell r="F22">
            <v>303405413</v>
          </cell>
          <cell r="G22">
            <v>484303307</v>
          </cell>
          <cell r="H22">
            <v>295311429</v>
          </cell>
          <cell r="I22">
            <v>719897089</v>
          </cell>
          <cell r="J22">
            <v>498653292</v>
          </cell>
          <cell r="K22">
            <v>241847980</v>
          </cell>
          <cell r="L22">
            <v>0</v>
          </cell>
          <cell r="M22">
            <v>140521455</v>
          </cell>
          <cell r="N22">
            <v>479632826</v>
          </cell>
          <cell r="O22">
            <v>55898543</v>
          </cell>
          <cell r="P22">
            <v>50954112</v>
          </cell>
          <cell r="Q22">
            <v>56815526</v>
          </cell>
          <cell r="R22">
            <v>4400352499</v>
          </cell>
          <cell r="S22">
            <v>262526977</v>
          </cell>
          <cell r="T22">
            <v>793026225</v>
          </cell>
          <cell r="U22">
            <v>1970688501</v>
          </cell>
          <cell r="V22">
            <v>245809735</v>
          </cell>
          <cell r="W22">
            <v>2189790209</v>
          </cell>
          <cell r="X22">
            <v>752662624</v>
          </cell>
          <cell r="Y22">
            <v>90918311</v>
          </cell>
          <cell r="Z22">
            <v>375962602</v>
          </cell>
          <cell r="AA22">
            <v>28823838</v>
          </cell>
          <cell r="AB22">
            <v>596023813</v>
          </cell>
          <cell r="AC22">
            <v>374089176</v>
          </cell>
          <cell r="AD22">
            <v>507298344</v>
          </cell>
          <cell r="AE22">
            <v>0</v>
          </cell>
          <cell r="AF22">
            <v>34436287</v>
          </cell>
          <cell r="AG22">
            <v>8222056642</v>
          </cell>
          <cell r="AH22">
            <v>8222056642</v>
          </cell>
          <cell r="AI22">
            <v>1889000581</v>
          </cell>
          <cell r="AJ22">
            <v>557791033</v>
          </cell>
          <cell r="AK22">
            <v>570322584</v>
          </cell>
          <cell r="AL22">
            <v>0</v>
          </cell>
          <cell r="AM22">
            <v>162206379</v>
          </cell>
          <cell r="AN22">
            <v>0</v>
          </cell>
          <cell r="AO22">
            <v>238103044</v>
          </cell>
          <cell r="AP22">
            <v>936051159</v>
          </cell>
          <cell r="AQ22">
            <v>291084235</v>
          </cell>
          <cell r="AR22">
            <v>6500000</v>
          </cell>
          <cell r="AS22">
            <v>106511250</v>
          </cell>
          <cell r="AT22">
            <v>784485789</v>
          </cell>
          <cell r="AU22">
            <v>5542056054</v>
          </cell>
          <cell r="AV22">
            <v>18164465195</v>
          </cell>
        </row>
        <row r="23">
          <cell r="A23">
            <v>7217000</v>
          </cell>
          <cell r="B23" t="str">
            <v>هزينه اياب وذهاب</v>
          </cell>
          <cell r="C23">
            <v>146000</v>
          </cell>
          <cell r="D23">
            <v>2408314</v>
          </cell>
          <cell r="E23">
            <v>3468025</v>
          </cell>
          <cell r="F23">
            <v>1743240</v>
          </cell>
          <cell r="G23">
            <v>3226351</v>
          </cell>
          <cell r="H23">
            <v>1292485</v>
          </cell>
          <cell r="I23">
            <v>4598698</v>
          </cell>
          <cell r="J23">
            <v>2685216</v>
          </cell>
          <cell r="K23">
            <v>1546352</v>
          </cell>
          <cell r="L23">
            <v>0</v>
          </cell>
          <cell r="M23">
            <v>390000</v>
          </cell>
          <cell r="N23">
            <v>0</v>
          </cell>
          <cell r="O23">
            <v>0</v>
          </cell>
          <cell r="P23">
            <v>0</v>
          </cell>
          <cell r="Q23">
            <v>2950000</v>
          </cell>
          <cell r="R23">
            <v>24454681</v>
          </cell>
          <cell r="S23">
            <v>967137</v>
          </cell>
          <cell r="T23">
            <v>5473708</v>
          </cell>
          <cell r="U23">
            <v>10975396</v>
          </cell>
          <cell r="V23">
            <v>2950000</v>
          </cell>
          <cell r="W23">
            <v>7204863</v>
          </cell>
          <cell r="X23">
            <v>5467414</v>
          </cell>
          <cell r="Y23">
            <v>0</v>
          </cell>
          <cell r="Z23">
            <v>3757996</v>
          </cell>
          <cell r="AA23">
            <v>0</v>
          </cell>
          <cell r="AB23">
            <v>5019488</v>
          </cell>
          <cell r="AC23">
            <v>1870205</v>
          </cell>
          <cell r="AD23">
            <v>789040</v>
          </cell>
          <cell r="AE23">
            <v>40000</v>
          </cell>
          <cell r="AF23">
            <v>1212637487</v>
          </cell>
          <cell r="AG23">
            <v>1257152734</v>
          </cell>
          <cell r="AH23">
            <v>1281607415</v>
          </cell>
          <cell r="AI23">
            <v>93636000</v>
          </cell>
          <cell r="AJ23">
            <v>16275500</v>
          </cell>
          <cell r="AK23">
            <v>0</v>
          </cell>
          <cell r="AL23">
            <v>160000</v>
          </cell>
          <cell r="AM23">
            <v>0</v>
          </cell>
          <cell r="AN23">
            <v>0</v>
          </cell>
          <cell r="AO23">
            <v>2950000</v>
          </cell>
          <cell r="AP23">
            <v>23793354</v>
          </cell>
          <cell r="AQ23">
            <v>3341792</v>
          </cell>
          <cell r="AR23">
            <v>7346000</v>
          </cell>
          <cell r="AS23">
            <v>1898271</v>
          </cell>
          <cell r="AT23">
            <v>11216307</v>
          </cell>
          <cell r="AU23">
            <v>160617224</v>
          </cell>
          <cell r="AV23">
            <v>1442224639</v>
          </cell>
        </row>
        <row r="24">
          <cell r="A24">
            <v>7218000</v>
          </cell>
          <cell r="B24" t="str">
            <v>هزينه پاداش بهره وري</v>
          </cell>
          <cell r="C24">
            <v>1625000</v>
          </cell>
          <cell r="D24">
            <v>13000000</v>
          </cell>
          <cell r="E24">
            <v>14625000</v>
          </cell>
          <cell r="F24">
            <v>6500000</v>
          </cell>
          <cell r="G24">
            <v>11375000</v>
          </cell>
          <cell r="H24">
            <v>8125000</v>
          </cell>
          <cell r="I24">
            <v>30474999</v>
          </cell>
          <cell r="J24">
            <v>11375000</v>
          </cell>
          <cell r="K24">
            <v>4875000</v>
          </cell>
          <cell r="L24">
            <v>0</v>
          </cell>
          <cell r="M24">
            <v>4875000</v>
          </cell>
          <cell r="N24">
            <v>9750000</v>
          </cell>
          <cell r="O24">
            <v>0</v>
          </cell>
          <cell r="P24">
            <v>0</v>
          </cell>
          <cell r="Q24">
            <v>3250000</v>
          </cell>
          <cell r="R24">
            <v>119849999</v>
          </cell>
          <cell r="S24">
            <v>8125000</v>
          </cell>
          <cell r="T24">
            <v>17875000</v>
          </cell>
          <cell r="U24">
            <v>50375000</v>
          </cell>
          <cell r="V24">
            <v>11375000</v>
          </cell>
          <cell r="W24">
            <v>76925000</v>
          </cell>
          <cell r="X24">
            <v>19500000</v>
          </cell>
          <cell r="Y24">
            <v>1625000</v>
          </cell>
          <cell r="Z24">
            <v>14625000</v>
          </cell>
          <cell r="AA24">
            <v>1625000</v>
          </cell>
          <cell r="AB24">
            <v>22750000</v>
          </cell>
          <cell r="AC24">
            <v>6500000</v>
          </cell>
          <cell r="AD24">
            <v>4875000</v>
          </cell>
          <cell r="AE24">
            <v>0</v>
          </cell>
          <cell r="AF24">
            <v>1625000</v>
          </cell>
          <cell r="AG24">
            <v>237800000</v>
          </cell>
          <cell r="AH24">
            <v>357649999</v>
          </cell>
          <cell r="AI24">
            <v>84500000</v>
          </cell>
          <cell r="AJ24">
            <v>14625000</v>
          </cell>
          <cell r="AK24">
            <v>22750000</v>
          </cell>
          <cell r="AL24">
            <v>0</v>
          </cell>
          <cell r="AM24">
            <v>4875000</v>
          </cell>
          <cell r="AN24">
            <v>0</v>
          </cell>
          <cell r="AO24">
            <v>6500000</v>
          </cell>
          <cell r="AP24">
            <v>30875000</v>
          </cell>
          <cell r="AQ24">
            <v>11375000</v>
          </cell>
          <cell r="AR24">
            <v>0</v>
          </cell>
          <cell r="AS24">
            <v>4875000</v>
          </cell>
          <cell r="AT24">
            <v>24375000</v>
          </cell>
          <cell r="AU24">
            <v>204750000</v>
          </cell>
          <cell r="AV24">
            <v>562399999</v>
          </cell>
        </row>
        <row r="25">
          <cell r="A25">
            <v>7218001</v>
          </cell>
          <cell r="B25" t="str">
            <v>هزينه پاداش بهره وري( پارس پاکان)</v>
          </cell>
          <cell r="C25">
            <v>0</v>
          </cell>
          <cell r="D25">
            <v>4949999</v>
          </cell>
          <cell r="E25">
            <v>2750000</v>
          </cell>
          <cell r="F25">
            <v>7699999</v>
          </cell>
          <cell r="G25">
            <v>6599999</v>
          </cell>
          <cell r="H25">
            <v>1650000</v>
          </cell>
          <cell r="I25">
            <v>6599999</v>
          </cell>
          <cell r="J25">
            <v>7149999</v>
          </cell>
          <cell r="K25">
            <v>4399999</v>
          </cell>
          <cell r="L25">
            <v>0</v>
          </cell>
          <cell r="M25">
            <v>0</v>
          </cell>
          <cell r="N25">
            <v>18699997</v>
          </cell>
          <cell r="O25">
            <v>3300000</v>
          </cell>
          <cell r="P25">
            <v>3300000</v>
          </cell>
          <cell r="Q25">
            <v>0</v>
          </cell>
          <cell r="R25">
            <v>67099991</v>
          </cell>
          <cell r="S25">
            <v>2750000</v>
          </cell>
          <cell r="T25">
            <v>17599997</v>
          </cell>
          <cell r="U25">
            <v>8799999</v>
          </cell>
          <cell r="V25">
            <v>1100000</v>
          </cell>
          <cell r="W25">
            <v>1100000</v>
          </cell>
          <cell r="X25">
            <v>6599999</v>
          </cell>
          <cell r="Y25">
            <v>2750000</v>
          </cell>
          <cell r="Z25">
            <v>0</v>
          </cell>
          <cell r="AA25">
            <v>0</v>
          </cell>
          <cell r="AB25">
            <v>1100000</v>
          </cell>
          <cell r="AC25">
            <v>5499999</v>
          </cell>
          <cell r="AD25">
            <v>32999995</v>
          </cell>
          <cell r="AE25">
            <v>0</v>
          </cell>
          <cell r="AF25">
            <v>0</v>
          </cell>
          <cell r="AG25">
            <v>80299989</v>
          </cell>
          <cell r="AH25">
            <v>147399980</v>
          </cell>
          <cell r="AI25">
            <v>1100000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1100000</v>
          </cell>
          <cell r="AR25">
            <v>0</v>
          </cell>
          <cell r="AS25">
            <v>0</v>
          </cell>
          <cell r="AT25">
            <v>1100000</v>
          </cell>
          <cell r="AU25">
            <v>3300000</v>
          </cell>
          <cell r="AV25">
            <v>150699980</v>
          </cell>
        </row>
        <row r="26">
          <cell r="A26">
            <v>7219000</v>
          </cell>
          <cell r="B26" t="str">
            <v>هزينه سايرمزاياي نقدي</v>
          </cell>
          <cell r="C26">
            <v>6480000</v>
          </cell>
          <cell r="D26">
            <v>5951068</v>
          </cell>
          <cell r="E26">
            <v>4373262</v>
          </cell>
          <cell r="F26">
            <v>1002999</v>
          </cell>
          <cell r="G26">
            <v>21303901</v>
          </cell>
          <cell r="H26">
            <v>999999</v>
          </cell>
          <cell r="I26">
            <v>3597483</v>
          </cell>
          <cell r="J26">
            <v>309999</v>
          </cell>
          <cell r="K26">
            <v>309999</v>
          </cell>
          <cell r="L26">
            <v>0</v>
          </cell>
          <cell r="M26">
            <v>1860003</v>
          </cell>
          <cell r="N26">
            <v>19605123</v>
          </cell>
          <cell r="O26">
            <v>0</v>
          </cell>
          <cell r="P26">
            <v>0</v>
          </cell>
          <cell r="Q26">
            <v>10792424</v>
          </cell>
          <cell r="R26">
            <v>76586260</v>
          </cell>
          <cell r="S26">
            <v>5852393</v>
          </cell>
          <cell r="T26">
            <v>24763642</v>
          </cell>
          <cell r="U26">
            <v>50209134</v>
          </cell>
          <cell r="V26">
            <v>6200001</v>
          </cell>
          <cell r="W26">
            <v>63952364</v>
          </cell>
          <cell r="X26">
            <v>48618206</v>
          </cell>
          <cell r="Y26">
            <v>3529455</v>
          </cell>
          <cell r="Z26">
            <v>29884198</v>
          </cell>
          <cell r="AA26">
            <v>0</v>
          </cell>
          <cell r="AB26">
            <v>8609001</v>
          </cell>
          <cell r="AC26">
            <v>600000</v>
          </cell>
          <cell r="AD26">
            <v>791277</v>
          </cell>
          <cell r="AE26">
            <v>0</v>
          </cell>
          <cell r="AF26">
            <v>0</v>
          </cell>
          <cell r="AG26">
            <v>243009671</v>
          </cell>
          <cell r="AH26">
            <v>319595931</v>
          </cell>
          <cell r="AI26">
            <v>454862160</v>
          </cell>
          <cell r="AJ26">
            <v>58577781</v>
          </cell>
          <cell r="AK26">
            <v>21286668</v>
          </cell>
          <cell r="AL26">
            <v>0</v>
          </cell>
          <cell r="AM26">
            <v>6200001</v>
          </cell>
          <cell r="AN26">
            <v>0</v>
          </cell>
          <cell r="AO26">
            <v>23122224</v>
          </cell>
          <cell r="AP26">
            <v>125790581</v>
          </cell>
          <cell r="AQ26">
            <v>17428120</v>
          </cell>
          <cell r="AR26">
            <v>0</v>
          </cell>
          <cell r="AS26">
            <v>1840002</v>
          </cell>
          <cell r="AT26">
            <v>84215014</v>
          </cell>
          <cell r="AU26">
            <v>793322551</v>
          </cell>
          <cell r="AV26">
            <v>1112918482</v>
          </cell>
        </row>
        <row r="27">
          <cell r="A27">
            <v>7219001</v>
          </cell>
          <cell r="B27" t="str">
            <v>هزينه سايرمزاياي نقدي ( پارس پاکان)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</row>
        <row r="28">
          <cell r="A28">
            <v>7223000</v>
          </cell>
          <cell r="B28" t="str">
            <v>هزينه بيمه حوادث كاركنان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</row>
        <row r="29">
          <cell r="A29">
            <v>7224000</v>
          </cell>
          <cell r="B29" t="str">
            <v>هزينه بهداشت ودرمان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79000</v>
          </cell>
          <cell r="U29">
            <v>313400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864000</v>
          </cell>
          <cell r="AE29">
            <v>213000</v>
          </cell>
          <cell r="AF29">
            <v>140000</v>
          </cell>
          <cell r="AG29">
            <v>1609400</v>
          </cell>
          <cell r="AH29">
            <v>1609400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3132270</v>
          </cell>
          <cell r="AT29">
            <v>0</v>
          </cell>
          <cell r="AU29">
            <v>3132270</v>
          </cell>
          <cell r="AV29">
            <v>4741670</v>
          </cell>
        </row>
        <row r="30">
          <cell r="A30">
            <v>7225000</v>
          </cell>
          <cell r="B30" t="str">
            <v>هزينه تغذيه پرسنل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184000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8850000</v>
          </cell>
          <cell r="AC30">
            <v>0</v>
          </cell>
          <cell r="AD30">
            <v>2872000</v>
          </cell>
          <cell r="AE30">
            <v>1628386545</v>
          </cell>
          <cell r="AF30">
            <v>702000</v>
          </cell>
          <cell r="AG30">
            <v>1640994545</v>
          </cell>
          <cell r="AH30">
            <v>1640994545</v>
          </cell>
          <cell r="AI30">
            <v>366500</v>
          </cell>
          <cell r="AJ30">
            <v>86000</v>
          </cell>
          <cell r="AK30">
            <v>0</v>
          </cell>
          <cell r="AL30">
            <v>50000</v>
          </cell>
          <cell r="AM30">
            <v>0</v>
          </cell>
          <cell r="AN30">
            <v>0</v>
          </cell>
          <cell r="AO30">
            <v>291000</v>
          </cell>
          <cell r="AP30">
            <v>1325500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2119000</v>
          </cell>
          <cell r="AV30">
            <v>1643113545</v>
          </cell>
        </row>
        <row r="31">
          <cell r="A31">
            <v>7226000</v>
          </cell>
          <cell r="B31" t="str">
            <v>هزينه 3%صندوق پس انداز آتيه سهم کارفرما</v>
          </cell>
          <cell r="C31">
            <v>919125</v>
          </cell>
          <cell r="D31">
            <v>5057991</v>
          </cell>
          <cell r="E31">
            <v>5540928</v>
          </cell>
          <cell r="F31">
            <v>2589594</v>
          </cell>
          <cell r="G31">
            <v>4376553</v>
          </cell>
          <cell r="H31">
            <v>3211548</v>
          </cell>
          <cell r="I31">
            <v>7749112</v>
          </cell>
          <cell r="J31">
            <v>4474707</v>
          </cell>
          <cell r="K31">
            <v>1872678</v>
          </cell>
          <cell r="L31">
            <v>0</v>
          </cell>
          <cell r="M31">
            <v>2028591</v>
          </cell>
          <cell r="N31">
            <v>3470554</v>
          </cell>
          <cell r="O31">
            <v>0</v>
          </cell>
          <cell r="P31">
            <v>0</v>
          </cell>
          <cell r="Q31">
            <v>1203151</v>
          </cell>
          <cell r="R31">
            <v>42494532</v>
          </cell>
          <cell r="S31">
            <v>2808126</v>
          </cell>
          <cell r="T31">
            <v>7113528</v>
          </cell>
          <cell r="U31">
            <v>19600735</v>
          </cell>
          <cell r="V31">
            <v>3771801</v>
          </cell>
          <cell r="W31">
            <v>33389614</v>
          </cell>
          <cell r="X31">
            <v>7612860</v>
          </cell>
          <cell r="Y31">
            <v>846135</v>
          </cell>
          <cell r="Z31">
            <v>6216980</v>
          </cell>
          <cell r="AA31">
            <v>525032</v>
          </cell>
          <cell r="AB31">
            <v>9030303</v>
          </cell>
          <cell r="AC31">
            <v>1822821</v>
          </cell>
          <cell r="AD31">
            <v>765291</v>
          </cell>
          <cell r="AE31">
            <v>0</v>
          </cell>
          <cell r="AF31">
            <v>427893</v>
          </cell>
          <cell r="AG31">
            <v>93931119</v>
          </cell>
          <cell r="AH31">
            <v>136425651</v>
          </cell>
          <cell r="AI31">
            <v>34176682</v>
          </cell>
          <cell r="AJ31">
            <v>11854336</v>
          </cell>
          <cell r="AK31">
            <v>10569752</v>
          </cell>
          <cell r="AL31">
            <v>0</v>
          </cell>
          <cell r="AM31">
            <v>1682871</v>
          </cell>
          <cell r="AN31">
            <v>0</v>
          </cell>
          <cell r="AO31">
            <v>3960351</v>
          </cell>
          <cell r="AP31">
            <v>13026645</v>
          </cell>
          <cell r="AQ31">
            <v>4770909</v>
          </cell>
          <cell r="AR31">
            <v>0</v>
          </cell>
          <cell r="AS31">
            <v>1368216</v>
          </cell>
          <cell r="AT31">
            <v>14753230</v>
          </cell>
          <cell r="AU31">
            <v>96162992</v>
          </cell>
          <cell r="AV31">
            <v>232588643</v>
          </cell>
        </row>
        <row r="32">
          <cell r="A32">
            <v>7231000</v>
          </cell>
          <cell r="B32" t="str">
            <v>هزينه بازخريدمرخصي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</row>
        <row r="33">
          <cell r="A33">
            <v>7233000</v>
          </cell>
          <cell r="B33" t="str">
            <v>هزينه مزاياي غيرنقدي</v>
          </cell>
          <cell r="C33">
            <v>600000</v>
          </cell>
          <cell r="D33">
            <v>4800000</v>
          </cell>
          <cell r="E33">
            <v>4800000</v>
          </cell>
          <cell r="F33">
            <v>1800000</v>
          </cell>
          <cell r="G33">
            <v>3600000</v>
          </cell>
          <cell r="H33">
            <v>3000000</v>
          </cell>
          <cell r="I33">
            <v>6000000</v>
          </cell>
          <cell r="J33">
            <v>4200000</v>
          </cell>
          <cell r="K33">
            <v>1800000</v>
          </cell>
          <cell r="L33">
            <v>0</v>
          </cell>
          <cell r="M33">
            <v>1800000</v>
          </cell>
          <cell r="N33">
            <v>2400000</v>
          </cell>
          <cell r="O33">
            <v>1800000</v>
          </cell>
          <cell r="P33">
            <v>0</v>
          </cell>
          <cell r="Q33">
            <v>600000</v>
          </cell>
          <cell r="R33">
            <v>37200000</v>
          </cell>
          <cell r="S33">
            <v>2400000</v>
          </cell>
          <cell r="T33">
            <v>7200000</v>
          </cell>
          <cell r="U33">
            <v>18600000</v>
          </cell>
          <cell r="V33">
            <v>4800000</v>
          </cell>
          <cell r="W33">
            <v>25200000</v>
          </cell>
          <cell r="X33">
            <v>5400000</v>
          </cell>
          <cell r="Y33">
            <v>600000</v>
          </cell>
          <cell r="Z33">
            <v>4800000</v>
          </cell>
          <cell r="AA33">
            <v>600000</v>
          </cell>
          <cell r="AB33">
            <v>6600000</v>
          </cell>
          <cell r="AC33">
            <v>1800000</v>
          </cell>
          <cell r="AD33">
            <v>3600000</v>
          </cell>
          <cell r="AE33">
            <v>0</v>
          </cell>
          <cell r="AF33">
            <v>600000</v>
          </cell>
          <cell r="AG33">
            <v>82200000</v>
          </cell>
          <cell r="AH33">
            <v>119400000</v>
          </cell>
          <cell r="AI33">
            <v>29400000</v>
          </cell>
          <cell r="AJ33">
            <v>4200000</v>
          </cell>
          <cell r="AK33">
            <v>8400000</v>
          </cell>
          <cell r="AL33">
            <v>0</v>
          </cell>
          <cell r="AM33">
            <v>1800000</v>
          </cell>
          <cell r="AN33">
            <v>0</v>
          </cell>
          <cell r="AO33">
            <v>2400000</v>
          </cell>
          <cell r="AP33">
            <v>9000000</v>
          </cell>
          <cell r="AQ33">
            <v>3600000</v>
          </cell>
          <cell r="AR33">
            <v>1200000</v>
          </cell>
          <cell r="AS33">
            <v>1200000</v>
          </cell>
          <cell r="AT33">
            <v>9000000</v>
          </cell>
          <cell r="AU33">
            <v>70200000</v>
          </cell>
          <cell r="AV33">
            <v>189600000</v>
          </cell>
        </row>
        <row r="34">
          <cell r="A34">
            <v>7233001</v>
          </cell>
          <cell r="B34" t="str">
            <v>هزينه مزاياي غيرنقدي ( پارس پاکان)</v>
          </cell>
          <cell r="C34">
            <v>0</v>
          </cell>
          <cell r="D34">
            <v>5400000</v>
          </cell>
          <cell r="E34">
            <v>4800000</v>
          </cell>
          <cell r="F34">
            <v>6600000</v>
          </cell>
          <cell r="G34">
            <v>7200000</v>
          </cell>
          <cell r="H34">
            <v>1800000</v>
          </cell>
          <cell r="I34">
            <v>16200000</v>
          </cell>
          <cell r="J34">
            <v>8400000</v>
          </cell>
          <cell r="K34">
            <v>4800000</v>
          </cell>
          <cell r="L34">
            <v>0</v>
          </cell>
          <cell r="M34">
            <v>0</v>
          </cell>
          <cell r="N34">
            <v>16800000</v>
          </cell>
          <cell r="O34">
            <v>4200000</v>
          </cell>
          <cell r="P34">
            <v>3600000</v>
          </cell>
          <cell r="Q34">
            <v>0</v>
          </cell>
          <cell r="R34">
            <v>79800000</v>
          </cell>
          <cell r="S34">
            <v>3000000</v>
          </cell>
          <cell r="T34">
            <v>13200000</v>
          </cell>
          <cell r="U34">
            <v>8400000</v>
          </cell>
          <cell r="V34">
            <v>1200000</v>
          </cell>
          <cell r="W34">
            <v>1800000</v>
          </cell>
          <cell r="X34">
            <v>6600000</v>
          </cell>
          <cell r="Y34">
            <v>2400000</v>
          </cell>
          <cell r="Z34">
            <v>0</v>
          </cell>
          <cell r="AA34">
            <v>0</v>
          </cell>
          <cell r="AB34">
            <v>1200000</v>
          </cell>
          <cell r="AC34">
            <v>6000000</v>
          </cell>
          <cell r="AD34">
            <v>31200000</v>
          </cell>
          <cell r="AE34">
            <v>0</v>
          </cell>
          <cell r="AF34">
            <v>0</v>
          </cell>
          <cell r="AG34">
            <v>75000000</v>
          </cell>
          <cell r="AH34">
            <v>154800000</v>
          </cell>
          <cell r="AI34">
            <v>1200000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10800000</v>
          </cell>
          <cell r="AR34">
            <v>0</v>
          </cell>
          <cell r="AS34">
            <v>0</v>
          </cell>
          <cell r="AT34">
            <v>1200000</v>
          </cell>
          <cell r="AU34">
            <v>13200000</v>
          </cell>
          <cell r="AV34">
            <v>168000000</v>
          </cell>
        </row>
        <row r="35">
          <cell r="A35">
            <v>7234000</v>
          </cell>
          <cell r="B35" t="str">
            <v>هزينه سفروماموريت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365915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365915</v>
          </cell>
          <cell r="S35">
            <v>0</v>
          </cell>
          <cell r="T35">
            <v>495915</v>
          </cell>
          <cell r="U35">
            <v>1471878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711266</v>
          </cell>
          <cell r="AD35">
            <v>753613</v>
          </cell>
          <cell r="AE35">
            <v>0</v>
          </cell>
          <cell r="AF35">
            <v>0</v>
          </cell>
          <cell r="AG35">
            <v>3432672</v>
          </cell>
          <cell r="AH35">
            <v>3798587</v>
          </cell>
          <cell r="AI35">
            <v>87991877</v>
          </cell>
          <cell r="AJ35">
            <v>131753000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41650000</v>
          </cell>
          <cell r="AU35">
            <v>261394877</v>
          </cell>
          <cell r="AV35">
            <v>265193464</v>
          </cell>
        </row>
        <row r="36">
          <cell r="A36">
            <v>7235000</v>
          </cell>
          <cell r="B36" t="str">
            <v>هزينه پوشاك</v>
          </cell>
          <cell r="C36">
            <v>0</v>
          </cell>
          <cell r="D36">
            <v>0</v>
          </cell>
          <cell r="E36">
            <v>316067</v>
          </cell>
          <cell r="F36">
            <v>0</v>
          </cell>
          <cell r="G36">
            <v>0</v>
          </cell>
          <cell r="H36">
            <v>0</v>
          </cell>
          <cell r="I36">
            <v>3402000</v>
          </cell>
          <cell r="J36">
            <v>52000</v>
          </cell>
          <cell r="K36">
            <v>305509</v>
          </cell>
          <cell r="L36">
            <v>0</v>
          </cell>
          <cell r="M36">
            <v>0</v>
          </cell>
          <cell r="N36">
            <v>2145775</v>
          </cell>
          <cell r="O36">
            <v>0</v>
          </cell>
          <cell r="P36">
            <v>0</v>
          </cell>
          <cell r="Q36">
            <v>5714500</v>
          </cell>
          <cell r="R36">
            <v>11935851</v>
          </cell>
          <cell r="S36">
            <v>0</v>
          </cell>
          <cell r="T36">
            <v>51086000</v>
          </cell>
          <cell r="U36">
            <v>2012000</v>
          </cell>
          <cell r="V36">
            <v>0</v>
          </cell>
          <cell r="W36">
            <v>1065444</v>
          </cell>
          <cell r="X36">
            <v>1116875</v>
          </cell>
          <cell r="Y36">
            <v>151375</v>
          </cell>
          <cell r="Z36">
            <v>2250000</v>
          </cell>
          <cell r="AA36">
            <v>0</v>
          </cell>
          <cell r="AB36">
            <v>2250000</v>
          </cell>
          <cell r="AC36">
            <v>5540000</v>
          </cell>
          <cell r="AD36">
            <v>126975446</v>
          </cell>
          <cell r="AE36">
            <v>0</v>
          </cell>
          <cell r="AF36">
            <v>280000</v>
          </cell>
          <cell r="AG36">
            <v>192727140</v>
          </cell>
          <cell r="AH36">
            <v>204662991</v>
          </cell>
          <cell r="AI36">
            <v>0</v>
          </cell>
          <cell r="AJ36">
            <v>750000</v>
          </cell>
          <cell r="AK36">
            <v>313375</v>
          </cell>
          <cell r="AL36">
            <v>1500000</v>
          </cell>
          <cell r="AM36">
            <v>0</v>
          </cell>
          <cell r="AN36">
            <v>0</v>
          </cell>
          <cell r="AO36">
            <v>750000</v>
          </cell>
          <cell r="AP36">
            <v>2510000</v>
          </cell>
          <cell r="AQ36">
            <v>2250000</v>
          </cell>
          <cell r="AR36">
            <v>14750000</v>
          </cell>
          <cell r="AS36">
            <v>1270000</v>
          </cell>
          <cell r="AT36">
            <v>6095000</v>
          </cell>
          <cell r="AU36">
            <v>30188375</v>
          </cell>
          <cell r="AV36">
            <v>234851366</v>
          </cell>
        </row>
        <row r="37">
          <cell r="A37">
            <v>7236000</v>
          </cell>
          <cell r="B37" t="str">
            <v>هزينه هاي ورزشي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26574800</v>
          </cell>
          <cell r="AE37">
            <v>0</v>
          </cell>
          <cell r="AF37">
            <v>0</v>
          </cell>
          <cell r="AG37">
            <v>26574800</v>
          </cell>
          <cell r="AH37">
            <v>26574800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26574800</v>
          </cell>
        </row>
        <row r="38">
          <cell r="A38">
            <v>7237000</v>
          </cell>
          <cell r="B38" t="str">
            <v>هزينه هاي آموزشي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2200000</v>
          </cell>
          <cell r="O38">
            <v>0</v>
          </cell>
          <cell r="P38">
            <v>0</v>
          </cell>
          <cell r="Q38">
            <v>550000</v>
          </cell>
          <cell r="R38">
            <v>2750000</v>
          </cell>
          <cell r="S38">
            <v>0</v>
          </cell>
          <cell r="T38">
            <v>4512000</v>
          </cell>
          <cell r="U38">
            <v>0</v>
          </cell>
          <cell r="V38">
            <v>2625000</v>
          </cell>
          <cell r="W38">
            <v>11000000</v>
          </cell>
          <cell r="X38">
            <v>72500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18209500</v>
          </cell>
          <cell r="AH38">
            <v>20959500</v>
          </cell>
          <cell r="AI38">
            <v>550000</v>
          </cell>
          <cell r="AJ38">
            <v>2750000</v>
          </cell>
          <cell r="AK38">
            <v>3300000</v>
          </cell>
          <cell r="AL38">
            <v>3035000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315789</v>
          </cell>
          <cell r="AT38">
            <v>2124232</v>
          </cell>
          <cell r="AU38">
            <v>12075021</v>
          </cell>
          <cell r="AV38">
            <v>33034521</v>
          </cell>
        </row>
        <row r="39">
          <cell r="A39" t="str">
            <v>جمع سایر هزینه های کارکنان</v>
          </cell>
          <cell r="C39">
            <v>9770125</v>
          </cell>
          <cell r="D39">
            <v>41567372</v>
          </cell>
          <cell r="E39">
            <v>40673282</v>
          </cell>
          <cell r="F39">
            <v>27935832</v>
          </cell>
          <cell r="G39">
            <v>57681804</v>
          </cell>
          <cell r="H39">
            <v>20079032</v>
          </cell>
          <cell r="I39">
            <v>78622291</v>
          </cell>
          <cell r="J39">
            <v>39012836</v>
          </cell>
          <cell r="K39">
            <v>19909537</v>
          </cell>
          <cell r="L39">
            <v>0</v>
          </cell>
          <cell r="M39">
            <v>10953594</v>
          </cell>
          <cell r="N39">
            <v>75071449</v>
          </cell>
          <cell r="O39">
            <v>9300000</v>
          </cell>
          <cell r="P39">
            <v>6900000</v>
          </cell>
          <cell r="Q39">
            <v>25060075</v>
          </cell>
          <cell r="R39">
            <v>462537229</v>
          </cell>
          <cell r="S39">
            <v>25902656</v>
          </cell>
          <cell r="T39">
            <v>149398790</v>
          </cell>
          <cell r="U39">
            <v>170941542</v>
          </cell>
          <cell r="V39">
            <v>34021802</v>
          </cell>
          <cell r="W39">
            <v>221637285</v>
          </cell>
          <cell r="X39">
            <v>100987854</v>
          </cell>
          <cell r="Y39">
            <v>11901965</v>
          </cell>
          <cell r="Z39">
            <v>61534174</v>
          </cell>
          <cell r="AA39">
            <v>2750032</v>
          </cell>
          <cell r="AB39">
            <v>65408792</v>
          </cell>
          <cell r="AC39">
            <v>30344291</v>
          </cell>
          <cell r="AD39">
            <v>233060462</v>
          </cell>
          <cell r="AE39">
            <v>1628639545</v>
          </cell>
          <cell r="AF39">
            <v>1216412380</v>
          </cell>
          <cell r="AG39">
            <v>3952941570</v>
          </cell>
          <cell r="AH39">
            <v>4415478799</v>
          </cell>
          <cell r="AI39">
            <v>787783219</v>
          </cell>
          <cell r="AJ39">
            <v>240871617</v>
          </cell>
          <cell r="AK39">
            <v>66619795</v>
          </cell>
          <cell r="AL39">
            <v>4745000</v>
          </cell>
          <cell r="AM39">
            <v>14557872</v>
          </cell>
          <cell r="AN39">
            <v>0</v>
          </cell>
          <cell r="AO39">
            <v>39973575</v>
          </cell>
          <cell r="AP39">
            <v>206321080</v>
          </cell>
          <cell r="AQ39">
            <v>54665821</v>
          </cell>
          <cell r="AR39">
            <v>23296000</v>
          </cell>
          <cell r="AS39">
            <v>15899548</v>
          </cell>
          <cell r="AT39">
            <v>195728783</v>
          </cell>
          <cell r="AU39">
            <v>1650462310</v>
          </cell>
          <cell r="AV39">
            <v>6065941109</v>
          </cell>
        </row>
        <row r="40">
          <cell r="A40" t="str">
            <v>جمع هزینه های کارکنان</v>
          </cell>
          <cell r="C40">
            <v>68899029</v>
          </cell>
          <cell r="D40">
            <v>536327237</v>
          </cell>
          <cell r="E40">
            <v>559896040</v>
          </cell>
          <cell r="F40">
            <v>331341245</v>
          </cell>
          <cell r="G40">
            <v>541985111</v>
          </cell>
          <cell r="H40">
            <v>315390461</v>
          </cell>
          <cell r="I40">
            <v>798519380</v>
          </cell>
          <cell r="J40">
            <v>537666128</v>
          </cell>
          <cell r="K40">
            <v>261757517</v>
          </cell>
          <cell r="L40">
            <v>0</v>
          </cell>
          <cell r="M40">
            <v>151475049</v>
          </cell>
          <cell r="N40">
            <v>554704275</v>
          </cell>
          <cell r="O40">
            <v>65198543</v>
          </cell>
          <cell r="P40">
            <v>57854112</v>
          </cell>
          <cell r="Q40">
            <v>81875601</v>
          </cell>
          <cell r="R40">
            <v>4862889728</v>
          </cell>
          <cell r="S40">
            <v>288429633</v>
          </cell>
          <cell r="T40">
            <v>942425015</v>
          </cell>
          <cell r="U40">
            <v>2141630043</v>
          </cell>
          <cell r="V40">
            <v>279831537</v>
          </cell>
          <cell r="W40">
            <v>2411427494</v>
          </cell>
          <cell r="X40">
            <v>853650478</v>
          </cell>
          <cell r="Y40">
            <v>102820276</v>
          </cell>
          <cell r="Z40">
            <v>437496776</v>
          </cell>
          <cell r="AA40">
            <v>31573870</v>
          </cell>
          <cell r="AB40">
            <v>661432605</v>
          </cell>
          <cell r="AC40">
            <v>404433467</v>
          </cell>
          <cell r="AD40">
            <v>740358806</v>
          </cell>
          <cell r="AE40">
            <v>1628639545</v>
          </cell>
          <cell r="AF40">
            <v>1250848667</v>
          </cell>
          <cell r="AG40">
            <v>12174998212</v>
          </cell>
          <cell r="AH40">
            <v>12637535441</v>
          </cell>
          <cell r="AI40">
            <v>2676783800</v>
          </cell>
          <cell r="AJ40">
            <v>798662650</v>
          </cell>
          <cell r="AK40">
            <v>636942379</v>
          </cell>
          <cell r="AL40">
            <v>4745000</v>
          </cell>
          <cell r="AM40">
            <v>176764251</v>
          </cell>
          <cell r="AN40">
            <v>0</v>
          </cell>
          <cell r="AO40">
            <v>278076619</v>
          </cell>
          <cell r="AP40">
            <v>1142372239</v>
          </cell>
          <cell r="AQ40">
            <v>345750056</v>
          </cell>
          <cell r="AR40">
            <v>29796000</v>
          </cell>
          <cell r="AS40">
            <v>122410798</v>
          </cell>
          <cell r="AT40">
            <v>980214572</v>
          </cell>
          <cell r="AU40">
            <v>7192518364</v>
          </cell>
          <cell r="AV40">
            <v>24230406304</v>
          </cell>
        </row>
        <row r="41">
          <cell r="A41">
            <v>7313000</v>
          </cell>
          <cell r="B41" t="str">
            <v>هزينه سربار مواد اوليه</v>
          </cell>
          <cell r="C41">
            <v>0</v>
          </cell>
          <cell r="D41">
            <v>24649971</v>
          </cell>
          <cell r="E41">
            <v>105881933</v>
          </cell>
          <cell r="F41">
            <v>46742865</v>
          </cell>
          <cell r="G41">
            <v>33577631</v>
          </cell>
          <cell r="H41">
            <v>272500</v>
          </cell>
          <cell r="I41">
            <v>9056107</v>
          </cell>
          <cell r="J41">
            <v>744756</v>
          </cell>
          <cell r="K41">
            <v>5405683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3854277</v>
          </cell>
          <cell r="R41">
            <v>230185723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79261722</v>
          </cell>
          <cell r="X41">
            <v>0</v>
          </cell>
          <cell r="Y41">
            <v>4286093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83547815</v>
          </cell>
          <cell r="AH41">
            <v>313733538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313733538</v>
          </cell>
        </row>
        <row r="42">
          <cell r="A42">
            <v>7314000</v>
          </cell>
          <cell r="B42" t="str">
            <v>هزينه  سربار مواد بسته بندي</v>
          </cell>
          <cell r="C42">
            <v>0</v>
          </cell>
          <cell r="D42">
            <v>0</v>
          </cell>
          <cell r="E42">
            <v>5634121</v>
          </cell>
          <cell r="F42">
            <v>2015215</v>
          </cell>
          <cell r="G42">
            <v>4660647</v>
          </cell>
          <cell r="H42">
            <v>0</v>
          </cell>
          <cell r="I42">
            <v>1690210</v>
          </cell>
          <cell r="J42">
            <v>632021</v>
          </cell>
          <cell r="K42">
            <v>1648468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2047827</v>
          </cell>
          <cell r="R42">
            <v>18328509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12530197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12530197</v>
          </cell>
          <cell r="AH42">
            <v>30858706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30858706</v>
          </cell>
        </row>
        <row r="43">
          <cell r="A43">
            <v>7316000</v>
          </cell>
          <cell r="B43" t="str">
            <v>هزينه سربار مواد اوليه (افشانه ها )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1487404</v>
          </cell>
          <cell r="P43">
            <v>0</v>
          </cell>
          <cell r="Q43">
            <v>0</v>
          </cell>
          <cell r="R43">
            <v>1487404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42672949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1387961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44060910</v>
          </cell>
          <cell r="AH43">
            <v>45548314</v>
          </cell>
          <cell r="AI43">
            <v>0</v>
          </cell>
          <cell r="AJ43">
            <v>0</v>
          </cell>
          <cell r="AK43">
            <v>91667111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91667111</v>
          </cell>
          <cell r="AV43">
            <v>137215425</v>
          </cell>
        </row>
        <row r="44">
          <cell r="A44">
            <v>7317000</v>
          </cell>
          <cell r="B44" t="str">
            <v>هزينه  سربار  بسته بندي (افشا نه ها )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1701000</v>
          </cell>
          <cell r="P44">
            <v>7710540</v>
          </cell>
          <cell r="Q44">
            <v>0</v>
          </cell>
          <cell r="R44">
            <v>9411540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291357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291357</v>
          </cell>
          <cell r="AH44">
            <v>9702897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9702897</v>
          </cell>
        </row>
        <row r="45">
          <cell r="A45">
            <v>7319000</v>
          </cell>
          <cell r="B45" t="str">
            <v>تعميرونگهداري ساختمان وتاسيسات</v>
          </cell>
          <cell r="C45">
            <v>0</v>
          </cell>
          <cell r="D45">
            <v>1090000</v>
          </cell>
          <cell r="E45">
            <v>12502500</v>
          </cell>
          <cell r="F45">
            <v>0</v>
          </cell>
          <cell r="G45">
            <v>0</v>
          </cell>
          <cell r="H45">
            <v>0</v>
          </cell>
          <cell r="I45">
            <v>930000</v>
          </cell>
          <cell r="J45">
            <v>584000</v>
          </cell>
          <cell r="K45">
            <v>0</v>
          </cell>
          <cell r="L45">
            <v>0</v>
          </cell>
          <cell r="M45">
            <v>0</v>
          </cell>
          <cell r="N45">
            <v>18150000</v>
          </cell>
          <cell r="O45">
            <v>0</v>
          </cell>
          <cell r="P45">
            <v>0</v>
          </cell>
          <cell r="Q45">
            <v>7130000</v>
          </cell>
          <cell r="R45">
            <v>40386500</v>
          </cell>
          <cell r="S45">
            <v>0</v>
          </cell>
          <cell r="T45">
            <v>0</v>
          </cell>
          <cell r="U45">
            <v>698195122</v>
          </cell>
          <cell r="V45">
            <v>7048000</v>
          </cell>
          <cell r="W45">
            <v>13500000</v>
          </cell>
          <cell r="X45">
            <v>24115000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4377000</v>
          </cell>
          <cell r="AD45">
            <v>0</v>
          </cell>
          <cell r="AE45">
            <v>0</v>
          </cell>
          <cell r="AF45">
            <v>0</v>
          </cell>
          <cell r="AG45">
            <v>747235122</v>
          </cell>
          <cell r="AH45">
            <v>787621622</v>
          </cell>
          <cell r="AI45">
            <v>14273333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6000000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5000000</v>
          </cell>
          <cell r="AU45">
            <v>25273333</v>
          </cell>
          <cell r="AV45">
            <v>812894955</v>
          </cell>
        </row>
        <row r="46">
          <cell r="A46">
            <v>7320000</v>
          </cell>
          <cell r="B46" t="str">
            <v>تعميرونگهداري ماشين آلات</v>
          </cell>
          <cell r="C46">
            <v>0</v>
          </cell>
          <cell r="D46">
            <v>38443737</v>
          </cell>
          <cell r="E46">
            <v>17198950</v>
          </cell>
          <cell r="F46">
            <v>17116150</v>
          </cell>
          <cell r="G46">
            <v>68005594</v>
          </cell>
          <cell r="H46">
            <v>595040</v>
          </cell>
          <cell r="I46">
            <v>28099791</v>
          </cell>
          <cell r="J46">
            <v>497420</v>
          </cell>
          <cell r="K46">
            <v>370000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3189636</v>
          </cell>
          <cell r="R46">
            <v>173516318</v>
          </cell>
          <cell r="S46">
            <v>0</v>
          </cell>
          <cell r="T46">
            <v>0</v>
          </cell>
          <cell r="U46">
            <v>81186078</v>
          </cell>
          <cell r="V46">
            <v>43634472</v>
          </cell>
          <cell r="W46">
            <v>485527</v>
          </cell>
          <cell r="X46">
            <v>545354</v>
          </cell>
          <cell r="Y46">
            <v>1424500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60000</v>
          </cell>
          <cell r="AF46">
            <v>0</v>
          </cell>
          <cell r="AG46">
            <v>127335931</v>
          </cell>
          <cell r="AH46">
            <v>300852249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11625</v>
          </cell>
          <cell r="AR46">
            <v>0</v>
          </cell>
          <cell r="AS46">
            <v>0</v>
          </cell>
          <cell r="AT46">
            <v>0</v>
          </cell>
          <cell r="AU46">
            <v>11625</v>
          </cell>
          <cell r="AV46">
            <v>300863874</v>
          </cell>
        </row>
        <row r="47">
          <cell r="A47">
            <v>7321000</v>
          </cell>
          <cell r="B47" t="str">
            <v>تعميرونگهداري وسائطنقليه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12433685</v>
          </cell>
          <cell r="V47">
            <v>0</v>
          </cell>
          <cell r="W47">
            <v>50000</v>
          </cell>
          <cell r="X47">
            <v>14132288</v>
          </cell>
          <cell r="Y47">
            <v>0</v>
          </cell>
          <cell r="Z47">
            <v>0</v>
          </cell>
          <cell r="AA47">
            <v>0</v>
          </cell>
          <cell r="AB47">
            <v>7992000</v>
          </cell>
          <cell r="AC47">
            <v>0</v>
          </cell>
          <cell r="AD47">
            <v>885000</v>
          </cell>
          <cell r="AE47">
            <v>0</v>
          </cell>
          <cell r="AF47">
            <v>0</v>
          </cell>
          <cell r="AG47">
            <v>35492973</v>
          </cell>
          <cell r="AH47">
            <v>35492973</v>
          </cell>
          <cell r="AI47">
            <v>0</v>
          </cell>
          <cell r="AJ47">
            <v>7084180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530000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7614180</v>
          </cell>
          <cell r="AV47">
            <v>43107153</v>
          </cell>
        </row>
        <row r="48">
          <cell r="A48">
            <v>7322000</v>
          </cell>
          <cell r="B48" t="str">
            <v>تعميرونگهداري اثاثيه ومنصوبات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1186790</v>
          </cell>
          <cell r="O48">
            <v>0</v>
          </cell>
          <cell r="P48">
            <v>0</v>
          </cell>
          <cell r="Q48">
            <v>0</v>
          </cell>
          <cell r="R48">
            <v>1186790</v>
          </cell>
          <cell r="S48">
            <v>0</v>
          </cell>
          <cell r="T48">
            <v>300000</v>
          </cell>
          <cell r="U48">
            <v>25695500</v>
          </cell>
          <cell r="V48">
            <v>0</v>
          </cell>
          <cell r="W48">
            <v>3000000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200000</v>
          </cell>
          <cell r="AC48">
            <v>0</v>
          </cell>
          <cell r="AD48">
            <v>4562862</v>
          </cell>
          <cell r="AE48">
            <v>0</v>
          </cell>
          <cell r="AF48">
            <v>0</v>
          </cell>
          <cell r="AG48">
            <v>33758362</v>
          </cell>
          <cell r="AH48">
            <v>34945152</v>
          </cell>
          <cell r="AI48">
            <v>16578496</v>
          </cell>
          <cell r="AJ48">
            <v>465000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2990000</v>
          </cell>
          <cell r="AP48">
            <v>1617000</v>
          </cell>
          <cell r="AQ48">
            <v>2686000</v>
          </cell>
          <cell r="AR48">
            <v>0</v>
          </cell>
          <cell r="AS48">
            <v>0</v>
          </cell>
          <cell r="AT48">
            <v>8390000</v>
          </cell>
          <cell r="AU48">
            <v>32726496</v>
          </cell>
          <cell r="AV48">
            <v>67671648</v>
          </cell>
        </row>
        <row r="49">
          <cell r="A49">
            <v>7323000</v>
          </cell>
          <cell r="B49" t="str">
            <v>تعميرونگهداري سايردارائيها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2910000</v>
          </cell>
          <cell r="V49">
            <v>0</v>
          </cell>
          <cell r="W49">
            <v>152750000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155660000</v>
          </cell>
          <cell r="AH49">
            <v>155660000</v>
          </cell>
          <cell r="AI49">
            <v>0</v>
          </cell>
          <cell r="AJ49">
            <v>0</v>
          </cell>
          <cell r="AK49">
            <v>30900000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9050000</v>
          </cell>
          <cell r="AU49">
            <v>39950000</v>
          </cell>
          <cell r="AV49">
            <v>195610000</v>
          </cell>
        </row>
        <row r="50">
          <cell r="A50">
            <v>7324000</v>
          </cell>
          <cell r="B50" t="str">
            <v>هزينه موادوملزومات مصرفي</v>
          </cell>
          <cell r="C50">
            <v>0</v>
          </cell>
          <cell r="D50">
            <v>15233050</v>
          </cell>
          <cell r="E50">
            <v>9975555</v>
          </cell>
          <cell r="F50">
            <v>8919944</v>
          </cell>
          <cell r="G50">
            <v>9369887</v>
          </cell>
          <cell r="H50">
            <v>11917360</v>
          </cell>
          <cell r="I50">
            <v>45670000</v>
          </cell>
          <cell r="J50">
            <v>6556505</v>
          </cell>
          <cell r="K50">
            <v>5254671</v>
          </cell>
          <cell r="L50">
            <v>0</v>
          </cell>
          <cell r="M50">
            <v>0</v>
          </cell>
          <cell r="N50">
            <v>80291065</v>
          </cell>
          <cell r="O50">
            <v>0</v>
          </cell>
          <cell r="P50">
            <v>0</v>
          </cell>
          <cell r="Q50">
            <v>56548412</v>
          </cell>
          <cell r="R50">
            <v>249736449</v>
          </cell>
          <cell r="S50">
            <v>2278005</v>
          </cell>
          <cell r="T50">
            <v>90078375</v>
          </cell>
          <cell r="U50">
            <v>242585094</v>
          </cell>
          <cell r="V50">
            <v>31210944</v>
          </cell>
          <cell r="W50">
            <v>295503389</v>
          </cell>
          <cell r="X50">
            <v>30328537</v>
          </cell>
          <cell r="Y50">
            <v>21623161</v>
          </cell>
          <cell r="Z50">
            <v>5212950</v>
          </cell>
          <cell r="AA50">
            <v>2910884</v>
          </cell>
          <cell r="AB50">
            <v>12569942</v>
          </cell>
          <cell r="AC50">
            <v>5838177</v>
          </cell>
          <cell r="AD50">
            <v>177521411</v>
          </cell>
          <cell r="AE50">
            <v>8630200</v>
          </cell>
          <cell r="AF50">
            <v>1990000</v>
          </cell>
          <cell r="AG50">
            <v>928281069</v>
          </cell>
          <cell r="AH50">
            <v>1178017518</v>
          </cell>
          <cell r="AI50">
            <v>47951149</v>
          </cell>
          <cell r="AJ50">
            <v>6103400</v>
          </cell>
          <cell r="AK50">
            <v>407400194</v>
          </cell>
          <cell r="AL50">
            <v>4923994</v>
          </cell>
          <cell r="AM50">
            <v>0</v>
          </cell>
          <cell r="AN50">
            <v>0</v>
          </cell>
          <cell r="AO50">
            <v>66515801</v>
          </cell>
          <cell r="AP50">
            <v>8323759</v>
          </cell>
          <cell r="AQ50">
            <v>37409166</v>
          </cell>
          <cell r="AR50">
            <v>0</v>
          </cell>
          <cell r="AS50">
            <v>11070014</v>
          </cell>
          <cell r="AT50">
            <v>94357077</v>
          </cell>
          <cell r="AU50">
            <v>684054554</v>
          </cell>
          <cell r="AV50">
            <v>1862072072</v>
          </cell>
        </row>
        <row r="51">
          <cell r="A51">
            <v>7350000</v>
          </cell>
          <cell r="B51" t="str">
            <v xml:space="preserve">هزينه حق المشاوره حقوقي 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27526800</v>
          </cell>
          <cell r="AC51">
            <v>23020200</v>
          </cell>
          <cell r="AD51">
            <v>24901239</v>
          </cell>
          <cell r="AE51">
            <v>0</v>
          </cell>
          <cell r="AF51">
            <v>0</v>
          </cell>
          <cell r="AG51">
            <v>75448239</v>
          </cell>
          <cell r="AH51">
            <v>75448239</v>
          </cell>
          <cell r="AI51">
            <v>45521329</v>
          </cell>
          <cell r="AJ51">
            <v>434430000</v>
          </cell>
          <cell r="AK51">
            <v>112653750</v>
          </cell>
          <cell r="AL51">
            <v>0</v>
          </cell>
          <cell r="AM51">
            <v>0</v>
          </cell>
          <cell r="AN51">
            <v>76028068</v>
          </cell>
          <cell r="AO51">
            <v>0</v>
          </cell>
          <cell r="AP51">
            <v>17490000</v>
          </cell>
          <cell r="AQ51">
            <v>19845000</v>
          </cell>
          <cell r="AR51">
            <v>0</v>
          </cell>
          <cell r="AS51">
            <v>18659775</v>
          </cell>
          <cell r="AT51">
            <v>21713430</v>
          </cell>
          <cell r="AU51">
            <v>746341352</v>
          </cell>
          <cell r="AV51">
            <v>821789591</v>
          </cell>
        </row>
        <row r="52">
          <cell r="A52">
            <v>7376000</v>
          </cell>
          <cell r="B52" t="str">
            <v>هزينه اجاره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22050000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22050000</v>
          </cell>
          <cell r="AV52">
            <v>22050000</v>
          </cell>
        </row>
        <row r="53">
          <cell r="A53">
            <v>7325000</v>
          </cell>
          <cell r="B53" t="str">
            <v>هزينه ضايعات مواد اوليه وبسته بندي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249222092</v>
          </cell>
          <cell r="AE53">
            <v>0</v>
          </cell>
          <cell r="AF53">
            <v>0</v>
          </cell>
          <cell r="AG53">
            <v>249222092</v>
          </cell>
          <cell r="AH53">
            <v>249222092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249222092</v>
          </cell>
        </row>
        <row r="54">
          <cell r="A54">
            <v>7353000</v>
          </cell>
          <cell r="B54" t="str">
            <v>تعديل انبارگرداني ومصرف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</row>
        <row r="55">
          <cell r="A55">
            <v>7355000</v>
          </cell>
          <cell r="B55" t="str">
            <v>هزينه حق الزحمه هيات مديره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40500000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40500000</v>
          </cell>
          <cell r="AV55">
            <v>40500000</v>
          </cell>
        </row>
        <row r="56">
          <cell r="A56">
            <v>7356000</v>
          </cell>
          <cell r="B56" t="str">
            <v>هزينه هاي ثبتي ومحضري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800000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800000</v>
          </cell>
          <cell r="AH56">
            <v>800000</v>
          </cell>
          <cell r="AI56">
            <v>2605263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31860000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800000</v>
          </cell>
          <cell r="AU56">
            <v>35265263</v>
          </cell>
          <cell r="AV56">
            <v>36065263</v>
          </cell>
        </row>
        <row r="57">
          <cell r="A57">
            <v>7357000</v>
          </cell>
          <cell r="B57" t="str">
            <v>هزينه هاي عوارض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359000</v>
          </cell>
          <cell r="AC57">
            <v>0</v>
          </cell>
          <cell r="AD57">
            <v>378208000</v>
          </cell>
          <cell r="AE57">
            <v>0</v>
          </cell>
          <cell r="AF57">
            <v>0</v>
          </cell>
          <cell r="AG57">
            <v>378567000</v>
          </cell>
          <cell r="AH57">
            <v>378567000</v>
          </cell>
          <cell r="AI57">
            <v>192000</v>
          </cell>
          <cell r="AJ57">
            <v>3219000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125000</v>
          </cell>
          <cell r="AT57">
            <v>0</v>
          </cell>
          <cell r="AU57">
            <v>3536000</v>
          </cell>
          <cell r="AV57">
            <v>382103000</v>
          </cell>
        </row>
        <row r="58">
          <cell r="A58">
            <v>7359000</v>
          </cell>
          <cell r="B58" t="str">
            <v>يك درصدبازآموزي ونوآموزي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88888888</v>
          </cell>
          <cell r="AL58">
            <v>0</v>
          </cell>
          <cell r="AM58">
            <v>0</v>
          </cell>
          <cell r="AN58">
            <v>844520561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933409449</v>
          </cell>
          <cell r="AV58">
            <v>933409449</v>
          </cell>
        </row>
        <row r="59">
          <cell r="A59">
            <v>7361000</v>
          </cell>
          <cell r="B59" t="str">
            <v>هزينه هاي آزمايشگاهي مواد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2200000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3300000</v>
          </cell>
          <cell r="AU59">
            <v>5500000</v>
          </cell>
          <cell r="AV59">
            <v>5500000</v>
          </cell>
        </row>
        <row r="60">
          <cell r="A60">
            <v>7364000</v>
          </cell>
          <cell r="B60" t="str">
            <v>هزينه حمل ونگهداري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150000</v>
          </cell>
          <cell r="O60">
            <v>0</v>
          </cell>
          <cell r="P60">
            <v>0</v>
          </cell>
          <cell r="Q60">
            <v>60000</v>
          </cell>
          <cell r="R60">
            <v>210000</v>
          </cell>
          <cell r="S60">
            <v>0</v>
          </cell>
          <cell r="T60">
            <v>0</v>
          </cell>
          <cell r="U60">
            <v>21461820</v>
          </cell>
          <cell r="V60">
            <v>0</v>
          </cell>
          <cell r="W60">
            <v>1500000</v>
          </cell>
          <cell r="X60">
            <v>173313368</v>
          </cell>
          <cell r="Y60">
            <v>410000</v>
          </cell>
          <cell r="Z60">
            <v>0</v>
          </cell>
          <cell r="AA60">
            <v>0</v>
          </cell>
          <cell r="AB60">
            <v>115000</v>
          </cell>
          <cell r="AC60">
            <v>0</v>
          </cell>
          <cell r="AD60">
            <v>18987000</v>
          </cell>
          <cell r="AE60">
            <v>0</v>
          </cell>
          <cell r="AF60">
            <v>10730000</v>
          </cell>
          <cell r="AG60">
            <v>226517188</v>
          </cell>
          <cell r="AH60">
            <v>226727188</v>
          </cell>
          <cell r="AI60">
            <v>20149000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765000</v>
          </cell>
          <cell r="AP60">
            <v>575000</v>
          </cell>
          <cell r="AQ60">
            <v>5360000</v>
          </cell>
          <cell r="AR60">
            <v>0</v>
          </cell>
          <cell r="AS60">
            <v>9058394</v>
          </cell>
          <cell r="AT60">
            <v>890000</v>
          </cell>
          <cell r="AU60">
            <v>36797394</v>
          </cell>
          <cell r="AV60">
            <v>263524582</v>
          </cell>
        </row>
        <row r="61">
          <cell r="A61">
            <v>7365000</v>
          </cell>
          <cell r="B61" t="str">
            <v>هزينه كارآموزان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</row>
        <row r="62">
          <cell r="A62">
            <v>7367000</v>
          </cell>
          <cell r="B62" t="str">
            <v>هزينه حق عضويت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1339550</v>
          </cell>
          <cell r="AC62">
            <v>0</v>
          </cell>
          <cell r="AD62">
            <v>20000000</v>
          </cell>
          <cell r="AE62">
            <v>0</v>
          </cell>
          <cell r="AF62">
            <v>0</v>
          </cell>
          <cell r="AG62">
            <v>21339550</v>
          </cell>
          <cell r="AH62">
            <v>21339550</v>
          </cell>
          <cell r="AI62">
            <v>0</v>
          </cell>
          <cell r="AJ62">
            <v>0</v>
          </cell>
          <cell r="AK62">
            <v>9108000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9108000</v>
          </cell>
          <cell r="AV62">
            <v>30447550</v>
          </cell>
        </row>
        <row r="63">
          <cell r="A63">
            <v>7368000</v>
          </cell>
          <cell r="B63" t="str">
            <v>هزينه تبليغات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5000000</v>
          </cell>
          <cell r="AE63">
            <v>0</v>
          </cell>
          <cell r="AF63">
            <v>0</v>
          </cell>
          <cell r="AG63">
            <v>5000000</v>
          </cell>
          <cell r="AH63">
            <v>5000000</v>
          </cell>
          <cell r="AI63">
            <v>1722909525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1722909525</v>
          </cell>
          <cell r="AV63">
            <v>1727909525</v>
          </cell>
        </row>
        <row r="64">
          <cell r="A64">
            <v>7368100</v>
          </cell>
          <cell r="B64" t="str">
            <v>هزينه پورسانت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1232000000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1232000000</v>
          </cell>
          <cell r="AV64">
            <v>1232000000</v>
          </cell>
        </row>
        <row r="65">
          <cell r="A65">
            <v>7369000</v>
          </cell>
          <cell r="B65" t="str">
            <v>هزينه کارمزد بانکي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192000</v>
          </cell>
          <cell r="AC65">
            <v>0</v>
          </cell>
          <cell r="AD65">
            <v>11443861</v>
          </cell>
          <cell r="AE65">
            <v>0</v>
          </cell>
          <cell r="AF65">
            <v>0</v>
          </cell>
          <cell r="AG65">
            <v>11635861</v>
          </cell>
          <cell r="AH65">
            <v>11635861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3027133</v>
          </cell>
          <cell r="AO65">
            <v>0</v>
          </cell>
          <cell r="AP65">
            <v>150000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3177133</v>
          </cell>
          <cell r="AV65">
            <v>14812994</v>
          </cell>
        </row>
        <row r="66">
          <cell r="A66">
            <v>7372000</v>
          </cell>
          <cell r="B66" t="str">
            <v>هزينه مراسم وپذيرائي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4728000</v>
          </cell>
          <cell r="O66">
            <v>0</v>
          </cell>
          <cell r="P66">
            <v>0</v>
          </cell>
          <cell r="Q66">
            <v>0</v>
          </cell>
          <cell r="R66">
            <v>4728000</v>
          </cell>
          <cell r="S66">
            <v>0</v>
          </cell>
          <cell r="T66">
            <v>1802640</v>
          </cell>
          <cell r="U66">
            <v>787250</v>
          </cell>
          <cell r="V66">
            <v>0</v>
          </cell>
          <cell r="W66">
            <v>5040450</v>
          </cell>
          <cell r="X66">
            <v>2135000</v>
          </cell>
          <cell r="Y66">
            <v>0</v>
          </cell>
          <cell r="Z66">
            <v>0</v>
          </cell>
          <cell r="AA66">
            <v>0</v>
          </cell>
          <cell r="AB66">
            <v>655500</v>
          </cell>
          <cell r="AC66">
            <v>636000</v>
          </cell>
          <cell r="AD66">
            <v>72668127</v>
          </cell>
          <cell r="AE66">
            <v>4949200</v>
          </cell>
          <cell r="AF66">
            <v>1000000</v>
          </cell>
          <cell r="AG66">
            <v>89674167</v>
          </cell>
          <cell r="AH66">
            <v>94402167</v>
          </cell>
          <cell r="AI66">
            <v>51174738</v>
          </cell>
          <cell r="AJ66">
            <v>64843995</v>
          </cell>
          <cell r="AK66">
            <v>0</v>
          </cell>
          <cell r="AL66">
            <v>2967830</v>
          </cell>
          <cell r="AM66">
            <v>0</v>
          </cell>
          <cell r="AN66">
            <v>0</v>
          </cell>
          <cell r="AO66">
            <v>137000</v>
          </cell>
          <cell r="AP66">
            <v>7167490</v>
          </cell>
          <cell r="AQ66">
            <v>44790500</v>
          </cell>
          <cell r="AR66">
            <v>15695808</v>
          </cell>
          <cell r="AS66">
            <v>0</v>
          </cell>
          <cell r="AT66">
            <v>1687480</v>
          </cell>
          <cell r="AU66">
            <v>188464841</v>
          </cell>
          <cell r="AV66">
            <v>282867008</v>
          </cell>
        </row>
        <row r="67">
          <cell r="A67">
            <v>7373000</v>
          </cell>
          <cell r="B67" t="str">
            <v>هزينه اشتراک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1025295</v>
          </cell>
          <cell r="AE67">
            <v>0</v>
          </cell>
          <cell r="AF67">
            <v>0</v>
          </cell>
          <cell r="AG67">
            <v>1025295</v>
          </cell>
          <cell r="AH67">
            <v>1025295</v>
          </cell>
          <cell r="AI67">
            <v>11847589</v>
          </cell>
          <cell r="AJ67">
            <v>500000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56970000</v>
          </cell>
          <cell r="AP67">
            <v>5000000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74317589</v>
          </cell>
          <cell r="AV67">
            <v>75342884</v>
          </cell>
        </row>
        <row r="68">
          <cell r="A68">
            <v>7374001</v>
          </cell>
          <cell r="B68" t="str">
            <v>هزينه آب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5184000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5184000</v>
          </cell>
          <cell r="AH68">
            <v>5184000</v>
          </cell>
          <cell r="AI68">
            <v>967855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967855</v>
          </cell>
          <cell r="AV68">
            <v>6151855</v>
          </cell>
        </row>
        <row r="69">
          <cell r="A69">
            <v>7374002</v>
          </cell>
          <cell r="B69" t="str">
            <v>هزينه برق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329649599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329649599</v>
          </cell>
          <cell r="AH69">
            <v>329649599</v>
          </cell>
          <cell r="AI69">
            <v>6489761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6489761</v>
          </cell>
          <cell r="AV69">
            <v>336139360</v>
          </cell>
        </row>
        <row r="70">
          <cell r="A70">
            <v>7374003</v>
          </cell>
          <cell r="B70" t="str">
            <v>هزينه گاز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117982156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117982156</v>
          </cell>
          <cell r="AH70">
            <v>117982156</v>
          </cell>
          <cell r="AI70">
            <v>4541664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4541664</v>
          </cell>
          <cell r="AV70">
            <v>122523820</v>
          </cell>
        </row>
        <row r="71">
          <cell r="A71">
            <v>7374004</v>
          </cell>
          <cell r="B71" t="str">
            <v>هزينه سوخت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80000</v>
          </cell>
          <cell r="X71">
            <v>2530000</v>
          </cell>
          <cell r="Y71">
            <v>0</v>
          </cell>
          <cell r="Z71">
            <v>0</v>
          </cell>
          <cell r="AA71">
            <v>0</v>
          </cell>
          <cell r="AB71">
            <v>2888000</v>
          </cell>
          <cell r="AC71">
            <v>80000</v>
          </cell>
          <cell r="AD71">
            <v>570000</v>
          </cell>
          <cell r="AE71">
            <v>0</v>
          </cell>
          <cell r="AF71">
            <v>0</v>
          </cell>
          <cell r="AG71">
            <v>6148000</v>
          </cell>
          <cell r="AH71">
            <v>6148000</v>
          </cell>
          <cell r="AI71">
            <v>0</v>
          </cell>
          <cell r="AJ71">
            <v>10704000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1290000</v>
          </cell>
          <cell r="AQ71">
            <v>70000</v>
          </cell>
          <cell r="AR71">
            <v>0</v>
          </cell>
          <cell r="AS71">
            <v>340000</v>
          </cell>
          <cell r="AT71">
            <v>0</v>
          </cell>
          <cell r="AU71">
            <v>12404000</v>
          </cell>
          <cell r="AV71">
            <v>18552000</v>
          </cell>
        </row>
        <row r="72">
          <cell r="A72">
            <v>7374009</v>
          </cell>
          <cell r="B72" t="str">
            <v>هزينه تلفن -تلكس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14774045</v>
          </cell>
          <cell r="AE72">
            <v>0</v>
          </cell>
          <cell r="AF72">
            <v>0</v>
          </cell>
          <cell r="AG72">
            <v>14774045</v>
          </cell>
          <cell r="AH72">
            <v>14774045</v>
          </cell>
          <cell r="AI72">
            <v>3356718</v>
          </cell>
          <cell r="AJ72">
            <v>2087624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5444342</v>
          </cell>
          <cell r="AV72">
            <v>20218387</v>
          </cell>
        </row>
        <row r="73">
          <cell r="A73">
            <v>7377000</v>
          </cell>
          <cell r="B73" t="str">
            <v>هزينه مميزي    ISO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</row>
        <row r="74">
          <cell r="A74">
            <v>7375000</v>
          </cell>
          <cell r="B74" t="str">
            <v xml:space="preserve"> هزينه كارشناسان رسمي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10800000</v>
          </cell>
          <cell r="AE74">
            <v>0</v>
          </cell>
          <cell r="AF74">
            <v>0</v>
          </cell>
          <cell r="AG74">
            <v>10800000</v>
          </cell>
          <cell r="AH74">
            <v>10800000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10800000</v>
          </cell>
        </row>
        <row r="75">
          <cell r="A75">
            <v>7378000</v>
          </cell>
          <cell r="B75" t="str">
            <v>هزينه آگهي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32040000</v>
          </cell>
          <cell r="AE75">
            <v>0</v>
          </cell>
          <cell r="AF75">
            <v>0</v>
          </cell>
          <cell r="AG75">
            <v>32040000</v>
          </cell>
          <cell r="AH75">
            <v>32040000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41220000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41220000</v>
          </cell>
          <cell r="AV75">
            <v>73260000</v>
          </cell>
        </row>
        <row r="76">
          <cell r="A76">
            <v>7379000</v>
          </cell>
          <cell r="B76" t="str">
            <v>هزينه انتشارات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20000000</v>
          </cell>
          <cell r="AJ76">
            <v>4311200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33500000</v>
          </cell>
          <cell r="AU76">
            <v>57811200</v>
          </cell>
          <cell r="AV76">
            <v>57811200</v>
          </cell>
        </row>
        <row r="77">
          <cell r="A77">
            <v>7601001</v>
          </cell>
          <cell r="B77" t="str">
            <v xml:space="preserve"> سودوكارمزدتسهيلات مالي وسايرخدمات بانكي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</row>
        <row r="78">
          <cell r="A78">
            <v>7602000</v>
          </cell>
          <cell r="B78" t="str">
            <v xml:space="preserve"> هزينه تمبرسفته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</row>
        <row r="79">
          <cell r="A79">
            <v>7602001</v>
          </cell>
          <cell r="B79" t="str">
            <v xml:space="preserve"> هزينه تمبرسفته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</row>
        <row r="80">
          <cell r="A80">
            <v>7698001</v>
          </cell>
          <cell r="B80" t="str">
            <v xml:space="preserve"> سايرهزينه هاي تامين مالي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</row>
        <row r="81">
          <cell r="A81">
            <v>7704000</v>
          </cell>
          <cell r="B81" t="str">
            <v xml:space="preserve"> هزينه جرائم دولتي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</row>
        <row r="82">
          <cell r="A82">
            <v>7380010</v>
          </cell>
          <cell r="B82" t="str">
            <v>هزينه بيمه مسئوليت مدني کارفرما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</row>
        <row r="83">
          <cell r="A83" t="str">
            <v>جمع هزینه های عملیاتی</v>
          </cell>
          <cell r="C83">
            <v>0</v>
          </cell>
          <cell r="D83">
            <v>79416758</v>
          </cell>
          <cell r="E83">
            <v>151193059</v>
          </cell>
          <cell r="F83">
            <v>74794174</v>
          </cell>
          <cell r="G83">
            <v>115613759</v>
          </cell>
          <cell r="H83">
            <v>12784900</v>
          </cell>
          <cell r="I83">
            <v>85446108</v>
          </cell>
          <cell r="J83">
            <v>9014702</v>
          </cell>
          <cell r="K83">
            <v>12678822</v>
          </cell>
          <cell r="L83">
            <v>0</v>
          </cell>
          <cell r="M83">
            <v>0</v>
          </cell>
          <cell r="N83">
            <v>104505855</v>
          </cell>
          <cell r="O83">
            <v>3188404</v>
          </cell>
          <cell r="P83">
            <v>7710540</v>
          </cell>
          <cell r="Q83">
            <v>72830152</v>
          </cell>
          <cell r="R83">
            <v>729177233</v>
          </cell>
          <cell r="S83">
            <v>2278005</v>
          </cell>
          <cell r="T83">
            <v>92181015</v>
          </cell>
          <cell r="U83">
            <v>1538070304</v>
          </cell>
          <cell r="V83">
            <v>81893416</v>
          </cell>
          <cell r="W83">
            <v>606665591</v>
          </cell>
          <cell r="X83">
            <v>247099547</v>
          </cell>
          <cell r="Y83">
            <v>27743754</v>
          </cell>
          <cell r="Z83">
            <v>5212950</v>
          </cell>
          <cell r="AA83">
            <v>2910884</v>
          </cell>
          <cell r="AB83">
            <v>56025753</v>
          </cell>
          <cell r="AC83">
            <v>33951377</v>
          </cell>
          <cell r="AD83">
            <v>1022608932</v>
          </cell>
          <cell r="AE83">
            <v>13639400</v>
          </cell>
          <cell r="AF83">
            <v>13720000</v>
          </cell>
          <cell r="AG83">
            <v>3744000928</v>
          </cell>
          <cell r="AH83">
            <v>4473178161</v>
          </cell>
          <cell r="AI83">
            <v>3222608420</v>
          </cell>
          <cell r="AJ83">
            <v>574248399</v>
          </cell>
          <cell r="AK83">
            <v>742817943</v>
          </cell>
          <cell r="AL83">
            <v>7891824</v>
          </cell>
          <cell r="AM83">
            <v>0</v>
          </cell>
          <cell r="AN83">
            <v>996655762</v>
          </cell>
          <cell r="AO83">
            <v>133377801</v>
          </cell>
          <cell r="AP83">
            <v>42143249</v>
          </cell>
          <cell r="AQ83">
            <v>110172291</v>
          </cell>
          <cell r="AR83">
            <v>15695808</v>
          </cell>
          <cell r="AS83">
            <v>39253183</v>
          </cell>
          <cell r="AT83">
            <v>178687987</v>
          </cell>
          <cell r="AU83">
            <v>6063552667</v>
          </cell>
          <cell r="AV83">
            <v>10536730828</v>
          </cell>
        </row>
        <row r="84">
          <cell r="A84">
            <v>7400000</v>
          </cell>
          <cell r="B84" t="str">
            <v>هزينه استهلاك دارائيهاي ثابت</v>
          </cell>
          <cell r="C84">
            <v>90088329</v>
          </cell>
          <cell r="D84">
            <v>12503387</v>
          </cell>
          <cell r="E84">
            <v>7928526</v>
          </cell>
          <cell r="F84">
            <v>1683202</v>
          </cell>
          <cell r="G84">
            <v>4550834</v>
          </cell>
          <cell r="H84">
            <v>89681455</v>
          </cell>
          <cell r="I84">
            <v>123764044</v>
          </cell>
          <cell r="J84">
            <v>38224485</v>
          </cell>
          <cell r="K84">
            <v>39912285</v>
          </cell>
          <cell r="L84">
            <v>0</v>
          </cell>
          <cell r="M84">
            <v>204748</v>
          </cell>
          <cell r="N84">
            <v>203607014</v>
          </cell>
          <cell r="O84">
            <v>285614022</v>
          </cell>
          <cell r="P84">
            <v>164034083</v>
          </cell>
          <cell r="Q84">
            <v>519587427</v>
          </cell>
          <cell r="R84">
            <v>1581383841</v>
          </cell>
          <cell r="S84">
            <v>4566023</v>
          </cell>
          <cell r="T84">
            <v>78024870</v>
          </cell>
          <cell r="U84">
            <v>934462861</v>
          </cell>
          <cell r="V84">
            <v>1182942491</v>
          </cell>
          <cell r="W84">
            <v>640359422</v>
          </cell>
          <cell r="X84">
            <v>116124377</v>
          </cell>
          <cell r="Y84">
            <v>33012663</v>
          </cell>
          <cell r="Z84">
            <v>5220561</v>
          </cell>
          <cell r="AA84">
            <v>0</v>
          </cell>
          <cell r="AB84">
            <v>10397284</v>
          </cell>
          <cell r="AC84">
            <v>10789174</v>
          </cell>
          <cell r="AD84">
            <v>27931874</v>
          </cell>
          <cell r="AE84">
            <v>14635036</v>
          </cell>
          <cell r="AF84">
            <v>1410931</v>
          </cell>
          <cell r="AG84">
            <v>3059877567</v>
          </cell>
          <cell r="AH84">
            <v>4641261408</v>
          </cell>
          <cell r="AI84">
            <v>306650502</v>
          </cell>
          <cell r="AJ84">
            <v>78436360</v>
          </cell>
          <cell r="AK84">
            <v>117154371</v>
          </cell>
          <cell r="AL84">
            <v>7630432</v>
          </cell>
          <cell r="AM84">
            <v>0</v>
          </cell>
          <cell r="AN84">
            <v>0</v>
          </cell>
          <cell r="AO84">
            <v>16567401</v>
          </cell>
          <cell r="AP84">
            <v>12473013</v>
          </cell>
          <cell r="AQ84">
            <v>9884953</v>
          </cell>
          <cell r="AR84">
            <v>549495</v>
          </cell>
          <cell r="AS84">
            <v>3589072</v>
          </cell>
          <cell r="AT84">
            <v>32578746</v>
          </cell>
          <cell r="AU84">
            <v>585514345</v>
          </cell>
          <cell r="AV84">
            <v>5226775753</v>
          </cell>
        </row>
        <row r="85">
          <cell r="A85" t="str">
            <v xml:space="preserve">جمع استهلاک </v>
          </cell>
          <cell r="C85">
            <v>90088329</v>
          </cell>
          <cell r="D85">
            <v>12503387</v>
          </cell>
          <cell r="E85">
            <v>7928526</v>
          </cell>
          <cell r="F85">
            <v>1683202</v>
          </cell>
          <cell r="G85">
            <v>4550834</v>
          </cell>
          <cell r="H85">
            <v>89681455</v>
          </cell>
          <cell r="I85">
            <v>123764044</v>
          </cell>
          <cell r="J85">
            <v>38224485</v>
          </cell>
          <cell r="K85">
            <v>39912285</v>
          </cell>
          <cell r="L85">
            <v>0</v>
          </cell>
          <cell r="M85">
            <v>204748</v>
          </cell>
          <cell r="N85">
            <v>203607014</v>
          </cell>
          <cell r="O85">
            <v>285614022</v>
          </cell>
          <cell r="P85">
            <v>164034083</v>
          </cell>
          <cell r="Q85">
            <v>519587427</v>
          </cell>
          <cell r="R85">
            <v>1581383841</v>
          </cell>
          <cell r="S85">
            <v>4566023</v>
          </cell>
          <cell r="T85">
            <v>78024870</v>
          </cell>
          <cell r="U85">
            <v>934462861</v>
          </cell>
          <cell r="V85">
            <v>1182942491</v>
          </cell>
          <cell r="W85">
            <v>640359422</v>
          </cell>
          <cell r="X85">
            <v>116124377</v>
          </cell>
          <cell r="Y85">
            <v>33012663</v>
          </cell>
          <cell r="Z85">
            <v>5220561</v>
          </cell>
          <cell r="AA85">
            <v>0</v>
          </cell>
          <cell r="AB85">
            <v>10397284</v>
          </cell>
          <cell r="AC85">
            <v>10789174</v>
          </cell>
          <cell r="AD85">
            <v>27931874</v>
          </cell>
          <cell r="AE85">
            <v>14635036</v>
          </cell>
          <cell r="AF85">
            <v>1410931</v>
          </cell>
          <cell r="AG85">
            <v>3059877567</v>
          </cell>
          <cell r="AH85">
            <v>4641261408</v>
          </cell>
          <cell r="AI85">
            <v>306650502</v>
          </cell>
          <cell r="AJ85">
            <v>78436360</v>
          </cell>
          <cell r="AK85">
            <v>117154371</v>
          </cell>
          <cell r="AL85">
            <v>7630432</v>
          </cell>
          <cell r="AM85">
            <v>0</v>
          </cell>
          <cell r="AN85">
            <v>0</v>
          </cell>
          <cell r="AO85">
            <v>16567401</v>
          </cell>
          <cell r="AP85">
            <v>12473013</v>
          </cell>
          <cell r="AQ85">
            <v>9884953</v>
          </cell>
          <cell r="AR85">
            <v>549495</v>
          </cell>
          <cell r="AS85">
            <v>3589072</v>
          </cell>
          <cell r="AT85">
            <v>32578746</v>
          </cell>
          <cell r="AU85">
            <v>585514345</v>
          </cell>
          <cell r="AV85">
            <v>5226775753</v>
          </cell>
        </row>
        <row r="86">
          <cell r="A86" t="str">
            <v>جمع سربار</v>
          </cell>
          <cell r="C86">
            <v>99858454</v>
          </cell>
          <cell r="D86">
            <v>133487517</v>
          </cell>
          <cell r="E86">
            <v>199794867</v>
          </cell>
          <cell r="F86">
            <v>104413208</v>
          </cell>
          <cell r="G86">
            <v>177846397</v>
          </cell>
          <cell r="H86">
            <v>122545387</v>
          </cell>
          <cell r="I86">
            <v>287832443</v>
          </cell>
          <cell r="J86">
            <v>86252023</v>
          </cell>
          <cell r="K86">
            <v>72500644</v>
          </cell>
          <cell r="L86">
            <v>0</v>
          </cell>
          <cell r="M86">
            <v>11158342</v>
          </cell>
          <cell r="N86">
            <v>383184318</v>
          </cell>
          <cell r="O86">
            <v>298102426</v>
          </cell>
          <cell r="P86">
            <v>178644623</v>
          </cell>
          <cell r="Q86">
            <v>617477654</v>
          </cell>
          <cell r="R86">
            <v>2773098303</v>
          </cell>
          <cell r="S86">
            <v>32746684</v>
          </cell>
          <cell r="T86">
            <v>319604675</v>
          </cell>
          <cell r="U86">
            <v>2643474707</v>
          </cell>
          <cell r="V86">
            <v>1298857709</v>
          </cell>
          <cell r="W86">
            <v>1468662298</v>
          </cell>
          <cell r="X86">
            <v>464211778</v>
          </cell>
          <cell r="Y86">
            <v>72658382</v>
          </cell>
          <cell r="Z86">
            <v>71967685</v>
          </cell>
          <cell r="AA86">
            <v>5660916</v>
          </cell>
          <cell r="AB86">
            <v>131831829</v>
          </cell>
          <cell r="AC86">
            <v>75084842</v>
          </cell>
          <cell r="AD86">
            <v>1283601268</v>
          </cell>
          <cell r="AE86">
            <v>1656913981</v>
          </cell>
          <cell r="AF86">
            <v>1231543311</v>
          </cell>
          <cell r="AG86">
            <v>10756820065</v>
          </cell>
          <cell r="AH86">
            <v>13529918368</v>
          </cell>
          <cell r="AI86">
            <v>4317042141</v>
          </cell>
          <cell r="AJ86">
            <v>893556376</v>
          </cell>
          <cell r="AK86">
            <v>926592109</v>
          </cell>
          <cell r="AL86">
            <v>20267256</v>
          </cell>
          <cell r="AM86">
            <v>14557872</v>
          </cell>
          <cell r="AN86">
            <v>996655762</v>
          </cell>
          <cell r="AO86">
            <v>189918777</v>
          </cell>
          <cell r="AP86">
            <v>260937342</v>
          </cell>
          <cell r="AQ86">
            <v>174723065</v>
          </cell>
          <cell r="AR86">
            <v>39541303</v>
          </cell>
          <cell r="AS86">
            <v>58741803</v>
          </cell>
          <cell r="AT86">
            <v>406995516</v>
          </cell>
          <cell r="AU86">
            <v>8299529322</v>
          </cell>
          <cell r="AV86">
            <v>21829447690</v>
          </cell>
        </row>
        <row r="87">
          <cell r="A87" t="str">
            <v xml:space="preserve">جمع کل </v>
          </cell>
          <cell r="C87">
            <v>158987358</v>
          </cell>
          <cell r="D87">
            <v>5986175285</v>
          </cell>
          <cell r="E87">
            <v>14905237061</v>
          </cell>
          <cell r="F87">
            <v>6393167296</v>
          </cell>
          <cell r="G87">
            <v>56562142248</v>
          </cell>
          <cell r="H87">
            <v>1473840813</v>
          </cell>
          <cell r="I87">
            <v>7993436626</v>
          </cell>
          <cell r="J87">
            <v>7907928880</v>
          </cell>
          <cell r="K87">
            <v>1851817176</v>
          </cell>
          <cell r="L87">
            <v>0</v>
          </cell>
          <cell r="M87">
            <v>151679797</v>
          </cell>
          <cell r="N87">
            <v>862817144</v>
          </cell>
          <cell r="O87">
            <v>13618262278</v>
          </cell>
          <cell r="P87">
            <v>1260091500</v>
          </cell>
          <cell r="Q87">
            <v>4416138087</v>
          </cell>
          <cell r="R87">
            <v>123541721549</v>
          </cell>
          <cell r="S87">
            <v>295273661</v>
          </cell>
          <cell r="T87">
            <v>1112630900</v>
          </cell>
          <cell r="U87">
            <v>4614163208</v>
          </cell>
          <cell r="V87">
            <v>1544667444</v>
          </cell>
          <cell r="W87">
            <v>3658452507</v>
          </cell>
          <cell r="X87">
            <v>1216874402</v>
          </cell>
          <cell r="Y87">
            <v>163576693</v>
          </cell>
          <cell r="Z87">
            <v>447930287</v>
          </cell>
          <cell r="AA87">
            <v>34484754</v>
          </cell>
          <cell r="AB87">
            <v>727855642</v>
          </cell>
          <cell r="AC87">
            <v>449174018</v>
          </cell>
          <cell r="AD87">
            <v>1790899612</v>
          </cell>
          <cell r="AE87">
            <v>1656913981</v>
          </cell>
          <cell r="AF87">
            <v>1265979598</v>
          </cell>
          <cell r="AG87">
            <v>18978876707</v>
          </cell>
          <cell r="AH87">
            <v>21751975010</v>
          </cell>
          <cell r="AI87">
            <v>6206042722</v>
          </cell>
          <cell r="AJ87">
            <v>1451347409</v>
          </cell>
          <cell r="AK87">
            <v>1496914693</v>
          </cell>
          <cell r="AL87">
            <v>20267256</v>
          </cell>
          <cell r="AM87">
            <v>176764251</v>
          </cell>
          <cell r="AN87">
            <v>996655762</v>
          </cell>
          <cell r="AO87">
            <v>428021821</v>
          </cell>
          <cell r="AP87">
            <v>1196988501</v>
          </cell>
          <cell r="AQ87">
            <v>465807300</v>
          </cell>
          <cell r="AR87">
            <v>46041303</v>
          </cell>
          <cell r="AS87">
            <v>165253053</v>
          </cell>
          <cell r="AT87">
            <v>1191481305</v>
          </cell>
          <cell r="AU87">
            <v>13841585376</v>
          </cell>
          <cell r="AV87">
            <v>156362183632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2">
          <cell r="D92">
            <v>19001798</v>
          </cell>
        </row>
      </sheetData>
      <sheetData sheetId="27">
        <row r="92">
          <cell r="I92">
            <v>548078.92384783155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mary (2)"/>
    </sheetNames>
    <sheetDataSet>
      <sheetData sheetId="0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BudgetDB"/>
      <sheetName val="روکش"/>
      <sheetName val="First"/>
      <sheetName val="در یک نگاه"/>
      <sheetName val="الف-ب-ج"/>
      <sheetName val="کلیات"/>
      <sheetName val="اقدامات تکالیف بودجه"/>
      <sheetName val="اقدامات تکالیف مجمع"/>
      <sheetName val="میزان اجرای برنامه"/>
      <sheetName val="مصوبات هیات مدیره"/>
      <sheetName val="اهم اقدامات"/>
      <sheetName val="دلایل انحراف و بورسی"/>
      <sheetName val="صورتخلاصه درآمد آزادراه"/>
      <sheetName val="صورتخلاصه درآمد"/>
      <sheetName val="فروش داخلی تولیدی"/>
      <sheetName val="فروش B2B"/>
      <sheetName val="فروش پخش"/>
      <sheetName val="ریز فروش مس"/>
      <sheetName val="فروش داخلی تجاری"/>
      <sheetName val="عوارض"/>
      <sheetName val="واردات"/>
      <sheetName val="صادرات"/>
      <sheetName val="جدول فروش خدمات"/>
      <sheetName val="درآمد خدمات آزادراهی"/>
      <sheetName val="درآمد خدمات"/>
      <sheetName val="درآمد صادرات"/>
      <sheetName val="گردش سهام"/>
      <sheetName val="سود سهام "/>
      <sheetName val="مقادیر تولید"/>
      <sheetName val="مستندات تولید"/>
      <sheetName val="گردش محصول تولیدی"/>
      <sheetName val="خرید مواد اولیه تولید"/>
      <sheetName val="هزینه پرسنلی مستقیم تولید"/>
      <sheetName val="هزینه پرسنلی غیرمستقیم تولید"/>
      <sheetName val="هزینه سربار تولید"/>
      <sheetName val="بهای تمام شده تولید"/>
      <sheetName val="مقادیر مصرف مواد"/>
      <sheetName val="مقادیر خدمات آزادراهی"/>
      <sheetName val="خرید اقلام خدمات آزادراهی"/>
      <sheetName val="هزینه پرسنلی مستقیم خدمات 2"/>
      <sheetName val="هزینه پرسنلی غیرمستقیم خدمات 2"/>
      <sheetName val="هزینه سربار خدمات آزادراهی"/>
      <sheetName val="بهای خدمات آزادراهی"/>
      <sheetName val="مقادیر خدمات"/>
      <sheetName val="خرید اقلام خدمات"/>
      <sheetName val="هزینه پرسنلی مستقیم خدمات"/>
      <sheetName val="هزینه پرسنلی غیرمستقیم خدمات"/>
      <sheetName val="هزینه سربار خدمات"/>
      <sheetName val="بهای خدمات"/>
      <sheetName val="نگهداری آزادراه"/>
      <sheetName val="بهره برداری آزادراه"/>
      <sheetName val="بهسازی آزادراه"/>
      <sheetName val="خرید کالای تجاری"/>
      <sheetName val="بهای کالای تجاری"/>
      <sheetName val="تعداد پرسنل آزادراه"/>
      <sheetName val="تعداد پرسنل"/>
      <sheetName val="صورت وضعیت مالی آزادراه"/>
      <sheetName val="صورت وضعیت مالی "/>
      <sheetName val="صورت وضعیت مالی - شرکت اصلی"/>
      <sheetName val="اقلام عمده حسابها آزادراه"/>
      <sheetName val="اقلام عمده حسابها "/>
      <sheetName val="درآمد هزینه آزادراه"/>
      <sheetName val="صورت سود و زیان"/>
      <sheetName val="صورت سود و زیان - شرکت اصلی"/>
      <sheetName val="صورت جریان وجوه نقد آزادراه"/>
      <sheetName val="صورت جریان وجوه نقد "/>
      <sheetName val="صورت جریان وجوه نقد - شرکت اصلی"/>
      <sheetName val="دریافت پرداخت نقد آزادراه"/>
      <sheetName val="دریافت پرداخت"/>
      <sheetName val="سود ناویژه محصول تولیدی"/>
      <sheetName val=" سود ناویژه کالای تجاری"/>
      <sheetName val="سود ناویژه صادراتی"/>
      <sheetName val="سود ناویژه خدمات آزادراهی"/>
      <sheetName val="سود ناویژه خدمات"/>
      <sheetName val="هزینه اداری عمومی آزادراه"/>
      <sheetName val="هزینه اداری عمومی"/>
      <sheetName val="دارایی آزادراه"/>
      <sheetName val="دارایی"/>
      <sheetName val="موجودی مواد و کالا"/>
      <sheetName val="موجودی مواد و کالا آزادراهی"/>
      <sheetName val="سایر عملیاتی آزادراهی"/>
      <sheetName val="سایر غیرعملیاتی آزادراهی"/>
      <sheetName val="سایر عملیاتی"/>
      <sheetName val="سایر غیرعملیاتی"/>
      <sheetName val="تسهیلات"/>
      <sheetName val="حقوقی"/>
      <sheetName val="مزایده-مناقصه"/>
      <sheetName val="استهلاک سرمایه گذاری"/>
      <sheetName val="روابط عمومی"/>
      <sheetName val="پروژه ها"/>
      <sheetName val="ریزشعب انبار"/>
      <sheetName val="ماشین آلات "/>
      <sheetName val="ظرفیت انبارها"/>
      <sheetName val="خلاصه وضعیت پروازی ناوگان"/>
      <sheetName val="درآمد فروش بليط داخلی"/>
      <sheetName val="درآمد فروش بليط خارجی"/>
      <sheetName val="سوخت"/>
      <sheetName val="کترینگ"/>
      <sheetName val="هندلینگ"/>
      <sheetName val="خدمات فرودگاهی"/>
      <sheetName val="اطلاعات واحدها"/>
      <sheetName val="فعالیت های جاری"/>
      <sheetName val="ریز فروشگاه ها"/>
      <sheetName val="جدول درآمد-هزینه-سود شرکتها"/>
      <sheetName val="پایان"/>
      <sheetName val="اصلاحات"/>
      <sheetName val="ابهامات"/>
      <sheetName val="تغییر در فرمول بودجه و اصل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"/>
      <sheetName val="BudgetDB"/>
      <sheetName val="روکش"/>
      <sheetName val="First"/>
      <sheetName val="در یک نگاه"/>
      <sheetName val="الف-ب-ج"/>
      <sheetName val="کلیات"/>
      <sheetName val="اقدامات تکالیف بودجه"/>
      <sheetName val="اقدامات تکالیف مجمع"/>
      <sheetName val="میزان اجرای برنامه"/>
      <sheetName val="مصوبات هیات مدیره"/>
      <sheetName val="اهم اقدامات"/>
      <sheetName val="صورتخلاصه درآمد آزادراه"/>
      <sheetName val="صورتخلاصه درآمد"/>
      <sheetName val="فروش داخلی تولیدی"/>
      <sheetName val="فروش B2B"/>
      <sheetName val="فروش پخش"/>
      <sheetName val="فروش داخلی تجاری"/>
      <sheetName val="عوارض"/>
      <sheetName val="واردات"/>
      <sheetName val="صادرات"/>
      <sheetName val="درآمد خدمات آزادراهی"/>
      <sheetName val="جدول فروش خدمات"/>
      <sheetName val="درآمد خدمات"/>
      <sheetName val="درآمد صادرات"/>
      <sheetName val="گردش سهام"/>
      <sheetName val="سود سهام "/>
      <sheetName val="مقادیر تولید"/>
      <sheetName val="مستندات تولید"/>
      <sheetName val="گردش محصول تولیدی"/>
      <sheetName val="خرید مواد اولیه تولید"/>
      <sheetName val="هزینه پرسنلی مستقیم تولید"/>
      <sheetName val="هزینه پرسنلی غیرمستقیم تولید"/>
      <sheetName val="هزینه سربار تولید"/>
      <sheetName val="بهای تمام شده تولید"/>
      <sheetName val="مقادیر مصرف مواد"/>
      <sheetName val="مقادیر خدمات آزادراهی"/>
      <sheetName val="خرید اقلام خدمات آزادراهی"/>
      <sheetName val="هزینه پرسنلی مستقیم خدمات 2"/>
      <sheetName val="هزینه پرسنلی غیرمستقیم خدمات 2"/>
      <sheetName val="هزینه سربار خدمات آزادراهی"/>
      <sheetName val="بهای خدمات آزادراهی"/>
      <sheetName val="مقادیر خدمات"/>
      <sheetName val="خرید اقلام خدمات"/>
      <sheetName val="تعداد پرسنل"/>
      <sheetName val="هزینه پرسنلی مستقیم خدمات"/>
      <sheetName val="هزینه پرسنلی غیرمستقیم خدمات"/>
      <sheetName val="هزینه سربار خدمات"/>
      <sheetName val="بهای خدمات"/>
      <sheetName val="نگهداری آزادراه"/>
      <sheetName val="بهره برداری آزادراه"/>
      <sheetName val="بهسازی آزادراه"/>
      <sheetName val="خرید کالای تجاری"/>
      <sheetName val="بهای کالای تجاری"/>
      <sheetName val="تعداد پرسنل آزادراه (2)"/>
      <sheetName val="تعداد پرسنل آزادراه"/>
      <sheetName val="صورت وضعیت مالی آزادراه"/>
      <sheetName val="هزینه اداری عمومی"/>
      <sheetName val="سایر عملیاتی"/>
      <sheetName val="سایر غیرعملیاتی"/>
      <sheetName val="صورت سود و زیان"/>
      <sheetName val="صورت سود و زیان - شرکت اصلی"/>
      <sheetName val="صورت وضعیت مالی "/>
      <sheetName val="صورت وضعیت مالی - شرکت اصلی"/>
      <sheetName val="اقلام عمده حسابها آزادراه"/>
      <sheetName val="اقلام عمده حسابها "/>
      <sheetName val="درآمد هزینه آزادراه"/>
      <sheetName val="صورت جریان وجوه نقد آزادراه"/>
      <sheetName val="صورت جریان وجوه نقد "/>
      <sheetName val="صورت جریان وجوه نقد - شرکت اصلی"/>
      <sheetName val="دریافت پرداخت نقد آزادراه"/>
      <sheetName val="دریافت پرداخت"/>
      <sheetName val="سود ناویژه محصول تولیدی"/>
      <sheetName val=" سود ناویژه کالای تجاری"/>
      <sheetName val="سود ناویژه صادراتی"/>
      <sheetName val="سود ناویژه خدمات آزادراهی"/>
      <sheetName val="هزینه اداری عمومی آزادراه"/>
      <sheetName val="دارایی آزادراه"/>
      <sheetName val="دارایی"/>
      <sheetName val="موجودی مواد و کالا"/>
      <sheetName val="موجودی مواد و کالا آزادراهی"/>
      <sheetName val="سایر عملیاتی آزادراهی"/>
      <sheetName val="سایر غیرعملیاتی آزادراهی"/>
      <sheetName val="سود ناویژه خدمات"/>
      <sheetName val="تسهیلات"/>
      <sheetName val="حقوقی"/>
      <sheetName val="مزایده-مناقصه"/>
      <sheetName val="استهلاک سرمایه گذاری"/>
      <sheetName val="روابط عمومی"/>
      <sheetName val="پروژه ها"/>
      <sheetName val="ریزشعب انبار"/>
      <sheetName val="ماشین آلات "/>
      <sheetName val="ظرفیت انبارها"/>
      <sheetName val="جدول درآمد-هزینه-سود شرکتها"/>
      <sheetName val="خلاصه وضعیت پروازی ناوگان"/>
      <sheetName val="درآمد فروش بليط داخلی"/>
      <sheetName val="درآمد فروش بليط خارجی"/>
      <sheetName val="سوخت"/>
      <sheetName val="کترینگ"/>
      <sheetName val="هندلینگ"/>
      <sheetName val="خدمات فرودگاهی"/>
      <sheetName val="اطلاعات واحدها"/>
      <sheetName val="ریز فروشگاه ها"/>
      <sheetName val="پایان"/>
      <sheetName val="اصلاحات"/>
      <sheetName val="تغییر در فرمول بودجه و اصلی"/>
      <sheetName val="ابهاما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U1" t="str">
            <v>شهید کاوه</v>
          </cell>
          <cell r="W1" t="str">
            <v>شهید کاوه</v>
          </cell>
          <cell r="Z1" t="str">
            <v>شهید کاوه</v>
          </cell>
          <cell r="AK1" t="str">
            <v>مطهری</v>
          </cell>
          <cell r="AM1" t="str">
            <v>مطهری</v>
          </cell>
          <cell r="AP1" t="str">
            <v>مطهری</v>
          </cell>
          <cell r="BA1" t="str">
            <v>سرخس</v>
          </cell>
          <cell r="BC1" t="str">
            <v>سرخس</v>
          </cell>
          <cell r="BF1" t="str">
            <v>سرخس</v>
          </cell>
          <cell r="BQ1" t="str">
            <v>لطف آباد</v>
          </cell>
          <cell r="BS1" t="str">
            <v>لطف آباد</v>
          </cell>
          <cell r="BV1" t="str">
            <v>لطف آباد</v>
          </cell>
          <cell r="CG1" t="str">
            <v>نیشابور</v>
          </cell>
          <cell r="CI1" t="str">
            <v>نیشابور</v>
          </cell>
          <cell r="CL1" t="str">
            <v>نیشابور</v>
          </cell>
          <cell r="CW1" t="str">
            <v>ماهیرود</v>
          </cell>
          <cell r="CY1" t="str">
            <v>ماهیرود</v>
          </cell>
          <cell r="DB1" t="str">
            <v>ماهیرود</v>
          </cell>
          <cell r="DM1" t="str">
            <v>دوغارون</v>
          </cell>
          <cell r="DO1" t="str">
            <v>دوغارون</v>
          </cell>
          <cell r="DR1" t="str">
            <v>دوغارون</v>
          </cell>
          <cell r="EC1" t="str">
            <v>بجنورد</v>
          </cell>
          <cell r="EE1" t="str">
            <v>بجنورد</v>
          </cell>
          <cell r="EH1" t="str">
            <v>بجنورد</v>
          </cell>
          <cell r="ES1" t="str">
            <v>بیرجند</v>
          </cell>
          <cell r="EU1" t="str">
            <v>بیرجند</v>
          </cell>
          <cell r="EX1" t="str">
            <v>بیرجند</v>
          </cell>
          <cell r="FI1" t="str">
            <v>باجگیران</v>
          </cell>
          <cell r="FK1" t="str">
            <v>باجگیران</v>
          </cell>
          <cell r="FN1" t="str">
            <v>باجگیران</v>
          </cell>
        </row>
        <row r="25">
          <cell r="U25">
            <v>107877</v>
          </cell>
          <cell r="W25">
            <v>388812</v>
          </cell>
          <cell r="Z25">
            <v>52103</v>
          </cell>
          <cell r="AA25">
            <v>13.400563768607965</v>
          </cell>
          <cell r="AC25">
            <v>-55774</v>
          </cell>
          <cell r="AE25">
            <v>-51.701474827813158</v>
          </cell>
          <cell r="AG25" t="str">
            <v>جمع کل (درآمد عملیاتی بدون بیمه)</v>
          </cell>
          <cell r="AK25">
            <v>97432</v>
          </cell>
          <cell r="AM25">
            <v>190176</v>
          </cell>
          <cell r="AP25">
            <v>1056293</v>
          </cell>
          <cell r="AQ25">
            <v>555.42918138987045</v>
          </cell>
          <cell r="AS25">
            <v>958861</v>
          </cell>
          <cell r="AU25">
            <v>984.13354955250838</v>
          </cell>
          <cell r="AW25" t="str">
            <v>جمع کل (درآمد عملیاتی بدون بیمه)</v>
          </cell>
          <cell r="BA25">
            <v>84888</v>
          </cell>
          <cell r="BC25">
            <v>139616</v>
          </cell>
          <cell r="BF25">
            <v>122672</v>
          </cell>
          <cell r="BG25">
            <v>87.863855145542061</v>
          </cell>
          <cell r="BI25">
            <v>37784</v>
          </cell>
          <cell r="BK25">
            <v>44.510413721609652</v>
          </cell>
          <cell r="BM25" t="str">
            <v>جمع کل (درآمد عملیاتی بدون بیمه)</v>
          </cell>
          <cell r="BQ25">
            <v>463426</v>
          </cell>
          <cell r="BS25">
            <v>615028</v>
          </cell>
          <cell r="BV25">
            <v>839456</v>
          </cell>
          <cell r="BW25">
            <v>136.49069635853976</v>
          </cell>
          <cell r="BY25">
            <v>376030</v>
          </cell>
          <cell r="CA25">
            <v>81.141325691696196</v>
          </cell>
          <cell r="CC25" t="str">
            <v>جمع کل (درآمد عملیاتی بدون بیمه)</v>
          </cell>
          <cell r="CG25">
            <v>115959</v>
          </cell>
          <cell r="CI25">
            <v>98232</v>
          </cell>
          <cell r="CL25">
            <v>170890</v>
          </cell>
          <cell r="CM25">
            <v>173.96571382034367</v>
          </cell>
          <cell r="CO25">
            <v>54931</v>
          </cell>
          <cell r="CQ25">
            <v>47.371053562034859</v>
          </cell>
          <cell r="CS25" t="str">
            <v>جمع کل (درآمد عملیاتی بدون بیمه)</v>
          </cell>
          <cell r="CW25">
            <v>9367</v>
          </cell>
          <cell r="CY25">
            <v>5444</v>
          </cell>
          <cell r="DB25">
            <v>26005</v>
          </cell>
          <cell r="DC25">
            <v>477.68185157972079</v>
          </cell>
          <cell r="DE25">
            <v>16638</v>
          </cell>
          <cell r="DG25">
            <v>177.62357211487137</v>
          </cell>
          <cell r="DI25" t="str">
            <v>جمع کل (درآمد عملیاتی بدون بیمه)</v>
          </cell>
          <cell r="DM25">
            <v>204072</v>
          </cell>
          <cell r="DO25">
            <v>274150</v>
          </cell>
          <cell r="DR25">
            <v>389082</v>
          </cell>
          <cell r="DS25">
            <v>141.92303483494436</v>
          </cell>
          <cell r="DU25">
            <v>185010</v>
          </cell>
          <cell r="DW25">
            <v>90.65917911325414</v>
          </cell>
          <cell r="DY25" t="str">
            <v>جمع کل (درآمد عملیاتی بدون بیمه)</v>
          </cell>
          <cell r="EC25">
            <v>5472</v>
          </cell>
          <cell r="EE25">
            <v>28968</v>
          </cell>
          <cell r="EH25">
            <v>812</v>
          </cell>
          <cell r="EI25">
            <v>2.8030930682132009</v>
          </cell>
          <cell r="EK25">
            <v>-4660</v>
          </cell>
          <cell r="EM25">
            <v>-85.160818713450297</v>
          </cell>
          <cell r="EO25" t="str">
            <v>جمع کل (درآمد عملیاتی بدون بیمه)</v>
          </cell>
          <cell r="ES25">
            <v>2925</v>
          </cell>
          <cell r="EU25">
            <v>12710</v>
          </cell>
          <cell r="EX25">
            <v>37848</v>
          </cell>
          <cell r="EY25">
            <v>297.78127458693945</v>
          </cell>
          <cell r="FA25">
            <v>34923</v>
          </cell>
          <cell r="FC25">
            <v>1193.948717948718</v>
          </cell>
          <cell r="FE25" t="str">
            <v>جمع کل (درآمد عملیاتی بدون بیمه)</v>
          </cell>
          <cell r="FI25">
            <v>0</v>
          </cell>
          <cell r="FK25">
            <v>0</v>
          </cell>
          <cell r="FN25">
            <v>3249</v>
          </cell>
          <cell r="FO25" t="str">
            <v/>
          </cell>
          <cell r="FQ25">
            <v>3249</v>
          </cell>
          <cell r="FS25" t="str">
            <v/>
          </cell>
        </row>
        <row r="26">
          <cell r="U26">
            <v>1</v>
          </cell>
          <cell r="W26">
            <v>2</v>
          </cell>
          <cell r="Z26">
            <v>3</v>
          </cell>
          <cell r="AK26">
            <v>1</v>
          </cell>
          <cell r="AM26">
            <v>2</v>
          </cell>
          <cell r="AP26">
            <v>3</v>
          </cell>
          <cell r="BA26">
            <v>1</v>
          </cell>
          <cell r="BC26">
            <v>2</v>
          </cell>
          <cell r="BF26">
            <v>3</v>
          </cell>
          <cell r="BQ26">
            <v>1</v>
          </cell>
          <cell r="BS26">
            <v>2</v>
          </cell>
          <cell r="BV26">
            <v>3</v>
          </cell>
          <cell r="CG26">
            <v>1</v>
          </cell>
          <cell r="CI26">
            <v>2</v>
          </cell>
          <cell r="CL26">
            <v>3</v>
          </cell>
          <cell r="CW26">
            <v>1</v>
          </cell>
          <cell r="CY26">
            <v>2</v>
          </cell>
          <cell r="DB26">
            <v>3</v>
          </cell>
          <cell r="DM26">
            <v>1</v>
          </cell>
          <cell r="DO26">
            <v>2</v>
          </cell>
          <cell r="DR26">
            <v>3</v>
          </cell>
          <cell r="EC26">
            <v>1</v>
          </cell>
          <cell r="EE26">
            <v>2</v>
          </cell>
          <cell r="EH26">
            <v>3</v>
          </cell>
          <cell r="ES26">
            <v>1</v>
          </cell>
          <cell r="EU26">
            <v>2</v>
          </cell>
          <cell r="EX26">
            <v>3</v>
          </cell>
          <cell r="FI26">
            <v>1</v>
          </cell>
          <cell r="FK26">
            <v>2</v>
          </cell>
          <cell r="FN26">
            <v>3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41"/>
  <sheetViews>
    <sheetView rightToLeft="1" tabSelected="1" zoomScale="70" zoomScaleNormal="70" zoomScaleSheetLayoutView="85" workbookViewId="0">
      <selection activeCell="P37" sqref="P37:Q39"/>
    </sheetView>
  </sheetViews>
  <sheetFormatPr defaultColWidth="9" defaultRowHeight="24" x14ac:dyDescent="0.6"/>
  <cols>
    <col min="1" max="1" width="8.140625" style="1" customWidth="1"/>
    <col min="2" max="16" width="16.5703125" style="1" customWidth="1"/>
    <col min="17" max="17" width="16.42578125" style="1" customWidth="1"/>
    <col min="18" max="18" width="2.42578125" style="1" customWidth="1"/>
    <col min="19" max="16384" width="9" style="1"/>
  </cols>
  <sheetData>
    <row r="1" spans="2:16" ht="42.75" x14ac:dyDescent="0.6">
      <c r="B1" s="104" t="s">
        <v>57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2:16" x14ac:dyDescent="0.6">
      <c r="B2" s="2"/>
      <c r="C2" s="2"/>
      <c r="D2" s="2"/>
      <c r="E2" s="2"/>
      <c r="F2" s="2"/>
      <c r="G2" s="2"/>
      <c r="H2" s="2"/>
    </row>
    <row r="3" spans="2:16" ht="34.5" thickBot="1" x14ac:dyDescent="0.65">
      <c r="B3" s="85" t="s">
        <v>0</v>
      </c>
      <c r="C3" s="85"/>
      <c r="D3" s="85"/>
      <c r="E3" s="85"/>
      <c r="F3" s="85"/>
      <c r="G3" s="85"/>
      <c r="H3" s="85"/>
      <c r="J3" s="85" t="s">
        <v>0</v>
      </c>
      <c r="K3" s="85"/>
      <c r="L3" s="85"/>
      <c r="M3" s="85"/>
      <c r="N3" s="85"/>
      <c r="O3" s="85"/>
      <c r="P3" s="85"/>
    </row>
    <row r="4" spans="2:16" ht="36" customHeight="1" x14ac:dyDescent="0.6">
      <c r="B4" s="94" t="s">
        <v>1</v>
      </c>
      <c r="C4" s="97" t="s">
        <v>31</v>
      </c>
      <c r="D4" s="99" t="s">
        <v>2</v>
      </c>
      <c r="E4" s="100"/>
      <c r="F4" s="101"/>
      <c r="G4" s="28" t="s">
        <v>3</v>
      </c>
      <c r="H4" s="102" t="s">
        <v>4</v>
      </c>
      <c r="J4" s="132" t="s">
        <v>10</v>
      </c>
      <c r="K4" s="97" t="s">
        <v>31</v>
      </c>
      <c r="L4" s="99" t="s">
        <v>2</v>
      </c>
      <c r="M4" s="100"/>
      <c r="N4" s="101"/>
      <c r="O4" s="28" t="s">
        <v>3</v>
      </c>
      <c r="P4" s="102" t="s">
        <v>4</v>
      </c>
    </row>
    <row r="5" spans="2:16" ht="36" customHeight="1" thickBot="1" x14ac:dyDescent="0.65">
      <c r="B5" s="95"/>
      <c r="C5" s="98"/>
      <c r="D5" s="29" t="s">
        <v>35</v>
      </c>
      <c r="E5" s="29" t="s">
        <v>33</v>
      </c>
      <c r="F5" s="29" t="s">
        <v>34</v>
      </c>
      <c r="G5" s="30" t="s">
        <v>5</v>
      </c>
      <c r="H5" s="103"/>
      <c r="J5" s="133"/>
      <c r="K5" s="98"/>
      <c r="L5" s="29" t="s">
        <v>35</v>
      </c>
      <c r="M5" s="29" t="s">
        <v>33</v>
      </c>
      <c r="N5" s="29" t="s">
        <v>34</v>
      </c>
      <c r="O5" s="30" t="s">
        <v>5</v>
      </c>
      <c r="P5" s="103"/>
    </row>
    <row r="6" spans="2:16" ht="36" customHeight="1" x14ac:dyDescent="0.6">
      <c r="B6" s="95"/>
      <c r="C6" s="3" t="s">
        <v>6</v>
      </c>
      <c r="D6" s="4">
        <v>102609</v>
      </c>
      <c r="E6" s="43">
        <v>142772</v>
      </c>
      <c r="F6" s="5">
        <v>139434</v>
      </c>
      <c r="G6" s="6">
        <f>F6/E6*100</f>
        <v>97.662006555907325</v>
      </c>
      <c r="H6" s="18">
        <f>IFERROR((F6-D6)*100/D6,"")</f>
        <v>35.888664737011375</v>
      </c>
      <c r="J6" s="133"/>
      <c r="K6" s="3" t="s">
        <v>6</v>
      </c>
      <c r="L6" s="5">
        <v>24961</v>
      </c>
      <c r="M6" s="43">
        <v>33653</v>
      </c>
      <c r="N6" s="5">
        <v>43957</v>
      </c>
      <c r="O6" s="6">
        <f>N6/M6*100</f>
        <v>130.61836983329866</v>
      </c>
      <c r="P6" s="18">
        <f>IFERROR((N6-L6)*100/L6,"")</f>
        <v>76.102720243579981</v>
      </c>
    </row>
    <row r="7" spans="2:16" ht="36" customHeight="1" x14ac:dyDescent="0.6">
      <c r="B7" s="95"/>
      <c r="C7" s="8" t="s">
        <v>7</v>
      </c>
      <c r="D7" s="9">
        <v>113724</v>
      </c>
      <c r="E7" s="44">
        <v>152262</v>
      </c>
      <c r="F7" s="9">
        <v>145727</v>
      </c>
      <c r="G7" s="6">
        <f t="shared" ref="G7:G9" si="0">F7/E7*100</f>
        <v>95.708055851098763</v>
      </c>
      <c r="H7" s="18">
        <f t="shared" ref="H7:H9" si="1">IFERROR((F7-D7)*100/D7,"")</f>
        <v>28.140937708838944</v>
      </c>
      <c r="J7" s="133"/>
      <c r="K7" s="8" t="s">
        <v>7</v>
      </c>
      <c r="L7" s="9">
        <v>26356</v>
      </c>
      <c r="M7" s="44">
        <v>36653</v>
      </c>
      <c r="N7" s="9">
        <v>43469</v>
      </c>
      <c r="O7" s="6">
        <f t="shared" ref="O7:O9" si="2">N7/M7*100</f>
        <v>118.59602215371183</v>
      </c>
      <c r="P7" s="18">
        <f t="shared" ref="P7:P9" si="3">IFERROR((N7-L7)*100/L7,"")</f>
        <v>64.930186674760961</v>
      </c>
    </row>
    <row r="8" spans="2:16" ht="36" customHeight="1" x14ac:dyDescent="0.6">
      <c r="B8" s="95"/>
      <c r="C8" s="11" t="s">
        <v>8</v>
      </c>
      <c r="D8" s="9">
        <v>3902</v>
      </c>
      <c r="E8" s="44">
        <v>9774</v>
      </c>
      <c r="F8" s="9">
        <v>657</v>
      </c>
      <c r="G8" s="6">
        <f t="shared" si="0"/>
        <v>6.7219152854511961</v>
      </c>
      <c r="H8" s="18">
        <f t="shared" si="1"/>
        <v>-83.162480779087645</v>
      </c>
      <c r="J8" s="133"/>
      <c r="K8" s="11" t="s">
        <v>8</v>
      </c>
      <c r="L8" s="9">
        <v>18</v>
      </c>
      <c r="M8" s="44">
        <v>26</v>
      </c>
      <c r="N8" s="9"/>
      <c r="O8" s="6">
        <f t="shared" si="2"/>
        <v>0</v>
      </c>
      <c r="P8" s="18">
        <f t="shared" si="3"/>
        <v>-100</v>
      </c>
    </row>
    <row r="9" spans="2:16" ht="36" customHeight="1" thickBot="1" x14ac:dyDescent="0.65">
      <c r="B9" s="96"/>
      <c r="C9" s="12" t="s">
        <v>9</v>
      </c>
      <c r="D9" s="13">
        <v>498346</v>
      </c>
      <c r="E9" s="45">
        <v>509432</v>
      </c>
      <c r="F9" s="13">
        <v>641162</v>
      </c>
      <c r="G9" s="71">
        <f t="shared" si="0"/>
        <v>125.85821071310794</v>
      </c>
      <c r="H9" s="20">
        <f t="shared" si="1"/>
        <v>28.658000666203801</v>
      </c>
      <c r="J9" s="134"/>
      <c r="K9" s="12" t="s">
        <v>9</v>
      </c>
      <c r="L9" s="13">
        <v>378750</v>
      </c>
      <c r="M9" s="46">
        <v>513151</v>
      </c>
      <c r="N9" s="13">
        <v>467550</v>
      </c>
      <c r="O9" s="71">
        <f t="shared" si="2"/>
        <v>91.11353188437711</v>
      </c>
      <c r="P9" s="20">
        <f t="shared" si="3"/>
        <v>23.445544554455445</v>
      </c>
    </row>
    <row r="10" spans="2:16" ht="16.5" customHeight="1" x14ac:dyDescent="0.6"/>
    <row r="12" spans="2:16" ht="34.5" thickBot="1" x14ac:dyDescent="0.65">
      <c r="B12" s="85" t="s">
        <v>45</v>
      </c>
      <c r="C12" s="85"/>
      <c r="D12" s="85"/>
      <c r="E12" s="85"/>
      <c r="F12" s="85"/>
      <c r="G12" s="85"/>
      <c r="H12" s="85"/>
      <c r="J12" s="85" t="s">
        <v>46</v>
      </c>
      <c r="K12" s="85"/>
      <c r="L12" s="85"/>
      <c r="M12" s="85"/>
      <c r="N12" s="85"/>
      <c r="O12" s="85"/>
      <c r="P12" s="85"/>
    </row>
    <row r="13" spans="2:16" ht="67.900000000000006" customHeight="1" x14ac:dyDescent="0.6">
      <c r="B13" s="106" t="s">
        <v>40</v>
      </c>
      <c r="C13" s="107"/>
      <c r="D13" s="58" t="s">
        <v>35</v>
      </c>
      <c r="E13" s="58" t="s">
        <v>33</v>
      </c>
      <c r="F13" s="58" t="s">
        <v>34</v>
      </c>
      <c r="G13" s="58" t="s">
        <v>12</v>
      </c>
      <c r="H13" s="31" t="s">
        <v>13</v>
      </c>
      <c r="J13" s="106" t="s">
        <v>41</v>
      </c>
      <c r="K13" s="107"/>
      <c r="L13" s="58" t="s">
        <v>35</v>
      </c>
      <c r="M13" s="58" t="s">
        <v>33</v>
      </c>
      <c r="N13" s="58" t="s">
        <v>34</v>
      </c>
      <c r="O13" s="58" t="s">
        <v>12</v>
      </c>
      <c r="P13" s="31" t="s">
        <v>13</v>
      </c>
    </row>
    <row r="14" spans="2:16" ht="42.6" customHeight="1" x14ac:dyDescent="0.6">
      <c r="B14" s="108" t="s">
        <v>36</v>
      </c>
      <c r="C14" s="109"/>
      <c r="D14" s="22">
        <v>331775</v>
      </c>
      <c r="E14" s="47">
        <v>615444</v>
      </c>
      <c r="F14" s="22">
        <v>528593</v>
      </c>
      <c r="G14" s="64">
        <f>-IFERROR(F14*100/E14,"")</f>
        <v>-85.88807430082997</v>
      </c>
      <c r="H14" s="18">
        <f>IFERROR((F14-D14)*100/D14,"")</f>
        <v>59.322733780423476</v>
      </c>
      <c r="J14" s="108" t="s">
        <v>36</v>
      </c>
      <c r="K14" s="109"/>
      <c r="L14" s="22">
        <v>29875</v>
      </c>
      <c r="M14" s="47">
        <v>46391</v>
      </c>
      <c r="N14" s="22">
        <v>50631</v>
      </c>
      <c r="O14" s="63">
        <f>IFERROR(N14*100/M14,"")</f>
        <v>109.139703821862</v>
      </c>
      <c r="P14" s="18">
        <f>IFERROR((N14-L14)*100/L14,"")</f>
        <v>69.47615062761507</v>
      </c>
    </row>
    <row r="15" spans="2:16" ht="42.6" customHeight="1" x14ac:dyDescent="0.6">
      <c r="B15" s="110" t="s">
        <v>37</v>
      </c>
      <c r="C15" s="111"/>
      <c r="D15" s="22">
        <v>465998</v>
      </c>
      <c r="E15" s="47">
        <v>690927</v>
      </c>
      <c r="F15" s="22">
        <v>808273</v>
      </c>
      <c r="G15" s="63">
        <f t="shared" ref="G15:G19" si="4">IFERROR(F15*100/E15,"")</f>
        <v>116.98384923443432</v>
      </c>
      <c r="H15" s="18">
        <f t="shared" ref="H15:H19" si="5">IFERROR((F15-D15)*100/D15,"")</f>
        <v>73.449886051013095</v>
      </c>
      <c r="J15" s="110" t="s">
        <v>37</v>
      </c>
      <c r="K15" s="111"/>
      <c r="L15" s="22">
        <v>33448</v>
      </c>
      <c r="M15" s="47">
        <v>56912</v>
      </c>
      <c r="N15" s="22">
        <v>44261</v>
      </c>
      <c r="O15" s="64">
        <f t="shared" ref="O15:O18" si="6">-IFERROR(N15*100/M15,"")</f>
        <v>-77.77094461624965</v>
      </c>
      <c r="P15" s="18">
        <f t="shared" ref="P15:P19" si="7">IFERROR((N15-L15)*100/L15,"")</f>
        <v>32.327792394164078</v>
      </c>
    </row>
    <row r="16" spans="2:16" ht="42.6" customHeight="1" x14ac:dyDescent="0.6">
      <c r="B16" s="112" t="s">
        <v>8</v>
      </c>
      <c r="C16" s="113"/>
      <c r="D16" s="22">
        <v>151</v>
      </c>
      <c r="E16" s="47">
        <v>67</v>
      </c>
      <c r="F16" s="22">
        <v>479</v>
      </c>
      <c r="G16" s="63">
        <f t="shared" si="4"/>
        <v>714.92537313432831</v>
      </c>
      <c r="H16" s="18">
        <f t="shared" si="5"/>
        <v>217.21854304635761</v>
      </c>
      <c r="J16" s="112" t="s">
        <v>8</v>
      </c>
      <c r="K16" s="113"/>
      <c r="L16" s="22"/>
      <c r="M16" s="47"/>
      <c r="N16" s="22"/>
      <c r="O16" s="64"/>
      <c r="P16" s="18" t="str">
        <f t="shared" si="7"/>
        <v/>
      </c>
    </row>
    <row r="17" spans="2:16" ht="42.6" customHeight="1" x14ac:dyDescent="0.6">
      <c r="B17" s="114" t="s">
        <v>9</v>
      </c>
      <c r="C17" s="115"/>
      <c r="D17" s="22">
        <v>95843</v>
      </c>
      <c r="E17" s="47">
        <v>146941</v>
      </c>
      <c r="F17" s="22">
        <v>164419</v>
      </c>
      <c r="G17" s="63">
        <f t="shared" si="4"/>
        <v>111.89456992942746</v>
      </c>
      <c r="H17" s="18">
        <f t="shared" si="5"/>
        <v>71.550347964900936</v>
      </c>
      <c r="J17" s="114" t="s">
        <v>9</v>
      </c>
      <c r="K17" s="115"/>
      <c r="L17" s="22">
        <v>5622</v>
      </c>
      <c r="M17" s="47">
        <v>8953</v>
      </c>
      <c r="N17" s="22">
        <v>949122</v>
      </c>
      <c r="O17" s="63">
        <f>IFERROR(N17*100/M17,"")</f>
        <v>10601.161621802748</v>
      </c>
      <c r="P17" s="18">
        <f t="shared" si="7"/>
        <v>16782.283884738528</v>
      </c>
    </row>
    <row r="18" spans="2:16" ht="42.6" customHeight="1" x14ac:dyDescent="0.6">
      <c r="B18" s="136" t="s">
        <v>38</v>
      </c>
      <c r="C18" s="137"/>
      <c r="D18" s="22">
        <v>73454</v>
      </c>
      <c r="E18" s="47">
        <v>132255</v>
      </c>
      <c r="F18" s="22">
        <v>118206</v>
      </c>
      <c r="G18" s="64">
        <f>-IFERROR(F18*100/E18,"")</f>
        <v>-89.377339231030959</v>
      </c>
      <c r="H18" s="18">
        <f t="shared" si="5"/>
        <v>60.925204890135326</v>
      </c>
      <c r="J18" s="136" t="s">
        <v>38</v>
      </c>
      <c r="K18" s="137"/>
      <c r="L18" s="22">
        <v>55252</v>
      </c>
      <c r="M18" s="47">
        <v>55246</v>
      </c>
      <c r="N18" s="22">
        <v>34526</v>
      </c>
      <c r="O18" s="64">
        <f t="shared" si="6"/>
        <v>-62.495022264055315</v>
      </c>
      <c r="P18" s="18">
        <f t="shared" si="7"/>
        <v>-37.511764280026064</v>
      </c>
    </row>
    <row r="19" spans="2:16" ht="42.6" customHeight="1" thickBot="1" x14ac:dyDescent="0.65">
      <c r="B19" s="138" t="s">
        <v>39</v>
      </c>
      <c r="C19" s="139"/>
      <c r="D19" s="67">
        <v>74605</v>
      </c>
      <c r="E19" s="68">
        <v>158140</v>
      </c>
      <c r="F19" s="67">
        <v>150422</v>
      </c>
      <c r="G19" s="69">
        <f t="shared" si="4"/>
        <v>95.119514354369542</v>
      </c>
      <c r="H19" s="20">
        <f t="shared" si="5"/>
        <v>101.6245559949065</v>
      </c>
      <c r="J19" s="138" t="s">
        <v>39</v>
      </c>
      <c r="K19" s="139"/>
      <c r="L19" s="67">
        <v>2515</v>
      </c>
      <c r="M19" s="68">
        <v>4653</v>
      </c>
      <c r="N19" s="67">
        <v>10575</v>
      </c>
      <c r="O19" s="70">
        <f>IFERROR(N19*100/M19,"")</f>
        <v>227.27272727272728</v>
      </c>
      <c r="P19" s="20">
        <f t="shared" si="7"/>
        <v>320.47713717693836</v>
      </c>
    </row>
    <row r="21" spans="2:16" ht="34.5" thickBot="1" x14ac:dyDescent="0.65">
      <c r="B21" s="85" t="s">
        <v>11</v>
      </c>
      <c r="C21" s="85"/>
      <c r="D21" s="85"/>
      <c r="E21" s="85"/>
      <c r="F21" s="85"/>
      <c r="G21" s="85"/>
      <c r="H21" s="85"/>
      <c r="I21" s="85"/>
      <c r="J21" s="85"/>
      <c r="K21" s="85"/>
    </row>
    <row r="22" spans="2:16" ht="67.900000000000006" customHeight="1" x14ac:dyDescent="0.6">
      <c r="B22" s="106" t="s">
        <v>32</v>
      </c>
      <c r="C22" s="107"/>
      <c r="D22" s="107" t="s">
        <v>35</v>
      </c>
      <c r="E22" s="107"/>
      <c r="F22" s="87" t="s">
        <v>33</v>
      </c>
      <c r="G22" s="88"/>
      <c r="H22" s="87" t="s">
        <v>34</v>
      </c>
      <c r="I22" s="88"/>
      <c r="J22" s="34" t="s">
        <v>12</v>
      </c>
      <c r="K22" s="31" t="s">
        <v>13</v>
      </c>
    </row>
    <row r="23" spans="2:16" ht="42.6" customHeight="1" x14ac:dyDescent="0.6">
      <c r="B23" s="122" t="s">
        <v>14</v>
      </c>
      <c r="C23" s="123"/>
      <c r="D23" s="90">
        <v>1091418</v>
      </c>
      <c r="E23" s="91"/>
      <c r="F23" s="81">
        <v>1753136</v>
      </c>
      <c r="G23" s="81"/>
      <c r="H23" s="83">
        <v>2698410</v>
      </c>
      <c r="I23" s="83"/>
      <c r="J23" s="53">
        <f>IFERROR(H23*100/F23,"")</f>
        <v>153.9190342335107</v>
      </c>
      <c r="K23" s="54">
        <f>IFERROR((H23-D23)*100/ABS(D23),"")</f>
        <v>147.23891304706353</v>
      </c>
    </row>
    <row r="24" spans="2:16" ht="42.6" customHeight="1" x14ac:dyDescent="0.6">
      <c r="B24" s="130" t="s">
        <v>15</v>
      </c>
      <c r="C24" s="131"/>
      <c r="D24" s="92">
        <v>-1271898</v>
      </c>
      <c r="E24" s="93"/>
      <c r="F24" s="89">
        <v>-2007348</v>
      </c>
      <c r="G24" s="89"/>
      <c r="H24" s="86">
        <v>-2950579</v>
      </c>
      <c r="I24" s="86"/>
      <c r="J24" s="59">
        <f t="shared" ref="J24:J32" si="8">IFERROR(H24*100/F24,"")</f>
        <v>146.98891273461302</v>
      </c>
      <c r="K24" s="55">
        <f t="shared" ref="K24:K32" si="9">IFERROR((H24-D24)*100/ABS(D24),"")</f>
        <v>-131.98236022070952</v>
      </c>
    </row>
    <row r="25" spans="2:16" ht="42.6" customHeight="1" x14ac:dyDescent="0.6">
      <c r="B25" s="118" t="s">
        <v>16</v>
      </c>
      <c r="C25" s="119"/>
      <c r="D25" s="92">
        <v>-180480</v>
      </c>
      <c r="E25" s="93"/>
      <c r="F25" s="89">
        <v>-254212</v>
      </c>
      <c r="G25" s="89"/>
      <c r="H25" s="86">
        <v>-252169</v>
      </c>
      <c r="I25" s="86"/>
      <c r="J25" s="59">
        <f t="shared" si="8"/>
        <v>99.196340062624898</v>
      </c>
      <c r="K25" s="55">
        <f t="shared" si="9"/>
        <v>-39.721298758865245</v>
      </c>
    </row>
    <row r="26" spans="2:16" ht="42.6" customHeight="1" x14ac:dyDescent="0.6">
      <c r="B26" s="130" t="s">
        <v>17</v>
      </c>
      <c r="C26" s="131"/>
      <c r="D26" s="92">
        <v>-158356</v>
      </c>
      <c r="E26" s="93"/>
      <c r="F26" s="89">
        <v>-241263</v>
      </c>
      <c r="G26" s="89"/>
      <c r="H26" s="86">
        <v>-264469</v>
      </c>
      <c r="I26" s="86"/>
      <c r="J26" s="59">
        <f t="shared" si="8"/>
        <v>109.61854905227905</v>
      </c>
      <c r="K26" s="55">
        <f t="shared" si="9"/>
        <v>-67.009143954128675</v>
      </c>
    </row>
    <row r="27" spans="2:16" ht="42.6" customHeight="1" x14ac:dyDescent="0.6">
      <c r="B27" s="122" t="s">
        <v>18</v>
      </c>
      <c r="C27" s="123"/>
      <c r="D27" s="90">
        <v>692240</v>
      </c>
      <c r="E27" s="91"/>
      <c r="F27" s="81">
        <v>922004</v>
      </c>
      <c r="G27" s="81"/>
      <c r="H27" s="83">
        <v>1042459</v>
      </c>
      <c r="I27" s="83"/>
      <c r="J27" s="59">
        <f t="shared" si="8"/>
        <v>113.0644769437009</v>
      </c>
      <c r="K27" s="54">
        <f t="shared" si="9"/>
        <v>50.592135675488272</v>
      </c>
    </row>
    <row r="28" spans="2:16" ht="42.6" customHeight="1" x14ac:dyDescent="0.6">
      <c r="B28" s="116" t="s">
        <v>19</v>
      </c>
      <c r="C28" s="117"/>
      <c r="D28" s="90"/>
      <c r="E28" s="91"/>
      <c r="F28" s="81"/>
      <c r="G28" s="81"/>
      <c r="H28" s="83"/>
      <c r="I28" s="83"/>
      <c r="J28" s="59" t="str">
        <f t="shared" si="8"/>
        <v/>
      </c>
      <c r="K28" s="54" t="str">
        <f t="shared" si="9"/>
        <v/>
      </c>
    </row>
    <row r="29" spans="2:16" ht="42.6" customHeight="1" x14ac:dyDescent="0.6">
      <c r="B29" s="118" t="s">
        <v>20</v>
      </c>
      <c r="C29" s="119"/>
      <c r="D29" s="83">
        <v>353404</v>
      </c>
      <c r="E29" s="83"/>
      <c r="F29" s="81">
        <v>426529</v>
      </c>
      <c r="G29" s="81"/>
      <c r="H29" s="83">
        <v>525821</v>
      </c>
      <c r="I29" s="83"/>
      <c r="J29" s="59">
        <f t="shared" si="8"/>
        <v>123.27907363860371</v>
      </c>
      <c r="K29" s="54">
        <f t="shared" si="9"/>
        <v>48.787506649613476</v>
      </c>
    </row>
    <row r="30" spans="2:16" ht="42.6" customHeight="1" x14ac:dyDescent="0.6">
      <c r="B30" s="120" t="s">
        <v>21</v>
      </c>
      <c r="C30" s="121"/>
      <c r="D30" s="83"/>
      <c r="E30" s="83"/>
      <c r="F30" s="81"/>
      <c r="G30" s="81"/>
      <c r="H30" s="83"/>
      <c r="I30" s="83"/>
      <c r="J30" s="59" t="str">
        <f t="shared" si="8"/>
        <v/>
      </c>
      <c r="K30" s="54" t="str">
        <f t="shared" si="9"/>
        <v/>
      </c>
    </row>
    <row r="31" spans="2:16" ht="42.6" customHeight="1" x14ac:dyDescent="0.6">
      <c r="B31" s="122" t="s">
        <v>22</v>
      </c>
      <c r="C31" s="123"/>
      <c r="D31" s="83">
        <v>4</v>
      </c>
      <c r="E31" s="83"/>
      <c r="F31" s="81">
        <v>3</v>
      </c>
      <c r="G31" s="81"/>
      <c r="H31" s="83">
        <v>100</v>
      </c>
      <c r="I31" s="83"/>
      <c r="J31" s="59">
        <f t="shared" si="8"/>
        <v>3333.3333333333335</v>
      </c>
      <c r="K31" s="54">
        <f t="shared" si="9"/>
        <v>2400</v>
      </c>
    </row>
    <row r="32" spans="2:16" ht="42.6" customHeight="1" thickBot="1" x14ac:dyDescent="0.65">
      <c r="B32" s="124" t="s">
        <v>23</v>
      </c>
      <c r="C32" s="125"/>
      <c r="D32" s="84">
        <v>353408</v>
      </c>
      <c r="E32" s="84"/>
      <c r="F32" s="82">
        <v>426532</v>
      </c>
      <c r="G32" s="82"/>
      <c r="H32" s="84">
        <v>525921</v>
      </c>
      <c r="I32" s="84"/>
      <c r="J32" s="59">
        <f t="shared" si="8"/>
        <v>123.30165145874166</v>
      </c>
      <c r="K32" s="54">
        <f t="shared" si="9"/>
        <v>48.814118525896411</v>
      </c>
    </row>
    <row r="33" spans="2:17" ht="27.6" customHeight="1" x14ac:dyDescent="0.6"/>
    <row r="34" spans="2:17" ht="34.5" thickBot="1" x14ac:dyDescent="0.65">
      <c r="B34" s="85" t="s">
        <v>24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</row>
    <row r="35" spans="2:17" ht="52.5" customHeight="1" x14ac:dyDescent="0.6">
      <c r="B35" s="140" t="s">
        <v>25</v>
      </c>
      <c r="C35" s="141"/>
      <c r="D35" s="87" t="s">
        <v>35</v>
      </c>
      <c r="E35" s="135"/>
      <c r="F35" s="135"/>
      <c r="G35" s="88"/>
      <c r="H35" s="87" t="s">
        <v>33</v>
      </c>
      <c r="I35" s="135"/>
      <c r="J35" s="135"/>
      <c r="K35" s="88"/>
      <c r="L35" s="87" t="s">
        <v>34</v>
      </c>
      <c r="M35" s="135"/>
      <c r="N35" s="135"/>
      <c r="O35" s="88"/>
      <c r="P35" s="33" t="s">
        <v>26</v>
      </c>
      <c r="Q35" s="31" t="s">
        <v>27</v>
      </c>
    </row>
    <row r="36" spans="2:17" ht="52.5" customHeight="1" x14ac:dyDescent="0.6">
      <c r="B36" s="142"/>
      <c r="C36" s="143"/>
      <c r="D36" s="35" t="s">
        <v>42</v>
      </c>
      <c r="E36" s="35" t="s">
        <v>43</v>
      </c>
      <c r="F36" s="35" t="s">
        <v>44</v>
      </c>
      <c r="G36" s="35" t="s">
        <v>30</v>
      </c>
      <c r="H36" s="35" t="s">
        <v>42</v>
      </c>
      <c r="I36" s="35" t="s">
        <v>43</v>
      </c>
      <c r="J36" s="35" t="s">
        <v>44</v>
      </c>
      <c r="K36" s="35" t="s">
        <v>30</v>
      </c>
      <c r="L36" s="35" t="s">
        <v>42</v>
      </c>
      <c r="M36" s="35" t="s">
        <v>43</v>
      </c>
      <c r="N36" s="35" t="s">
        <v>44</v>
      </c>
      <c r="O36" s="35" t="s">
        <v>30</v>
      </c>
      <c r="P36" s="35" t="s">
        <v>30</v>
      </c>
      <c r="Q36" s="38" t="s">
        <v>30</v>
      </c>
    </row>
    <row r="37" spans="2:17" ht="36" customHeight="1" x14ac:dyDescent="0.6">
      <c r="B37" s="126" t="s">
        <v>28</v>
      </c>
      <c r="C37" s="127"/>
      <c r="D37" s="36">
        <f>SUM(کاوه!D37+مطهری!D37+سرخس!D37+'لطف آباد'!D37+نیشابور!D37+ماهیرود!D37+دوغارون!D37+بجنورد!D37+بیرجند!D37+باجگیران!D37)</f>
        <v>0</v>
      </c>
      <c r="E37" s="36">
        <f>SUM(کاوه!E37+مطهری!E37+سرخس!E37+'لطف آباد'!E37+نیشابور!E37+ماهیرود!E37+دوغارون!E37+بجنورد!E37+بیرجند!E37+باجگیران!E37)</f>
        <v>166</v>
      </c>
      <c r="F37" s="36">
        <f>SUM(کاوه!F37+مطهری!F37+سرخس!F37+'لطف آباد'!F37+نیشابور!F37+ماهیرود!F37+دوغارون!F37+بجنورد!F37+بیرجند!F37+باجگیران!F37)</f>
        <v>23</v>
      </c>
      <c r="G37" s="36">
        <f>SUM(کاوه!G37+مطهری!G37+سرخس!G37+'لطف آباد'!G37+نیشابور!G37+ماهیرود!G37+دوغارون!G37+بجنورد!G37+بیرجند!G37+باجگیران!G37)</f>
        <v>189</v>
      </c>
      <c r="H37" s="36">
        <f>SUM(کاوه!H37+مطهری!H37+سرخس!H37+'لطف آباد'!H37+نیشابور!H37+ماهیرود!H37+دوغارون!H37+بجنورد!H37+بیرجند!H37+باجگیران!H37)</f>
        <v>0</v>
      </c>
      <c r="I37" s="36">
        <f>SUM(کاوه!I37+مطهری!I37+سرخس!I37+'لطف آباد'!I37+نیشابور!I37+ماهیرود!I37+دوغارون!I37+بجنورد!I37+بیرجند!I37+باجگیران!I37)</f>
        <v>166</v>
      </c>
      <c r="J37" s="36">
        <f>SUM(کاوه!J37+مطهری!J37+سرخس!J37+'لطف آباد'!J37+نیشابور!J37+ماهیرود!J37+دوغارون!J37+بجنورد!J37+بیرجند!J37+باجگیران!J37)</f>
        <v>95</v>
      </c>
      <c r="K37" s="36">
        <f>SUM(کاوه!K37+مطهری!K37+سرخس!K37+'لطف آباد'!K37+نیشابور!K37+ماهیرود!K37+دوغارون!K37+بجنورد!K37+بیرجند!K37+باجگیران!K37)</f>
        <v>258</v>
      </c>
      <c r="L37" s="36">
        <f>SUM(کاوه!L37+مطهری!L37+سرخس!L37+'لطف آباد'!L37+نیشابور!L37+ماهیرود!L37+دوغارون!L37+بجنورد!L37+بیرجند!L37+باجگیران!L37)</f>
        <v>0</v>
      </c>
      <c r="M37" s="36">
        <f>SUM(کاوه!M37+مطهری!M37+سرخس!M37+'لطف آباد'!M37+نیشابور!M37+ماهیرود!M37+دوغارون!M37+بجنورد!M37+بیرجند!M37+باجگیران!M37)</f>
        <v>163</v>
      </c>
      <c r="N37" s="36">
        <f>SUM(کاوه!N37+مطهری!N37+سرخس!N37+'لطف آباد'!N37+نیشابور!N37+ماهیرود!N37+دوغارون!N37+بجنورد!N37+بیرجند!N37+باجگیران!N37)</f>
        <v>40</v>
      </c>
      <c r="O37" s="36">
        <f>SUM(کاوه!O37+مطهری!O37+سرخس!O37+'لطف آباد'!O37+نیشابور!O37+ماهیرود!O37+دوغارون!O37+بجنورد!O37+بیرجند!O37+باجگیران!O37)</f>
        <v>203</v>
      </c>
      <c r="P37" s="40">
        <f>O37*100/K37</f>
        <v>78.68217054263566</v>
      </c>
      <c r="Q37" s="42">
        <f>O37*100/G37</f>
        <v>107.4074074074074</v>
      </c>
    </row>
    <row r="38" spans="2:17" ht="36" customHeight="1" x14ac:dyDescent="0.6">
      <c r="B38" s="126" t="s">
        <v>29</v>
      </c>
      <c r="C38" s="127"/>
      <c r="D38" s="36">
        <f>SUM(کاوه!D38+مطهری!D38+سرخس!D38+'لطف آباد'!D38+نیشابور!D38+ماهیرود!D38+دوغارون!D38+بجنورد!D38+بیرجند!D38+باجگیران!D38)</f>
        <v>0</v>
      </c>
      <c r="E38" s="36">
        <f>SUM(کاوه!E38+مطهری!E38+سرخس!E38+'لطف آباد'!E38+نیشابور!E38+ماهیرود!E38+دوغارون!E38+بجنورد!E38+بیرجند!E38+باجگیران!E38)</f>
        <v>31</v>
      </c>
      <c r="F38" s="36">
        <f>SUM(کاوه!F38+مطهری!F38+سرخس!F38+'لطف آباد'!F38+نیشابور!F38+ماهیرود!F38+دوغارون!F38+بجنورد!F38+بیرجند!F38+باجگیران!F38)</f>
        <v>9</v>
      </c>
      <c r="G38" s="36">
        <f>SUM(کاوه!G38+مطهری!G38+سرخس!G38+'لطف آباد'!G38+نیشابور!G38+ماهیرود!G38+دوغارون!G38+بجنورد!G38+بیرجند!G38+باجگیران!G38)</f>
        <v>40</v>
      </c>
      <c r="H38" s="36">
        <f>SUM(کاوه!H38+مطهری!H38+سرخس!H38+'لطف آباد'!H38+نیشابور!H38+ماهیرود!H38+دوغارون!H38+بجنورد!H38+بیرجند!H38+باجگیران!H38)</f>
        <v>0</v>
      </c>
      <c r="I38" s="36">
        <f>SUM(کاوه!I38+مطهری!I38+سرخس!I38+'لطف آباد'!I38+نیشابور!I38+ماهیرود!I38+دوغارون!I38+بجنورد!I38+بیرجند!I38+باجگیران!I38)</f>
        <v>31</v>
      </c>
      <c r="J38" s="36">
        <f>SUM(کاوه!J38+مطهری!J38+سرخس!J38+'لطف آباد'!J38+نیشابور!J38+ماهیرود!J38+دوغارون!J38+بجنورد!J38+بیرجند!J38+باجگیران!J38)</f>
        <v>15</v>
      </c>
      <c r="K38" s="36">
        <f>SUM(کاوه!K38+مطهری!K38+سرخس!K38+'لطف آباد'!K38+نیشابور!K38+ماهیرود!K38+دوغارون!K38+بجنورد!K38+بیرجند!K38+باجگیران!K38)</f>
        <v>45</v>
      </c>
      <c r="L38" s="36">
        <f>SUM(کاوه!L38+مطهری!L38+سرخس!L38+'لطف آباد'!L38+نیشابور!L38+ماهیرود!L38+دوغارون!L38+بجنورد!L38+بیرجند!L38+باجگیران!L38)</f>
        <v>0</v>
      </c>
      <c r="M38" s="36">
        <f>SUM(کاوه!M38+مطهری!M38+سرخس!M38+'لطف آباد'!M38+نیشابور!M38+ماهیرود!M38+دوغارون!M38+بجنورد!M38+بیرجند!M38+باجگیران!M38)</f>
        <v>30</v>
      </c>
      <c r="N38" s="36">
        <f>SUM(کاوه!N38+مطهری!N38+سرخس!N38+'لطف آباد'!N38+نیشابور!N38+ماهیرود!N38+دوغارون!N38+بجنورد!N38+بیرجند!N38+باجگیران!N38)</f>
        <v>9</v>
      </c>
      <c r="O38" s="36">
        <f>SUM(کاوه!O38+مطهری!O38+سرخس!O38+'لطف آباد'!O38+نیشابور!O38+ماهیرود!O38+دوغارون!O38+بجنورد!O38+بیرجند!O38+باجگیران!O38)</f>
        <v>39</v>
      </c>
      <c r="P38" s="40">
        <f t="shared" ref="P38:P39" si="10">O38*100/K38</f>
        <v>86.666666666666671</v>
      </c>
      <c r="Q38" s="42">
        <f t="shared" ref="Q38:Q39" si="11">O38*100/G38</f>
        <v>97.5</v>
      </c>
    </row>
    <row r="39" spans="2:17" ht="36" customHeight="1" thickBot="1" x14ac:dyDescent="0.65">
      <c r="B39" s="128" t="s">
        <v>30</v>
      </c>
      <c r="C39" s="129"/>
      <c r="D39" s="39"/>
      <c r="E39" s="39">
        <f>SUM(E37:E38)</f>
        <v>197</v>
      </c>
      <c r="F39" s="39">
        <f t="shared" ref="F39:O39" si="12">SUM(F37:F38)</f>
        <v>32</v>
      </c>
      <c r="G39" s="39">
        <f t="shared" si="12"/>
        <v>229</v>
      </c>
      <c r="H39" s="39">
        <f t="shared" si="12"/>
        <v>0</v>
      </c>
      <c r="I39" s="39">
        <f t="shared" si="12"/>
        <v>197</v>
      </c>
      <c r="J39" s="39">
        <f t="shared" si="12"/>
        <v>110</v>
      </c>
      <c r="K39" s="39">
        <v>307</v>
      </c>
      <c r="L39" s="39">
        <f t="shared" si="12"/>
        <v>0</v>
      </c>
      <c r="M39" s="39">
        <f t="shared" si="12"/>
        <v>193</v>
      </c>
      <c r="N39" s="39">
        <f t="shared" si="12"/>
        <v>49</v>
      </c>
      <c r="O39" s="39">
        <f t="shared" si="12"/>
        <v>242</v>
      </c>
      <c r="P39" s="40">
        <f t="shared" si="10"/>
        <v>78.827361563517911</v>
      </c>
      <c r="Q39" s="42">
        <f t="shared" si="11"/>
        <v>105.67685589519651</v>
      </c>
    </row>
    <row r="41" spans="2:17" s="21" customFormat="1" ht="21" x14ac:dyDescent="0.55000000000000004">
      <c r="B41" s="105"/>
      <c r="C41" s="105"/>
      <c r="D41" s="105"/>
      <c r="E41" s="105"/>
      <c r="F41" s="105"/>
      <c r="G41" s="105"/>
      <c r="H41" s="105"/>
    </row>
  </sheetData>
  <mergeCells count="81">
    <mergeCell ref="L35:O35"/>
    <mergeCell ref="B34:Q34"/>
    <mergeCell ref="J17:K17"/>
    <mergeCell ref="J18:K18"/>
    <mergeCell ref="J19:K19"/>
    <mergeCell ref="B35:C36"/>
    <mergeCell ref="D35:G35"/>
    <mergeCell ref="H35:K35"/>
    <mergeCell ref="B18:C18"/>
    <mergeCell ref="B19:C19"/>
    <mergeCell ref="D29:E29"/>
    <mergeCell ref="D30:E30"/>
    <mergeCell ref="D31:E31"/>
    <mergeCell ref="D22:E22"/>
    <mergeCell ref="D23:E23"/>
    <mergeCell ref="D24:E24"/>
    <mergeCell ref="J12:P12"/>
    <mergeCell ref="J13:K13"/>
    <mergeCell ref="J14:K14"/>
    <mergeCell ref="J15:K15"/>
    <mergeCell ref="J16:K16"/>
    <mergeCell ref="J4:J9"/>
    <mergeCell ref="K4:K5"/>
    <mergeCell ref="L4:N4"/>
    <mergeCell ref="P4:P5"/>
    <mergeCell ref="J3:P3"/>
    <mergeCell ref="B38:C38"/>
    <mergeCell ref="B39:C39"/>
    <mergeCell ref="B24:C24"/>
    <mergeCell ref="B25:C25"/>
    <mergeCell ref="B26:C26"/>
    <mergeCell ref="B27:C27"/>
    <mergeCell ref="B1:P1"/>
    <mergeCell ref="B41:H41"/>
    <mergeCell ref="B12:H12"/>
    <mergeCell ref="B13:C13"/>
    <mergeCell ref="B14:C14"/>
    <mergeCell ref="B15:C15"/>
    <mergeCell ref="B16:C16"/>
    <mergeCell ref="B17:C17"/>
    <mergeCell ref="B28:C28"/>
    <mergeCell ref="B29:C29"/>
    <mergeCell ref="B30:C30"/>
    <mergeCell ref="B31:C31"/>
    <mergeCell ref="B32:C32"/>
    <mergeCell ref="B22:C22"/>
    <mergeCell ref="B23:C23"/>
    <mergeCell ref="B37:C37"/>
    <mergeCell ref="B3:H3"/>
    <mergeCell ref="B4:B9"/>
    <mergeCell ref="C4:C5"/>
    <mergeCell ref="D4:F4"/>
    <mergeCell ref="H4:H5"/>
    <mergeCell ref="D25:E25"/>
    <mergeCell ref="D26:E26"/>
    <mergeCell ref="H23:I23"/>
    <mergeCell ref="H24:I24"/>
    <mergeCell ref="H25:I25"/>
    <mergeCell ref="F26:G26"/>
    <mergeCell ref="D27:E27"/>
    <mergeCell ref="D28:E28"/>
    <mergeCell ref="F28:G28"/>
    <mergeCell ref="F29:G29"/>
    <mergeCell ref="F30:G30"/>
    <mergeCell ref="F27:G27"/>
    <mergeCell ref="F31:G31"/>
    <mergeCell ref="F32:G32"/>
    <mergeCell ref="H31:I31"/>
    <mergeCell ref="H32:I32"/>
    <mergeCell ref="B21:K21"/>
    <mergeCell ref="H26:I26"/>
    <mergeCell ref="H27:I27"/>
    <mergeCell ref="H28:I28"/>
    <mergeCell ref="H29:I29"/>
    <mergeCell ref="H30:I30"/>
    <mergeCell ref="D32:E32"/>
    <mergeCell ref="F22:G22"/>
    <mergeCell ref="H22:I22"/>
    <mergeCell ref="F23:G23"/>
    <mergeCell ref="F24:G24"/>
    <mergeCell ref="F25:G25"/>
  </mergeCells>
  <printOptions horizontalCentered="1"/>
  <pageMargins left="0.39370078740157499" right="0.39370078740157499" top="0.25" bottom="0.25" header="6.4960630000000005E-2" footer="6.4960630000000005E-2"/>
  <pageSetup paperSize="9" scale="3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23EB1-1010-44F5-A0C7-DA4558FE2F53}">
  <dimension ref="B1:Q41"/>
  <sheetViews>
    <sheetView rightToLeft="1" topLeftCell="A22" zoomScale="70" zoomScaleNormal="70" workbookViewId="0">
      <selection activeCell="E39" sqref="E39:O39"/>
    </sheetView>
  </sheetViews>
  <sheetFormatPr defaultColWidth="9" defaultRowHeight="24" x14ac:dyDescent="0.6"/>
  <cols>
    <col min="1" max="1" width="8.140625" style="1" customWidth="1"/>
    <col min="2" max="16" width="16.5703125" style="1" customWidth="1"/>
    <col min="17" max="17" width="16.42578125" style="1" customWidth="1"/>
    <col min="18" max="18" width="2.42578125" style="1" customWidth="1"/>
    <col min="19" max="16384" width="9" style="1"/>
  </cols>
  <sheetData>
    <row r="1" spans="2:16" ht="42.75" x14ac:dyDescent="0.6">
      <c r="B1" s="104" t="s">
        <v>56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2:16" x14ac:dyDescent="0.6">
      <c r="B2" s="2"/>
      <c r="C2" s="2"/>
      <c r="D2" s="2"/>
      <c r="E2" s="2"/>
      <c r="F2" s="2"/>
      <c r="G2" s="2"/>
      <c r="H2" s="2"/>
    </row>
    <row r="3" spans="2:16" ht="34.5" thickBot="1" x14ac:dyDescent="0.65">
      <c r="B3" s="85" t="s">
        <v>0</v>
      </c>
      <c r="C3" s="85"/>
      <c r="D3" s="85"/>
      <c r="E3" s="85"/>
      <c r="F3" s="85"/>
      <c r="G3" s="85"/>
      <c r="H3" s="85"/>
      <c r="J3" s="85" t="s">
        <v>0</v>
      </c>
      <c r="K3" s="85"/>
      <c r="L3" s="85"/>
      <c r="M3" s="85"/>
      <c r="N3" s="85"/>
      <c r="O3" s="85"/>
      <c r="P3" s="85"/>
    </row>
    <row r="4" spans="2:16" ht="36" customHeight="1" x14ac:dyDescent="0.6">
      <c r="B4" s="94" t="s">
        <v>1</v>
      </c>
      <c r="C4" s="97" t="s">
        <v>31</v>
      </c>
      <c r="D4" s="99" t="s">
        <v>2</v>
      </c>
      <c r="E4" s="100"/>
      <c r="F4" s="101"/>
      <c r="G4" s="28" t="s">
        <v>3</v>
      </c>
      <c r="H4" s="102" t="s">
        <v>4</v>
      </c>
      <c r="J4" s="132" t="s">
        <v>10</v>
      </c>
      <c r="K4" s="97" t="s">
        <v>31</v>
      </c>
      <c r="L4" s="99" t="s">
        <v>2</v>
      </c>
      <c r="M4" s="100"/>
      <c r="N4" s="101"/>
      <c r="O4" s="28" t="s">
        <v>3</v>
      </c>
      <c r="P4" s="102" t="s">
        <v>4</v>
      </c>
    </row>
    <row r="5" spans="2:16" ht="36" customHeight="1" thickBot="1" x14ac:dyDescent="0.65">
      <c r="B5" s="95"/>
      <c r="C5" s="98"/>
      <c r="D5" s="29" t="s">
        <v>35</v>
      </c>
      <c r="E5" s="29" t="s">
        <v>33</v>
      </c>
      <c r="F5" s="29" t="s">
        <v>34</v>
      </c>
      <c r="G5" s="30" t="s">
        <v>5</v>
      </c>
      <c r="H5" s="103"/>
      <c r="J5" s="133"/>
      <c r="K5" s="98"/>
      <c r="L5" s="29" t="s">
        <v>35</v>
      </c>
      <c r="M5" s="29" t="s">
        <v>33</v>
      </c>
      <c r="N5" s="29" t="s">
        <v>34</v>
      </c>
      <c r="O5" s="30" t="s">
        <v>5</v>
      </c>
      <c r="P5" s="103"/>
    </row>
    <row r="6" spans="2:16" ht="36" customHeight="1" thickBot="1" x14ac:dyDescent="0.65">
      <c r="B6" s="95"/>
      <c r="C6" s="3" t="s">
        <v>6</v>
      </c>
      <c r="D6" s="4">
        <v>10454</v>
      </c>
      <c r="E6" s="45">
        <v>31858</v>
      </c>
      <c r="F6" s="5">
        <v>3728</v>
      </c>
      <c r="G6" s="6">
        <f>F6/E6*100</f>
        <v>11.701927302404419</v>
      </c>
      <c r="H6" s="18">
        <f>IFERROR((F6-D6)*100/D6,"")</f>
        <v>-64.339008991773483</v>
      </c>
      <c r="J6" s="133"/>
      <c r="K6" s="3" t="s">
        <v>6</v>
      </c>
      <c r="L6" s="5">
        <v>43</v>
      </c>
      <c r="M6" s="43">
        <v>138</v>
      </c>
      <c r="N6" s="5">
        <v>2</v>
      </c>
      <c r="O6" s="6">
        <f>N6/M6*100</f>
        <v>1.4492753623188406</v>
      </c>
      <c r="P6" s="18">
        <f>IFERROR((N6-L6)*100/L6,"")</f>
        <v>-95.348837209302332</v>
      </c>
    </row>
    <row r="7" spans="2:16" ht="36" customHeight="1" thickBot="1" x14ac:dyDescent="0.65">
      <c r="B7" s="95"/>
      <c r="C7" s="8" t="s">
        <v>7</v>
      </c>
      <c r="D7" s="9">
        <v>11125</v>
      </c>
      <c r="E7" s="45">
        <v>38497</v>
      </c>
      <c r="F7" s="9">
        <v>2891</v>
      </c>
      <c r="G7" s="6">
        <f t="shared" ref="G7:G8" si="0">F7/E7*100</f>
        <v>7.5096760786554793</v>
      </c>
      <c r="H7" s="18">
        <f t="shared" ref="H7:H8" si="1">IFERROR((F7-D7)*100/D7,"")</f>
        <v>-74.013483146067415</v>
      </c>
      <c r="J7" s="133"/>
      <c r="K7" s="8" t="s">
        <v>7</v>
      </c>
      <c r="L7" s="9">
        <v>19</v>
      </c>
      <c r="M7" s="44">
        <v>113</v>
      </c>
      <c r="N7" s="9">
        <v>1</v>
      </c>
      <c r="O7" s="6">
        <f t="shared" ref="O7:O8" si="2">N7/M7*100</f>
        <v>0.88495575221238942</v>
      </c>
      <c r="P7" s="18">
        <f t="shared" ref="P7:P8" si="3">IFERROR((N7-L7)*100/L7,"")</f>
        <v>-94.736842105263165</v>
      </c>
    </row>
    <row r="8" spans="2:16" ht="36" customHeight="1" thickBot="1" x14ac:dyDescent="0.65">
      <c r="B8" s="95"/>
      <c r="C8" s="11" t="s">
        <v>8</v>
      </c>
      <c r="D8" s="9">
        <v>3822</v>
      </c>
      <c r="E8" s="45">
        <v>9716</v>
      </c>
      <c r="F8" s="9">
        <v>40</v>
      </c>
      <c r="G8" s="6">
        <f t="shared" si="0"/>
        <v>0.41169205434335115</v>
      </c>
      <c r="H8" s="18">
        <f t="shared" si="1"/>
        <v>-98.953427524856096</v>
      </c>
      <c r="J8" s="133"/>
      <c r="K8" s="11" t="s">
        <v>8</v>
      </c>
      <c r="L8" s="9">
        <v>18</v>
      </c>
      <c r="M8" s="44">
        <v>26</v>
      </c>
      <c r="N8" s="9">
        <v>0</v>
      </c>
      <c r="O8" s="6">
        <f t="shared" si="2"/>
        <v>0</v>
      </c>
      <c r="P8" s="18">
        <f t="shared" si="3"/>
        <v>-100</v>
      </c>
    </row>
    <row r="9" spans="2:16" ht="36" customHeight="1" thickBot="1" x14ac:dyDescent="0.65">
      <c r="B9" s="96"/>
      <c r="C9" s="12" t="s">
        <v>9</v>
      </c>
      <c r="D9" s="13"/>
      <c r="E9" s="45"/>
      <c r="F9" s="13"/>
      <c r="G9" s="57"/>
      <c r="H9" s="14"/>
      <c r="J9" s="134"/>
      <c r="K9" s="12" t="s">
        <v>9</v>
      </c>
      <c r="L9" s="13">
        <v>0</v>
      </c>
      <c r="M9" s="46">
        <v>0</v>
      </c>
      <c r="N9" s="13">
        <v>0</v>
      </c>
      <c r="O9" s="57">
        <v>0</v>
      </c>
      <c r="P9" s="14"/>
    </row>
    <row r="10" spans="2:16" ht="16.5" customHeight="1" x14ac:dyDescent="0.6"/>
    <row r="12" spans="2:16" ht="34.5" thickBot="1" x14ac:dyDescent="0.65">
      <c r="B12" s="85" t="s">
        <v>45</v>
      </c>
      <c r="C12" s="85"/>
      <c r="D12" s="85"/>
      <c r="E12" s="85"/>
      <c r="F12" s="85"/>
      <c r="G12" s="85"/>
      <c r="H12" s="85"/>
      <c r="J12" s="85" t="s">
        <v>46</v>
      </c>
      <c r="K12" s="85"/>
      <c r="L12" s="85"/>
      <c r="M12" s="85"/>
      <c r="N12" s="85"/>
      <c r="O12" s="85"/>
      <c r="P12" s="85"/>
    </row>
    <row r="13" spans="2:16" ht="67.900000000000006" customHeight="1" thickBot="1" x14ac:dyDescent="0.65">
      <c r="B13" s="106" t="s">
        <v>40</v>
      </c>
      <c r="C13" s="107"/>
      <c r="D13" s="58" t="s">
        <v>35</v>
      </c>
      <c r="E13" s="58" t="s">
        <v>33</v>
      </c>
      <c r="F13" s="58" t="s">
        <v>34</v>
      </c>
      <c r="G13" s="58" t="s">
        <v>12</v>
      </c>
      <c r="H13" s="31" t="s">
        <v>13</v>
      </c>
      <c r="J13" s="106" t="s">
        <v>41</v>
      </c>
      <c r="K13" s="107"/>
      <c r="L13" s="74" t="s">
        <v>35</v>
      </c>
      <c r="M13" s="74" t="s">
        <v>33</v>
      </c>
      <c r="N13" s="74" t="s">
        <v>34</v>
      </c>
      <c r="O13" s="74" t="s">
        <v>12</v>
      </c>
      <c r="P13" s="74" t="s">
        <v>13</v>
      </c>
    </row>
    <row r="14" spans="2:16" ht="42.6" customHeight="1" x14ac:dyDescent="0.6">
      <c r="B14" s="108" t="s">
        <v>36</v>
      </c>
      <c r="C14" s="109"/>
      <c r="D14" s="22">
        <v>54657</v>
      </c>
      <c r="E14" s="47">
        <v>210259</v>
      </c>
      <c r="F14" s="22">
        <v>33548</v>
      </c>
      <c r="G14" s="64">
        <f>-IFERROR(F14*100/E14,"")</f>
        <v>-15.95555957176625</v>
      </c>
      <c r="H14" s="18">
        <f>IFERROR((F14-D14)*100/D14,"")</f>
        <v>-38.620853687542308</v>
      </c>
      <c r="J14" s="108" t="s">
        <v>36</v>
      </c>
      <c r="K14" s="109"/>
      <c r="L14" s="75">
        <v>62</v>
      </c>
      <c r="M14" s="76">
        <v>553</v>
      </c>
      <c r="N14" s="75">
        <v>227</v>
      </c>
      <c r="O14" s="77">
        <f>IFERROR(N14*100/M14,"")</f>
        <v>41.048824593128387</v>
      </c>
      <c r="P14" s="78">
        <f>IFERROR((N14-L14)*100/L14,"")</f>
        <v>266.12903225806451</v>
      </c>
    </row>
    <row r="15" spans="2:16" ht="42.6" customHeight="1" x14ac:dyDescent="0.6">
      <c r="B15" s="110" t="s">
        <v>37</v>
      </c>
      <c r="C15" s="111"/>
      <c r="D15" s="59">
        <v>40772</v>
      </c>
      <c r="E15" s="60">
        <v>138874</v>
      </c>
      <c r="F15" s="22">
        <v>14688</v>
      </c>
      <c r="G15" s="63">
        <f t="shared" ref="G15:G19" si="4">IFERROR(F15*100/E15,"")</f>
        <v>10.576493800135374</v>
      </c>
      <c r="H15" s="18">
        <f t="shared" ref="H15:H19" si="5">IFERROR((F15-D15)*100/D15,"")</f>
        <v>-63.975277150985974</v>
      </c>
      <c r="J15" s="110" t="s">
        <v>37</v>
      </c>
      <c r="K15" s="111"/>
      <c r="L15" s="72">
        <v>44</v>
      </c>
      <c r="M15" s="60">
        <v>191</v>
      </c>
      <c r="N15" s="79">
        <v>5</v>
      </c>
      <c r="O15" s="64">
        <f>IFERROR(N15*100/M15,"")</f>
        <v>2.6178010471204187</v>
      </c>
      <c r="P15" s="18">
        <f t="shared" ref="P15:P19" si="6">IFERROR((N15-L15)*100/L15,"")</f>
        <v>-88.63636363636364</v>
      </c>
    </row>
    <row r="16" spans="2:16" ht="42.6" customHeight="1" x14ac:dyDescent="0.6">
      <c r="B16" s="112" t="s">
        <v>8</v>
      </c>
      <c r="C16" s="113"/>
      <c r="D16" s="72">
        <v>26</v>
      </c>
      <c r="E16" s="60">
        <v>67</v>
      </c>
      <c r="F16" s="65">
        <v>26</v>
      </c>
      <c r="G16" s="63">
        <f t="shared" si="4"/>
        <v>38.805970149253731</v>
      </c>
      <c r="H16" s="18">
        <f t="shared" si="5"/>
        <v>0</v>
      </c>
      <c r="J16" s="112" t="s">
        <v>8</v>
      </c>
      <c r="K16" s="113"/>
      <c r="L16" s="59"/>
      <c r="M16" s="60"/>
      <c r="N16" s="59"/>
      <c r="O16" s="64"/>
      <c r="P16" s="18" t="str">
        <f t="shared" si="6"/>
        <v/>
      </c>
    </row>
    <row r="17" spans="2:16" ht="42.6" customHeight="1" x14ac:dyDescent="0.6">
      <c r="B17" s="114" t="s">
        <v>9</v>
      </c>
      <c r="C17" s="115"/>
      <c r="D17" s="59"/>
      <c r="E17" s="60"/>
      <c r="F17" s="22"/>
      <c r="G17" s="63" t="str">
        <f t="shared" si="4"/>
        <v/>
      </c>
      <c r="H17" s="18" t="str">
        <f t="shared" si="5"/>
        <v/>
      </c>
      <c r="J17" s="114" t="s">
        <v>9</v>
      </c>
      <c r="K17" s="115"/>
      <c r="L17" s="59"/>
      <c r="M17" s="60"/>
      <c r="N17" s="59"/>
      <c r="O17" s="63" t="str">
        <f>IFERROR(N17*100/M17,"")</f>
        <v/>
      </c>
      <c r="P17" s="18" t="str">
        <f t="shared" si="6"/>
        <v/>
      </c>
    </row>
    <row r="18" spans="2:16" ht="42.6" customHeight="1" x14ac:dyDescent="0.6">
      <c r="B18" s="136" t="s">
        <v>38</v>
      </c>
      <c r="C18" s="137"/>
      <c r="D18" s="72">
        <v>12286</v>
      </c>
      <c r="E18" s="60">
        <v>38822</v>
      </c>
      <c r="F18" s="65">
        <v>3602</v>
      </c>
      <c r="G18" s="64">
        <f>-IFERROR(F18*100/E18,"")</f>
        <v>-9.2782442944722057</v>
      </c>
      <c r="H18" s="18">
        <f t="shared" si="5"/>
        <v>-70.682077160996258</v>
      </c>
      <c r="J18" s="136" t="s">
        <v>38</v>
      </c>
      <c r="K18" s="137"/>
      <c r="L18" s="72">
        <v>12</v>
      </c>
      <c r="M18" s="60">
        <v>46</v>
      </c>
      <c r="N18" s="79">
        <v>7</v>
      </c>
      <c r="O18" s="64">
        <f>IFERROR(N18*100/M18,"")</f>
        <v>15.217391304347826</v>
      </c>
      <c r="P18" s="18">
        <f t="shared" si="6"/>
        <v>-41.666666666666664</v>
      </c>
    </row>
    <row r="19" spans="2:16" ht="42.6" customHeight="1" thickBot="1" x14ac:dyDescent="0.65">
      <c r="B19" s="138" t="s">
        <v>39</v>
      </c>
      <c r="C19" s="139"/>
      <c r="D19" s="73">
        <v>23994</v>
      </c>
      <c r="E19" s="61">
        <v>57455</v>
      </c>
      <c r="F19" s="66">
        <v>17962</v>
      </c>
      <c r="G19" s="69">
        <f t="shared" si="4"/>
        <v>31.262727351840571</v>
      </c>
      <c r="H19" s="20">
        <f t="shared" si="5"/>
        <v>-25.139618237892808</v>
      </c>
      <c r="J19" s="138" t="s">
        <v>39</v>
      </c>
      <c r="K19" s="139"/>
      <c r="L19" s="73">
        <v>71</v>
      </c>
      <c r="M19" s="61">
        <v>131</v>
      </c>
      <c r="N19" s="80">
        <v>24</v>
      </c>
      <c r="O19" s="70">
        <f>IFERROR(N19*100/M19,"")</f>
        <v>18.320610687022899</v>
      </c>
      <c r="P19" s="20">
        <f t="shared" si="6"/>
        <v>-66.197183098591552</v>
      </c>
    </row>
    <row r="21" spans="2:16" ht="34.5" thickBot="1" x14ac:dyDescent="0.65">
      <c r="B21" s="85" t="s">
        <v>11</v>
      </c>
      <c r="C21" s="85"/>
      <c r="D21" s="85"/>
      <c r="E21" s="85"/>
      <c r="F21" s="85"/>
      <c r="G21" s="85"/>
      <c r="H21" s="85"/>
      <c r="I21" s="85"/>
      <c r="J21" s="85"/>
      <c r="K21" s="85"/>
    </row>
    <row r="22" spans="2:16" ht="67.900000000000006" customHeight="1" x14ac:dyDescent="0.6">
      <c r="B22" s="106" t="s">
        <v>32</v>
      </c>
      <c r="C22" s="107"/>
      <c r="D22" s="107" t="s">
        <v>35</v>
      </c>
      <c r="E22" s="107"/>
      <c r="F22" s="87" t="s">
        <v>33</v>
      </c>
      <c r="G22" s="88"/>
      <c r="H22" s="87" t="s">
        <v>34</v>
      </c>
      <c r="I22" s="88"/>
      <c r="J22" s="56" t="s">
        <v>12</v>
      </c>
      <c r="K22" s="31" t="s">
        <v>13</v>
      </c>
    </row>
    <row r="23" spans="2:16" ht="42.6" customHeight="1" x14ac:dyDescent="0.6">
      <c r="B23" s="122" t="s">
        <v>14</v>
      </c>
      <c r="C23" s="123"/>
      <c r="D23" s="157">
        <v>107877</v>
      </c>
      <c r="E23" s="158"/>
      <c r="F23" s="153">
        <v>388812</v>
      </c>
      <c r="G23" s="154">
        <f>SUMIFS('[8]جدول فروش خدمات'!$U$25:$FT$25,'[8]جدول فروش خدمات'!$U$1:$FT$1,K21,'[8]جدول فروش خدمات'!$U$26:$FT$26,2)</f>
        <v>0</v>
      </c>
      <c r="H23" s="83">
        <v>52103</v>
      </c>
      <c r="I23" s="83">
        <f>SUMIFS('[8]جدول فروش خدمات'!$U$25:$FT$25,'[8]جدول فروش خدمات'!$U$1:$FT$1,L21,'[8]جدول فروش خدمات'!$U$26:$FT$26,3)</f>
        <v>0</v>
      </c>
      <c r="J23" s="25">
        <f>IFERROR(H23*100/F23,"")</f>
        <v>13.400563768607965</v>
      </c>
      <c r="K23" s="55">
        <f>IFERROR((H23-D23)*100/ABS(D23),"")</f>
        <v>-51.701474827813158</v>
      </c>
    </row>
    <row r="24" spans="2:16" ht="42.6" customHeight="1" x14ac:dyDescent="0.6">
      <c r="B24" s="130" t="s">
        <v>15</v>
      </c>
      <c r="C24" s="131"/>
      <c r="D24" s="147">
        <v>-122962</v>
      </c>
      <c r="E24" s="148"/>
      <c r="F24" s="149">
        <v>-176122</v>
      </c>
      <c r="G24" s="150">
        <v>-176122</v>
      </c>
      <c r="H24" s="86">
        <v>-262637</v>
      </c>
      <c r="I24" s="86">
        <v>-262637</v>
      </c>
      <c r="J24" s="59">
        <f t="shared" ref="J24:J32" si="7">IFERROR(H24*100/F24,"")</f>
        <v>149.12219938451756</v>
      </c>
      <c r="K24" s="55">
        <f t="shared" ref="K24:K32" si="8">IFERROR((H24-D24)*100/ABS(D24),"")</f>
        <v>-113.59200403376653</v>
      </c>
    </row>
    <row r="25" spans="2:16" ht="42.6" customHeight="1" x14ac:dyDescent="0.6">
      <c r="B25" s="118" t="s">
        <v>16</v>
      </c>
      <c r="C25" s="119"/>
      <c r="D25" s="155">
        <f>SUM(D23:D24)</f>
        <v>-15085</v>
      </c>
      <c r="E25" s="156"/>
      <c r="F25" s="153">
        <f>SUM(F23:F24)</f>
        <v>212690</v>
      </c>
      <c r="G25" s="154">
        <f>SUM(G23:G24)</f>
        <v>-176122</v>
      </c>
      <c r="H25" s="86">
        <f>SUM(H23:H24)</f>
        <v>-210534</v>
      </c>
      <c r="I25" s="86">
        <f>SUM(I23:I24)</f>
        <v>-262637</v>
      </c>
      <c r="J25" s="25">
        <f t="shared" si="7"/>
        <v>-98.986318115567258</v>
      </c>
      <c r="K25" s="55">
        <f t="shared" si="8"/>
        <v>-1295.6513092475971</v>
      </c>
    </row>
    <row r="26" spans="2:16" ht="42.6" customHeight="1" x14ac:dyDescent="0.6">
      <c r="B26" s="130" t="s">
        <v>17</v>
      </c>
      <c r="C26" s="131"/>
      <c r="D26" s="147">
        <v>-102673</v>
      </c>
      <c r="E26" s="148"/>
      <c r="F26" s="149">
        <v>-151121</v>
      </c>
      <c r="G26" s="150">
        <v>-151121</v>
      </c>
      <c r="H26" s="86">
        <v>-160157</v>
      </c>
      <c r="I26" s="86">
        <v>-160157</v>
      </c>
      <c r="J26" s="59">
        <f t="shared" si="7"/>
        <v>105.97931458897175</v>
      </c>
      <c r="K26" s="55">
        <f t="shared" si="8"/>
        <v>-55.987455319314719</v>
      </c>
    </row>
    <row r="27" spans="2:16" ht="42.6" customHeight="1" x14ac:dyDescent="0.6">
      <c r="B27" s="122" t="s">
        <v>18</v>
      </c>
      <c r="C27" s="123"/>
      <c r="D27" s="151">
        <f>1678+24065</f>
        <v>25743</v>
      </c>
      <c r="E27" s="152"/>
      <c r="F27" s="153">
        <v>66586</v>
      </c>
      <c r="G27" s="154">
        <v>66586</v>
      </c>
      <c r="H27" s="83">
        <f>600+17987</f>
        <v>18587</v>
      </c>
      <c r="I27" s="83">
        <f>600+17987</f>
        <v>18587</v>
      </c>
      <c r="J27" s="25">
        <f t="shared" si="7"/>
        <v>27.914276274291893</v>
      </c>
      <c r="K27" s="55">
        <f t="shared" si="8"/>
        <v>-27.797847958668378</v>
      </c>
    </row>
    <row r="28" spans="2:16" ht="42.6" customHeight="1" x14ac:dyDescent="0.6">
      <c r="B28" s="116" t="s">
        <v>19</v>
      </c>
      <c r="C28" s="117"/>
      <c r="D28" s="145"/>
      <c r="E28" s="146"/>
      <c r="F28" s="81"/>
      <c r="G28" s="81"/>
      <c r="H28" s="83"/>
      <c r="I28" s="83"/>
      <c r="J28" s="59" t="str">
        <f t="shared" si="7"/>
        <v/>
      </c>
      <c r="K28" s="54" t="str">
        <f t="shared" si="8"/>
        <v/>
      </c>
    </row>
    <row r="29" spans="2:16" ht="42.6" customHeight="1" x14ac:dyDescent="0.6">
      <c r="B29" s="118" t="s">
        <v>20</v>
      </c>
      <c r="C29" s="119"/>
      <c r="D29" s="86">
        <v>-92015</v>
      </c>
      <c r="E29" s="86"/>
      <c r="F29" s="81">
        <v>128155</v>
      </c>
      <c r="G29" s="81"/>
      <c r="H29" s="83">
        <v>-352104</v>
      </c>
      <c r="I29" s="83"/>
      <c r="J29" s="25">
        <f t="shared" si="7"/>
        <v>-274.74854668175254</v>
      </c>
      <c r="K29" s="55">
        <f t="shared" si="8"/>
        <v>-282.65934901918166</v>
      </c>
    </row>
    <row r="30" spans="2:16" ht="42.6" customHeight="1" x14ac:dyDescent="0.6">
      <c r="B30" s="120" t="s">
        <v>21</v>
      </c>
      <c r="C30" s="121"/>
      <c r="D30" s="83"/>
      <c r="E30" s="83"/>
      <c r="F30" s="81"/>
      <c r="G30" s="81"/>
      <c r="H30" s="83"/>
      <c r="I30" s="83"/>
      <c r="J30" s="59" t="str">
        <f t="shared" si="7"/>
        <v/>
      </c>
      <c r="K30" s="54" t="str">
        <f t="shared" si="8"/>
        <v/>
      </c>
    </row>
    <row r="31" spans="2:16" ht="42.6" customHeight="1" x14ac:dyDescent="0.6">
      <c r="B31" s="122" t="s">
        <v>22</v>
      </c>
      <c r="C31" s="123"/>
      <c r="D31" s="83">
        <v>1</v>
      </c>
      <c r="E31" s="83"/>
      <c r="F31" s="81">
        <v>2</v>
      </c>
      <c r="G31" s="81"/>
      <c r="H31" s="83"/>
      <c r="I31" s="83"/>
      <c r="J31" s="59">
        <f t="shared" si="7"/>
        <v>0</v>
      </c>
      <c r="K31" s="55">
        <f t="shared" si="8"/>
        <v>-100</v>
      </c>
    </row>
    <row r="32" spans="2:16" ht="42.6" customHeight="1" thickBot="1" x14ac:dyDescent="0.65">
      <c r="B32" s="124" t="s">
        <v>23</v>
      </c>
      <c r="C32" s="125"/>
      <c r="D32" s="144">
        <v>-92014</v>
      </c>
      <c r="E32" s="144"/>
      <c r="F32" s="82">
        <v>128157</v>
      </c>
      <c r="G32" s="82"/>
      <c r="H32" s="84">
        <v>-333517</v>
      </c>
      <c r="I32" s="84"/>
      <c r="J32" s="25">
        <f t="shared" si="7"/>
        <v>-260.24095445430214</v>
      </c>
      <c r="K32" s="55">
        <f t="shared" si="8"/>
        <v>-262.46332079900884</v>
      </c>
    </row>
    <row r="33" spans="2:17" ht="27.6" customHeight="1" x14ac:dyDescent="0.6"/>
    <row r="34" spans="2:17" ht="34.5" thickBot="1" x14ac:dyDescent="0.65">
      <c r="B34" s="85" t="s">
        <v>24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</row>
    <row r="35" spans="2:17" ht="52.5" customHeight="1" x14ac:dyDescent="0.6">
      <c r="B35" s="140" t="s">
        <v>25</v>
      </c>
      <c r="C35" s="141"/>
      <c r="D35" s="87" t="s">
        <v>35</v>
      </c>
      <c r="E35" s="135"/>
      <c r="F35" s="135"/>
      <c r="G35" s="88"/>
      <c r="H35" s="87" t="s">
        <v>33</v>
      </c>
      <c r="I35" s="135"/>
      <c r="J35" s="135"/>
      <c r="K35" s="88"/>
      <c r="L35" s="87" t="s">
        <v>34</v>
      </c>
      <c r="M35" s="135"/>
      <c r="N35" s="135"/>
      <c r="O35" s="88"/>
      <c r="P35" s="56" t="s">
        <v>26</v>
      </c>
      <c r="Q35" s="31" t="s">
        <v>27</v>
      </c>
    </row>
    <row r="36" spans="2:17" ht="52.5" customHeight="1" x14ac:dyDescent="0.6">
      <c r="B36" s="142"/>
      <c r="C36" s="143"/>
      <c r="D36" s="35" t="s">
        <v>42</v>
      </c>
      <c r="E36" s="35" t="s">
        <v>43</v>
      </c>
      <c r="F36" s="35" t="s">
        <v>44</v>
      </c>
      <c r="G36" s="35" t="s">
        <v>30</v>
      </c>
      <c r="H36" s="35" t="s">
        <v>42</v>
      </c>
      <c r="I36" s="35" t="s">
        <v>43</v>
      </c>
      <c r="J36" s="35" t="s">
        <v>44</v>
      </c>
      <c r="K36" s="35" t="s">
        <v>30</v>
      </c>
      <c r="L36" s="35" t="s">
        <v>42</v>
      </c>
      <c r="M36" s="35" t="s">
        <v>43</v>
      </c>
      <c r="N36" s="35" t="s">
        <v>44</v>
      </c>
      <c r="O36" s="35" t="s">
        <v>30</v>
      </c>
      <c r="P36" s="35" t="s">
        <v>30</v>
      </c>
      <c r="Q36" s="38" t="s">
        <v>30</v>
      </c>
    </row>
    <row r="37" spans="2:17" ht="36" customHeight="1" x14ac:dyDescent="0.6">
      <c r="B37" s="126" t="s">
        <v>28</v>
      </c>
      <c r="C37" s="127"/>
      <c r="D37" s="36"/>
      <c r="E37" s="36">
        <v>21</v>
      </c>
      <c r="F37" s="36">
        <v>1</v>
      </c>
      <c r="G37" s="40">
        <f>SUM(E37:F37)</f>
        <v>22</v>
      </c>
      <c r="H37" s="37"/>
      <c r="I37" s="36">
        <v>21</v>
      </c>
      <c r="J37" s="36">
        <v>7</v>
      </c>
      <c r="K37" s="40">
        <f>SUM(I37:J37)</f>
        <v>28</v>
      </c>
      <c r="L37" s="37"/>
      <c r="M37" s="37">
        <v>22</v>
      </c>
      <c r="N37" s="36">
        <v>1</v>
      </c>
      <c r="O37" s="40">
        <f>SUM(M37:N37)</f>
        <v>23</v>
      </c>
      <c r="P37" s="40">
        <f>O37*100/K37</f>
        <v>82.142857142857139</v>
      </c>
      <c r="Q37" s="42">
        <f>O37*100/G37</f>
        <v>104.54545454545455</v>
      </c>
    </row>
    <row r="38" spans="2:17" ht="36" customHeight="1" x14ac:dyDescent="0.6">
      <c r="B38" s="126" t="s">
        <v>29</v>
      </c>
      <c r="C38" s="127"/>
      <c r="D38" s="36"/>
      <c r="E38" s="36">
        <v>20</v>
      </c>
      <c r="F38" s="36">
        <v>5</v>
      </c>
      <c r="G38" s="40">
        <f>SUM(E38:F38)</f>
        <v>25</v>
      </c>
      <c r="H38" s="37"/>
      <c r="I38" s="36">
        <v>20</v>
      </c>
      <c r="J38" s="36">
        <v>7</v>
      </c>
      <c r="K38" s="40">
        <f>SUM(I38:J38)</f>
        <v>27</v>
      </c>
      <c r="L38" s="37"/>
      <c r="M38" s="37">
        <v>18</v>
      </c>
      <c r="N38" s="36">
        <v>6</v>
      </c>
      <c r="O38" s="40">
        <f>SUM(M38:N38)</f>
        <v>24</v>
      </c>
      <c r="P38" s="40">
        <f t="shared" ref="P38:P39" si="9">O38*100/K38</f>
        <v>88.888888888888886</v>
      </c>
      <c r="Q38" s="42">
        <f t="shared" ref="Q38:Q39" si="10">O38*100/G38</f>
        <v>96</v>
      </c>
    </row>
    <row r="39" spans="2:17" ht="36" customHeight="1" thickBot="1" x14ac:dyDescent="0.65">
      <c r="B39" s="128" t="s">
        <v>30</v>
      </c>
      <c r="C39" s="129"/>
      <c r="D39" s="39"/>
      <c r="E39" s="39">
        <f>SUM(E37:E38)</f>
        <v>41</v>
      </c>
      <c r="F39" s="39">
        <f>SUM(F37:F38)</f>
        <v>6</v>
      </c>
      <c r="G39" s="39">
        <f t="shared" ref="G39:O39" si="11">SUM(G37:G38)</f>
        <v>47</v>
      </c>
      <c r="H39" s="39">
        <f t="shared" si="11"/>
        <v>0</v>
      </c>
      <c r="I39" s="39">
        <f t="shared" si="11"/>
        <v>41</v>
      </c>
      <c r="J39" s="39">
        <f t="shared" si="11"/>
        <v>14</v>
      </c>
      <c r="K39" s="39">
        <f t="shared" si="11"/>
        <v>55</v>
      </c>
      <c r="L39" s="39">
        <f t="shared" si="11"/>
        <v>0</v>
      </c>
      <c r="M39" s="39">
        <f t="shared" si="11"/>
        <v>40</v>
      </c>
      <c r="N39" s="39">
        <f t="shared" si="11"/>
        <v>7</v>
      </c>
      <c r="O39" s="39">
        <f t="shared" si="11"/>
        <v>47</v>
      </c>
      <c r="P39" s="40">
        <f t="shared" si="9"/>
        <v>85.454545454545453</v>
      </c>
      <c r="Q39" s="42">
        <f t="shared" si="10"/>
        <v>100</v>
      </c>
    </row>
    <row r="41" spans="2:17" s="21" customFormat="1" ht="21" x14ac:dyDescent="0.55000000000000004">
      <c r="B41" s="105"/>
      <c r="C41" s="105"/>
      <c r="D41" s="105"/>
      <c r="E41" s="105"/>
      <c r="F41" s="105"/>
      <c r="G41" s="105"/>
      <c r="H41" s="105"/>
    </row>
  </sheetData>
  <mergeCells count="81">
    <mergeCell ref="B12:H12"/>
    <mergeCell ref="J12:P12"/>
    <mergeCell ref="B13:C13"/>
    <mergeCell ref="B1:P1"/>
    <mergeCell ref="B3:H3"/>
    <mergeCell ref="J3:P3"/>
    <mergeCell ref="B4:B9"/>
    <mergeCell ref="C4:C5"/>
    <mergeCell ref="D4:F4"/>
    <mergeCell ref="H4:H5"/>
    <mergeCell ref="J4:J9"/>
    <mergeCell ref="K4:K5"/>
    <mergeCell ref="L4:N4"/>
    <mergeCell ref="P4:P5"/>
    <mergeCell ref="B15:C15"/>
    <mergeCell ref="B18:C18"/>
    <mergeCell ref="J13:K13"/>
    <mergeCell ref="J15:K15"/>
    <mergeCell ref="B16:C16"/>
    <mergeCell ref="J16:K16"/>
    <mergeCell ref="B17:C17"/>
    <mergeCell ref="J17:K17"/>
    <mergeCell ref="B14:C14"/>
    <mergeCell ref="J14:K14"/>
    <mergeCell ref="J18:K18"/>
    <mergeCell ref="B19:C19"/>
    <mergeCell ref="J19:K19"/>
    <mergeCell ref="B21:K21"/>
    <mergeCell ref="B23:C23"/>
    <mergeCell ref="D23:E23"/>
    <mergeCell ref="F23:G23"/>
    <mergeCell ref="H23:I23"/>
    <mergeCell ref="B22:C22"/>
    <mergeCell ref="D22:E22"/>
    <mergeCell ref="F22:G22"/>
    <mergeCell ref="H22:I22"/>
    <mergeCell ref="B24:C24"/>
    <mergeCell ref="D24:E24"/>
    <mergeCell ref="F24:G24"/>
    <mergeCell ref="H24:I24"/>
    <mergeCell ref="B25:C25"/>
    <mergeCell ref="D25:E25"/>
    <mergeCell ref="F25:G25"/>
    <mergeCell ref="H25:I25"/>
    <mergeCell ref="B26:C26"/>
    <mergeCell ref="D26:E26"/>
    <mergeCell ref="F26:G26"/>
    <mergeCell ref="H26:I26"/>
    <mergeCell ref="B27:C27"/>
    <mergeCell ref="D27:E27"/>
    <mergeCell ref="F27:G27"/>
    <mergeCell ref="H27:I27"/>
    <mergeCell ref="B28:C28"/>
    <mergeCell ref="D28:E28"/>
    <mergeCell ref="F28:G28"/>
    <mergeCell ref="H28:I28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8:C38"/>
    <mergeCell ref="B39:C39"/>
    <mergeCell ref="B41:H41"/>
    <mergeCell ref="B34:Q34"/>
    <mergeCell ref="B35:C36"/>
    <mergeCell ref="D35:G35"/>
    <mergeCell ref="H35:K35"/>
    <mergeCell ref="L35:O35"/>
    <mergeCell ref="B37:C37"/>
  </mergeCells>
  <conditionalFormatting sqref="D16 F16">
    <cfRule type="cellIs" dxfId="7" priority="14" operator="equal">
      <formula>0</formula>
    </cfRule>
  </conditionalFormatting>
  <conditionalFormatting sqref="D18:D19 F18:F19">
    <cfRule type="cellIs" dxfId="6" priority="12" operator="equal">
      <formula>0</formula>
    </cfRule>
  </conditionalFormatting>
  <conditionalFormatting sqref="D23:D28">
    <cfRule type="cellIs" dxfId="5" priority="1" operator="equal">
      <formula>0</formula>
    </cfRule>
    <cfRule type="cellIs" dxfId="4" priority="2" operator="lessThan">
      <formula>0</formula>
    </cfRule>
  </conditionalFormatting>
  <conditionalFormatting sqref="L15 N15">
    <cfRule type="cellIs" dxfId="3" priority="11" operator="equal">
      <formula>0</formula>
    </cfRule>
  </conditionalFormatting>
  <conditionalFormatting sqref="L18:L19 N18:N19">
    <cfRule type="cellIs" dxfId="2" priority="9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71EC5-0952-4EEE-8422-6596ED901174}">
  <dimension ref="B1:Q41"/>
  <sheetViews>
    <sheetView rightToLeft="1" topLeftCell="A24" zoomScale="70" zoomScaleNormal="70" workbookViewId="0">
      <selection activeCell="P37" sqref="P37:Q39"/>
    </sheetView>
  </sheetViews>
  <sheetFormatPr defaultColWidth="9" defaultRowHeight="24" x14ac:dyDescent="0.6"/>
  <cols>
    <col min="1" max="1" width="8.140625" style="1" customWidth="1"/>
    <col min="2" max="16" width="16.5703125" style="1" customWidth="1"/>
    <col min="17" max="17" width="16.42578125" style="1" customWidth="1"/>
    <col min="18" max="18" width="2.42578125" style="1" customWidth="1"/>
    <col min="19" max="16384" width="9" style="1"/>
  </cols>
  <sheetData>
    <row r="1" spans="2:16" ht="42.75" x14ac:dyDescent="0.6">
      <c r="B1" s="104" t="s">
        <v>55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2:16" x14ac:dyDescent="0.6">
      <c r="B2" s="2"/>
      <c r="C2" s="2"/>
      <c r="D2" s="2"/>
      <c r="E2" s="2"/>
      <c r="F2" s="2"/>
      <c r="G2" s="2"/>
      <c r="H2" s="2"/>
    </row>
    <row r="3" spans="2:16" ht="34.5" thickBot="1" x14ac:dyDescent="0.65">
      <c r="B3" s="85" t="s">
        <v>0</v>
      </c>
      <c r="C3" s="85"/>
      <c r="D3" s="85"/>
      <c r="E3" s="85"/>
      <c r="F3" s="85"/>
      <c r="G3" s="85"/>
      <c r="H3" s="85"/>
      <c r="J3" s="85" t="s">
        <v>0</v>
      </c>
      <c r="K3" s="85"/>
      <c r="L3" s="85"/>
      <c r="M3" s="85"/>
      <c r="N3" s="85"/>
      <c r="O3" s="85"/>
      <c r="P3" s="85"/>
    </row>
    <row r="4" spans="2:16" ht="36" customHeight="1" x14ac:dyDescent="0.6">
      <c r="B4" s="94" t="s">
        <v>1</v>
      </c>
      <c r="C4" s="97" t="s">
        <v>31</v>
      </c>
      <c r="D4" s="99" t="s">
        <v>2</v>
      </c>
      <c r="E4" s="100"/>
      <c r="F4" s="101"/>
      <c r="G4" s="28" t="s">
        <v>3</v>
      </c>
      <c r="H4" s="102" t="s">
        <v>4</v>
      </c>
      <c r="J4" s="132" t="s">
        <v>10</v>
      </c>
      <c r="K4" s="97" t="s">
        <v>31</v>
      </c>
      <c r="L4" s="99" t="s">
        <v>2</v>
      </c>
      <c r="M4" s="100"/>
      <c r="N4" s="101"/>
      <c r="O4" s="28" t="s">
        <v>3</v>
      </c>
      <c r="P4" s="102" t="s">
        <v>4</v>
      </c>
    </row>
    <row r="5" spans="2:16" ht="36" customHeight="1" thickBot="1" x14ac:dyDescent="0.65">
      <c r="B5" s="95"/>
      <c r="C5" s="98"/>
      <c r="D5" s="29" t="s">
        <v>35</v>
      </c>
      <c r="E5" s="29" t="s">
        <v>33</v>
      </c>
      <c r="F5" s="29" t="s">
        <v>34</v>
      </c>
      <c r="G5" s="30" t="s">
        <v>5</v>
      </c>
      <c r="H5" s="103"/>
      <c r="J5" s="133"/>
      <c r="K5" s="98"/>
      <c r="L5" s="29" t="s">
        <v>35</v>
      </c>
      <c r="M5" s="29" t="s">
        <v>33</v>
      </c>
      <c r="N5" s="29" t="s">
        <v>34</v>
      </c>
      <c r="O5" s="30" t="s">
        <v>5</v>
      </c>
      <c r="P5" s="103"/>
    </row>
    <row r="6" spans="2:16" ht="36" customHeight="1" x14ac:dyDescent="0.6">
      <c r="B6" s="95"/>
      <c r="C6" s="3" t="s">
        <v>6</v>
      </c>
      <c r="D6" s="4">
        <v>11312</v>
      </c>
      <c r="E6" s="43">
        <v>15241</v>
      </c>
      <c r="F6" s="5">
        <v>8102</v>
      </c>
      <c r="G6" s="6">
        <f>F6/E6*100</f>
        <v>53.159241519585329</v>
      </c>
      <c r="H6" s="7"/>
      <c r="J6" s="133"/>
      <c r="K6" s="3" t="s">
        <v>6</v>
      </c>
      <c r="L6" s="5">
        <v>16869</v>
      </c>
      <c r="M6" s="43">
        <v>28802</v>
      </c>
      <c r="N6" s="5">
        <v>30635</v>
      </c>
      <c r="O6" s="6">
        <f>N6/M6*100</f>
        <v>106.36414137907092</v>
      </c>
      <c r="P6" s="7"/>
    </row>
    <row r="7" spans="2:16" ht="36" customHeight="1" x14ac:dyDescent="0.6">
      <c r="B7" s="95"/>
      <c r="C7" s="8" t="s">
        <v>7</v>
      </c>
      <c r="D7" s="9">
        <v>9899</v>
      </c>
      <c r="E7" s="44">
        <v>16320</v>
      </c>
      <c r="F7" s="9">
        <v>6309</v>
      </c>
      <c r="G7" s="6">
        <f t="shared" ref="G7" si="0">F7/E7*100</f>
        <v>38.658088235294116</v>
      </c>
      <c r="H7" s="10"/>
      <c r="J7" s="133"/>
      <c r="K7" s="8" t="s">
        <v>7</v>
      </c>
      <c r="L7" s="9">
        <v>17690</v>
      </c>
      <c r="M7" s="44">
        <v>30771</v>
      </c>
      <c r="N7" s="9">
        <v>29701</v>
      </c>
      <c r="O7" s="6">
        <f t="shared" ref="O7:O9" si="1">N7/M7*100</f>
        <v>96.522699944753171</v>
      </c>
      <c r="P7" s="10"/>
    </row>
    <row r="8" spans="2:16" ht="36" customHeight="1" x14ac:dyDescent="0.6">
      <c r="B8" s="95"/>
      <c r="C8" s="11" t="s">
        <v>8</v>
      </c>
      <c r="D8" s="9"/>
      <c r="E8" s="44"/>
      <c r="F8" s="9">
        <v>493</v>
      </c>
      <c r="G8" s="6"/>
      <c r="H8" s="10"/>
      <c r="J8" s="133"/>
      <c r="K8" s="11" t="s">
        <v>8</v>
      </c>
      <c r="L8" s="9">
        <v>0</v>
      </c>
      <c r="M8" s="44">
        <v>0</v>
      </c>
      <c r="N8" s="9">
        <v>0</v>
      </c>
      <c r="O8" s="6">
        <v>0</v>
      </c>
      <c r="P8" s="10"/>
    </row>
    <row r="9" spans="2:16" ht="36" customHeight="1" thickBot="1" x14ac:dyDescent="0.65">
      <c r="B9" s="96"/>
      <c r="C9" s="12" t="s">
        <v>9</v>
      </c>
      <c r="D9" s="13"/>
      <c r="E9" s="45"/>
      <c r="F9" s="13">
        <v>2207</v>
      </c>
      <c r="G9" s="57"/>
      <c r="H9" s="14"/>
      <c r="J9" s="134"/>
      <c r="K9" s="12" t="s">
        <v>9</v>
      </c>
      <c r="L9" s="13">
        <v>351651</v>
      </c>
      <c r="M9" s="46">
        <v>481483</v>
      </c>
      <c r="N9" s="13">
        <v>433194</v>
      </c>
      <c r="O9" s="57">
        <f t="shared" si="1"/>
        <v>89.970777784470073</v>
      </c>
      <c r="P9" s="14"/>
    </row>
    <row r="10" spans="2:16" ht="16.5" customHeight="1" x14ac:dyDescent="0.6"/>
    <row r="12" spans="2:16" ht="34.5" thickBot="1" x14ac:dyDescent="0.65">
      <c r="B12" s="85" t="s">
        <v>45</v>
      </c>
      <c r="C12" s="85"/>
      <c r="D12" s="85"/>
      <c r="E12" s="85"/>
      <c r="F12" s="85"/>
      <c r="G12" s="85"/>
      <c r="H12" s="85"/>
      <c r="J12" s="85" t="s">
        <v>46</v>
      </c>
      <c r="K12" s="85"/>
      <c r="L12" s="85"/>
      <c r="M12" s="85"/>
      <c r="N12" s="85"/>
      <c r="O12" s="85"/>
      <c r="P12" s="85"/>
    </row>
    <row r="13" spans="2:16" ht="67.900000000000006" customHeight="1" x14ac:dyDescent="0.6">
      <c r="B13" s="106" t="s">
        <v>40</v>
      </c>
      <c r="C13" s="107"/>
      <c r="D13" s="58" t="s">
        <v>35</v>
      </c>
      <c r="E13" s="58" t="s">
        <v>33</v>
      </c>
      <c r="F13" s="58" t="s">
        <v>34</v>
      </c>
      <c r="G13" s="58" t="s">
        <v>12</v>
      </c>
      <c r="H13" s="31" t="s">
        <v>13</v>
      </c>
      <c r="J13" s="106" t="s">
        <v>41</v>
      </c>
      <c r="K13" s="107"/>
      <c r="L13" s="58" t="s">
        <v>35</v>
      </c>
      <c r="M13" s="58" t="s">
        <v>33</v>
      </c>
      <c r="N13" s="58" t="s">
        <v>34</v>
      </c>
      <c r="O13" s="58" t="s">
        <v>12</v>
      </c>
      <c r="P13" s="31" t="s">
        <v>13</v>
      </c>
    </row>
    <row r="14" spans="2:16" ht="42.6" customHeight="1" x14ac:dyDescent="0.6">
      <c r="B14" s="136" t="s">
        <v>36</v>
      </c>
      <c r="C14" s="137"/>
      <c r="D14" s="59">
        <v>31072</v>
      </c>
      <c r="E14" s="60">
        <v>58398</v>
      </c>
      <c r="F14" s="59">
        <v>39017</v>
      </c>
      <c r="G14" s="64">
        <f>-IFERROR(F14*100/E14,"")</f>
        <v>-66.812219596561519</v>
      </c>
      <c r="H14" s="18">
        <f>IFERROR((F14-D14)*100/D14,"")</f>
        <v>25.569644696189496</v>
      </c>
      <c r="J14" s="136" t="s">
        <v>36</v>
      </c>
      <c r="K14" s="137"/>
      <c r="L14" s="59">
        <v>16279</v>
      </c>
      <c r="M14" s="60">
        <v>35062</v>
      </c>
      <c r="N14" s="59">
        <v>28471</v>
      </c>
      <c r="O14" s="64">
        <f>IFERROR(N14*100/M14,"")</f>
        <v>81.201870971422053</v>
      </c>
      <c r="P14" s="18">
        <f>IFERROR((N14-L14)*100/L14,"")</f>
        <v>74.894035260151114</v>
      </c>
    </row>
    <row r="15" spans="2:16" ht="42.6" customHeight="1" x14ac:dyDescent="0.6">
      <c r="B15" s="114" t="s">
        <v>37</v>
      </c>
      <c r="C15" s="115"/>
      <c r="D15" s="72">
        <v>9720</v>
      </c>
      <c r="E15" s="60">
        <v>16351</v>
      </c>
      <c r="F15" s="79">
        <v>25516</v>
      </c>
      <c r="G15" s="63">
        <f t="shared" ref="G15:G19" si="2">IFERROR(F15*100/E15,"")</f>
        <v>156.05161763806495</v>
      </c>
      <c r="H15" s="18">
        <f t="shared" ref="H15:H19" si="3">IFERROR((F15-D15)*100/D15,"")</f>
        <v>162.51028806584361</v>
      </c>
      <c r="J15" s="114" t="s">
        <v>37</v>
      </c>
      <c r="K15" s="115"/>
      <c r="L15" s="59">
        <v>22687</v>
      </c>
      <c r="M15" s="60">
        <v>45920</v>
      </c>
      <c r="N15" s="59">
        <v>18524</v>
      </c>
      <c r="O15" s="64">
        <f>IFERROR(N15*100/M15,"")</f>
        <v>40.339721254355403</v>
      </c>
      <c r="P15" s="18">
        <f t="shared" ref="P15:P19" si="4">IFERROR((N15-L15)*100/L15,"")</f>
        <v>-18.349715696213689</v>
      </c>
    </row>
    <row r="16" spans="2:16" ht="42.6" customHeight="1" x14ac:dyDescent="0.6">
      <c r="B16" s="112" t="s">
        <v>8</v>
      </c>
      <c r="C16" s="113"/>
      <c r="D16" s="59"/>
      <c r="E16" s="60"/>
      <c r="F16" s="79">
        <v>292</v>
      </c>
      <c r="G16" s="63" t="str">
        <f t="shared" si="2"/>
        <v/>
      </c>
      <c r="H16" s="18" t="str">
        <f t="shared" si="3"/>
        <v/>
      </c>
      <c r="J16" s="112" t="s">
        <v>8</v>
      </c>
      <c r="K16" s="113"/>
      <c r="L16" s="59"/>
      <c r="M16" s="60"/>
      <c r="N16" s="59"/>
      <c r="O16" s="64"/>
      <c r="P16" s="18" t="str">
        <f t="shared" si="4"/>
        <v/>
      </c>
    </row>
    <row r="17" spans="2:16" ht="42.6" customHeight="1" x14ac:dyDescent="0.6">
      <c r="B17" s="114" t="s">
        <v>9</v>
      </c>
      <c r="C17" s="115"/>
      <c r="D17" s="59"/>
      <c r="E17" s="60"/>
      <c r="F17" s="79">
        <v>1557</v>
      </c>
      <c r="G17" s="63" t="str">
        <f t="shared" si="2"/>
        <v/>
      </c>
      <c r="H17" s="18" t="str">
        <f t="shared" si="3"/>
        <v/>
      </c>
      <c r="J17" s="114" t="s">
        <v>9</v>
      </c>
      <c r="K17" s="115"/>
      <c r="L17" s="59">
        <v>4847</v>
      </c>
      <c r="M17" s="60">
        <v>8269</v>
      </c>
      <c r="N17" s="59">
        <v>931556</v>
      </c>
      <c r="O17" s="63">
        <f>IFERROR(N17*100/M17,"")</f>
        <v>11265.642762123594</v>
      </c>
      <c r="P17" s="18">
        <f t="shared" si="4"/>
        <v>19119.228388694039</v>
      </c>
    </row>
    <row r="18" spans="2:16" ht="42.6" customHeight="1" x14ac:dyDescent="0.6">
      <c r="B18" s="136" t="s">
        <v>38</v>
      </c>
      <c r="C18" s="137"/>
      <c r="D18" s="72">
        <v>2818</v>
      </c>
      <c r="E18" s="60">
        <v>3883</v>
      </c>
      <c r="F18" s="79">
        <v>1448</v>
      </c>
      <c r="G18" s="64">
        <f>-IFERROR(F18*100/E18,"")</f>
        <v>-37.290754571207827</v>
      </c>
      <c r="H18" s="18">
        <f t="shared" si="3"/>
        <v>-48.616039744499645</v>
      </c>
      <c r="J18" s="136" t="s">
        <v>38</v>
      </c>
      <c r="K18" s="137"/>
      <c r="L18" s="59">
        <v>10009</v>
      </c>
      <c r="M18" s="60">
        <v>22293</v>
      </c>
      <c r="N18" s="59">
        <v>9912</v>
      </c>
      <c r="O18" s="64">
        <f>IFERROR(N18*100/M18,"")</f>
        <v>44.462387296460776</v>
      </c>
      <c r="P18" s="18">
        <f t="shared" si="4"/>
        <v>-0.96912778499350583</v>
      </c>
    </row>
    <row r="19" spans="2:16" ht="42.6" customHeight="1" thickBot="1" x14ac:dyDescent="0.65">
      <c r="B19" s="138" t="s">
        <v>39</v>
      </c>
      <c r="C19" s="139"/>
      <c r="D19" s="73">
        <v>2402</v>
      </c>
      <c r="E19" s="61">
        <v>4269</v>
      </c>
      <c r="F19" s="80">
        <v>6902</v>
      </c>
      <c r="G19" s="69">
        <f t="shared" si="2"/>
        <v>161.67720777699697</v>
      </c>
      <c r="H19" s="20">
        <f t="shared" si="3"/>
        <v>187.34388009991673</v>
      </c>
      <c r="J19" s="138" t="s">
        <v>39</v>
      </c>
      <c r="K19" s="139"/>
      <c r="L19" s="62">
        <v>687</v>
      </c>
      <c r="M19" s="61">
        <v>1458</v>
      </c>
      <c r="N19" s="62">
        <v>2180</v>
      </c>
      <c r="O19" s="69">
        <f>IFERROR(N19*100/M19,"")</f>
        <v>149.519890260631</v>
      </c>
      <c r="P19" s="20">
        <f t="shared" si="4"/>
        <v>217.32168850072779</v>
      </c>
    </row>
    <row r="21" spans="2:16" ht="34.5" thickBot="1" x14ac:dyDescent="0.65">
      <c r="B21" s="85" t="s">
        <v>11</v>
      </c>
      <c r="C21" s="85"/>
      <c r="D21" s="85"/>
      <c r="E21" s="85"/>
      <c r="F21" s="85"/>
      <c r="G21" s="85"/>
      <c r="H21" s="85"/>
      <c r="I21" s="85"/>
      <c r="J21" s="85"/>
      <c r="K21" s="85"/>
    </row>
    <row r="22" spans="2:16" ht="67.900000000000006" customHeight="1" x14ac:dyDescent="0.6">
      <c r="B22" s="106" t="s">
        <v>32</v>
      </c>
      <c r="C22" s="107"/>
      <c r="D22" s="107" t="s">
        <v>35</v>
      </c>
      <c r="E22" s="107"/>
      <c r="F22" s="87" t="s">
        <v>33</v>
      </c>
      <c r="G22" s="88"/>
      <c r="H22" s="87" t="s">
        <v>34</v>
      </c>
      <c r="I22" s="88"/>
      <c r="J22" s="56" t="s">
        <v>12</v>
      </c>
      <c r="K22" s="31" t="s">
        <v>13</v>
      </c>
    </row>
    <row r="23" spans="2:16" ht="42.6" customHeight="1" x14ac:dyDescent="0.6">
      <c r="B23" s="122" t="s">
        <v>14</v>
      </c>
      <c r="C23" s="123"/>
      <c r="D23" s="90">
        <v>97432</v>
      </c>
      <c r="E23" s="91">
        <f>SUMIFS('[8]جدول فروش خدمات'!$U$25:$FT$25,'[8]جدول فروش خدمات'!$U$1:$FT$1,J21,'[8]جدول فروش خدمات'!$U$26:$FT$26,1)</f>
        <v>0</v>
      </c>
      <c r="F23" s="81">
        <v>190176</v>
      </c>
      <c r="G23" s="81">
        <f>SUMIFS('[8]جدول فروش خدمات'!$U$25:$FT$25,'[8]جدول فروش خدمات'!$U$1:$FT$1,K21,'[8]جدول فروش خدمات'!$U$26:$FT$26,2)</f>
        <v>0</v>
      </c>
      <c r="H23" s="90">
        <v>1056293</v>
      </c>
      <c r="I23" s="91">
        <f>SUMIFS('[8]جدول فروش خدمات'!$U$25:$FT$25,'[8]جدول فروش خدمات'!$U$1:$FT$1,L21,'[8]جدول فروش خدمات'!$U$26:$FT$26,3)</f>
        <v>0</v>
      </c>
      <c r="J23" s="59">
        <f>IFERROR(H23*100/F23,"")</f>
        <v>555.42918138987045</v>
      </c>
      <c r="K23" s="54">
        <f>IFERROR((H23-D23)*100/ABS(D23),"")</f>
        <v>984.13354955250838</v>
      </c>
    </row>
    <row r="24" spans="2:16" ht="42.6" customHeight="1" x14ac:dyDescent="0.6">
      <c r="B24" s="130" t="s">
        <v>15</v>
      </c>
      <c r="C24" s="131"/>
      <c r="D24" s="92">
        <v>-266845</v>
      </c>
      <c r="E24" s="93">
        <v>-266845</v>
      </c>
      <c r="F24" s="89">
        <v>-445118</v>
      </c>
      <c r="G24" s="89">
        <v>-445118</v>
      </c>
      <c r="H24" s="92">
        <v>-1255074</v>
      </c>
      <c r="I24" s="93">
        <v>-1255074</v>
      </c>
      <c r="J24" s="59">
        <f t="shared" ref="J24:J32" si="5">IFERROR(H24*100/F24,"")</f>
        <v>281.9643330532578</v>
      </c>
      <c r="K24" s="55">
        <f t="shared" ref="K24:K32" si="6">IFERROR((H24-D24)*100/ABS(D24),"")</f>
        <v>-370.33821132117896</v>
      </c>
    </row>
    <row r="25" spans="2:16" ht="42.6" customHeight="1" x14ac:dyDescent="0.6">
      <c r="B25" s="118" t="s">
        <v>16</v>
      </c>
      <c r="C25" s="119"/>
      <c r="D25" s="92">
        <f t="shared" ref="D25:I25" si="7">SUM(D23:D24)</f>
        <v>-169413</v>
      </c>
      <c r="E25" s="93">
        <f t="shared" si="7"/>
        <v>-266845</v>
      </c>
      <c r="F25" s="89">
        <f t="shared" si="7"/>
        <v>-254942</v>
      </c>
      <c r="G25" s="89">
        <f t="shared" si="7"/>
        <v>-445118</v>
      </c>
      <c r="H25" s="92">
        <f t="shared" si="7"/>
        <v>-198781</v>
      </c>
      <c r="I25" s="93">
        <f t="shared" si="7"/>
        <v>-1255074</v>
      </c>
      <c r="J25" s="25">
        <f t="shared" si="5"/>
        <v>77.971067929176044</v>
      </c>
      <c r="K25" s="55">
        <f t="shared" si="6"/>
        <v>-17.335151375632332</v>
      </c>
    </row>
    <row r="26" spans="2:16" ht="42.6" customHeight="1" x14ac:dyDescent="0.6">
      <c r="B26" s="130" t="s">
        <v>17</v>
      </c>
      <c r="C26" s="131"/>
      <c r="D26" s="92">
        <v>-5805</v>
      </c>
      <c r="E26" s="93">
        <v>-5805</v>
      </c>
      <c r="F26" s="89">
        <v>-7023</v>
      </c>
      <c r="G26" s="89">
        <v>-7023</v>
      </c>
      <c r="H26" s="92">
        <v>-1255</v>
      </c>
      <c r="I26" s="93">
        <v>-1255</v>
      </c>
      <c r="J26" s="25">
        <f t="shared" si="5"/>
        <v>17.869856186814751</v>
      </c>
      <c r="K26" s="54">
        <f t="shared" si="6"/>
        <v>78.380706287683026</v>
      </c>
    </row>
    <row r="27" spans="2:16" ht="42.6" customHeight="1" x14ac:dyDescent="0.6">
      <c r="B27" s="122" t="s">
        <v>18</v>
      </c>
      <c r="C27" s="123"/>
      <c r="D27" s="90">
        <f>114672+3089</f>
        <v>117761</v>
      </c>
      <c r="E27" s="91">
        <f>114672+3089</f>
        <v>117761</v>
      </c>
      <c r="F27" s="81">
        <v>260167</v>
      </c>
      <c r="G27" s="81">
        <v>260167</v>
      </c>
      <c r="H27" s="90">
        <f>83574+9083</f>
        <v>92657</v>
      </c>
      <c r="I27" s="91">
        <f>83574+9083</f>
        <v>92657</v>
      </c>
      <c r="J27" s="25">
        <f t="shared" si="5"/>
        <v>35.614432268504459</v>
      </c>
      <c r="K27" s="55">
        <f t="shared" si="6"/>
        <v>-21.317753755487811</v>
      </c>
    </row>
    <row r="28" spans="2:16" ht="42.6" customHeight="1" x14ac:dyDescent="0.6">
      <c r="B28" s="116" t="s">
        <v>19</v>
      </c>
      <c r="C28" s="117"/>
      <c r="D28" s="83"/>
      <c r="E28" s="83"/>
      <c r="F28" s="81"/>
      <c r="G28" s="81"/>
      <c r="H28" s="83"/>
      <c r="I28" s="83"/>
      <c r="J28" s="59" t="str">
        <f t="shared" si="5"/>
        <v/>
      </c>
      <c r="K28" s="54" t="str">
        <f t="shared" si="6"/>
        <v/>
      </c>
    </row>
    <row r="29" spans="2:16" ht="42.6" customHeight="1" x14ac:dyDescent="0.6">
      <c r="B29" s="118" t="s">
        <v>20</v>
      </c>
      <c r="C29" s="119"/>
      <c r="D29" s="86">
        <v>-57457</v>
      </c>
      <c r="E29" s="86"/>
      <c r="F29" s="89">
        <v>-1798</v>
      </c>
      <c r="G29" s="89"/>
      <c r="H29" s="86">
        <v>-107379</v>
      </c>
      <c r="I29" s="86"/>
      <c r="J29" s="59">
        <f t="shared" si="5"/>
        <v>5972.1357063403784</v>
      </c>
      <c r="K29" s="55">
        <f t="shared" si="6"/>
        <v>-86.88584506674556</v>
      </c>
    </row>
    <row r="30" spans="2:16" ht="42.6" customHeight="1" x14ac:dyDescent="0.6">
      <c r="B30" s="120" t="s">
        <v>21</v>
      </c>
      <c r="C30" s="121"/>
      <c r="D30" s="83"/>
      <c r="E30" s="83"/>
      <c r="F30" s="81"/>
      <c r="G30" s="81"/>
      <c r="H30" s="83"/>
      <c r="I30" s="83"/>
      <c r="J30" s="59" t="str">
        <f t="shared" si="5"/>
        <v/>
      </c>
      <c r="K30" s="54" t="str">
        <f t="shared" si="6"/>
        <v/>
      </c>
    </row>
    <row r="31" spans="2:16" ht="42.6" customHeight="1" x14ac:dyDescent="0.6">
      <c r="B31" s="122" t="s">
        <v>22</v>
      </c>
      <c r="C31" s="123"/>
      <c r="D31" s="83"/>
      <c r="E31" s="83"/>
      <c r="F31" s="81"/>
      <c r="G31" s="81"/>
      <c r="H31" s="83"/>
      <c r="I31" s="83"/>
      <c r="J31" s="59" t="str">
        <f t="shared" si="5"/>
        <v/>
      </c>
      <c r="K31" s="54" t="str">
        <f t="shared" si="6"/>
        <v/>
      </c>
    </row>
    <row r="32" spans="2:16" ht="42.6" customHeight="1" thickBot="1" x14ac:dyDescent="0.65">
      <c r="B32" s="124" t="s">
        <v>23</v>
      </c>
      <c r="C32" s="125"/>
      <c r="D32" s="144">
        <v>-57457</v>
      </c>
      <c r="E32" s="144"/>
      <c r="F32" s="159">
        <v>-1798</v>
      </c>
      <c r="G32" s="159"/>
      <c r="H32" s="144">
        <v>-107379</v>
      </c>
      <c r="I32" s="144"/>
      <c r="J32" s="59">
        <f t="shared" si="5"/>
        <v>5972.1357063403784</v>
      </c>
      <c r="K32" s="55">
        <f t="shared" si="6"/>
        <v>-86.88584506674556</v>
      </c>
    </row>
    <row r="33" spans="2:17" ht="27.6" customHeight="1" x14ac:dyDescent="0.6"/>
    <row r="34" spans="2:17" ht="34.5" thickBot="1" x14ac:dyDescent="0.65">
      <c r="B34" s="85" t="s">
        <v>24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</row>
    <row r="35" spans="2:17" ht="52.5" customHeight="1" x14ac:dyDescent="0.6">
      <c r="B35" s="140" t="s">
        <v>25</v>
      </c>
      <c r="C35" s="141"/>
      <c r="D35" s="87" t="s">
        <v>35</v>
      </c>
      <c r="E35" s="135"/>
      <c r="F35" s="135"/>
      <c r="G35" s="88"/>
      <c r="H35" s="87" t="s">
        <v>33</v>
      </c>
      <c r="I35" s="135"/>
      <c r="J35" s="135"/>
      <c r="K35" s="88"/>
      <c r="L35" s="87" t="s">
        <v>34</v>
      </c>
      <c r="M35" s="135"/>
      <c r="N35" s="135"/>
      <c r="O35" s="88"/>
      <c r="P35" s="56" t="s">
        <v>26</v>
      </c>
      <c r="Q35" s="31" t="s">
        <v>27</v>
      </c>
    </row>
    <row r="36" spans="2:17" ht="52.5" customHeight="1" x14ac:dyDescent="0.6">
      <c r="B36" s="142"/>
      <c r="C36" s="143"/>
      <c r="D36" s="35" t="s">
        <v>42</v>
      </c>
      <c r="E36" s="35" t="s">
        <v>43</v>
      </c>
      <c r="F36" s="35" t="s">
        <v>44</v>
      </c>
      <c r="G36" s="35" t="s">
        <v>30</v>
      </c>
      <c r="H36" s="35" t="s">
        <v>42</v>
      </c>
      <c r="I36" s="35" t="s">
        <v>43</v>
      </c>
      <c r="J36" s="35" t="s">
        <v>44</v>
      </c>
      <c r="K36" s="35" t="s">
        <v>30</v>
      </c>
      <c r="L36" s="35" t="s">
        <v>42</v>
      </c>
      <c r="M36" s="35" t="s">
        <v>43</v>
      </c>
      <c r="N36" s="35" t="s">
        <v>44</v>
      </c>
      <c r="O36" s="35" t="s">
        <v>30</v>
      </c>
      <c r="P36" s="35" t="s">
        <v>30</v>
      </c>
      <c r="Q36" s="38" t="s">
        <v>30</v>
      </c>
    </row>
    <row r="37" spans="2:17" ht="36" customHeight="1" x14ac:dyDescent="0.6">
      <c r="B37" s="126" t="s">
        <v>28</v>
      </c>
      <c r="C37" s="127"/>
      <c r="D37" s="36"/>
      <c r="E37" s="36">
        <v>27</v>
      </c>
      <c r="F37" s="36">
        <v>7</v>
      </c>
      <c r="G37" s="40">
        <f>SUM(E37:F37)</f>
        <v>34</v>
      </c>
      <c r="H37" s="37"/>
      <c r="I37" s="36">
        <v>27</v>
      </c>
      <c r="J37" s="36">
        <v>11</v>
      </c>
      <c r="K37" s="40">
        <f>SUM(I37:J37)</f>
        <v>38</v>
      </c>
      <c r="L37" s="37"/>
      <c r="M37" s="37">
        <v>27</v>
      </c>
      <c r="N37" s="36">
        <v>10</v>
      </c>
      <c r="O37" s="40">
        <f>SUM(M37:N37)</f>
        <v>37</v>
      </c>
      <c r="P37" s="40">
        <f>O37*100/K37</f>
        <v>97.368421052631575</v>
      </c>
      <c r="Q37" s="42">
        <f>O37*100/G37</f>
        <v>108.82352941176471</v>
      </c>
    </row>
    <row r="38" spans="2:17" ht="36" customHeight="1" x14ac:dyDescent="0.6">
      <c r="B38" s="126" t="s">
        <v>29</v>
      </c>
      <c r="C38" s="127"/>
      <c r="D38" s="36"/>
      <c r="E38" s="36">
        <v>1</v>
      </c>
      <c r="F38" s="36">
        <v>2</v>
      </c>
      <c r="G38" s="40">
        <f>SUM(E38:F38)</f>
        <v>3</v>
      </c>
      <c r="H38" s="37"/>
      <c r="I38" s="36">
        <v>1</v>
      </c>
      <c r="J38" s="36">
        <v>2</v>
      </c>
      <c r="K38" s="40">
        <f>SUM(I38:J38)</f>
        <v>3</v>
      </c>
      <c r="L38" s="37"/>
      <c r="M38" s="37">
        <v>1</v>
      </c>
      <c r="N38" s="36">
        <v>2</v>
      </c>
      <c r="O38" s="40">
        <f>SUM(M38:N38)</f>
        <v>3</v>
      </c>
      <c r="P38" s="40">
        <f t="shared" ref="P38:P39" si="8">O38*100/K38</f>
        <v>100</v>
      </c>
      <c r="Q38" s="42">
        <f t="shared" ref="Q38:Q39" si="9">O38*100/G38</f>
        <v>100</v>
      </c>
    </row>
    <row r="39" spans="2:17" ht="36" customHeight="1" thickBot="1" x14ac:dyDescent="0.65">
      <c r="B39" s="128" t="s">
        <v>30</v>
      </c>
      <c r="C39" s="129"/>
      <c r="D39" s="39"/>
      <c r="E39" s="39">
        <f>SUM(E37:E38)</f>
        <v>28</v>
      </c>
      <c r="F39" s="39">
        <f>SUM(F37:F38)</f>
        <v>9</v>
      </c>
      <c r="G39" s="39">
        <f t="shared" ref="G39:O39" si="10">SUM(G37:G38)</f>
        <v>37</v>
      </c>
      <c r="H39" s="39">
        <f t="shared" si="10"/>
        <v>0</v>
      </c>
      <c r="I39" s="39">
        <f t="shared" si="10"/>
        <v>28</v>
      </c>
      <c r="J39" s="39">
        <f t="shared" si="10"/>
        <v>13</v>
      </c>
      <c r="K39" s="39">
        <f t="shared" si="10"/>
        <v>41</v>
      </c>
      <c r="L39" s="39">
        <f t="shared" si="10"/>
        <v>0</v>
      </c>
      <c r="M39" s="39">
        <f t="shared" si="10"/>
        <v>28</v>
      </c>
      <c r="N39" s="39">
        <f t="shared" si="10"/>
        <v>12</v>
      </c>
      <c r="O39" s="39">
        <f t="shared" si="10"/>
        <v>40</v>
      </c>
      <c r="P39" s="40">
        <f t="shared" si="8"/>
        <v>97.560975609756099</v>
      </c>
      <c r="Q39" s="42">
        <f t="shared" si="9"/>
        <v>108.10810810810811</v>
      </c>
    </row>
    <row r="41" spans="2:17" s="21" customFormat="1" ht="21" x14ac:dyDescent="0.55000000000000004">
      <c r="B41" s="105"/>
      <c r="C41" s="105"/>
      <c r="D41" s="105"/>
      <c r="E41" s="105"/>
      <c r="F41" s="105"/>
      <c r="G41" s="105"/>
      <c r="H41" s="105"/>
    </row>
  </sheetData>
  <mergeCells count="81">
    <mergeCell ref="B12:H12"/>
    <mergeCell ref="J12:P12"/>
    <mergeCell ref="B13:C13"/>
    <mergeCell ref="B1:P1"/>
    <mergeCell ref="B3:H3"/>
    <mergeCell ref="J3:P3"/>
    <mergeCell ref="B4:B9"/>
    <mergeCell ref="C4:C5"/>
    <mergeCell ref="D4:F4"/>
    <mergeCell ref="H4:H5"/>
    <mergeCell ref="J4:J9"/>
    <mergeCell ref="K4:K5"/>
    <mergeCell ref="L4:N4"/>
    <mergeCell ref="P4:P5"/>
    <mergeCell ref="B15:C15"/>
    <mergeCell ref="B18:C18"/>
    <mergeCell ref="J13:K13"/>
    <mergeCell ref="J15:K15"/>
    <mergeCell ref="B16:C16"/>
    <mergeCell ref="J16:K16"/>
    <mergeCell ref="B17:C17"/>
    <mergeCell ref="J17:K17"/>
    <mergeCell ref="B14:C14"/>
    <mergeCell ref="J14:K14"/>
    <mergeCell ref="J18:K18"/>
    <mergeCell ref="B19:C19"/>
    <mergeCell ref="J19:K19"/>
    <mergeCell ref="B21:K21"/>
    <mergeCell ref="B23:C23"/>
    <mergeCell ref="D23:E23"/>
    <mergeCell ref="F23:G23"/>
    <mergeCell ref="H23:I23"/>
    <mergeCell ref="B22:C22"/>
    <mergeCell ref="D22:E22"/>
    <mergeCell ref="F22:G22"/>
    <mergeCell ref="H22:I22"/>
    <mergeCell ref="B24:C24"/>
    <mergeCell ref="D24:E24"/>
    <mergeCell ref="F24:G24"/>
    <mergeCell ref="H24:I24"/>
    <mergeCell ref="B25:C25"/>
    <mergeCell ref="D25:E25"/>
    <mergeCell ref="F25:G25"/>
    <mergeCell ref="H25:I25"/>
    <mergeCell ref="B26:C26"/>
    <mergeCell ref="D26:E26"/>
    <mergeCell ref="F26:G26"/>
    <mergeCell ref="H26:I26"/>
    <mergeCell ref="B27:C27"/>
    <mergeCell ref="D27:E27"/>
    <mergeCell ref="F27:G27"/>
    <mergeCell ref="H27:I27"/>
    <mergeCell ref="B28:C28"/>
    <mergeCell ref="D28:E28"/>
    <mergeCell ref="F28:G28"/>
    <mergeCell ref="H28:I28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8:C38"/>
    <mergeCell ref="B39:C39"/>
    <mergeCell ref="B41:H41"/>
    <mergeCell ref="B34:Q34"/>
    <mergeCell ref="B35:C36"/>
    <mergeCell ref="D35:G35"/>
    <mergeCell ref="H35:K35"/>
    <mergeCell ref="L35:O35"/>
    <mergeCell ref="B37:C37"/>
  </mergeCells>
  <conditionalFormatting sqref="D15">
    <cfRule type="cellIs" dxfId="1" priority="5" operator="equal">
      <formula>0</formula>
    </cfRule>
  </conditionalFormatting>
  <conditionalFormatting sqref="F15:F19 D18:D19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11A9-6EF1-4B5F-96C2-CE2B96DD1AA1}">
  <dimension ref="B1:Q41"/>
  <sheetViews>
    <sheetView rightToLeft="1" topLeftCell="A21" zoomScale="70" zoomScaleNormal="70" workbookViewId="0">
      <selection activeCell="P37" sqref="P37:Q39"/>
    </sheetView>
  </sheetViews>
  <sheetFormatPr defaultColWidth="9" defaultRowHeight="24" x14ac:dyDescent="0.6"/>
  <cols>
    <col min="1" max="1" width="8.140625" style="1" customWidth="1"/>
    <col min="2" max="16" width="16.5703125" style="1" customWidth="1"/>
    <col min="17" max="17" width="16.42578125" style="1" customWidth="1"/>
    <col min="18" max="18" width="2.42578125" style="1" customWidth="1"/>
    <col min="19" max="16384" width="9" style="1"/>
  </cols>
  <sheetData>
    <row r="1" spans="2:16" ht="42.75" x14ac:dyDescent="0.6">
      <c r="B1" s="104" t="s">
        <v>54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2:16" x14ac:dyDescent="0.6">
      <c r="B2" s="2"/>
      <c r="C2" s="2"/>
      <c r="D2" s="2"/>
      <c r="E2" s="2"/>
      <c r="F2" s="2"/>
      <c r="G2" s="2"/>
      <c r="H2" s="2"/>
    </row>
    <row r="3" spans="2:16" ht="34.5" thickBot="1" x14ac:dyDescent="0.65">
      <c r="B3" s="85" t="s">
        <v>0</v>
      </c>
      <c r="C3" s="85"/>
      <c r="D3" s="85"/>
      <c r="E3" s="85"/>
      <c r="F3" s="85"/>
      <c r="G3" s="85"/>
      <c r="H3" s="85"/>
      <c r="J3" s="85" t="s">
        <v>0</v>
      </c>
      <c r="K3" s="85"/>
      <c r="L3" s="85"/>
      <c r="M3" s="85"/>
      <c r="N3" s="85"/>
      <c r="O3" s="85"/>
      <c r="P3" s="85"/>
    </row>
    <row r="4" spans="2:16" ht="36" customHeight="1" x14ac:dyDescent="0.6">
      <c r="B4" s="94" t="s">
        <v>1</v>
      </c>
      <c r="C4" s="97" t="s">
        <v>31</v>
      </c>
      <c r="D4" s="99" t="s">
        <v>2</v>
      </c>
      <c r="E4" s="100"/>
      <c r="F4" s="101"/>
      <c r="G4" s="28" t="s">
        <v>3</v>
      </c>
      <c r="H4" s="102" t="s">
        <v>4</v>
      </c>
      <c r="J4" s="132" t="s">
        <v>10</v>
      </c>
      <c r="K4" s="97" t="s">
        <v>31</v>
      </c>
      <c r="L4" s="99" t="s">
        <v>2</v>
      </c>
      <c r="M4" s="100"/>
      <c r="N4" s="101"/>
      <c r="O4" s="28" t="s">
        <v>3</v>
      </c>
      <c r="P4" s="102" t="s">
        <v>4</v>
      </c>
    </row>
    <row r="5" spans="2:16" ht="36" customHeight="1" thickBot="1" x14ac:dyDescent="0.65">
      <c r="B5" s="95"/>
      <c r="C5" s="98"/>
      <c r="D5" s="29" t="s">
        <v>35</v>
      </c>
      <c r="E5" s="29" t="s">
        <v>33</v>
      </c>
      <c r="F5" s="29" t="s">
        <v>34</v>
      </c>
      <c r="G5" s="30" t="s">
        <v>5</v>
      </c>
      <c r="H5" s="103"/>
      <c r="J5" s="133"/>
      <c r="K5" s="98"/>
      <c r="L5" s="29" t="s">
        <v>35</v>
      </c>
      <c r="M5" s="29" t="s">
        <v>33</v>
      </c>
      <c r="N5" s="29" t="s">
        <v>34</v>
      </c>
      <c r="O5" s="30" t="s">
        <v>5</v>
      </c>
      <c r="P5" s="103"/>
    </row>
    <row r="6" spans="2:16" ht="36" customHeight="1" x14ac:dyDescent="0.6">
      <c r="B6" s="95"/>
      <c r="C6" s="3" t="s">
        <v>6</v>
      </c>
      <c r="D6" s="4">
        <v>8705</v>
      </c>
      <c r="E6" s="43">
        <v>9512</v>
      </c>
      <c r="F6" s="5">
        <v>5924</v>
      </c>
      <c r="G6" s="6">
        <f>F6/E6*100</f>
        <v>62.279226240538264</v>
      </c>
      <c r="H6" s="7"/>
      <c r="J6" s="133"/>
      <c r="K6" s="3" t="s">
        <v>6</v>
      </c>
      <c r="L6" s="5">
        <v>5281</v>
      </c>
      <c r="M6" s="43">
        <v>2694</v>
      </c>
      <c r="N6" s="5">
        <v>7067</v>
      </c>
      <c r="O6" s="6">
        <f>N6/M6*100</f>
        <v>262.32368225686713</v>
      </c>
      <c r="P6" s="7"/>
    </row>
    <row r="7" spans="2:16" ht="36" customHeight="1" x14ac:dyDescent="0.6">
      <c r="B7" s="95"/>
      <c r="C7" s="8" t="s">
        <v>7</v>
      </c>
      <c r="D7" s="9">
        <v>7882</v>
      </c>
      <c r="E7" s="44">
        <v>9272</v>
      </c>
      <c r="F7" s="9">
        <v>6778</v>
      </c>
      <c r="G7" s="6">
        <f t="shared" ref="G7:G9" si="0">F7/E7*100</f>
        <v>73.101811906816209</v>
      </c>
      <c r="H7" s="10"/>
      <c r="J7" s="133"/>
      <c r="K7" s="8" t="s">
        <v>7</v>
      </c>
      <c r="L7" s="9">
        <v>5146</v>
      </c>
      <c r="M7" s="44">
        <v>2959</v>
      </c>
      <c r="N7" s="9">
        <v>7010</v>
      </c>
      <c r="O7" s="6">
        <f t="shared" ref="O7:O9" si="1">N7/M7*100</f>
        <v>236.90435958093951</v>
      </c>
      <c r="P7" s="10"/>
    </row>
    <row r="8" spans="2:16" ht="36" customHeight="1" x14ac:dyDescent="0.6">
      <c r="B8" s="95"/>
      <c r="C8" s="11" t="s">
        <v>8</v>
      </c>
      <c r="D8" s="9"/>
      <c r="E8" s="44"/>
      <c r="F8" s="9"/>
      <c r="G8" s="6">
        <v>0</v>
      </c>
      <c r="H8" s="10"/>
      <c r="J8" s="133"/>
      <c r="K8" s="11" t="s">
        <v>8</v>
      </c>
      <c r="L8" s="9">
        <v>0</v>
      </c>
      <c r="M8" s="44">
        <v>0</v>
      </c>
      <c r="N8" s="9">
        <v>0</v>
      </c>
      <c r="O8" s="6">
        <v>0</v>
      </c>
      <c r="P8" s="10"/>
    </row>
    <row r="9" spans="2:16" ht="36" customHeight="1" thickBot="1" x14ac:dyDescent="0.65">
      <c r="B9" s="96"/>
      <c r="C9" s="12" t="s">
        <v>9</v>
      </c>
      <c r="D9" s="13">
        <v>29637</v>
      </c>
      <c r="E9" s="45">
        <v>35362</v>
      </c>
      <c r="F9" s="13">
        <v>24810</v>
      </c>
      <c r="G9" s="57">
        <f t="shared" si="0"/>
        <v>70.16005882020248</v>
      </c>
      <c r="H9" s="14"/>
      <c r="J9" s="134"/>
      <c r="K9" s="12" t="s">
        <v>9</v>
      </c>
      <c r="L9" s="13">
        <v>27099</v>
      </c>
      <c r="M9" s="46">
        <v>31668</v>
      </c>
      <c r="N9" s="13">
        <v>34359</v>
      </c>
      <c r="O9" s="57">
        <f t="shared" si="1"/>
        <v>108.49753694581281</v>
      </c>
      <c r="P9" s="14"/>
    </row>
    <row r="10" spans="2:16" ht="16.5" customHeight="1" x14ac:dyDescent="0.6"/>
    <row r="12" spans="2:16" ht="34.5" thickBot="1" x14ac:dyDescent="0.65">
      <c r="B12" s="85" t="s">
        <v>45</v>
      </c>
      <c r="C12" s="85"/>
      <c r="D12" s="85"/>
      <c r="E12" s="85"/>
      <c r="F12" s="85"/>
      <c r="G12" s="85"/>
      <c r="H12" s="85"/>
      <c r="J12" s="85" t="s">
        <v>46</v>
      </c>
      <c r="K12" s="85"/>
      <c r="L12" s="85"/>
      <c r="M12" s="85"/>
      <c r="N12" s="85"/>
      <c r="O12" s="85"/>
      <c r="P12" s="85"/>
    </row>
    <row r="13" spans="2:16" ht="67.900000000000006" customHeight="1" x14ac:dyDescent="0.6">
      <c r="B13" s="106" t="s">
        <v>40</v>
      </c>
      <c r="C13" s="107"/>
      <c r="D13" s="56" t="s">
        <v>35</v>
      </c>
      <c r="E13" s="56" t="s">
        <v>33</v>
      </c>
      <c r="F13" s="56" t="s">
        <v>34</v>
      </c>
      <c r="G13" s="56" t="s">
        <v>12</v>
      </c>
      <c r="H13" s="56" t="s">
        <v>13</v>
      </c>
      <c r="J13" s="106" t="s">
        <v>41</v>
      </c>
      <c r="K13" s="107"/>
      <c r="L13" s="56" t="s">
        <v>35</v>
      </c>
      <c r="M13" s="56" t="s">
        <v>33</v>
      </c>
      <c r="N13" s="56" t="s">
        <v>34</v>
      </c>
      <c r="O13" s="56" t="s">
        <v>12</v>
      </c>
      <c r="P13" s="56" t="s">
        <v>13</v>
      </c>
    </row>
    <row r="14" spans="2:16" ht="42.6" customHeight="1" x14ac:dyDescent="0.6">
      <c r="B14" s="108" t="s">
        <v>36</v>
      </c>
      <c r="C14" s="109"/>
      <c r="D14" s="22">
        <v>25923</v>
      </c>
      <c r="E14" s="47">
        <v>45500</v>
      </c>
      <c r="F14" s="22">
        <v>26869</v>
      </c>
      <c r="G14" s="64">
        <f>IFERROR(F14*100/E14,"")</f>
        <v>59.052747252747253</v>
      </c>
      <c r="H14" s="18">
        <f>IFERROR((F14-D14)*100/D14,"")</f>
        <v>3.6492689889287506</v>
      </c>
      <c r="J14" s="108" t="s">
        <v>36</v>
      </c>
      <c r="K14" s="109"/>
      <c r="L14" s="22">
        <v>1985</v>
      </c>
      <c r="M14" s="47">
        <v>1882</v>
      </c>
      <c r="N14" s="22">
        <v>6252</v>
      </c>
      <c r="O14" s="63">
        <f>IFERROR(N14*100/M14,"")</f>
        <v>332.1997874601488</v>
      </c>
      <c r="P14" s="18">
        <f>IFERROR((N14-L14)*100/L14,"")</f>
        <v>214.96221662468514</v>
      </c>
    </row>
    <row r="15" spans="2:16" ht="42.6" customHeight="1" x14ac:dyDescent="0.6">
      <c r="B15" s="110" t="s">
        <v>37</v>
      </c>
      <c r="C15" s="111"/>
      <c r="D15" s="22">
        <v>32643</v>
      </c>
      <c r="E15" s="47">
        <v>57439</v>
      </c>
      <c r="F15" s="22">
        <v>43718</v>
      </c>
      <c r="G15" s="64">
        <f>IFERROR(F15*100/E15,"")</f>
        <v>76.112049304479541</v>
      </c>
      <c r="H15" s="18">
        <f t="shared" ref="H15:H19" si="2">IFERROR((F15-D15)*100/D15,"")</f>
        <v>33.927641454523176</v>
      </c>
      <c r="J15" s="110" t="s">
        <v>37</v>
      </c>
      <c r="K15" s="111"/>
      <c r="L15" s="22">
        <v>7581</v>
      </c>
      <c r="M15" s="47">
        <v>6003</v>
      </c>
      <c r="N15" s="22">
        <v>13446</v>
      </c>
      <c r="O15" s="63">
        <f>IFERROR(N15*100/M15,"")</f>
        <v>223.98800599700149</v>
      </c>
      <c r="P15" s="18">
        <f t="shared" ref="P15:P19" si="3">IFERROR((N15-L15)*100/L15,"")</f>
        <v>77.364463791056593</v>
      </c>
    </row>
    <row r="16" spans="2:16" ht="42.6" customHeight="1" x14ac:dyDescent="0.6">
      <c r="B16" s="112" t="s">
        <v>8</v>
      </c>
      <c r="C16" s="113"/>
      <c r="D16" s="22"/>
      <c r="E16" s="47"/>
      <c r="F16" s="22"/>
      <c r="G16" s="64" t="str">
        <f t="shared" ref="G16" si="4">IFERROR(F16*100/E16,"")</f>
        <v/>
      </c>
      <c r="H16" s="18" t="str">
        <f t="shared" si="2"/>
        <v/>
      </c>
      <c r="J16" s="112" t="s">
        <v>8</v>
      </c>
      <c r="K16" s="113"/>
      <c r="L16" s="22"/>
      <c r="M16" s="47"/>
      <c r="N16" s="22"/>
      <c r="O16" s="64"/>
      <c r="P16" s="18" t="str">
        <f t="shared" si="3"/>
        <v/>
      </c>
    </row>
    <row r="17" spans="2:16" ht="42.6" customHeight="1" x14ac:dyDescent="0.6">
      <c r="B17" s="114" t="s">
        <v>9</v>
      </c>
      <c r="C17" s="115"/>
      <c r="D17" s="22">
        <v>8883</v>
      </c>
      <c r="E17" s="47">
        <v>14281</v>
      </c>
      <c r="F17" s="22">
        <v>7949</v>
      </c>
      <c r="G17" s="64">
        <f>IFERROR(F17*100/E17,"")</f>
        <v>55.661368251523001</v>
      </c>
      <c r="H17" s="64">
        <f t="shared" si="2"/>
        <v>-10.51446583361477</v>
      </c>
      <c r="J17" s="114" t="s">
        <v>9</v>
      </c>
      <c r="K17" s="115"/>
      <c r="L17" s="22">
        <v>775</v>
      </c>
      <c r="M17" s="47">
        <v>684</v>
      </c>
      <c r="N17" s="22">
        <v>17566</v>
      </c>
      <c r="O17" s="63">
        <f>IFERROR(N17*100/M17,"")</f>
        <v>2568.1286549707602</v>
      </c>
      <c r="P17" s="18">
        <f t="shared" si="3"/>
        <v>2166.5806451612902</v>
      </c>
    </row>
    <row r="18" spans="2:16" ht="42.6" customHeight="1" x14ac:dyDescent="0.6">
      <c r="B18" s="136" t="s">
        <v>38</v>
      </c>
      <c r="C18" s="137"/>
      <c r="D18" s="22">
        <v>6742</v>
      </c>
      <c r="E18" s="47">
        <v>13533</v>
      </c>
      <c r="F18" s="22">
        <v>6290</v>
      </c>
      <c r="G18" s="64">
        <f>IFERROR(F18*100/E18,"")</f>
        <v>46.478977314712182</v>
      </c>
      <c r="H18" s="18">
        <f t="shared" si="2"/>
        <v>-6.7042420646692378</v>
      </c>
      <c r="J18" s="136" t="s">
        <v>38</v>
      </c>
      <c r="K18" s="137"/>
      <c r="L18" s="22">
        <v>356</v>
      </c>
      <c r="M18" s="47">
        <v>294</v>
      </c>
      <c r="N18" s="22">
        <v>582</v>
      </c>
      <c r="O18" s="63">
        <f>IFERROR(N18*100/M18,"")</f>
        <v>197.9591836734694</v>
      </c>
      <c r="P18" s="18">
        <f t="shared" si="3"/>
        <v>63.483146067415731</v>
      </c>
    </row>
    <row r="19" spans="2:16" ht="42.6" customHeight="1" thickBot="1" x14ac:dyDescent="0.65">
      <c r="B19" s="138" t="s">
        <v>39</v>
      </c>
      <c r="C19" s="139"/>
      <c r="D19" s="22">
        <v>7033</v>
      </c>
      <c r="E19" s="47">
        <v>17991</v>
      </c>
      <c r="F19" s="22">
        <v>13170</v>
      </c>
      <c r="G19" s="64">
        <f>IFERROR(F19*100/E19,"")</f>
        <v>73.203268300817072</v>
      </c>
      <c r="H19" s="18">
        <f t="shared" si="2"/>
        <v>87.260059718470075</v>
      </c>
      <c r="J19" s="138" t="s">
        <v>39</v>
      </c>
      <c r="K19" s="139"/>
      <c r="L19" s="22">
        <v>508</v>
      </c>
      <c r="M19" s="47">
        <v>607</v>
      </c>
      <c r="N19" s="22">
        <v>2121</v>
      </c>
      <c r="O19" s="63">
        <f>IFERROR(N19*100/M19,"")</f>
        <v>349.42339373970344</v>
      </c>
      <c r="P19" s="18">
        <f t="shared" si="3"/>
        <v>317.51968503937007</v>
      </c>
    </row>
    <row r="21" spans="2:16" ht="34.5" thickBot="1" x14ac:dyDescent="0.65">
      <c r="B21" s="85" t="s">
        <v>11</v>
      </c>
      <c r="C21" s="85"/>
      <c r="D21" s="85"/>
      <c r="E21" s="85"/>
      <c r="F21" s="85"/>
      <c r="G21" s="85"/>
      <c r="H21" s="85"/>
      <c r="I21" s="85"/>
      <c r="J21" s="85"/>
      <c r="K21" s="85"/>
    </row>
    <row r="22" spans="2:16" ht="67.900000000000006" customHeight="1" x14ac:dyDescent="0.6">
      <c r="B22" s="106" t="s">
        <v>32</v>
      </c>
      <c r="C22" s="107"/>
      <c r="D22" s="107" t="s">
        <v>35</v>
      </c>
      <c r="E22" s="107"/>
      <c r="F22" s="87" t="s">
        <v>33</v>
      </c>
      <c r="G22" s="88"/>
      <c r="H22" s="87" t="s">
        <v>34</v>
      </c>
      <c r="I22" s="88"/>
      <c r="J22" s="56" t="s">
        <v>12</v>
      </c>
      <c r="K22" s="31" t="s">
        <v>13</v>
      </c>
    </row>
    <row r="23" spans="2:16" ht="42.6" customHeight="1" x14ac:dyDescent="0.6">
      <c r="B23" s="122" t="s">
        <v>14</v>
      </c>
      <c r="C23" s="123"/>
      <c r="D23" s="90">
        <v>84888</v>
      </c>
      <c r="E23" s="91">
        <f>SUMIFS('[8]جدول فروش خدمات'!$U$25:$FT$25,'[8]جدول فروش خدمات'!$U$1:$FT$1,J21,'[8]جدول فروش خدمات'!$U$26:$FT$26,1)</f>
        <v>0</v>
      </c>
      <c r="F23" s="153">
        <v>139616</v>
      </c>
      <c r="G23" s="154">
        <f>SUMIFS('[8]جدول فروش خدمات'!$U$25:$FT$25,'[8]جدول فروش خدمات'!$U$1:$FT$1,K21,'[8]جدول فروش خدمات'!$U$26:$FT$26,2)</f>
        <v>0</v>
      </c>
      <c r="H23" s="83">
        <v>122672</v>
      </c>
      <c r="I23" s="83">
        <f>SUMIFS('[8]جدول فروش خدمات'!$U$25:$FT$25,'[8]جدول فروش خدمات'!$U$1:$FT$1,L21,'[8]جدول فروش خدمات'!$U$26:$FT$26,3)</f>
        <v>0</v>
      </c>
      <c r="J23" s="25">
        <f>IFERROR(H23*100/F23,"")</f>
        <v>87.863855145542061</v>
      </c>
      <c r="K23" s="54">
        <f>IFERROR((H23-D23)*100/ABS(D23),"")</f>
        <v>44.510413721609652</v>
      </c>
    </row>
    <row r="24" spans="2:16" ht="42.6" customHeight="1" x14ac:dyDescent="0.6">
      <c r="B24" s="130" t="s">
        <v>15</v>
      </c>
      <c r="C24" s="131"/>
      <c r="D24" s="92">
        <v>-131538</v>
      </c>
      <c r="E24" s="93">
        <v>-131538</v>
      </c>
      <c r="F24" s="149">
        <v>-215372</v>
      </c>
      <c r="G24" s="150">
        <v>-215372</v>
      </c>
      <c r="H24" s="86">
        <v>-228781</v>
      </c>
      <c r="I24" s="86">
        <v>-228781</v>
      </c>
      <c r="J24" s="59">
        <f t="shared" ref="J24:J32" si="5">IFERROR(H24*100/F24,"")</f>
        <v>106.22597180692011</v>
      </c>
      <c r="K24" s="55">
        <f t="shared" ref="K24:K32" si="6">IFERROR((H24-D24)*100/ABS(D24),"")</f>
        <v>-73.927686295975306</v>
      </c>
    </row>
    <row r="25" spans="2:16" ht="42.6" customHeight="1" x14ac:dyDescent="0.6">
      <c r="B25" s="118" t="s">
        <v>16</v>
      </c>
      <c r="C25" s="119"/>
      <c r="D25" s="92">
        <f t="shared" ref="D25:I25" si="7">SUM(D23:D24)</f>
        <v>-46650</v>
      </c>
      <c r="E25" s="93">
        <f t="shared" si="7"/>
        <v>-131538</v>
      </c>
      <c r="F25" s="149">
        <f t="shared" si="7"/>
        <v>-75756</v>
      </c>
      <c r="G25" s="150">
        <f t="shared" si="7"/>
        <v>-215372</v>
      </c>
      <c r="H25" s="86">
        <f t="shared" si="7"/>
        <v>-106109</v>
      </c>
      <c r="I25" s="86">
        <f t="shared" si="7"/>
        <v>-228781</v>
      </c>
      <c r="J25" s="59">
        <f t="shared" si="5"/>
        <v>140.06679338930249</v>
      </c>
      <c r="K25" s="55">
        <f t="shared" si="6"/>
        <v>-127.45766345123258</v>
      </c>
    </row>
    <row r="26" spans="2:16" ht="42.6" customHeight="1" x14ac:dyDescent="0.6">
      <c r="B26" s="130" t="s">
        <v>17</v>
      </c>
      <c r="C26" s="131"/>
      <c r="D26" s="92">
        <v>-12492</v>
      </c>
      <c r="E26" s="93">
        <v>-12492</v>
      </c>
      <c r="F26" s="149">
        <v>-21204</v>
      </c>
      <c r="G26" s="150">
        <v>-21204</v>
      </c>
      <c r="H26" s="86">
        <v>-22790</v>
      </c>
      <c r="I26" s="86">
        <v>-22790</v>
      </c>
      <c r="J26" s="59">
        <f t="shared" si="5"/>
        <v>107.47972080739483</v>
      </c>
      <c r="K26" s="55">
        <f t="shared" si="6"/>
        <v>-82.436759526096708</v>
      </c>
    </row>
    <row r="27" spans="2:16" ht="42.6" customHeight="1" x14ac:dyDescent="0.6">
      <c r="B27" s="122" t="s">
        <v>18</v>
      </c>
      <c r="C27" s="123"/>
      <c r="D27" s="90">
        <f>75140+7542</f>
        <v>82682</v>
      </c>
      <c r="E27" s="91">
        <f>75140+7542</f>
        <v>82682</v>
      </c>
      <c r="F27" s="153">
        <v>88672</v>
      </c>
      <c r="G27" s="154">
        <v>88672</v>
      </c>
      <c r="H27" s="83">
        <f>110956+15291</f>
        <v>126247</v>
      </c>
      <c r="I27" s="83">
        <f>110956+15291</f>
        <v>126247</v>
      </c>
      <c r="J27" s="59">
        <f t="shared" si="5"/>
        <v>142.37527066041142</v>
      </c>
      <c r="K27" s="54">
        <f t="shared" si="6"/>
        <v>52.689823661740164</v>
      </c>
    </row>
    <row r="28" spans="2:16" ht="42.6" customHeight="1" x14ac:dyDescent="0.6">
      <c r="B28" s="116" t="s">
        <v>19</v>
      </c>
      <c r="C28" s="117"/>
      <c r="D28" s="83"/>
      <c r="E28" s="83"/>
      <c r="F28" s="81"/>
      <c r="G28" s="81"/>
      <c r="H28" s="83"/>
      <c r="I28" s="83"/>
      <c r="J28" s="59" t="str">
        <f t="shared" si="5"/>
        <v/>
      </c>
      <c r="K28" s="54" t="str">
        <f t="shared" si="6"/>
        <v/>
      </c>
    </row>
    <row r="29" spans="2:16" ht="42.6" customHeight="1" x14ac:dyDescent="0.6">
      <c r="B29" s="118" t="s">
        <v>20</v>
      </c>
      <c r="C29" s="119"/>
      <c r="D29" s="83">
        <v>23540</v>
      </c>
      <c r="E29" s="83"/>
      <c r="F29" s="89">
        <v>-8288</v>
      </c>
      <c r="G29" s="89"/>
      <c r="H29" s="86">
        <v>-2652</v>
      </c>
      <c r="I29" s="86"/>
      <c r="J29" s="25">
        <f t="shared" si="5"/>
        <v>31.998069498069498</v>
      </c>
      <c r="K29" s="55">
        <f t="shared" si="6"/>
        <v>-111.26593033135089</v>
      </c>
    </row>
    <row r="30" spans="2:16" ht="42.6" customHeight="1" x14ac:dyDescent="0.6">
      <c r="B30" s="120" t="s">
        <v>21</v>
      </c>
      <c r="C30" s="121"/>
      <c r="D30" s="83"/>
      <c r="E30" s="83"/>
      <c r="F30" s="81"/>
      <c r="G30" s="81"/>
      <c r="H30" s="83"/>
      <c r="I30" s="83"/>
      <c r="J30" s="59" t="str">
        <f t="shared" si="5"/>
        <v/>
      </c>
      <c r="K30" s="54" t="str">
        <f t="shared" si="6"/>
        <v/>
      </c>
    </row>
    <row r="31" spans="2:16" ht="42.6" customHeight="1" x14ac:dyDescent="0.6">
      <c r="B31" s="122" t="s">
        <v>22</v>
      </c>
      <c r="C31" s="123"/>
      <c r="D31" s="83">
        <v>2</v>
      </c>
      <c r="E31" s="83"/>
      <c r="F31" s="81"/>
      <c r="G31" s="81"/>
      <c r="H31" s="83">
        <v>100</v>
      </c>
      <c r="I31" s="83"/>
      <c r="J31" s="59" t="str">
        <f t="shared" si="5"/>
        <v/>
      </c>
      <c r="K31" s="54">
        <f t="shared" si="6"/>
        <v>4900</v>
      </c>
    </row>
    <row r="32" spans="2:16" ht="42.6" customHeight="1" thickBot="1" x14ac:dyDescent="0.65">
      <c r="B32" s="124" t="s">
        <v>23</v>
      </c>
      <c r="C32" s="125"/>
      <c r="D32" s="84">
        <v>23540</v>
      </c>
      <c r="E32" s="84"/>
      <c r="F32" s="159">
        <v>-8288</v>
      </c>
      <c r="G32" s="159"/>
      <c r="H32" s="86">
        <v>-2652</v>
      </c>
      <c r="I32" s="86"/>
      <c r="J32" s="59">
        <f t="shared" si="5"/>
        <v>31.998069498069498</v>
      </c>
      <c r="K32" s="55">
        <f t="shared" si="6"/>
        <v>-111.26593033135089</v>
      </c>
    </row>
    <row r="33" spans="2:17" ht="27.6" customHeight="1" x14ac:dyDescent="0.6"/>
    <row r="34" spans="2:17" ht="34.5" thickBot="1" x14ac:dyDescent="0.65">
      <c r="B34" s="85" t="s">
        <v>24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</row>
    <row r="35" spans="2:17" ht="52.5" customHeight="1" x14ac:dyDescent="0.6">
      <c r="B35" s="140" t="s">
        <v>25</v>
      </c>
      <c r="C35" s="141"/>
      <c r="D35" s="87" t="s">
        <v>35</v>
      </c>
      <c r="E35" s="135"/>
      <c r="F35" s="135"/>
      <c r="G35" s="88"/>
      <c r="H35" s="87" t="s">
        <v>33</v>
      </c>
      <c r="I35" s="135"/>
      <c r="J35" s="135"/>
      <c r="K35" s="88"/>
      <c r="L35" s="87" t="s">
        <v>34</v>
      </c>
      <c r="M35" s="135"/>
      <c r="N35" s="135"/>
      <c r="O35" s="88"/>
      <c r="P35" s="56" t="s">
        <v>26</v>
      </c>
      <c r="Q35" s="31" t="s">
        <v>27</v>
      </c>
    </row>
    <row r="36" spans="2:17" ht="52.5" customHeight="1" x14ac:dyDescent="0.6">
      <c r="B36" s="142"/>
      <c r="C36" s="143"/>
      <c r="D36" s="35" t="s">
        <v>42</v>
      </c>
      <c r="E36" s="35" t="s">
        <v>43</v>
      </c>
      <c r="F36" s="35" t="s">
        <v>44</v>
      </c>
      <c r="G36" s="35" t="s">
        <v>30</v>
      </c>
      <c r="H36" s="35" t="s">
        <v>42</v>
      </c>
      <c r="I36" s="35" t="s">
        <v>43</v>
      </c>
      <c r="J36" s="35" t="s">
        <v>44</v>
      </c>
      <c r="K36" s="35" t="s">
        <v>30</v>
      </c>
      <c r="L36" s="35" t="s">
        <v>42</v>
      </c>
      <c r="M36" s="35" t="s">
        <v>43</v>
      </c>
      <c r="N36" s="35" t="s">
        <v>44</v>
      </c>
      <c r="O36" s="35" t="s">
        <v>30</v>
      </c>
      <c r="P36" s="35" t="s">
        <v>30</v>
      </c>
      <c r="Q36" s="38" t="s">
        <v>30</v>
      </c>
    </row>
    <row r="37" spans="2:17" ht="36" customHeight="1" x14ac:dyDescent="0.6">
      <c r="B37" s="126" t="s">
        <v>28</v>
      </c>
      <c r="C37" s="127"/>
      <c r="D37" s="36"/>
      <c r="E37" s="36">
        <v>19</v>
      </c>
      <c r="F37" s="36">
        <v>0</v>
      </c>
      <c r="G37" s="40">
        <f>SUM(E37:F37)</f>
        <v>19</v>
      </c>
      <c r="H37" s="37"/>
      <c r="I37" s="36">
        <v>19</v>
      </c>
      <c r="J37" s="36">
        <v>3</v>
      </c>
      <c r="K37" s="40">
        <f>SUM(I37:J37)</f>
        <v>22</v>
      </c>
      <c r="L37" s="37"/>
      <c r="M37" s="37">
        <v>19</v>
      </c>
      <c r="N37" s="36">
        <v>1</v>
      </c>
      <c r="O37" s="40">
        <f>SUM(M37:N37)</f>
        <v>20</v>
      </c>
      <c r="P37" s="40">
        <f>O37*100/K37</f>
        <v>90.909090909090907</v>
      </c>
      <c r="Q37" s="42">
        <f>O37*100/G37</f>
        <v>105.26315789473684</v>
      </c>
    </row>
    <row r="38" spans="2:17" ht="36" customHeight="1" x14ac:dyDescent="0.6">
      <c r="B38" s="126" t="s">
        <v>29</v>
      </c>
      <c r="C38" s="127"/>
      <c r="D38" s="36"/>
      <c r="E38" s="36">
        <v>4</v>
      </c>
      <c r="F38" s="36">
        <v>0</v>
      </c>
      <c r="G38" s="40">
        <f>SUM(E38:F38)</f>
        <v>4</v>
      </c>
      <c r="H38" s="37"/>
      <c r="I38" s="36">
        <v>4</v>
      </c>
      <c r="J38" s="36">
        <v>1</v>
      </c>
      <c r="K38" s="40">
        <f>SUM(I38:J38)</f>
        <v>5</v>
      </c>
      <c r="L38" s="37"/>
      <c r="M38" s="37">
        <v>3</v>
      </c>
      <c r="N38" s="36">
        <v>0</v>
      </c>
      <c r="O38" s="40">
        <f>SUM(M38:N38)</f>
        <v>3</v>
      </c>
      <c r="P38" s="40">
        <f t="shared" ref="P38:P39" si="8">O38*100/K38</f>
        <v>60</v>
      </c>
      <c r="Q38" s="42">
        <f t="shared" ref="Q38:Q39" si="9">O38*100/G38</f>
        <v>75</v>
      </c>
    </row>
    <row r="39" spans="2:17" ht="36" customHeight="1" thickBot="1" x14ac:dyDescent="0.65">
      <c r="B39" s="128" t="s">
        <v>30</v>
      </c>
      <c r="C39" s="129"/>
      <c r="D39" s="39"/>
      <c r="E39" s="39">
        <f>SUM(E37:E38)</f>
        <v>23</v>
      </c>
      <c r="F39" s="39">
        <f>SUM(F37:F38)</f>
        <v>0</v>
      </c>
      <c r="G39" s="39">
        <f t="shared" ref="G39:O39" si="10">SUM(G37:G38)</f>
        <v>23</v>
      </c>
      <c r="H39" s="39">
        <f t="shared" si="10"/>
        <v>0</v>
      </c>
      <c r="I39" s="39">
        <f t="shared" si="10"/>
        <v>23</v>
      </c>
      <c r="J39" s="39">
        <f t="shared" si="10"/>
        <v>4</v>
      </c>
      <c r="K39" s="39">
        <f t="shared" si="10"/>
        <v>27</v>
      </c>
      <c r="L39" s="39">
        <f t="shared" si="10"/>
        <v>0</v>
      </c>
      <c r="M39" s="39">
        <f t="shared" si="10"/>
        <v>22</v>
      </c>
      <c r="N39" s="39">
        <f t="shared" si="10"/>
        <v>1</v>
      </c>
      <c r="O39" s="39">
        <f t="shared" si="10"/>
        <v>23</v>
      </c>
      <c r="P39" s="40">
        <f t="shared" si="8"/>
        <v>85.18518518518519</v>
      </c>
      <c r="Q39" s="42">
        <f t="shared" si="9"/>
        <v>100</v>
      </c>
    </row>
    <row r="41" spans="2:17" s="21" customFormat="1" ht="21" x14ac:dyDescent="0.55000000000000004">
      <c r="B41" s="105"/>
      <c r="C41" s="105"/>
      <c r="D41" s="105"/>
      <c r="E41" s="105"/>
      <c r="F41" s="105"/>
      <c r="G41" s="105"/>
      <c r="H41" s="105"/>
    </row>
  </sheetData>
  <mergeCells count="81">
    <mergeCell ref="B12:H12"/>
    <mergeCell ref="J12:P12"/>
    <mergeCell ref="B13:C13"/>
    <mergeCell ref="B1:P1"/>
    <mergeCell ref="B3:H3"/>
    <mergeCell ref="J3:P3"/>
    <mergeCell ref="B4:B9"/>
    <mergeCell ref="C4:C5"/>
    <mergeCell ref="D4:F4"/>
    <mergeCell ref="H4:H5"/>
    <mergeCell ref="J4:J9"/>
    <mergeCell ref="K4:K5"/>
    <mergeCell ref="L4:N4"/>
    <mergeCell ref="P4:P5"/>
    <mergeCell ref="B15:C15"/>
    <mergeCell ref="B18:C18"/>
    <mergeCell ref="J13:K13"/>
    <mergeCell ref="J15:K15"/>
    <mergeCell ref="B16:C16"/>
    <mergeCell ref="J16:K16"/>
    <mergeCell ref="B17:C17"/>
    <mergeCell ref="J17:K17"/>
    <mergeCell ref="B14:C14"/>
    <mergeCell ref="J14:K14"/>
    <mergeCell ref="J18:K18"/>
    <mergeCell ref="B19:C19"/>
    <mergeCell ref="J19:K19"/>
    <mergeCell ref="B21:K21"/>
    <mergeCell ref="B23:C23"/>
    <mergeCell ref="D23:E23"/>
    <mergeCell ref="F23:G23"/>
    <mergeCell ref="H23:I23"/>
    <mergeCell ref="B22:C22"/>
    <mergeCell ref="D22:E22"/>
    <mergeCell ref="F22:G22"/>
    <mergeCell ref="H22:I22"/>
    <mergeCell ref="B24:C24"/>
    <mergeCell ref="D24:E24"/>
    <mergeCell ref="F24:G24"/>
    <mergeCell ref="H24:I24"/>
    <mergeCell ref="B25:C25"/>
    <mergeCell ref="D25:E25"/>
    <mergeCell ref="F25:G25"/>
    <mergeCell ref="H25:I25"/>
    <mergeCell ref="B26:C26"/>
    <mergeCell ref="D26:E26"/>
    <mergeCell ref="F26:G26"/>
    <mergeCell ref="H26:I26"/>
    <mergeCell ref="B27:C27"/>
    <mergeCell ref="D27:E27"/>
    <mergeCell ref="F27:G27"/>
    <mergeCell ref="H27:I27"/>
    <mergeCell ref="B28:C28"/>
    <mergeCell ref="D28:E28"/>
    <mergeCell ref="F28:G28"/>
    <mergeCell ref="H28:I28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8:C38"/>
    <mergeCell ref="B39:C39"/>
    <mergeCell ref="B41:H41"/>
    <mergeCell ref="B34:Q34"/>
    <mergeCell ref="B35:C36"/>
    <mergeCell ref="D35:G35"/>
    <mergeCell ref="H35:K35"/>
    <mergeCell ref="L35:O35"/>
    <mergeCell ref="B37:C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D758-9DC2-433E-9381-7ACD367E59F6}">
  <dimension ref="B1:Q41"/>
  <sheetViews>
    <sheetView rightToLeft="1" topLeftCell="A22" zoomScale="70" zoomScaleNormal="70" workbookViewId="0">
      <selection activeCell="P37" sqref="P37:Q39"/>
    </sheetView>
  </sheetViews>
  <sheetFormatPr defaultColWidth="9" defaultRowHeight="24" x14ac:dyDescent="0.6"/>
  <cols>
    <col min="1" max="1" width="8.140625" style="1" customWidth="1"/>
    <col min="2" max="16" width="16.5703125" style="1" customWidth="1"/>
    <col min="17" max="17" width="16.42578125" style="1" customWidth="1"/>
    <col min="18" max="18" width="2.42578125" style="1" customWidth="1"/>
    <col min="19" max="16384" width="9" style="1"/>
  </cols>
  <sheetData>
    <row r="1" spans="2:16" ht="42.75" x14ac:dyDescent="0.6">
      <c r="B1" s="104" t="s">
        <v>53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2:16" x14ac:dyDescent="0.6">
      <c r="B2" s="2"/>
      <c r="C2" s="2"/>
      <c r="D2" s="2"/>
      <c r="E2" s="2"/>
      <c r="F2" s="2"/>
      <c r="G2" s="2"/>
      <c r="H2" s="2"/>
    </row>
    <row r="3" spans="2:16" ht="34.5" thickBot="1" x14ac:dyDescent="0.65">
      <c r="B3" s="85" t="s">
        <v>0</v>
      </c>
      <c r="C3" s="85"/>
      <c r="D3" s="85"/>
      <c r="E3" s="85"/>
      <c r="F3" s="85"/>
      <c r="G3" s="85"/>
      <c r="H3" s="85"/>
      <c r="J3" s="85" t="s">
        <v>0</v>
      </c>
      <c r="K3" s="85"/>
      <c r="L3" s="85"/>
      <c r="M3" s="85"/>
      <c r="N3" s="85"/>
      <c r="O3" s="85"/>
      <c r="P3" s="85"/>
    </row>
    <row r="4" spans="2:16" ht="36" customHeight="1" x14ac:dyDescent="0.6">
      <c r="B4" s="94" t="s">
        <v>1</v>
      </c>
      <c r="C4" s="97" t="s">
        <v>31</v>
      </c>
      <c r="D4" s="99" t="s">
        <v>2</v>
      </c>
      <c r="E4" s="100"/>
      <c r="F4" s="101"/>
      <c r="G4" s="28" t="s">
        <v>3</v>
      </c>
      <c r="H4" s="102" t="s">
        <v>4</v>
      </c>
      <c r="J4" s="132" t="s">
        <v>10</v>
      </c>
      <c r="K4" s="97" t="s">
        <v>31</v>
      </c>
      <c r="L4" s="99" t="s">
        <v>2</v>
      </c>
      <c r="M4" s="100"/>
      <c r="N4" s="101"/>
      <c r="O4" s="28" t="s">
        <v>3</v>
      </c>
      <c r="P4" s="102" t="s">
        <v>4</v>
      </c>
    </row>
    <row r="5" spans="2:16" ht="36" customHeight="1" thickBot="1" x14ac:dyDescent="0.65">
      <c r="B5" s="95"/>
      <c r="C5" s="98"/>
      <c r="D5" s="29" t="s">
        <v>35</v>
      </c>
      <c r="E5" s="29" t="s">
        <v>33</v>
      </c>
      <c r="F5" s="29" t="s">
        <v>34</v>
      </c>
      <c r="G5" s="30" t="s">
        <v>5</v>
      </c>
      <c r="H5" s="103"/>
      <c r="J5" s="133"/>
      <c r="K5" s="98"/>
      <c r="L5" s="29" t="s">
        <v>35</v>
      </c>
      <c r="M5" s="29" t="s">
        <v>33</v>
      </c>
      <c r="N5" s="29" t="s">
        <v>34</v>
      </c>
      <c r="O5" s="30" t="s">
        <v>5</v>
      </c>
      <c r="P5" s="103"/>
    </row>
    <row r="6" spans="2:16" ht="36" customHeight="1" x14ac:dyDescent="0.6">
      <c r="B6" s="95"/>
      <c r="C6" s="3" t="s">
        <v>6</v>
      </c>
      <c r="D6" s="4">
        <v>42498</v>
      </c>
      <c r="E6" s="43">
        <v>39629</v>
      </c>
      <c r="F6" s="5">
        <v>54954</v>
      </c>
      <c r="G6" s="6">
        <f>F6/E6*100</f>
        <v>138.67117514951173</v>
      </c>
      <c r="H6" s="7"/>
      <c r="J6" s="133"/>
      <c r="K6" s="3" t="s">
        <v>6</v>
      </c>
      <c r="L6" s="5">
        <v>1095</v>
      </c>
      <c r="M6" s="43">
        <v>1301</v>
      </c>
      <c r="N6" s="5">
        <v>4305</v>
      </c>
      <c r="O6" s="6">
        <f>N6/M6*100</f>
        <v>330.89930822444273</v>
      </c>
      <c r="P6" s="7"/>
    </row>
    <row r="7" spans="2:16" ht="36" customHeight="1" x14ac:dyDescent="0.6">
      <c r="B7" s="95"/>
      <c r="C7" s="8" t="s">
        <v>7</v>
      </c>
      <c r="D7" s="9">
        <v>40280</v>
      </c>
      <c r="E7" s="44">
        <v>37961</v>
      </c>
      <c r="F7" s="9">
        <v>62858</v>
      </c>
      <c r="G7" s="6">
        <f t="shared" ref="G7:G9" si="0">F7/E7*100</f>
        <v>165.58573272569214</v>
      </c>
      <c r="H7" s="10"/>
      <c r="J7" s="133"/>
      <c r="K7" s="8" t="s">
        <v>7</v>
      </c>
      <c r="L7" s="9">
        <v>996</v>
      </c>
      <c r="M7" s="44">
        <v>1709</v>
      </c>
      <c r="N7" s="9">
        <v>4561</v>
      </c>
      <c r="O7" s="6">
        <f t="shared" ref="O7:O9" si="1">N7/M7*100</f>
        <v>266.88121708601523</v>
      </c>
      <c r="P7" s="10"/>
    </row>
    <row r="8" spans="2:16" ht="36" customHeight="1" x14ac:dyDescent="0.6">
      <c r="B8" s="95"/>
      <c r="C8" s="11" t="s">
        <v>8</v>
      </c>
      <c r="D8" s="9"/>
      <c r="E8" s="44"/>
      <c r="F8" s="9"/>
      <c r="G8" s="6">
        <v>0</v>
      </c>
      <c r="H8" s="10"/>
      <c r="J8" s="133"/>
      <c r="K8" s="11" t="s">
        <v>8</v>
      </c>
      <c r="L8" s="9">
        <v>0</v>
      </c>
      <c r="M8" s="44">
        <v>0</v>
      </c>
      <c r="N8" s="9"/>
      <c r="O8" s="6" t="e">
        <f t="shared" si="1"/>
        <v>#DIV/0!</v>
      </c>
      <c r="P8" s="10"/>
    </row>
    <row r="9" spans="2:16" ht="36" customHeight="1" thickBot="1" x14ac:dyDescent="0.65">
      <c r="B9" s="96"/>
      <c r="C9" s="12" t="s">
        <v>9</v>
      </c>
      <c r="D9" s="13">
        <v>418170</v>
      </c>
      <c r="E9" s="45">
        <v>401431</v>
      </c>
      <c r="F9" s="13">
        <v>489014</v>
      </c>
      <c r="G9" s="57">
        <f t="shared" si="0"/>
        <v>121.81769718830881</v>
      </c>
      <c r="H9" s="14"/>
      <c r="J9" s="134"/>
      <c r="K9" s="12" t="s">
        <v>9</v>
      </c>
      <c r="L9" s="13">
        <v>0</v>
      </c>
      <c r="M9" s="46">
        <v>0</v>
      </c>
      <c r="N9" s="13"/>
      <c r="O9" s="57" t="e">
        <f t="shared" si="1"/>
        <v>#DIV/0!</v>
      </c>
      <c r="P9" s="14"/>
    </row>
    <row r="10" spans="2:16" ht="16.5" customHeight="1" x14ac:dyDescent="0.6"/>
    <row r="12" spans="2:16" ht="34.5" thickBot="1" x14ac:dyDescent="0.65">
      <c r="B12" s="85" t="s">
        <v>45</v>
      </c>
      <c r="C12" s="85"/>
      <c r="D12" s="85"/>
      <c r="E12" s="85"/>
      <c r="F12" s="85"/>
      <c r="G12" s="85"/>
      <c r="H12" s="85"/>
      <c r="J12" s="85" t="s">
        <v>46</v>
      </c>
      <c r="K12" s="85"/>
      <c r="L12" s="85"/>
      <c r="M12" s="85"/>
      <c r="N12" s="85"/>
      <c r="O12" s="85"/>
      <c r="P12" s="85"/>
    </row>
    <row r="13" spans="2:16" ht="67.900000000000006" customHeight="1" x14ac:dyDescent="0.6">
      <c r="B13" s="106" t="s">
        <v>40</v>
      </c>
      <c r="C13" s="107"/>
      <c r="D13" s="56" t="s">
        <v>35</v>
      </c>
      <c r="E13" s="56" t="s">
        <v>33</v>
      </c>
      <c r="F13" s="56" t="s">
        <v>34</v>
      </c>
      <c r="G13" s="56" t="s">
        <v>12</v>
      </c>
      <c r="H13" s="56" t="s">
        <v>13</v>
      </c>
      <c r="J13" s="106" t="s">
        <v>41</v>
      </c>
      <c r="K13" s="107"/>
      <c r="L13" s="56" t="s">
        <v>35</v>
      </c>
      <c r="M13" s="56" t="s">
        <v>33</v>
      </c>
      <c r="N13" s="56" t="s">
        <v>34</v>
      </c>
      <c r="O13" s="56" t="s">
        <v>12</v>
      </c>
      <c r="P13" s="56" t="s">
        <v>13</v>
      </c>
    </row>
    <row r="14" spans="2:16" ht="42.6" customHeight="1" x14ac:dyDescent="0.6">
      <c r="B14" s="108" t="s">
        <v>36</v>
      </c>
      <c r="C14" s="109"/>
      <c r="D14" s="22">
        <v>32253</v>
      </c>
      <c r="E14" s="47">
        <v>57420</v>
      </c>
      <c r="F14" s="22">
        <v>115432</v>
      </c>
      <c r="G14" s="63">
        <f>IFERROR(F14*100/E14,"")</f>
        <v>201.03099965168931</v>
      </c>
      <c r="H14" s="18">
        <f>IFERROR((F14-D14)*100/D14,"")</f>
        <v>257.89538957616344</v>
      </c>
      <c r="J14" s="108" t="s">
        <v>36</v>
      </c>
      <c r="K14" s="109"/>
      <c r="L14" s="22">
        <v>2301</v>
      </c>
      <c r="M14" s="47">
        <v>3739</v>
      </c>
      <c r="N14" s="22">
        <v>8632</v>
      </c>
      <c r="O14" s="63">
        <f>IFERROR(N14*100/M14,"")</f>
        <v>230.86386734420969</v>
      </c>
      <c r="P14" s="18">
        <f>IFERROR((N14-L14)*100/L14,"")</f>
        <v>275.14124293785312</v>
      </c>
    </row>
    <row r="15" spans="2:16" ht="42.6" customHeight="1" x14ac:dyDescent="0.6">
      <c r="B15" s="110" t="s">
        <v>37</v>
      </c>
      <c r="C15" s="111"/>
      <c r="D15" s="22">
        <v>311287</v>
      </c>
      <c r="E15" s="47">
        <v>385608</v>
      </c>
      <c r="F15" s="22">
        <v>515378</v>
      </c>
      <c r="G15" s="63">
        <f t="shared" ref="G15:G19" si="2">IFERROR(F15*100/E15,"")</f>
        <v>133.65334744092445</v>
      </c>
      <c r="H15" s="18">
        <f t="shared" ref="H15:H19" si="3">IFERROR((F15-D15)*100/D15,"")</f>
        <v>65.563611715233847</v>
      </c>
      <c r="J15" s="110" t="s">
        <v>37</v>
      </c>
      <c r="K15" s="111"/>
      <c r="L15" s="22">
        <v>1500</v>
      </c>
      <c r="M15" s="47">
        <v>3746</v>
      </c>
      <c r="N15" s="22">
        <v>9746</v>
      </c>
      <c r="O15" s="63">
        <f>IFERROR(N15*100/M15,"")</f>
        <v>260.17084890549921</v>
      </c>
      <c r="P15" s="18">
        <f t="shared" ref="P15:P19" si="4">IFERROR((N15-L15)*100/L15,"")</f>
        <v>549.73333333333335</v>
      </c>
    </row>
    <row r="16" spans="2:16" ht="42.6" customHeight="1" x14ac:dyDescent="0.6">
      <c r="B16" s="112" t="s">
        <v>8</v>
      </c>
      <c r="C16" s="113"/>
      <c r="D16" s="22"/>
      <c r="E16" s="47"/>
      <c r="F16" s="22"/>
      <c r="G16" s="63" t="str">
        <f t="shared" si="2"/>
        <v/>
      </c>
      <c r="H16" s="18" t="str">
        <f t="shared" si="3"/>
        <v/>
      </c>
      <c r="J16" s="112" t="s">
        <v>8</v>
      </c>
      <c r="K16" s="113"/>
      <c r="L16" s="22"/>
      <c r="M16" s="47"/>
      <c r="N16" s="22"/>
      <c r="O16" s="64"/>
      <c r="P16" s="18" t="str">
        <f t="shared" si="4"/>
        <v/>
      </c>
    </row>
    <row r="17" spans="2:16" ht="42.6" customHeight="1" x14ac:dyDescent="0.6">
      <c r="B17" s="114" t="s">
        <v>9</v>
      </c>
      <c r="C17" s="115"/>
      <c r="D17" s="22">
        <v>75305</v>
      </c>
      <c r="E17" s="47">
        <v>107863</v>
      </c>
      <c r="F17" s="22">
        <v>130124</v>
      </c>
      <c r="G17" s="63">
        <f t="shared" si="2"/>
        <v>120.63821699748755</v>
      </c>
      <c r="H17" s="18">
        <f t="shared" si="3"/>
        <v>72.795963083460592</v>
      </c>
      <c r="J17" s="114" t="s">
        <v>9</v>
      </c>
      <c r="K17" s="115"/>
      <c r="L17" s="22"/>
      <c r="M17" s="47"/>
      <c r="N17" s="22"/>
      <c r="O17" s="63" t="str">
        <f>IFERROR(N17*100/M17,"")</f>
        <v/>
      </c>
      <c r="P17" s="18" t="str">
        <f t="shared" si="4"/>
        <v/>
      </c>
    </row>
    <row r="18" spans="2:16" ht="42.6" customHeight="1" x14ac:dyDescent="0.6">
      <c r="B18" s="136" t="s">
        <v>38</v>
      </c>
      <c r="C18" s="137"/>
      <c r="D18" s="22">
        <v>40661</v>
      </c>
      <c r="E18" s="47">
        <v>56411</v>
      </c>
      <c r="F18" s="22">
        <v>59733</v>
      </c>
      <c r="G18" s="63">
        <f>IFERROR(F18*100/E18,"")</f>
        <v>105.88892237329598</v>
      </c>
      <c r="H18" s="18">
        <f t="shared" si="3"/>
        <v>46.904896583950226</v>
      </c>
      <c r="J18" s="136" t="s">
        <v>38</v>
      </c>
      <c r="K18" s="137"/>
      <c r="L18" s="22">
        <v>119</v>
      </c>
      <c r="M18" s="47">
        <v>241</v>
      </c>
      <c r="N18" s="22">
        <v>411</v>
      </c>
      <c r="O18" s="63">
        <f>IFERROR(N18*100/M18,"")</f>
        <v>170.53941908713693</v>
      </c>
      <c r="P18" s="18">
        <f t="shared" si="4"/>
        <v>245.37815126050421</v>
      </c>
    </row>
    <row r="19" spans="2:16" ht="42.6" customHeight="1" thickBot="1" x14ac:dyDescent="0.65">
      <c r="B19" s="138" t="s">
        <v>39</v>
      </c>
      <c r="C19" s="139"/>
      <c r="D19" s="22">
        <v>17704</v>
      </c>
      <c r="E19" s="47">
        <v>31685</v>
      </c>
      <c r="F19" s="22">
        <v>31514</v>
      </c>
      <c r="G19" s="63">
        <f t="shared" si="2"/>
        <v>99.460312450686445</v>
      </c>
      <c r="H19" s="18">
        <f t="shared" si="3"/>
        <v>78.004970628106648</v>
      </c>
      <c r="J19" s="138" t="s">
        <v>39</v>
      </c>
      <c r="K19" s="139"/>
      <c r="L19" s="22">
        <v>651</v>
      </c>
      <c r="M19" s="47">
        <v>1695</v>
      </c>
      <c r="N19" s="22">
        <v>3239</v>
      </c>
      <c r="O19" s="63">
        <f>IFERROR(N19*100/M19,"")</f>
        <v>191.09144542772862</v>
      </c>
      <c r="P19" s="18">
        <f t="shared" si="4"/>
        <v>397.54224270353302</v>
      </c>
    </row>
    <row r="21" spans="2:16" ht="34.5" thickBot="1" x14ac:dyDescent="0.65">
      <c r="B21" s="85" t="s">
        <v>11</v>
      </c>
      <c r="C21" s="85"/>
      <c r="D21" s="85"/>
      <c r="E21" s="85"/>
      <c r="F21" s="85"/>
      <c r="G21" s="85"/>
      <c r="H21" s="85"/>
      <c r="I21" s="85"/>
      <c r="J21" s="85"/>
      <c r="K21" s="85"/>
    </row>
    <row r="22" spans="2:16" ht="67.900000000000006" customHeight="1" x14ac:dyDescent="0.6">
      <c r="B22" s="106" t="s">
        <v>32</v>
      </c>
      <c r="C22" s="107"/>
      <c r="D22" s="107" t="s">
        <v>35</v>
      </c>
      <c r="E22" s="107"/>
      <c r="F22" s="87" t="s">
        <v>33</v>
      </c>
      <c r="G22" s="88"/>
      <c r="H22" s="87" t="s">
        <v>34</v>
      </c>
      <c r="I22" s="88"/>
      <c r="J22" s="56" t="s">
        <v>12</v>
      </c>
      <c r="K22" s="31" t="s">
        <v>13</v>
      </c>
    </row>
    <row r="23" spans="2:16" ht="42.6" customHeight="1" x14ac:dyDescent="0.6">
      <c r="B23" s="122" t="s">
        <v>14</v>
      </c>
      <c r="C23" s="123"/>
      <c r="D23" s="83">
        <v>463426</v>
      </c>
      <c r="E23" s="83">
        <f>SUMIFS('[8]جدول فروش خدمات'!$U$25:$FT$25,'[8]جدول فروش خدمات'!$U$1:$FT$1,J21,'[8]جدول فروش خدمات'!$U$26:$FT$26,1)</f>
        <v>0</v>
      </c>
      <c r="F23" s="81">
        <v>615028</v>
      </c>
      <c r="G23" s="81">
        <f>SUMIFS('[8]جدول فروش خدمات'!$U$25:$FT$25,'[8]جدول فروش خدمات'!$U$1:$FT$1,K21,'[8]جدول فروش خدمات'!$U$26:$FT$26,2)</f>
        <v>0</v>
      </c>
      <c r="H23" s="83">
        <v>839456</v>
      </c>
      <c r="I23" s="83">
        <f>SUMIFS('[8]جدول فروش خدمات'!$U$25:$FT$25,'[8]جدول فروش خدمات'!$U$1:$FT$1,L21,'[8]جدول فروش خدمات'!$U$26:$FT$26,3)</f>
        <v>0</v>
      </c>
      <c r="J23" s="59">
        <f>IFERROR(H23*100/F23,"")</f>
        <v>136.49069635853976</v>
      </c>
      <c r="K23" s="54">
        <f>IFERROR((H23-D23)*100/ABS(D23),"")</f>
        <v>81.141325691696196</v>
      </c>
    </row>
    <row r="24" spans="2:16" ht="42.6" customHeight="1" x14ac:dyDescent="0.6">
      <c r="B24" s="130" t="s">
        <v>15</v>
      </c>
      <c r="C24" s="131"/>
      <c r="D24" s="86">
        <v>-234961</v>
      </c>
      <c r="E24" s="86">
        <v>-234961</v>
      </c>
      <c r="F24" s="89">
        <v>-382929</v>
      </c>
      <c r="G24" s="89">
        <v>-382929</v>
      </c>
      <c r="H24" s="86">
        <v>-368311</v>
      </c>
      <c r="I24" s="86">
        <v>-368311</v>
      </c>
      <c r="J24" s="59">
        <f t="shared" ref="J24:J32" si="5">IFERROR(H24*100/F24,"")</f>
        <v>96.182582149693545</v>
      </c>
      <c r="K24" s="55">
        <f t="shared" ref="K24:K32" si="6">IFERROR((H24-D24)*100/ABS(D24),"")</f>
        <v>-56.754099616532102</v>
      </c>
    </row>
    <row r="25" spans="2:16" ht="42.6" customHeight="1" x14ac:dyDescent="0.6">
      <c r="B25" s="118" t="s">
        <v>16</v>
      </c>
      <c r="C25" s="119"/>
      <c r="D25" s="83">
        <f t="shared" ref="D25:I25" si="7">SUM(D23:D24)</f>
        <v>228465</v>
      </c>
      <c r="E25" s="83">
        <f t="shared" si="7"/>
        <v>-234961</v>
      </c>
      <c r="F25" s="81">
        <f t="shared" si="7"/>
        <v>232099</v>
      </c>
      <c r="G25" s="81">
        <f t="shared" si="7"/>
        <v>-382929</v>
      </c>
      <c r="H25" s="83">
        <f t="shared" si="7"/>
        <v>471145</v>
      </c>
      <c r="I25" s="83">
        <f t="shared" si="7"/>
        <v>-368311</v>
      </c>
      <c r="J25" s="59">
        <f t="shared" si="5"/>
        <v>202.99311931546453</v>
      </c>
      <c r="K25" s="54">
        <f t="shared" si="6"/>
        <v>106.22195959993873</v>
      </c>
    </row>
    <row r="26" spans="2:16" ht="42.6" customHeight="1" x14ac:dyDescent="0.6">
      <c r="B26" s="130" t="s">
        <v>17</v>
      </c>
      <c r="C26" s="131"/>
      <c r="D26" s="86">
        <v>-10136</v>
      </c>
      <c r="E26" s="86">
        <v>-10136</v>
      </c>
      <c r="F26" s="89">
        <v>-19732</v>
      </c>
      <c r="G26" s="89">
        <v>-19732</v>
      </c>
      <c r="H26" s="86">
        <v>-44738</v>
      </c>
      <c r="I26" s="86">
        <v>-44738</v>
      </c>
      <c r="J26" s="59">
        <f t="shared" si="5"/>
        <v>226.72815730792621</v>
      </c>
      <c r="K26" s="55">
        <f t="shared" si="6"/>
        <v>-341.3772691397001</v>
      </c>
    </row>
    <row r="27" spans="2:16" ht="42.6" customHeight="1" x14ac:dyDescent="0.6">
      <c r="B27" s="122" t="s">
        <v>18</v>
      </c>
      <c r="C27" s="123"/>
      <c r="D27" s="83">
        <f>179348+18355</f>
        <v>197703</v>
      </c>
      <c r="E27" s="83">
        <f>179348+18355</f>
        <v>197703</v>
      </c>
      <c r="F27" s="81">
        <v>196847</v>
      </c>
      <c r="G27" s="81">
        <v>196847</v>
      </c>
      <c r="H27" s="83">
        <f>326274+34754</f>
        <v>361028</v>
      </c>
      <c r="I27" s="83">
        <f>326274+34754</f>
        <v>361028</v>
      </c>
      <c r="J27" s="59">
        <f t="shared" si="5"/>
        <v>183.40538590885308</v>
      </c>
      <c r="K27" s="54">
        <f t="shared" si="6"/>
        <v>82.61129067338382</v>
      </c>
    </row>
    <row r="28" spans="2:16" ht="42.6" customHeight="1" x14ac:dyDescent="0.6">
      <c r="B28" s="116" t="s">
        <v>19</v>
      </c>
      <c r="C28" s="117"/>
      <c r="D28" s="83"/>
      <c r="E28" s="83"/>
      <c r="F28" s="81"/>
      <c r="G28" s="81"/>
      <c r="H28" s="83"/>
      <c r="I28" s="83"/>
      <c r="J28" s="59" t="str">
        <f t="shared" si="5"/>
        <v/>
      </c>
      <c r="K28" s="54" t="str">
        <f t="shared" si="6"/>
        <v/>
      </c>
    </row>
    <row r="29" spans="2:16" ht="42.6" customHeight="1" x14ac:dyDescent="0.6">
      <c r="B29" s="118" t="s">
        <v>20</v>
      </c>
      <c r="C29" s="119"/>
      <c r="D29" s="83">
        <v>416032</v>
      </c>
      <c r="E29" s="83"/>
      <c r="F29" s="81">
        <v>409214</v>
      </c>
      <c r="G29" s="81"/>
      <c r="H29" s="83">
        <v>787435</v>
      </c>
      <c r="I29" s="83"/>
      <c r="J29" s="59">
        <f t="shared" si="5"/>
        <v>192.42621220192856</v>
      </c>
      <c r="K29" s="54">
        <f t="shared" si="6"/>
        <v>89.272700176909467</v>
      </c>
    </row>
    <row r="30" spans="2:16" ht="42.6" customHeight="1" x14ac:dyDescent="0.6">
      <c r="B30" s="120" t="s">
        <v>21</v>
      </c>
      <c r="C30" s="121"/>
      <c r="D30" s="83"/>
      <c r="E30" s="83"/>
      <c r="F30" s="81"/>
      <c r="G30" s="81"/>
      <c r="H30" s="83"/>
      <c r="I30" s="83"/>
      <c r="J30" s="59" t="str">
        <f t="shared" si="5"/>
        <v/>
      </c>
      <c r="K30" s="54" t="str">
        <f t="shared" si="6"/>
        <v/>
      </c>
    </row>
    <row r="31" spans="2:16" ht="42.6" customHeight="1" x14ac:dyDescent="0.6">
      <c r="B31" s="122" t="s">
        <v>22</v>
      </c>
      <c r="C31" s="123"/>
      <c r="D31" s="83">
        <v>1</v>
      </c>
      <c r="E31" s="83"/>
      <c r="F31" s="81">
        <v>1</v>
      </c>
      <c r="G31" s="81"/>
      <c r="H31" s="83"/>
      <c r="I31" s="83"/>
      <c r="J31" s="59">
        <f t="shared" si="5"/>
        <v>0</v>
      </c>
      <c r="K31" s="55">
        <f t="shared" si="6"/>
        <v>-100</v>
      </c>
    </row>
    <row r="32" spans="2:16" ht="42.6" customHeight="1" thickBot="1" x14ac:dyDescent="0.65">
      <c r="B32" s="124" t="s">
        <v>23</v>
      </c>
      <c r="C32" s="125"/>
      <c r="D32" s="84">
        <v>416032</v>
      </c>
      <c r="E32" s="84"/>
      <c r="F32" s="82">
        <v>409215</v>
      </c>
      <c r="G32" s="82"/>
      <c r="H32" s="84">
        <v>787435</v>
      </c>
      <c r="I32" s="84"/>
      <c r="J32" s="59">
        <f t="shared" si="5"/>
        <v>192.4257419693804</v>
      </c>
      <c r="K32" s="54">
        <f t="shared" si="6"/>
        <v>89.272700176909467</v>
      </c>
    </row>
    <row r="33" spans="2:17" ht="27.6" customHeight="1" x14ac:dyDescent="0.6"/>
    <row r="34" spans="2:17" ht="34.5" thickBot="1" x14ac:dyDescent="0.65">
      <c r="B34" s="85" t="s">
        <v>24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</row>
    <row r="35" spans="2:17" ht="52.5" customHeight="1" x14ac:dyDescent="0.6">
      <c r="B35" s="140" t="s">
        <v>25</v>
      </c>
      <c r="C35" s="141"/>
      <c r="D35" s="87" t="s">
        <v>35</v>
      </c>
      <c r="E35" s="135"/>
      <c r="F35" s="135"/>
      <c r="G35" s="88"/>
      <c r="H35" s="87" t="s">
        <v>33</v>
      </c>
      <c r="I35" s="135"/>
      <c r="J35" s="135"/>
      <c r="K35" s="88"/>
      <c r="L35" s="87" t="s">
        <v>34</v>
      </c>
      <c r="M35" s="135"/>
      <c r="N35" s="135"/>
      <c r="O35" s="88"/>
      <c r="P35" s="56" t="s">
        <v>26</v>
      </c>
      <c r="Q35" s="31" t="s">
        <v>27</v>
      </c>
    </row>
    <row r="36" spans="2:17" ht="52.5" customHeight="1" x14ac:dyDescent="0.6">
      <c r="B36" s="142"/>
      <c r="C36" s="143"/>
      <c r="D36" s="35" t="s">
        <v>42</v>
      </c>
      <c r="E36" s="35" t="s">
        <v>43</v>
      </c>
      <c r="F36" s="35" t="s">
        <v>44</v>
      </c>
      <c r="G36" s="35" t="s">
        <v>30</v>
      </c>
      <c r="H36" s="35" t="s">
        <v>42</v>
      </c>
      <c r="I36" s="35" t="s">
        <v>43</v>
      </c>
      <c r="J36" s="35" t="s">
        <v>44</v>
      </c>
      <c r="K36" s="35" t="s">
        <v>30</v>
      </c>
      <c r="L36" s="35" t="s">
        <v>42</v>
      </c>
      <c r="M36" s="35" t="s">
        <v>43</v>
      </c>
      <c r="N36" s="35" t="s">
        <v>44</v>
      </c>
      <c r="O36" s="35" t="s">
        <v>30</v>
      </c>
      <c r="P36" s="35" t="s">
        <v>30</v>
      </c>
      <c r="Q36" s="38" t="s">
        <v>30</v>
      </c>
    </row>
    <row r="37" spans="2:17" ht="36" customHeight="1" x14ac:dyDescent="0.6">
      <c r="B37" s="126" t="s">
        <v>28</v>
      </c>
      <c r="C37" s="127"/>
      <c r="D37" s="36"/>
      <c r="E37" s="36">
        <v>24</v>
      </c>
      <c r="F37" s="36">
        <v>7</v>
      </c>
      <c r="G37" s="40">
        <f>SUM(E37:F37)</f>
        <v>31</v>
      </c>
      <c r="H37" s="37"/>
      <c r="I37" s="36">
        <v>24</v>
      </c>
      <c r="J37" s="36">
        <v>39</v>
      </c>
      <c r="K37" s="40">
        <f>SUM(I37:J37)</f>
        <v>63</v>
      </c>
      <c r="L37" s="37"/>
      <c r="M37" s="37">
        <v>23</v>
      </c>
      <c r="N37" s="36">
        <v>13</v>
      </c>
      <c r="O37" s="40">
        <f>SUM(M37:N37)</f>
        <v>36</v>
      </c>
      <c r="P37" s="40">
        <f>O37*100/K37</f>
        <v>57.142857142857146</v>
      </c>
      <c r="Q37" s="42">
        <f>O37*100/G37</f>
        <v>116.12903225806451</v>
      </c>
    </row>
    <row r="38" spans="2:17" ht="36" customHeight="1" x14ac:dyDescent="0.6">
      <c r="B38" s="126" t="s">
        <v>29</v>
      </c>
      <c r="C38" s="127"/>
      <c r="D38" s="36"/>
      <c r="E38" s="36">
        <v>2</v>
      </c>
      <c r="F38" s="36">
        <v>1</v>
      </c>
      <c r="G38" s="40">
        <f>SUM(E38:F38)</f>
        <v>3</v>
      </c>
      <c r="H38" s="37"/>
      <c r="I38" s="36">
        <v>2</v>
      </c>
      <c r="J38" s="36">
        <v>2</v>
      </c>
      <c r="K38" s="40">
        <f>SUM(I38:J38)</f>
        <v>4</v>
      </c>
      <c r="L38" s="37"/>
      <c r="M38" s="37">
        <v>3</v>
      </c>
      <c r="N38" s="36">
        <v>1</v>
      </c>
      <c r="O38" s="40">
        <f>SUM(M38:N38)</f>
        <v>4</v>
      </c>
      <c r="P38" s="40">
        <f t="shared" ref="P38:P39" si="8">O38*100/K38</f>
        <v>100</v>
      </c>
      <c r="Q38" s="42">
        <f t="shared" ref="Q38:Q39" si="9">O38*100/G38</f>
        <v>133.33333333333334</v>
      </c>
    </row>
    <row r="39" spans="2:17" ht="36" customHeight="1" thickBot="1" x14ac:dyDescent="0.65">
      <c r="B39" s="128" t="s">
        <v>30</v>
      </c>
      <c r="C39" s="129"/>
      <c r="D39" s="39"/>
      <c r="E39" s="39">
        <f>SUM(E37:E38)</f>
        <v>26</v>
      </c>
      <c r="F39" s="39">
        <f>SUM(F37:F38)</f>
        <v>8</v>
      </c>
      <c r="G39" s="39">
        <f t="shared" ref="G39:O39" si="10">SUM(G37:G38)</f>
        <v>34</v>
      </c>
      <c r="H39" s="39">
        <f t="shared" si="10"/>
        <v>0</v>
      </c>
      <c r="I39" s="39">
        <f t="shared" si="10"/>
        <v>26</v>
      </c>
      <c r="J39" s="39">
        <f t="shared" si="10"/>
        <v>41</v>
      </c>
      <c r="K39" s="39">
        <f t="shared" si="10"/>
        <v>67</v>
      </c>
      <c r="L39" s="39">
        <f t="shared" si="10"/>
        <v>0</v>
      </c>
      <c r="M39" s="39">
        <f t="shared" si="10"/>
        <v>26</v>
      </c>
      <c r="N39" s="39">
        <f t="shared" si="10"/>
        <v>14</v>
      </c>
      <c r="O39" s="39">
        <f t="shared" si="10"/>
        <v>40</v>
      </c>
      <c r="P39" s="40">
        <f t="shared" si="8"/>
        <v>59.701492537313435</v>
      </c>
      <c r="Q39" s="42">
        <f t="shared" si="9"/>
        <v>117.64705882352941</v>
      </c>
    </row>
    <row r="41" spans="2:17" s="21" customFormat="1" ht="21" x14ac:dyDescent="0.55000000000000004">
      <c r="B41" s="105"/>
      <c r="C41" s="105"/>
      <c r="D41" s="105"/>
      <c r="E41" s="105"/>
      <c r="F41" s="105"/>
      <c r="G41" s="105"/>
      <c r="H41" s="105"/>
    </row>
  </sheetData>
  <mergeCells count="81">
    <mergeCell ref="B12:H12"/>
    <mergeCell ref="J12:P12"/>
    <mergeCell ref="B13:C13"/>
    <mergeCell ref="B1:P1"/>
    <mergeCell ref="B3:H3"/>
    <mergeCell ref="J3:P3"/>
    <mergeCell ref="B4:B9"/>
    <mergeCell ref="C4:C5"/>
    <mergeCell ref="D4:F4"/>
    <mergeCell ref="H4:H5"/>
    <mergeCell ref="J4:J9"/>
    <mergeCell ref="K4:K5"/>
    <mergeCell ref="L4:N4"/>
    <mergeCell ref="P4:P5"/>
    <mergeCell ref="B15:C15"/>
    <mergeCell ref="B18:C18"/>
    <mergeCell ref="J13:K13"/>
    <mergeCell ref="J15:K15"/>
    <mergeCell ref="B16:C16"/>
    <mergeCell ref="J16:K16"/>
    <mergeCell ref="B17:C17"/>
    <mergeCell ref="J17:K17"/>
    <mergeCell ref="B14:C14"/>
    <mergeCell ref="J14:K14"/>
    <mergeCell ref="J18:K18"/>
    <mergeCell ref="B19:C19"/>
    <mergeCell ref="J19:K19"/>
    <mergeCell ref="B21:K21"/>
    <mergeCell ref="B23:C23"/>
    <mergeCell ref="D23:E23"/>
    <mergeCell ref="F23:G23"/>
    <mergeCell ref="H23:I23"/>
    <mergeCell ref="B22:C22"/>
    <mergeCell ref="D22:E22"/>
    <mergeCell ref="F22:G22"/>
    <mergeCell ref="H22:I22"/>
    <mergeCell ref="B24:C24"/>
    <mergeCell ref="D24:E24"/>
    <mergeCell ref="F24:G24"/>
    <mergeCell ref="H24:I24"/>
    <mergeCell ref="B25:C25"/>
    <mergeCell ref="D25:E25"/>
    <mergeCell ref="F25:G25"/>
    <mergeCell ref="H25:I25"/>
    <mergeCell ref="B26:C26"/>
    <mergeCell ref="D26:E26"/>
    <mergeCell ref="F26:G26"/>
    <mergeCell ref="H26:I26"/>
    <mergeCell ref="B27:C27"/>
    <mergeCell ref="D27:E27"/>
    <mergeCell ref="F27:G27"/>
    <mergeCell ref="H27:I27"/>
    <mergeCell ref="B28:C28"/>
    <mergeCell ref="D28:E28"/>
    <mergeCell ref="F28:G28"/>
    <mergeCell ref="H28:I28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8:C38"/>
    <mergeCell ref="B39:C39"/>
    <mergeCell ref="B41:H41"/>
    <mergeCell ref="B34:Q34"/>
    <mergeCell ref="B35:C36"/>
    <mergeCell ref="D35:G35"/>
    <mergeCell ref="H35:K35"/>
    <mergeCell ref="L35:O35"/>
    <mergeCell ref="B37:C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B8D9-F086-4056-BAF1-303BF222E716}">
  <dimension ref="B1:Q41"/>
  <sheetViews>
    <sheetView rightToLeft="1" topLeftCell="A22" zoomScale="70" zoomScaleNormal="70" workbookViewId="0">
      <selection activeCell="P37" sqref="P37:Q39"/>
    </sheetView>
  </sheetViews>
  <sheetFormatPr defaultColWidth="9" defaultRowHeight="24" x14ac:dyDescent="0.6"/>
  <cols>
    <col min="1" max="1" width="8.140625" style="1" customWidth="1"/>
    <col min="2" max="16" width="16.5703125" style="1" customWidth="1"/>
    <col min="17" max="17" width="16.42578125" style="1" customWidth="1"/>
    <col min="18" max="18" width="2.42578125" style="1" customWidth="1"/>
    <col min="19" max="16384" width="9" style="1"/>
  </cols>
  <sheetData>
    <row r="1" spans="2:16" ht="42.75" x14ac:dyDescent="0.6">
      <c r="B1" s="104" t="s">
        <v>52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2:16" x14ac:dyDescent="0.6">
      <c r="B2" s="2"/>
      <c r="C2" s="2"/>
      <c r="D2" s="2"/>
      <c r="E2" s="2"/>
      <c r="F2" s="2"/>
      <c r="G2" s="2"/>
      <c r="H2" s="2"/>
    </row>
    <row r="3" spans="2:16" ht="34.5" thickBot="1" x14ac:dyDescent="0.65">
      <c r="B3" s="85" t="s">
        <v>0</v>
      </c>
      <c r="C3" s="85"/>
      <c r="D3" s="85"/>
      <c r="E3" s="85"/>
      <c r="F3" s="85"/>
      <c r="G3" s="85"/>
      <c r="H3" s="85"/>
      <c r="J3" s="85" t="s">
        <v>0</v>
      </c>
      <c r="K3" s="85"/>
      <c r="L3" s="85"/>
      <c r="M3" s="85"/>
      <c r="N3" s="85"/>
      <c r="O3" s="85"/>
      <c r="P3" s="85"/>
    </row>
    <row r="4" spans="2:16" ht="36" customHeight="1" x14ac:dyDescent="0.6">
      <c r="B4" s="94" t="s">
        <v>1</v>
      </c>
      <c r="C4" s="97" t="s">
        <v>31</v>
      </c>
      <c r="D4" s="99" t="s">
        <v>2</v>
      </c>
      <c r="E4" s="100"/>
      <c r="F4" s="101"/>
      <c r="G4" s="28" t="s">
        <v>3</v>
      </c>
      <c r="H4" s="102" t="s">
        <v>4</v>
      </c>
      <c r="J4" s="132" t="s">
        <v>10</v>
      </c>
      <c r="K4" s="97" t="s">
        <v>31</v>
      </c>
      <c r="L4" s="99" t="s">
        <v>2</v>
      </c>
      <c r="M4" s="100"/>
      <c r="N4" s="101"/>
      <c r="O4" s="28" t="s">
        <v>3</v>
      </c>
      <c r="P4" s="102" t="s">
        <v>4</v>
      </c>
    </row>
    <row r="5" spans="2:16" ht="36" customHeight="1" thickBot="1" x14ac:dyDescent="0.65">
      <c r="B5" s="95"/>
      <c r="C5" s="98"/>
      <c r="D5" s="29" t="s">
        <v>35</v>
      </c>
      <c r="E5" s="29" t="s">
        <v>33</v>
      </c>
      <c r="F5" s="29" t="s">
        <v>34</v>
      </c>
      <c r="G5" s="30" t="s">
        <v>5</v>
      </c>
      <c r="H5" s="103"/>
      <c r="J5" s="133"/>
      <c r="K5" s="98"/>
      <c r="L5" s="29" t="s">
        <v>35</v>
      </c>
      <c r="M5" s="29" t="s">
        <v>33</v>
      </c>
      <c r="N5" s="29" t="s">
        <v>34</v>
      </c>
      <c r="O5" s="30" t="s">
        <v>5</v>
      </c>
      <c r="P5" s="103"/>
    </row>
    <row r="6" spans="2:16" ht="36" customHeight="1" x14ac:dyDescent="0.6">
      <c r="B6" s="95"/>
      <c r="C6" s="3" t="s">
        <v>6</v>
      </c>
      <c r="D6" s="4">
        <v>4848</v>
      </c>
      <c r="E6" s="43">
        <v>3225</v>
      </c>
      <c r="F6" s="5">
        <v>5114</v>
      </c>
      <c r="G6" s="6">
        <f>F6/E6*100</f>
        <v>158.57364341085272</v>
      </c>
      <c r="H6" s="7"/>
      <c r="J6" s="133"/>
      <c r="K6" s="3" t="s">
        <v>6</v>
      </c>
      <c r="L6" s="5"/>
      <c r="M6" s="43"/>
      <c r="N6" s="5"/>
      <c r="O6" s="6" t="e">
        <f>N6/M6*100</f>
        <v>#DIV/0!</v>
      </c>
      <c r="P6" s="7"/>
    </row>
    <row r="7" spans="2:16" ht="36" customHeight="1" x14ac:dyDescent="0.6">
      <c r="B7" s="95"/>
      <c r="C7" s="8" t="s">
        <v>7</v>
      </c>
      <c r="D7" s="9">
        <v>10826</v>
      </c>
      <c r="E7" s="44">
        <v>5774</v>
      </c>
      <c r="F7" s="9">
        <v>6401</v>
      </c>
      <c r="G7" s="6">
        <f t="shared" ref="G7" si="0">F7/E7*100</f>
        <v>110.85902320748183</v>
      </c>
      <c r="H7" s="10"/>
      <c r="J7" s="133"/>
      <c r="K7" s="8" t="s">
        <v>7</v>
      </c>
      <c r="L7" s="9"/>
      <c r="M7" s="44"/>
      <c r="N7" s="9"/>
      <c r="O7" s="6" t="e">
        <f t="shared" ref="O7:O9" si="1">N7/M7*100</f>
        <v>#DIV/0!</v>
      </c>
      <c r="P7" s="10"/>
    </row>
    <row r="8" spans="2:16" ht="36" customHeight="1" x14ac:dyDescent="0.6">
      <c r="B8" s="95"/>
      <c r="C8" s="11" t="s">
        <v>8</v>
      </c>
      <c r="D8" s="9">
        <v>1</v>
      </c>
      <c r="E8" s="44"/>
      <c r="F8" s="9"/>
      <c r="G8" s="6"/>
      <c r="H8" s="10"/>
      <c r="J8" s="133"/>
      <c r="K8" s="11" t="s">
        <v>8</v>
      </c>
      <c r="L8" s="9"/>
      <c r="M8" s="44"/>
      <c r="N8" s="9"/>
      <c r="O8" s="6" t="e">
        <f t="shared" si="1"/>
        <v>#DIV/0!</v>
      </c>
      <c r="P8" s="10"/>
    </row>
    <row r="9" spans="2:16" ht="36" customHeight="1" thickBot="1" x14ac:dyDescent="0.65">
      <c r="B9" s="96"/>
      <c r="C9" s="12" t="s">
        <v>9</v>
      </c>
      <c r="D9" s="13"/>
      <c r="E9" s="45"/>
      <c r="F9" s="13"/>
      <c r="G9" s="57"/>
      <c r="H9" s="14"/>
      <c r="J9" s="134"/>
      <c r="K9" s="12" t="s">
        <v>9</v>
      </c>
      <c r="L9" s="13"/>
      <c r="M9" s="46"/>
      <c r="N9" s="13"/>
      <c r="O9" s="57" t="e">
        <f t="shared" si="1"/>
        <v>#DIV/0!</v>
      </c>
      <c r="P9" s="14"/>
    </row>
    <row r="10" spans="2:16" ht="16.5" customHeight="1" x14ac:dyDescent="0.6"/>
    <row r="12" spans="2:16" ht="34.5" thickBot="1" x14ac:dyDescent="0.65">
      <c r="B12" s="85" t="s">
        <v>45</v>
      </c>
      <c r="C12" s="85"/>
      <c r="D12" s="85"/>
      <c r="E12" s="85"/>
      <c r="F12" s="85"/>
      <c r="G12" s="85"/>
      <c r="H12" s="85"/>
      <c r="J12" s="85" t="s">
        <v>46</v>
      </c>
      <c r="K12" s="85"/>
      <c r="L12" s="85"/>
      <c r="M12" s="85"/>
      <c r="N12" s="85"/>
      <c r="O12" s="85"/>
      <c r="P12" s="85"/>
    </row>
    <row r="13" spans="2:16" ht="67.900000000000006" customHeight="1" x14ac:dyDescent="0.6">
      <c r="B13" s="106" t="s">
        <v>40</v>
      </c>
      <c r="C13" s="107"/>
      <c r="D13" s="56" t="s">
        <v>35</v>
      </c>
      <c r="E13" s="56" t="s">
        <v>33</v>
      </c>
      <c r="F13" s="56" t="s">
        <v>34</v>
      </c>
      <c r="G13" s="56" t="s">
        <v>12</v>
      </c>
      <c r="H13" s="56" t="s">
        <v>13</v>
      </c>
      <c r="J13" s="106" t="s">
        <v>41</v>
      </c>
      <c r="K13" s="107"/>
      <c r="L13" s="56" t="s">
        <v>35</v>
      </c>
      <c r="M13" s="56" t="s">
        <v>33</v>
      </c>
      <c r="N13" s="56" t="s">
        <v>34</v>
      </c>
      <c r="O13" s="56" t="s">
        <v>12</v>
      </c>
      <c r="P13" s="56" t="s">
        <v>13</v>
      </c>
    </row>
    <row r="14" spans="2:16" ht="42.6" customHeight="1" x14ac:dyDescent="0.6">
      <c r="B14" s="108" t="s">
        <v>36</v>
      </c>
      <c r="C14" s="109"/>
      <c r="D14" s="22">
        <v>90223</v>
      </c>
      <c r="E14" s="47">
        <v>78185</v>
      </c>
      <c r="F14" s="22">
        <v>147424</v>
      </c>
      <c r="G14" s="63">
        <f>IFERROR(F14*100/E14,"")</f>
        <v>188.55790752701924</v>
      </c>
      <c r="H14" s="18">
        <f>IFERROR((F14-D14)*100/D14,"")</f>
        <v>63.399576604635179</v>
      </c>
      <c r="J14" s="108" t="s">
        <v>36</v>
      </c>
      <c r="K14" s="109"/>
      <c r="L14" s="22"/>
      <c r="M14" s="47"/>
      <c r="N14" s="22"/>
      <c r="O14" s="15"/>
      <c r="P14" s="16"/>
    </row>
    <row r="15" spans="2:16" ht="42.6" customHeight="1" x14ac:dyDescent="0.6">
      <c r="B15" s="110" t="s">
        <v>37</v>
      </c>
      <c r="C15" s="111"/>
      <c r="D15" s="22">
        <v>24587</v>
      </c>
      <c r="E15" s="47">
        <v>18793</v>
      </c>
      <c r="F15" s="22">
        <v>21518</v>
      </c>
      <c r="G15" s="63">
        <f t="shared" ref="G15:G19" si="2">IFERROR(F15*100/E15,"")</f>
        <v>114.50007981695312</v>
      </c>
      <c r="H15" s="18">
        <f t="shared" ref="H15:H19" si="3">IFERROR((F15-D15)*100/D15,"")</f>
        <v>-12.482206043844307</v>
      </c>
      <c r="J15" s="110" t="s">
        <v>37</v>
      </c>
      <c r="K15" s="111"/>
      <c r="L15" s="23"/>
      <c r="M15" s="48"/>
      <c r="N15" s="23"/>
      <c r="O15" s="17"/>
      <c r="P15" s="18"/>
    </row>
    <row r="16" spans="2:16" ht="42.6" customHeight="1" x14ac:dyDescent="0.6">
      <c r="B16" s="112" t="s">
        <v>8</v>
      </c>
      <c r="C16" s="113"/>
      <c r="D16" s="22"/>
      <c r="E16" s="47"/>
      <c r="F16" s="22"/>
      <c r="G16" s="63" t="str">
        <f t="shared" si="2"/>
        <v/>
      </c>
      <c r="H16" s="18" t="str">
        <f t="shared" si="3"/>
        <v/>
      </c>
      <c r="J16" s="112" t="s">
        <v>8</v>
      </c>
      <c r="K16" s="113"/>
      <c r="L16" s="24"/>
      <c r="M16" s="49"/>
      <c r="N16" s="24"/>
      <c r="O16" s="17"/>
      <c r="P16" s="18"/>
    </row>
    <row r="17" spans="2:16" ht="42.6" customHeight="1" x14ac:dyDescent="0.6">
      <c r="B17" s="114" t="s">
        <v>9</v>
      </c>
      <c r="C17" s="115"/>
      <c r="D17" s="22"/>
      <c r="E17" s="47"/>
      <c r="F17" s="22"/>
      <c r="G17" s="63" t="str">
        <f t="shared" si="2"/>
        <v/>
      </c>
      <c r="H17" s="18" t="str">
        <f t="shared" si="3"/>
        <v/>
      </c>
      <c r="J17" s="114" t="s">
        <v>9</v>
      </c>
      <c r="K17" s="115"/>
      <c r="L17" s="25"/>
      <c r="M17" s="50"/>
      <c r="N17" s="25"/>
      <c r="O17" s="17"/>
      <c r="P17" s="18"/>
    </row>
    <row r="18" spans="2:16" ht="42.6" customHeight="1" x14ac:dyDescent="0.6">
      <c r="B18" s="136" t="s">
        <v>38</v>
      </c>
      <c r="C18" s="137"/>
      <c r="D18" s="22">
        <v>1149</v>
      </c>
      <c r="E18" s="47">
        <v>1254</v>
      </c>
      <c r="F18" s="22">
        <v>1948</v>
      </c>
      <c r="G18" s="63">
        <f>IFERROR(F18*100/E18,"")</f>
        <v>155.34290271132377</v>
      </c>
      <c r="H18" s="18">
        <f t="shared" si="3"/>
        <v>69.538729329852046</v>
      </c>
      <c r="J18" s="136" t="s">
        <v>38</v>
      </c>
      <c r="K18" s="137"/>
      <c r="L18" s="32"/>
      <c r="M18" s="51"/>
      <c r="N18" s="26"/>
      <c r="O18" s="17"/>
      <c r="P18" s="18"/>
    </row>
    <row r="19" spans="2:16" ht="42.6" customHeight="1" thickBot="1" x14ac:dyDescent="0.65">
      <c r="B19" s="138" t="s">
        <v>39</v>
      </c>
      <c r="C19" s="139"/>
      <c r="D19" s="22">
        <v>6556</v>
      </c>
      <c r="E19" s="47">
        <v>9762</v>
      </c>
      <c r="F19" s="22">
        <v>24779</v>
      </c>
      <c r="G19" s="63">
        <f t="shared" si="2"/>
        <v>253.83118213480844</v>
      </c>
      <c r="H19" s="18">
        <f t="shared" si="3"/>
        <v>277.95912141549724</v>
      </c>
      <c r="J19" s="138" t="s">
        <v>39</v>
      </c>
      <c r="K19" s="139"/>
      <c r="L19" s="27"/>
      <c r="M19" s="52"/>
      <c r="N19" s="27"/>
      <c r="O19" s="19"/>
      <c r="P19" s="20"/>
    </row>
    <row r="21" spans="2:16" ht="34.5" thickBot="1" x14ac:dyDescent="0.65">
      <c r="B21" s="85" t="s">
        <v>11</v>
      </c>
      <c r="C21" s="85"/>
      <c r="D21" s="85"/>
      <c r="E21" s="85"/>
      <c r="F21" s="85"/>
      <c r="G21" s="85"/>
      <c r="H21" s="85"/>
      <c r="I21" s="85"/>
      <c r="J21" s="85"/>
      <c r="K21" s="85"/>
    </row>
    <row r="22" spans="2:16" ht="67.900000000000006" customHeight="1" x14ac:dyDescent="0.6">
      <c r="B22" s="106" t="s">
        <v>32</v>
      </c>
      <c r="C22" s="107"/>
      <c r="D22" s="107" t="s">
        <v>35</v>
      </c>
      <c r="E22" s="107"/>
      <c r="F22" s="87" t="s">
        <v>33</v>
      </c>
      <c r="G22" s="88"/>
      <c r="H22" s="87" t="s">
        <v>34</v>
      </c>
      <c r="I22" s="88"/>
      <c r="J22" s="56" t="s">
        <v>12</v>
      </c>
      <c r="K22" s="31" t="s">
        <v>13</v>
      </c>
    </row>
    <row r="23" spans="2:16" ht="42.6" customHeight="1" x14ac:dyDescent="0.6">
      <c r="B23" s="122" t="s">
        <v>14</v>
      </c>
      <c r="C23" s="123"/>
      <c r="D23" s="83">
        <v>115959</v>
      </c>
      <c r="E23" s="83">
        <f>SUMIFS('[8]جدول فروش خدمات'!$U$25:$FT$25,'[8]جدول فروش خدمات'!$U$1:$FT$1,J21,'[8]جدول فروش خدمات'!$U$26:$FT$26,1)</f>
        <v>0</v>
      </c>
      <c r="F23" s="81">
        <v>98232</v>
      </c>
      <c r="G23" s="81">
        <f>SUMIFS('[8]جدول فروش خدمات'!$U$25:$FT$25,'[8]جدول فروش خدمات'!$U$1:$FT$1,K21,'[8]جدول فروش خدمات'!$U$26:$FT$26,2)</f>
        <v>0</v>
      </c>
      <c r="H23" s="83">
        <v>170890</v>
      </c>
      <c r="I23" s="83">
        <f>SUMIFS('[8]جدول فروش خدمات'!$U$25:$FT$25,'[8]جدول فروش خدمات'!$U$1:$FT$1,L21,'[8]جدول فروش خدمات'!$U$26:$FT$26,3)</f>
        <v>0</v>
      </c>
      <c r="J23" s="59">
        <f>IFERROR(H23*100/F23,"")</f>
        <v>173.96571382034367</v>
      </c>
      <c r="K23" s="54">
        <f>IFERROR((H23-D23)*100/ABS(D23),"")</f>
        <v>47.371053562034859</v>
      </c>
    </row>
    <row r="24" spans="2:16" ht="42.6" customHeight="1" x14ac:dyDescent="0.6">
      <c r="B24" s="130" t="s">
        <v>15</v>
      </c>
      <c r="C24" s="131"/>
      <c r="D24" s="86">
        <v>-110499</v>
      </c>
      <c r="E24" s="86">
        <v>-110499</v>
      </c>
      <c r="F24" s="81">
        <v>-130913</v>
      </c>
      <c r="G24" s="81">
        <v>-130913</v>
      </c>
      <c r="H24" s="86">
        <v>-150415</v>
      </c>
      <c r="I24" s="86">
        <v>-150415</v>
      </c>
      <c r="J24" s="59">
        <f t="shared" ref="J24:J32" si="4">IFERROR(H24*100/F24,"")</f>
        <v>114.89691627263907</v>
      </c>
      <c r="K24" s="55">
        <f t="shared" ref="K24:K32" si="5">IFERROR((H24-D24)*100/ABS(D24),"")</f>
        <v>-36.123403831708885</v>
      </c>
    </row>
    <row r="25" spans="2:16" ht="42.6" customHeight="1" x14ac:dyDescent="0.6">
      <c r="B25" s="118" t="s">
        <v>16</v>
      </c>
      <c r="C25" s="119"/>
      <c r="D25" s="83">
        <f t="shared" ref="D25:I25" si="6">SUM(D23:D24)</f>
        <v>5460</v>
      </c>
      <c r="E25" s="83">
        <f t="shared" si="6"/>
        <v>-110499</v>
      </c>
      <c r="F25" s="81">
        <f t="shared" si="6"/>
        <v>-32681</v>
      </c>
      <c r="G25" s="81">
        <f t="shared" si="6"/>
        <v>-130913</v>
      </c>
      <c r="H25" s="83">
        <f t="shared" si="6"/>
        <v>20475</v>
      </c>
      <c r="I25" s="83">
        <f t="shared" si="6"/>
        <v>-150415</v>
      </c>
      <c r="J25" s="25">
        <f t="shared" si="4"/>
        <v>-62.651081668247606</v>
      </c>
      <c r="K25" s="54">
        <f t="shared" si="5"/>
        <v>275</v>
      </c>
    </row>
    <row r="26" spans="2:16" ht="42.6" customHeight="1" x14ac:dyDescent="0.6">
      <c r="B26" s="130" t="s">
        <v>17</v>
      </c>
      <c r="C26" s="131"/>
      <c r="D26" s="86">
        <v>-6</v>
      </c>
      <c r="E26" s="86">
        <v>-6</v>
      </c>
      <c r="F26" s="81">
        <v>-86</v>
      </c>
      <c r="G26" s="81">
        <v>-86</v>
      </c>
      <c r="H26" s="86">
        <v>-16</v>
      </c>
      <c r="I26" s="86">
        <v>-16</v>
      </c>
      <c r="J26" s="25">
        <f t="shared" si="4"/>
        <v>18.604651162790699</v>
      </c>
      <c r="K26" s="55">
        <f t="shared" si="5"/>
        <v>-166.66666666666666</v>
      </c>
    </row>
    <row r="27" spans="2:16" ht="42.6" customHeight="1" x14ac:dyDescent="0.6">
      <c r="B27" s="122" t="s">
        <v>18</v>
      </c>
      <c r="C27" s="123"/>
      <c r="D27" s="83">
        <f>2102+6557</f>
        <v>8659</v>
      </c>
      <c r="E27" s="83">
        <f>2102+6557</f>
        <v>8659</v>
      </c>
      <c r="F27" s="81">
        <v>11231</v>
      </c>
      <c r="G27" s="81">
        <v>11231</v>
      </c>
      <c r="H27" s="83">
        <f>3007+24780</f>
        <v>27787</v>
      </c>
      <c r="I27" s="83">
        <f>3007+24780</f>
        <v>27787</v>
      </c>
      <c r="J27" s="59">
        <f t="shared" si="4"/>
        <v>247.41340931350726</v>
      </c>
      <c r="K27" s="54">
        <f t="shared" si="5"/>
        <v>220.90310659429494</v>
      </c>
    </row>
    <row r="28" spans="2:16" ht="42.6" customHeight="1" x14ac:dyDescent="0.6">
      <c r="B28" s="116" t="s">
        <v>19</v>
      </c>
      <c r="C28" s="117"/>
      <c r="D28" s="83"/>
      <c r="E28" s="83"/>
      <c r="F28" s="81"/>
      <c r="G28" s="81"/>
      <c r="H28" s="83"/>
      <c r="I28" s="83"/>
      <c r="J28" s="59" t="str">
        <f t="shared" si="4"/>
        <v/>
      </c>
      <c r="K28" s="54" t="str">
        <f t="shared" si="5"/>
        <v/>
      </c>
    </row>
    <row r="29" spans="2:16" ht="42.6" customHeight="1" x14ac:dyDescent="0.6">
      <c r="B29" s="118" t="s">
        <v>20</v>
      </c>
      <c r="C29" s="119"/>
      <c r="D29" s="83">
        <v>14113</v>
      </c>
      <c r="E29" s="83"/>
      <c r="F29" s="89">
        <v>-21536</v>
      </c>
      <c r="G29" s="89"/>
      <c r="H29" s="83">
        <v>48246</v>
      </c>
      <c r="I29" s="83"/>
      <c r="J29" s="25">
        <f t="shared" si="4"/>
        <v>-224.02488855869242</v>
      </c>
      <c r="K29" s="54">
        <f t="shared" si="5"/>
        <v>241.85502727981293</v>
      </c>
    </row>
    <row r="30" spans="2:16" ht="42.6" customHeight="1" x14ac:dyDescent="0.6">
      <c r="B30" s="120" t="s">
        <v>21</v>
      </c>
      <c r="C30" s="121"/>
      <c r="D30" s="83"/>
      <c r="E30" s="83"/>
      <c r="F30" s="81"/>
      <c r="G30" s="81"/>
      <c r="H30" s="83"/>
      <c r="I30" s="83"/>
      <c r="J30" s="59" t="str">
        <f t="shared" si="4"/>
        <v/>
      </c>
      <c r="K30" s="54" t="str">
        <f t="shared" si="5"/>
        <v/>
      </c>
    </row>
    <row r="31" spans="2:16" ht="42.6" customHeight="1" x14ac:dyDescent="0.6">
      <c r="B31" s="122" t="s">
        <v>22</v>
      </c>
      <c r="C31" s="123"/>
      <c r="D31" s="83"/>
      <c r="E31" s="83"/>
      <c r="F31" s="81"/>
      <c r="G31" s="81"/>
      <c r="H31" s="83"/>
      <c r="I31" s="83"/>
      <c r="J31" s="59" t="str">
        <f t="shared" si="4"/>
        <v/>
      </c>
      <c r="K31" s="54" t="str">
        <f t="shared" si="5"/>
        <v/>
      </c>
    </row>
    <row r="32" spans="2:16" ht="42.6" customHeight="1" thickBot="1" x14ac:dyDescent="0.65">
      <c r="B32" s="124" t="s">
        <v>23</v>
      </c>
      <c r="C32" s="125"/>
      <c r="D32" s="84">
        <v>14113</v>
      </c>
      <c r="E32" s="84"/>
      <c r="F32" s="159">
        <v>-21536</v>
      </c>
      <c r="G32" s="159"/>
      <c r="H32" s="84">
        <v>48246</v>
      </c>
      <c r="I32" s="84"/>
      <c r="J32" s="25">
        <f t="shared" si="4"/>
        <v>-224.02488855869242</v>
      </c>
      <c r="K32" s="54">
        <f t="shared" si="5"/>
        <v>241.85502727981293</v>
      </c>
    </row>
    <row r="33" spans="2:17" ht="27.6" customHeight="1" x14ac:dyDescent="0.6"/>
    <row r="34" spans="2:17" ht="34.5" thickBot="1" x14ac:dyDescent="0.65">
      <c r="B34" s="85" t="s">
        <v>24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</row>
    <row r="35" spans="2:17" ht="52.5" customHeight="1" x14ac:dyDescent="0.6">
      <c r="B35" s="140" t="s">
        <v>25</v>
      </c>
      <c r="C35" s="141"/>
      <c r="D35" s="87" t="s">
        <v>35</v>
      </c>
      <c r="E35" s="135"/>
      <c r="F35" s="135"/>
      <c r="G35" s="88"/>
      <c r="H35" s="87" t="s">
        <v>33</v>
      </c>
      <c r="I35" s="135"/>
      <c r="J35" s="135"/>
      <c r="K35" s="88"/>
      <c r="L35" s="87" t="s">
        <v>34</v>
      </c>
      <c r="M35" s="135"/>
      <c r="N35" s="135"/>
      <c r="O35" s="88"/>
      <c r="P35" s="56" t="s">
        <v>26</v>
      </c>
      <c r="Q35" s="31" t="s">
        <v>27</v>
      </c>
    </row>
    <row r="36" spans="2:17" ht="52.5" customHeight="1" x14ac:dyDescent="0.6">
      <c r="B36" s="142"/>
      <c r="C36" s="143"/>
      <c r="D36" s="35" t="s">
        <v>42</v>
      </c>
      <c r="E36" s="35" t="s">
        <v>43</v>
      </c>
      <c r="F36" s="35" t="s">
        <v>44</v>
      </c>
      <c r="G36" s="35" t="s">
        <v>30</v>
      </c>
      <c r="H36" s="35" t="s">
        <v>42</v>
      </c>
      <c r="I36" s="35" t="s">
        <v>43</v>
      </c>
      <c r="J36" s="35" t="s">
        <v>44</v>
      </c>
      <c r="K36" s="35" t="s">
        <v>30</v>
      </c>
      <c r="L36" s="35" t="s">
        <v>42</v>
      </c>
      <c r="M36" s="35" t="s">
        <v>43</v>
      </c>
      <c r="N36" s="35" t="s">
        <v>44</v>
      </c>
      <c r="O36" s="35" t="s">
        <v>30</v>
      </c>
      <c r="P36" s="35" t="s">
        <v>30</v>
      </c>
      <c r="Q36" s="38" t="s">
        <v>30</v>
      </c>
    </row>
    <row r="37" spans="2:17" ht="36" customHeight="1" x14ac:dyDescent="0.6">
      <c r="B37" s="126" t="s">
        <v>28</v>
      </c>
      <c r="C37" s="127"/>
      <c r="D37" s="36"/>
      <c r="E37" s="36">
        <v>2</v>
      </c>
      <c r="F37" s="36"/>
      <c r="G37" s="40">
        <f>SUM(E37:F37)</f>
        <v>2</v>
      </c>
      <c r="H37" s="37"/>
      <c r="I37" s="36">
        <v>2</v>
      </c>
      <c r="J37" s="36">
        <v>1</v>
      </c>
      <c r="K37" s="40">
        <f>SUM(I37:J37)</f>
        <v>3</v>
      </c>
      <c r="L37" s="37"/>
      <c r="M37" s="37">
        <v>2</v>
      </c>
      <c r="N37" s="36"/>
      <c r="O37" s="40">
        <f>SUM(M37:N37)</f>
        <v>2</v>
      </c>
      <c r="P37" s="40">
        <f>O37*100/K37</f>
        <v>66.666666666666671</v>
      </c>
      <c r="Q37" s="42">
        <f>O37*100/G37</f>
        <v>100</v>
      </c>
    </row>
    <row r="38" spans="2:17" ht="36" customHeight="1" x14ac:dyDescent="0.6">
      <c r="B38" s="126" t="s">
        <v>29</v>
      </c>
      <c r="C38" s="127"/>
      <c r="D38" s="36"/>
      <c r="E38" s="36"/>
      <c r="F38" s="36"/>
      <c r="G38" s="40">
        <f>SUM(E38:F38)</f>
        <v>0</v>
      </c>
      <c r="H38" s="37"/>
      <c r="I38" s="36"/>
      <c r="J38" s="36"/>
      <c r="K38" s="40">
        <f>SUM(I38:J38)</f>
        <v>0</v>
      </c>
      <c r="L38" s="37"/>
      <c r="M38" s="37"/>
      <c r="N38" s="36"/>
      <c r="O38" s="40">
        <f>SUM(M38:N38)</f>
        <v>0</v>
      </c>
      <c r="P38" s="40" t="e">
        <f t="shared" ref="P38:P39" si="7">O38*100/K38</f>
        <v>#DIV/0!</v>
      </c>
      <c r="Q38" s="42" t="e">
        <f t="shared" ref="Q38:Q39" si="8">O38*100/G38</f>
        <v>#DIV/0!</v>
      </c>
    </row>
    <row r="39" spans="2:17" ht="36" customHeight="1" thickBot="1" x14ac:dyDescent="0.65">
      <c r="B39" s="128" t="s">
        <v>30</v>
      </c>
      <c r="C39" s="129"/>
      <c r="D39" s="39"/>
      <c r="E39" s="39">
        <f>SUM(E37:E38)</f>
        <v>2</v>
      </c>
      <c r="F39" s="39">
        <f>SUM(F37:F38)</f>
        <v>0</v>
      </c>
      <c r="G39" s="39">
        <f t="shared" ref="G39:O39" si="9">SUM(G37:G38)</f>
        <v>2</v>
      </c>
      <c r="H39" s="39">
        <f t="shared" si="9"/>
        <v>0</v>
      </c>
      <c r="I39" s="39">
        <f t="shared" si="9"/>
        <v>2</v>
      </c>
      <c r="J39" s="39">
        <f t="shared" si="9"/>
        <v>1</v>
      </c>
      <c r="K39" s="39">
        <f t="shared" si="9"/>
        <v>3</v>
      </c>
      <c r="L39" s="39">
        <f t="shared" si="9"/>
        <v>0</v>
      </c>
      <c r="M39" s="39">
        <f t="shared" si="9"/>
        <v>2</v>
      </c>
      <c r="N39" s="39">
        <f t="shared" si="9"/>
        <v>0</v>
      </c>
      <c r="O39" s="39">
        <f t="shared" si="9"/>
        <v>2</v>
      </c>
      <c r="P39" s="40">
        <f t="shared" si="7"/>
        <v>66.666666666666671</v>
      </c>
      <c r="Q39" s="42">
        <f t="shared" si="8"/>
        <v>100</v>
      </c>
    </row>
    <row r="41" spans="2:17" s="21" customFormat="1" ht="21" x14ac:dyDescent="0.55000000000000004">
      <c r="B41" s="105"/>
      <c r="C41" s="105"/>
      <c r="D41" s="105"/>
      <c r="E41" s="105"/>
      <c r="F41" s="105"/>
      <c r="G41" s="105"/>
      <c r="H41" s="105"/>
    </row>
  </sheetData>
  <mergeCells count="81">
    <mergeCell ref="B12:H12"/>
    <mergeCell ref="J12:P12"/>
    <mergeCell ref="B13:C13"/>
    <mergeCell ref="B1:P1"/>
    <mergeCell ref="B3:H3"/>
    <mergeCell ref="J3:P3"/>
    <mergeCell ref="B4:B9"/>
    <mergeCell ref="C4:C5"/>
    <mergeCell ref="D4:F4"/>
    <mergeCell ref="H4:H5"/>
    <mergeCell ref="J4:J9"/>
    <mergeCell ref="K4:K5"/>
    <mergeCell ref="L4:N4"/>
    <mergeCell ref="P4:P5"/>
    <mergeCell ref="B15:C15"/>
    <mergeCell ref="B18:C18"/>
    <mergeCell ref="J13:K13"/>
    <mergeCell ref="J15:K15"/>
    <mergeCell ref="B16:C16"/>
    <mergeCell ref="J16:K16"/>
    <mergeCell ref="B17:C17"/>
    <mergeCell ref="J17:K17"/>
    <mergeCell ref="B14:C14"/>
    <mergeCell ref="J14:K14"/>
    <mergeCell ref="J18:K18"/>
    <mergeCell ref="B19:C19"/>
    <mergeCell ref="J19:K19"/>
    <mergeCell ref="B21:K21"/>
    <mergeCell ref="B23:C23"/>
    <mergeCell ref="D23:E23"/>
    <mergeCell ref="F23:G23"/>
    <mergeCell ref="H23:I23"/>
    <mergeCell ref="B22:C22"/>
    <mergeCell ref="D22:E22"/>
    <mergeCell ref="F22:G22"/>
    <mergeCell ref="H22:I22"/>
    <mergeCell ref="B24:C24"/>
    <mergeCell ref="D24:E24"/>
    <mergeCell ref="F24:G24"/>
    <mergeCell ref="H24:I24"/>
    <mergeCell ref="B25:C25"/>
    <mergeCell ref="D25:E25"/>
    <mergeCell ref="F25:G25"/>
    <mergeCell ref="H25:I25"/>
    <mergeCell ref="B26:C26"/>
    <mergeCell ref="D26:E26"/>
    <mergeCell ref="F26:G26"/>
    <mergeCell ref="H26:I26"/>
    <mergeCell ref="B27:C27"/>
    <mergeCell ref="D27:E27"/>
    <mergeCell ref="F27:G27"/>
    <mergeCell ref="H27:I27"/>
    <mergeCell ref="B28:C28"/>
    <mergeCell ref="D28:E28"/>
    <mergeCell ref="F28:G28"/>
    <mergeCell ref="H28:I28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8:C38"/>
    <mergeCell ref="B39:C39"/>
    <mergeCell ref="B41:H41"/>
    <mergeCell ref="B34:Q34"/>
    <mergeCell ref="B35:C36"/>
    <mergeCell ref="D35:G35"/>
    <mergeCell ref="H35:K35"/>
    <mergeCell ref="L35:O35"/>
    <mergeCell ref="B37:C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C4D3-9F9F-4C68-95A8-764E2569ECDC}">
  <dimension ref="B1:Q41"/>
  <sheetViews>
    <sheetView rightToLeft="1" topLeftCell="A23" zoomScale="80" zoomScaleNormal="80" workbookViewId="0">
      <selection activeCell="P37" sqref="P37:Q39"/>
    </sheetView>
  </sheetViews>
  <sheetFormatPr defaultColWidth="9" defaultRowHeight="24" x14ac:dyDescent="0.6"/>
  <cols>
    <col min="1" max="1" width="8.140625" style="1" customWidth="1"/>
    <col min="2" max="16" width="16.5703125" style="1" customWidth="1"/>
    <col min="17" max="17" width="16.42578125" style="1" customWidth="1"/>
    <col min="18" max="18" width="2.42578125" style="1" customWidth="1"/>
    <col min="19" max="16384" width="9" style="1"/>
  </cols>
  <sheetData>
    <row r="1" spans="2:16" ht="42.75" x14ac:dyDescent="0.6">
      <c r="B1" s="104" t="s">
        <v>51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2:16" x14ac:dyDescent="0.6">
      <c r="B2" s="2"/>
      <c r="C2" s="2"/>
      <c r="D2" s="2"/>
      <c r="E2" s="2"/>
      <c r="F2" s="2"/>
      <c r="G2" s="2"/>
      <c r="H2" s="2"/>
    </row>
    <row r="3" spans="2:16" ht="34.5" thickBot="1" x14ac:dyDescent="0.65">
      <c r="B3" s="85" t="s">
        <v>0</v>
      </c>
      <c r="C3" s="85"/>
      <c r="D3" s="85"/>
      <c r="E3" s="85"/>
      <c r="F3" s="85"/>
      <c r="G3" s="85"/>
      <c r="H3" s="85"/>
      <c r="J3" s="85" t="s">
        <v>0</v>
      </c>
      <c r="K3" s="85"/>
      <c r="L3" s="85"/>
      <c r="M3" s="85"/>
      <c r="N3" s="85"/>
      <c r="O3" s="85"/>
      <c r="P3" s="85"/>
    </row>
    <row r="4" spans="2:16" ht="36" customHeight="1" x14ac:dyDescent="0.6">
      <c r="B4" s="94" t="s">
        <v>1</v>
      </c>
      <c r="C4" s="97" t="s">
        <v>31</v>
      </c>
      <c r="D4" s="99" t="s">
        <v>2</v>
      </c>
      <c r="E4" s="100"/>
      <c r="F4" s="101"/>
      <c r="G4" s="28" t="s">
        <v>3</v>
      </c>
      <c r="H4" s="102" t="s">
        <v>4</v>
      </c>
      <c r="J4" s="132" t="s">
        <v>10</v>
      </c>
      <c r="K4" s="97" t="s">
        <v>31</v>
      </c>
      <c r="L4" s="99" t="s">
        <v>2</v>
      </c>
      <c r="M4" s="100"/>
      <c r="N4" s="101"/>
      <c r="O4" s="28" t="s">
        <v>3</v>
      </c>
      <c r="P4" s="102" t="s">
        <v>4</v>
      </c>
    </row>
    <row r="5" spans="2:16" ht="36" customHeight="1" thickBot="1" x14ac:dyDescent="0.65">
      <c r="B5" s="95"/>
      <c r="C5" s="98"/>
      <c r="D5" s="29" t="s">
        <v>35</v>
      </c>
      <c r="E5" s="29" t="s">
        <v>33</v>
      </c>
      <c r="F5" s="29" t="s">
        <v>34</v>
      </c>
      <c r="G5" s="30" t="s">
        <v>5</v>
      </c>
      <c r="H5" s="103"/>
      <c r="J5" s="133"/>
      <c r="K5" s="98"/>
      <c r="L5" s="29" t="s">
        <v>35</v>
      </c>
      <c r="M5" s="29" t="s">
        <v>33</v>
      </c>
      <c r="N5" s="29" t="s">
        <v>34</v>
      </c>
      <c r="O5" s="30" t="s">
        <v>5</v>
      </c>
      <c r="P5" s="103"/>
    </row>
    <row r="6" spans="2:16" ht="36" customHeight="1" x14ac:dyDescent="0.6">
      <c r="B6" s="95"/>
      <c r="C6" s="3" t="s">
        <v>6</v>
      </c>
      <c r="D6" s="4">
        <v>17</v>
      </c>
      <c r="E6" s="43">
        <v>39</v>
      </c>
      <c r="F6" s="5">
        <v>1704</v>
      </c>
      <c r="G6" s="6">
        <f>F6/E6*100</f>
        <v>4369.2307692307695</v>
      </c>
      <c r="H6" s="7"/>
      <c r="J6" s="133"/>
      <c r="K6" s="3" t="s">
        <v>6</v>
      </c>
      <c r="L6" s="5">
        <v>1271</v>
      </c>
      <c r="M6" s="43">
        <v>560</v>
      </c>
      <c r="N6" s="5">
        <v>547</v>
      </c>
      <c r="O6" s="6">
        <f>N6/M6*100</f>
        <v>97.678571428571431</v>
      </c>
      <c r="P6" s="7"/>
    </row>
    <row r="7" spans="2:16" ht="36" customHeight="1" x14ac:dyDescent="0.6">
      <c r="B7" s="95"/>
      <c r="C7" s="8" t="s">
        <v>7</v>
      </c>
      <c r="D7" s="9">
        <v>20</v>
      </c>
      <c r="E7" s="44">
        <v>33</v>
      </c>
      <c r="F7" s="9">
        <v>1952</v>
      </c>
      <c r="G7" s="6">
        <f t="shared" ref="G7" si="0">F7/E7*100</f>
        <v>5915.151515151515</v>
      </c>
      <c r="H7" s="10"/>
      <c r="J7" s="133"/>
      <c r="K7" s="8" t="s">
        <v>7</v>
      </c>
      <c r="L7" s="9">
        <v>2086</v>
      </c>
      <c r="M7" s="44">
        <v>896</v>
      </c>
      <c r="N7" s="9">
        <v>924</v>
      </c>
      <c r="O7" s="6">
        <f t="shared" ref="O7" si="1">N7/M7*100</f>
        <v>103.125</v>
      </c>
      <c r="P7" s="10"/>
    </row>
    <row r="8" spans="2:16" ht="36" customHeight="1" x14ac:dyDescent="0.6">
      <c r="B8" s="95"/>
      <c r="C8" s="11" t="s">
        <v>8</v>
      </c>
      <c r="D8" s="9"/>
      <c r="E8" s="44"/>
      <c r="F8" s="9"/>
      <c r="G8" s="6"/>
      <c r="H8" s="10"/>
      <c r="J8" s="133"/>
      <c r="K8" s="11" t="s">
        <v>8</v>
      </c>
      <c r="L8" s="9">
        <v>0</v>
      </c>
      <c r="M8" s="44">
        <v>0</v>
      </c>
      <c r="N8" s="9">
        <v>0</v>
      </c>
      <c r="O8" s="6">
        <v>0</v>
      </c>
      <c r="P8" s="10"/>
    </row>
    <row r="9" spans="2:16" ht="36" customHeight="1" thickBot="1" x14ac:dyDescent="0.65">
      <c r="B9" s="96"/>
      <c r="C9" s="12" t="s">
        <v>9</v>
      </c>
      <c r="D9" s="13"/>
      <c r="E9" s="45"/>
      <c r="F9" s="13"/>
      <c r="G9" s="57"/>
      <c r="H9" s="14"/>
      <c r="J9" s="134"/>
      <c r="K9" s="12" t="s">
        <v>9</v>
      </c>
      <c r="L9" s="13">
        <v>0</v>
      </c>
      <c r="M9" s="46">
        <v>0</v>
      </c>
      <c r="N9" s="13">
        <v>0</v>
      </c>
      <c r="O9" s="57">
        <v>0</v>
      </c>
      <c r="P9" s="14"/>
    </row>
    <row r="10" spans="2:16" ht="16.5" customHeight="1" x14ac:dyDescent="0.6"/>
    <row r="12" spans="2:16" ht="34.5" thickBot="1" x14ac:dyDescent="0.65">
      <c r="B12" s="85" t="s">
        <v>45</v>
      </c>
      <c r="C12" s="85"/>
      <c r="D12" s="85"/>
      <c r="E12" s="85"/>
      <c r="F12" s="85"/>
      <c r="G12" s="85"/>
      <c r="H12" s="85"/>
      <c r="J12" s="85" t="s">
        <v>46</v>
      </c>
      <c r="K12" s="85"/>
      <c r="L12" s="85"/>
      <c r="M12" s="85"/>
      <c r="N12" s="85"/>
      <c r="O12" s="85"/>
      <c r="P12" s="85"/>
    </row>
    <row r="13" spans="2:16" ht="67.900000000000006" customHeight="1" x14ac:dyDescent="0.6">
      <c r="B13" s="106" t="s">
        <v>40</v>
      </c>
      <c r="C13" s="107"/>
      <c r="D13" s="56" t="s">
        <v>35</v>
      </c>
      <c r="E13" s="56" t="s">
        <v>33</v>
      </c>
      <c r="F13" s="56" t="s">
        <v>34</v>
      </c>
      <c r="G13" s="56" t="s">
        <v>12</v>
      </c>
      <c r="H13" s="56" t="s">
        <v>13</v>
      </c>
      <c r="J13" s="106" t="s">
        <v>41</v>
      </c>
      <c r="K13" s="107"/>
      <c r="L13" s="56" t="s">
        <v>35</v>
      </c>
      <c r="M13" s="56" t="s">
        <v>33</v>
      </c>
      <c r="N13" s="56" t="s">
        <v>34</v>
      </c>
      <c r="O13" s="56" t="s">
        <v>12</v>
      </c>
      <c r="P13" s="56" t="s">
        <v>13</v>
      </c>
    </row>
    <row r="14" spans="2:16" ht="42.6" customHeight="1" x14ac:dyDescent="0.6">
      <c r="B14" s="108" t="s">
        <v>36</v>
      </c>
      <c r="C14" s="109"/>
      <c r="D14" s="22">
        <v>309</v>
      </c>
      <c r="E14" s="47">
        <v>465</v>
      </c>
      <c r="F14" s="22">
        <v>19113</v>
      </c>
      <c r="G14" s="63">
        <f>IFERROR(F14*100/E14,"")</f>
        <v>4110.322580645161</v>
      </c>
      <c r="H14" s="18">
        <f>IFERROR((F14-D14)*100/D14,"")</f>
        <v>6085.4368932038833</v>
      </c>
      <c r="J14" s="108" t="s">
        <v>36</v>
      </c>
      <c r="K14" s="109"/>
      <c r="L14" s="22">
        <v>7671</v>
      </c>
      <c r="M14" s="47">
        <v>4090</v>
      </c>
      <c r="N14" s="22">
        <v>3539</v>
      </c>
      <c r="O14" s="64">
        <f>IFERROR(N14*100/M14,"")</f>
        <v>86.528117359413201</v>
      </c>
      <c r="P14" s="18">
        <f>IFERROR((N14-L14)*100/L14,"")</f>
        <v>-53.865206622343891</v>
      </c>
    </row>
    <row r="15" spans="2:16" ht="42.6" customHeight="1" x14ac:dyDescent="0.6">
      <c r="B15" s="110" t="s">
        <v>37</v>
      </c>
      <c r="C15" s="111"/>
      <c r="D15" s="22">
        <v>53</v>
      </c>
      <c r="E15" s="47">
        <v>60</v>
      </c>
      <c r="F15" s="22">
        <v>2362</v>
      </c>
      <c r="G15" s="63">
        <f t="shared" ref="G15:G19" si="2">IFERROR(F15*100/E15,"")</f>
        <v>3936.6666666666665</v>
      </c>
      <c r="H15" s="18">
        <f t="shared" ref="H15:H19" si="3">IFERROR((F15-D15)*100/D15,"")</f>
        <v>4356.6037735849059</v>
      </c>
      <c r="J15" s="110" t="s">
        <v>37</v>
      </c>
      <c r="K15" s="111"/>
      <c r="L15" s="22">
        <v>1162</v>
      </c>
      <c r="M15" s="47">
        <v>722</v>
      </c>
      <c r="N15" s="22">
        <v>879</v>
      </c>
      <c r="O15" s="63">
        <f>IFERROR(N15*100/M15,"")</f>
        <v>121.74515235457064</v>
      </c>
      <c r="P15" s="18">
        <f t="shared" ref="P15:P19" si="4">IFERROR((N15-L15)*100/L15,"")</f>
        <v>-24.354561101549052</v>
      </c>
    </row>
    <row r="16" spans="2:16" ht="42.6" customHeight="1" x14ac:dyDescent="0.6">
      <c r="B16" s="112" t="s">
        <v>8</v>
      </c>
      <c r="C16" s="113"/>
      <c r="D16" s="22"/>
      <c r="E16" s="47"/>
      <c r="F16" s="22"/>
      <c r="G16" s="63" t="str">
        <f t="shared" si="2"/>
        <v/>
      </c>
      <c r="H16" s="18" t="str">
        <f t="shared" si="3"/>
        <v/>
      </c>
      <c r="J16" s="112" t="s">
        <v>8</v>
      </c>
      <c r="K16" s="113"/>
      <c r="L16" s="22"/>
      <c r="M16" s="47"/>
      <c r="N16" s="22"/>
      <c r="O16" s="64"/>
      <c r="P16" s="18" t="str">
        <f t="shared" si="4"/>
        <v/>
      </c>
    </row>
    <row r="17" spans="2:16" ht="42.6" customHeight="1" x14ac:dyDescent="0.6">
      <c r="B17" s="114" t="s">
        <v>9</v>
      </c>
      <c r="C17" s="115"/>
      <c r="D17" s="22"/>
      <c r="E17" s="47"/>
      <c r="F17" s="22"/>
      <c r="G17" s="63" t="str">
        <f t="shared" si="2"/>
        <v/>
      </c>
      <c r="H17" s="18" t="str">
        <f t="shared" si="3"/>
        <v/>
      </c>
      <c r="J17" s="114" t="s">
        <v>9</v>
      </c>
      <c r="K17" s="115"/>
      <c r="L17" s="22"/>
      <c r="M17" s="47"/>
      <c r="N17" s="22"/>
      <c r="O17" s="63" t="str">
        <f>IFERROR(N17*100/M17,"")</f>
        <v/>
      </c>
      <c r="P17" s="18" t="str">
        <f t="shared" si="4"/>
        <v/>
      </c>
    </row>
    <row r="18" spans="2:16" ht="42.6" customHeight="1" x14ac:dyDescent="0.6">
      <c r="B18" s="136" t="s">
        <v>38</v>
      </c>
      <c r="C18" s="137"/>
      <c r="D18" s="22">
        <v>5</v>
      </c>
      <c r="E18" s="47">
        <v>4</v>
      </c>
      <c r="F18" s="22">
        <v>61</v>
      </c>
      <c r="G18" s="63">
        <f>IFERROR(F18*100/E18,"")</f>
        <v>1525</v>
      </c>
      <c r="H18" s="18">
        <f t="shared" si="3"/>
        <v>1120</v>
      </c>
      <c r="J18" s="136" t="s">
        <v>38</v>
      </c>
      <c r="K18" s="137"/>
      <c r="L18" s="22">
        <v>167</v>
      </c>
      <c r="M18" s="47">
        <v>103</v>
      </c>
      <c r="N18" s="22">
        <v>51</v>
      </c>
      <c r="O18" s="64">
        <f>IFERROR(N18*100/M18,"")</f>
        <v>49.514563106796118</v>
      </c>
      <c r="P18" s="18">
        <f t="shared" si="4"/>
        <v>-69.461077844311376</v>
      </c>
    </row>
    <row r="19" spans="2:16" ht="42.6" customHeight="1" thickBot="1" x14ac:dyDescent="0.65">
      <c r="B19" s="138" t="s">
        <v>39</v>
      </c>
      <c r="C19" s="139"/>
      <c r="D19" s="22">
        <v>129</v>
      </c>
      <c r="E19" s="47">
        <v>163</v>
      </c>
      <c r="F19" s="22">
        <v>4113</v>
      </c>
      <c r="G19" s="63">
        <f t="shared" si="2"/>
        <v>2523.312883435583</v>
      </c>
      <c r="H19" s="18">
        <f t="shared" si="3"/>
        <v>3088.3720930232557</v>
      </c>
      <c r="J19" s="138" t="s">
        <v>39</v>
      </c>
      <c r="K19" s="139"/>
      <c r="L19" s="22">
        <v>431</v>
      </c>
      <c r="M19" s="47">
        <v>607</v>
      </c>
      <c r="N19" s="22">
        <v>1291</v>
      </c>
      <c r="O19" s="63">
        <f>IFERROR(N19*100/M19,"")</f>
        <v>212.6853377265239</v>
      </c>
      <c r="P19" s="18">
        <f t="shared" si="4"/>
        <v>199.53596287703016</v>
      </c>
    </row>
    <row r="21" spans="2:16" ht="34.5" thickBot="1" x14ac:dyDescent="0.65">
      <c r="B21" s="85" t="s">
        <v>11</v>
      </c>
      <c r="C21" s="85"/>
      <c r="D21" s="85"/>
      <c r="E21" s="85"/>
      <c r="F21" s="85"/>
      <c r="G21" s="85"/>
      <c r="H21" s="85"/>
      <c r="I21" s="85"/>
      <c r="J21" s="85"/>
      <c r="K21" s="85"/>
    </row>
    <row r="22" spans="2:16" ht="67.900000000000006" customHeight="1" x14ac:dyDescent="0.6">
      <c r="B22" s="106" t="s">
        <v>32</v>
      </c>
      <c r="C22" s="107"/>
      <c r="D22" s="107" t="s">
        <v>35</v>
      </c>
      <c r="E22" s="107"/>
      <c r="F22" s="87" t="s">
        <v>33</v>
      </c>
      <c r="G22" s="88"/>
      <c r="H22" s="87" t="s">
        <v>34</v>
      </c>
      <c r="I22" s="88"/>
      <c r="J22" s="56" t="s">
        <v>12</v>
      </c>
      <c r="K22" s="31" t="s">
        <v>13</v>
      </c>
    </row>
    <row r="23" spans="2:16" ht="42.6" customHeight="1" x14ac:dyDescent="0.6">
      <c r="B23" s="122" t="s">
        <v>14</v>
      </c>
      <c r="C23" s="123"/>
      <c r="D23" s="83">
        <v>9367</v>
      </c>
      <c r="E23" s="83">
        <f>SUMIFS('[8]جدول فروش خدمات'!$U$25:$FT$25,'[8]جدول فروش خدمات'!$U$1:$FT$1,J21,'[8]جدول فروش خدمات'!$U$26:$FT$26,1)</f>
        <v>0</v>
      </c>
      <c r="F23" s="81">
        <v>5444</v>
      </c>
      <c r="G23" s="81">
        <f>SUMIFS('[8]جدول فروش خدمات'!$U$25:$FT$25,'[8]جدول فروش خدمات'!$U$1:$FT$1,K21,'[8]جدول فروش خدمات'!$U$26:$FT$26,2)</f>
        <v>0</v>
      </c>
      <c r="H23" s="83">
        <v>26005</v>
      </c>
      <c r="I23" s="83">
        <f>SUMIFS('[8]جدول فروش خدمات'!$U$25:$FT$25,'[8]جدول فروش خدمات'!$U$1:$FT$1,L21,'[8]جدول فروش خدمات'!$U$26:$FT$26,3)</f>
        <v>0</v>
      </c>
      <c r="J23" s="59">
        <f>IFERROR(H23*100/F23,"")</f>
        <v>477.68185157972079</v>
      </c>
      <c r="K23" s="54">
        <f>IFERROR((H23-D23)*100/ABS(D23),"")</f>
        <v>177.62357211487137</v>
      </c>
    </row>
    <row r="24" spans="2:16" ht="42.6" customHeight="1" x14ac:dyDescent="0.6">
      <c r="B24" s="130" t="s">
        <v>15</v>
      </c>
      <c r="C24" s="131"/>
      <c r="D24" s="86">
        <v>-51997</v>
      </c>
      <c r="E24" s="86">
        <v>-51997</v>
      </c>
      <c r="F24" s="89">
        <v>-69469</v>
      </c>
      <c r="G24" s="89">
        <v>-69469</v>
      </c>
      <c r="H24" s="86">
        <v>-75572</v>
      </c>
      <c r="I24" s="86">
        <v>-75572</v>
      </c>
      <c r="J24" s="59">
        <f t="shared" ref="J24:J32" si="5">IFERROR(H24*100/F24,"")</f>
        <v>108.78521354848925</v>
      </c>
      <c r="K24" s="55">
        <f t="shared" ref="K24:K32" si="6">IFERROR((H24-D24)*100/ABS(D24),"")</f>
        <v>-45.339154181972035</v>
      </c>
    </row>
    <row r="25" spans="2:16" ht="42.6" customHeight="1" x14ac:dyDescent="0.6">
      <c r="B25" s="118" t="s">
        <v>16</v>
      </c>
      <c r="C25" s="119"/>
      <c r="D25" s="86">
        <f t="shared" ref="D25:I25" si="7">SUM(D23:D24)</f>
        <v>-42630</v>
      </c>
      <c r="E25" s="86">
        <f t="shared" si="7"/>
        <v>-51997</v>
      </c>
      <c r="F25" s="89">
        <f t="shared" si="7"/>
        <v>-64025</v>
      </c>
      <c r="G25" s="89">
        <f t="shared" si="7"/>
        <v>-69469</v>
      </c>
      <c r="H25" s="86">
        <f t="shared" si="7"/>
        <v>-49567</v>
      </c>
      <c r="I25" s="86">
        <f t="shared" si="7"/>
        <v>-75572</v>
      </c>
      <c r="J25" s="25">
        <f t="shared" si="5"/>
        <v>77.41819601718079</v>
      </c>
      <c r="K25" s="55">
        <f t="shared" si="6"/>
        <v>-16.272577996715928</v>
      </c>
    </row>
    <row r="26" spans="2:16" ht="42.6" customHeight="1" x14ac:dyDescent="0.6">
      <c r="B26" s="130" t="s">
        <v>17</v>
      </c>
      <c r="C26" s="131"/>
      <c r="D26" s="86">
        <v>-771</v>
      </c>
      <c r="E26" s="86">
        <v>-771</v>
      </c>
      <c r="F26" s="89">
        <v>-636</v>
      </c>
      <c r="G26" s="89">
        <v>-636</v>
      </c>
      <c r="H26" s="86">
        <v>-562</v>
      </c>
      <c r="I26" s="86">
        <v>-562</v>
      </c>
      <c r="J26" s="25">
        <f t="shared" si="5"/>
        <v>88.364779874213838</v>
      </c>
      <c r="K26" s="54">
        <f t="shared" si="6"/>
        <v>27.107652399481193</v>
      </c>
    </row>
    <row r="27" spans="2:16" ht="42.6" customHeight="1" x14ac:dyDescent="0.6">
      <c r="B27" s="122" t="s">
        <v>18</v>
      </c>
      <c r="C27" s="123"/>
      <c r="D27" s="83">
        <f>25512+560</f>
        <v>26072</v>
      </c>
      <c r="E27" s="83">
        <f>25512+560</f>
        <v>26072</v>
      </c>
      <c r="F27" s="81">
        <v>20855</v>
      </c>
      <c r="G27" s="81">
        <v>20855</v>
      </c>
      <c r="H27" s="83">
        <f>61762+5406</f>
        <v>67168</v>
      </c>
      <c r="I27" s="83">
        <f>61762+5406</f>
        <v>67168</v>
      </c>
      <c r="J27" s="59">
        <f t="shared" si="5"/>
        <v>322.07144569647568</v>
      </c>
      <c r="K27" s="54">
        <f t="shared" si="6"/>
        <v>157.62503835532371</v>
      </c>
    </row>
    <row r="28" spans="2:16" ht="42.6" customHeight="1" x14ac:dyDescent="0.6">
      <c r="B28" s="116" t="s">
        <v>19</v>
      </c>
      <c r="C28" s="117"/>
      <c r="D28" s="83"/>
      <c r="E28" s="83"/>
      <c r="F28" s="81"/>
      <c r="G28" s="81"/>
      <c r="H28" s="83"/>
      <c r="I28" s="83"/>
      <c r="J28" s="59" t="str">
        <f t="shared" si="5"/>
        <v/>
      </c>
      <c r="K28" s="54" t="str">
        <f t="shared" si="6"/>
        <v/>
      </c>
    </row>
    <row r="29" spans="2:16" ht="42.6" customHeight="1" x14ac:dyDescent="0.6">
      <c r="B29" s="118" t="s">
        <v>20</v>
      </c>
      <c r="C29" s="119"/>
      <c r="D29" s="86">
        <v>-17329</v>
      </c>
      <c r="E29" s="86"/>
      <c r="F29" s="89">
        <v>-43806</v>
      </c>
      <c r="G29" s="89"/>
      <c r="H29" s="83">
        <v>17039</v>
      </c>
      <c r="I29" s="83"/>
      <c r="J29" s="25">
        <f t="shared" si="5"/>
        <v>-38.896498196594074</v>
      </c>
      <c r="K29" s="54">
        <f t="shared" si="6"/>
        <v>198.32650470309886</v>
      </c>
    </row>
    <row r="30" spans="2:16" ht="42.6" customHeight="1" x14ac:dyDescent="0.6">
      <c r="B30" s="120" t="s">
        <v>21</v>
      </c>
      <c r="C30" s="121"/>
      <c r="D30" s="83"/>
      <c r="E30" s="83"/>
      <c r="F30" s="81"/>
      <c r="G30" s="81"/>
      <c r="H30" s="83"/>
      <c r="I30" s="83"/>
      <c r="J30" s="59" t="str">
        <f t="shared" si="5"/>
        <v/>
      </c>
      <c r="K30" s="54" t="str">
        <f t="shared" si="6"/>
        <v/>
      </c>
    </row>
    <row r="31" spans="2:16" ht="42.6" customHeight="1" x14ac:dyDescent="0.6">
      <c r="B31" s="122" t="s">
        <v>22</v>
      </c>
      <c r="C31" s="123"/>
      <c r="D31" s="83"/>
      <c r="E31" s="83"/>
      <c r="F31" s="81"/>
      <c r="G31" s="81"/>
      <c r="H31" s="83"/>
      <c r="I31" s="83"/>
      <c r="J31" s="59" t="str">
        <f t="shared" si="5"/>
        <v/>
      </c>
      <c r="K31" s="54" t="str">
        <f t="shared" si="6"/>
        <v/>
      </c>
    </row>
    <row r="32" spans="2:16" ht="42.6" customHeight="1" thickBot="1" x14ac:dyDescent="0.65">
      <c r="B32" s="124" t="s">
        <v>23</v>
      </c>
      <c r="C32" s="125"/>
      <c r="D32" s="144">
        <v>-17329</v>
      </c>
      <c r="E32" s="144"/>
      <c r="F32" s="159">
        <v>-43806</v>
      </c>
      <c r="G32" s="159"/>
      <c r="H32" s="84">
        <v>17039</v>
      </c>
      <c r="I32" s="84"/>
      <c r="J32" s="25">
        <f t="shared" si="5"/>
        <v>-38.896498196594074</v>
      </c>
      <c r="K32" s="54">
        <f t="shared" si="6"/>
        <v>198.32650470309886</v>
      </c>
    </row>
    <row r="33" spans="2:17" ht="27.6" customHeight="1" x14ac:dyDescent="0.6"/>
    <row r="34" spans="2:17" ht="34.5" thickBot="1" x14ac:dyDescent="0.65">
      <c r="B34" s="85" t="s">
        <v>24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</row>
    <row r="35" spans="2:17" ht="52.5" customHeight="1" x14ac:dyDescent="0.6">
      <c r="B35" s="140" t="s">
        <v>25</v>
      </c>
      <c r="C35" s="141"/>
      <c r="D35" s="87" t="s">
        <v>35</v>
      </c>
      <c r="E35" s="135"/>
      <c r="F35" s="135"/>
      <c r="G35" s="88"/>
      <c r="H35" s="87" t="s">
        <v>33</v>
      </c>
      <c r="I35" s="135"/>
      <c r="J35" s="135"/>
      <c r="K35" s="88"/>
      <c r="L35" s="87" t="s">
        <v>34</v>
      </c>
      <c r="M35" s="135"/>
      <c r="N35" s="135"/>
      <c r="O35" s="88"/>
      <c r="P35" s="56" t="s">
        <v>26</v>
      </c>
      <c r="Q35" s="31" t="s">
        <v>27</v>
      </c>
    </row>
    <row r="36" spans="2:17" ht="52.5" customHeight="1" x14ac:dyDescent="0.6">
      <c r="B36" s="142"/>
      <c r="C36" s="143"/>
      <c r="D36" s="35" t="s">
        <v>42</v>
      </c>
      <c r="E36" s="35" t="s">
        <v>43</v>
      </c>
      <c r="F36" s="35" t="s">
        <v>44</v>
      </c>
      <c r="G36" s="35" t="s">
        <v>30</v>
      </c>
      <c r="H36" s="35" t="s">
        <v>42</v>
      </c>
      <c r="I36" s="35" t="s">
        <v>43</v>
      </c>
      <c r="J36" s="35" t="s">
        <v>44</v>
      </c>
      <c r="K36" s="35" t="s">
        <v>30</v>
      </c>
      <c r="L36" s="35" t="s">
        <v>42</v>
      </c>
      <c r="M36" s="35" t="s">
        <v>43</v>
      </c>
      <c r="N36" s="35" t="s">
        <v>44</v>
      </c>
      <c r="O36" s="35" t="s">
        <v>30</v>
      </c>
      <c r="P36" s="35" t="s">
        <v>30</v>
      </c>
      <c r="Q36" s="38" t="s">
        <v>30</v>
      </c>
    </row>
    <row r="37" spans="2:17" ht="36" customHeight="1" x14ac:dyDescent="0.6">
      <c r="B37" s="126" t="s">
        <v>28</v>
      </c>
      <c r="C37" s="127"/>
      <c r="D37" s="36"/>
      <c r="E37" s="36">
        <v>10</v>
      </c>
      <c r="F37" s="36">
        <v>0</v>
      </c>
      <c r="G37" s="40">
        <f>SUM(E37:F37)</f>
        <v>10</v>
      </c>
      <c r="H37" s="37"/>
      <c r="I37" s="36">
        <v>10</v>
      </c>
      <c r="J37" s="36">
        <v>4</v>
      </c>
      <c r="K37" s="40">
        <f>SUM(I37:J37)</f>
        <v>14</v>
      </c>
      <c r="L37" s="37"/>
      <c r="M37" s="37">
        <v>9</v>
      </c>
      <c r="N37" s="36">
        <v>0</v>
      </c>
      <c r="O37" s="40">
        <f>SUM(M37:N37)</f>
        <v>9</v>
      </c>
      <c r="P37" s="40">
        <f>O37*100/K37</f>
        <v>64.285714285714292</v>
      </c>
      <c r="Q37" s="42">
        <f>O37*100/G37</f>
        <v>90</v>
      </c>
    </row>
    <row r="38" spans="2:17" ht="36" customHeight="1" x14ac:dyDescent="0.6">
      <c r="B38" s="126" t="s">
        <v>29</v>
      </c>
      <c r="C38" s="127"/>
      <c r="D38" s="36"/>
      <c r="E38" s="36">
        <v>0</v>
      </c>
      <c r="F38" s="36">
        <v>1</v>
      </c>
      <c r="G38" s="40">
        <f>SUM(E38:F38)</f>
        <v>1</v>
      </c>
      <c r="H38" s="37"/>
      <c r="I38" s="36">
        <v>0</v>
      </c>
      <c r="J38" s="36">
        <v>2</v>
      </c>
      <c r="K38" s="40">
        <f>SUM(I38:J38)</f>
        <v>2</v>
      </c>
      <c r="L38" s="37"/>
      <c r="M38" s="37">
        <v>0</v>
      </c>
      <c r="N38" s="36">
        <v>0</v>
      </c>
      <c r="O38" s="40">
        <f>SUM(M38:N38)</f>
        <v>0</v>
      </c>
      <c r="P38" s="40">
        <f t="shared" ref="P38:P39" si="8">O38*100/K38</f>
        <v>0</v>
      </c>
      <c r="Q38" s="42">
        <f t="shared" ref="Q38:Q39" si="9">O38*100/G38</f>
        <v>0</v>
      </c>
    </row>
    <row r="39" spans="2:17" ht="36" customHeight="1" thickBot="1" x14ac:dyDescent="0.65">
      <c r="B39" s="128" t="s">
        <v>30</v>
      </c>
      <c r="C39" s="129"/>
      <c r="D39" s="39"/>
      <c r="E39" s="39">
        <f>SUM(E37:E38)</f>
        <v>10</v>
      </c>
      <c r="F39" s="39">
        <f>SUM(F37:F38)</f>
        <v>1</v>
      </c>
      <c r="G39" s="39">
        <f t="shared" ref="G39:O39" si="10">SUM(G37:G38)</f>
        <v>11</v>
      </c>
      <c r="H39" s="39">
        <f t="shared" si="10"/>
        <v>0</v>
      </c>
      <c r="I39" s="39">
        <f t="shared" si="10"/>
        <v>10</v>
      </c>
      <c r="J39" s="39">
        <f t="shared" si="10"/>
        <v>6</v>
      </c>
      <c r="K39" s="39">
        <f t="shared" si="10"/>
        <v>16</v>
      </c>
      <c r="L39" s="39">
        <f t="shared" si="10"/>
        <v>0</v>
      </c>
      <c r="M39" s="39">
        <f t="shared" si="10"/>
        <v>9</v>
      </c>
      <c r="N39" s="39">
        <f t="shared" si="10"/>
        <v>0</v>
      </c>
      <c r="O39" s="39">
        <f t="shared" si="10"/>
        <v>9</v>
      </c>
      <c r="P39" s="40">
        <f t="shared" si="8"/>
        <v>56.25</v>
      </c>
      <c r="Q39" s="42">
        <f t="shared" si="9"/>
        <v>81.818181818181813</v>
      </c>
    </row>
    <row r="41" spans="2:17" s="21" customFormat="1" ht="21" x14ac:dyDescent="0.55000000000000004">
      <c r="B41" s="105"/>
      <c r="C41" s="105"/>
      <c r="D41" s="105"/>
      <c r="E41" s="105"/>
      <c r="F41" s="105"/>
      <c r="G41" s="105"/>
      <c r="H41" s="105"/>
    </row>
  </sheetData>
  <mergeCells count="81">
    <mergeCell ref="B12:H12"/>
    <mergeCell ref="J12:P12"/>
    <mergeCell ref="B13:C13"/>
    <mergeCell ref="B1:P1"/>
    <mergeCell ref="B3:H3"/>
    <mergeCell ref="J3:P3"/>
    <mergeCell ref="B4:B9"/>
    <mergeCell ref="C4:C5"/>
    <mergeCell ref="D4:F4"/>
    <mergeCell ref="H4:H5"/>
    <mergeCell ref="J4:J9"/>
    <mergeCell ref="K4:K5"/>
    <mergeCell ref="L4:N4"/>
    <mergeCell ref="P4:P5"/>
    <mergeCell ref="B15:C15"/>
    <mergeCell ref="B18:C18"/>
    <mergeCell ref="J13:K13"/>
    <mergeCell ref="J15:K15"/>
    <mergeCell ref="B16:C16"/>
    <mergeCell ref="J16:K16"/>
    <mergeCell ref="B17:C17"/>
    <mergeCell ref="J17:K17"/>
    <mergeCell ref="B14:C14"/>
    <mergeCell ref="J14:K14"/>
    <mergeCell ref="J18:K18"/>
    <mergeCell ref="B19:C19"/>
    <mergeCell ref="J19:K19"/>
    <mergeCell ref="B21:K21"/>
    <mergeCell ref="B23:C23"/>
    <mergeCell ref="D23:E23"/>
    <mergeCell ref="F23:G23"/>
    <mergeCell ref="H23:I23"/>
    <mergeCell ref="B22:C22"/>
    <mergeCell ref="D22:E22"/>
    <mergeCell ref="F22:G22"/>
    <mergeCell ref="H22:I22"/>
    <mergeCell ref="B24:C24"/>
    <mergeCell ref="D24:E24"/>
    <mergeCell ref="F24:G24"/>
    <mergeCell ref="H24:I24"/>
    <mergeCell ref="B25:C25"/>
    <mergeCell ref="D25:E25"/>
    <mergeCell ref="F25:G25"/>
    <mergeCell ref="H25:I25"/>
    <mergeCell ref="B26:C26"/>
    <mergeCell ref="D26:E26"/>
    <mergeCell ref="F26:G26"/>
    <mergeCell ref="H26:I26"/>
    <mergeCell ref="B27:C27"/>
    <mergeCell ref="D27:E27"/>
    <mergeCell ref="F27:G27"/>
    <mergeCell ref="H27:I27"/>
    <mergeCell ref="B28:C28"/>
    <mergeCell ref="D28:E28"/>
    <mergeCell ref="F28:G28"/>
    <mergeCell ref="H28:I28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8:C38"/>
    <mergeCell ref="B39:C39"/>
    <mergeCell ref="B41:H41"/>
    <mergeCell ref="B34:Q34"/>
    <mergeCell ref="B35:C36"/>
    <mergeCell ref="D35:G35"/>
    <mergeCell ref="H35:K35"/>
    <mergeCell ref="L35:O35"/>
    <mergeCell ref="B37:C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2ADD-8CBA-40A0-9C1F-4427B3957033}">
  <dimension ref="B1:Q41"/>
  <sheetViews>
    <sheetView rightToLeft="1" topLeftCell="A23" zoomScale="80" zoomScaleNormal="80" workbookViewId="0">
      <selection activeCell="P37" sqref="P37:Q39"/>
    </sheetView>
  </sheetViews>
  <sheetFormatPr defaultColWidth="9" defaultRowHeight="24" x14ac:dyDescent="0.6"/>
  <cols>
    <col min="1" max="1" width="8.140625" style="1" customWidth="1"/>
    <col min="2" max="16" width="16.5703125" style="1" customWidth="1"/>
    <col min="17" max="17" width="16.42578125" style="1" customWidth="1"/>
    <col min="18" max="18" width="2.42578125" style="1" customWidth="1"/>
    <col min="19" max="16384" width="9" style="1"/>
  </cols>
  <sheetData>
    <row r="1" spans="2:16" ht="42.75" x14ac:dyDescent="0.6">
      <c r="B1" s="104" t="s">
        <v>50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2:16" x14ac:dyDescent="0.6">
      <c r="B2" s="2"/>
      <c r="C2" s="2"/>
      <c r="D2" s="2"/>
      <c r="E2" s="2"/>
      <c r="F2" s="2"/>
      <c r="G2" s="2"/>
      <c r="H2" s="2"/>
    </row>
    <row r="3" spans="2:16" ht="34.5" thickBot="1" x14ac:dyDescent="0.65">
      <c r="B3" s="85" t="s">
        <v>0</v>
      </c>
      <c r="C3" s="85"/>
      <c r="D3" s="85"/>
      <c r="E3" s="85"/>
      <c r="F3" s="85"/>
      <c r="G3" s="85"/>
      <c r="H3" s="85"/>
      <c r="J3" s="85" t="s">
        <v>0</v>
      </c>
      <c r="K3" s="85"/>
      <c r="L3" s="85"/>
      <c r="M3" s="85"/>
      <c r="N3" s="85"/>
      <c r="O3" s="85"/>
      <c r="P3" s="85"/>
    </row>
    <row r="4" spans="2:16" ht="36" customHeight="1" x14ac:dyDescent="0.6">
      <c r="B4" s="94" t="s">
        <v>1</v>
      </c>
      <c r="C4" s="97" t="s">
        <v>31</v>
      </c>
      <c r="D4" s="99" t="s">
        <v>2</v>
      </c>
      <c r="E4" s="100"/>
      <c r="F4" s="101"/>
      <c r="G4" s="28" t="s">
        <v>3</v>
      </c>
      <c r="H4" s="102" t="s">
        <v>4</v>
      </c>
      <c r="J4" s="132" t="s">
        <v>10</v>
      </c>
      <c r="K4" s="97" t="s">
        <v>31</v>
      </c>
      <c r="L4" s="99" t="s">
        <v>2</v>
      </c>
      <c r="M4" s="100"/>
      <c r="N4" s="101"/>
      <c r="O4" s="28" t="s">
        <v>3</v>
      </c>
      <c r="P4" s="102" t="s">
        <v>4</v>
      </c>
    </row>
    <row r="5" spans="2:16" ht="36" customHeight="1" thickBot="1" x14ac:dyDescent="0.65">
      <c r="B5" s="95"/>
      <c r="C5" s="98"/>
      <c r="D5" s="29" t="s">
        <v>35</v>
      </c>
      <c r="E5" s="29" t="s">
        <v>33</v>
      </c>
      <c r="F5" s="29" t="s">
        <v>34</v>
      </c>
      <c r="G5" s="30" t="s">
        <v>5</v>
      </c>
      <c r="H5" s="103"/>
      <c r="J5" s="133"/>
      <c r="K5" s="98"/>
      <c r="L5" s="29" t="s">
        <v>35</v>
      </c>
      <c r="M5" s="29" t="s">
        <v>33</v>
      </c>
      <c r="N5" s="29" t="s">
        <v>34</v>
      </c>
      <c r="O5" s="30" t="s">
        <v>5</v>
      </c>
      <c r="P5" s="103"/>
    </row>
    <row r="6" spans="2:16" ht="36" customHeight="1" x14ac:dyDescent="0.6">
      <c r="B6" s="95"/>
      <c r="C6" s="3" t="s">
        <v>6</v>
      </c>
      <c r="D6" s="4">
        <v>23951</v>
      </c>
      <c r="E6" s="43">
        <v>39141</v>
      </c>
      <c r="F6" s="5">
        <v>52470</v>
      </c>
      <c r="G6" s="6">
        <f>F6/E6*100</f>
        <v>134.05380547252241</v>
      </c>
      <c r="H6" s="7"/>
      <c r="J6" s="133"/>
      <c r="K6" s="3" t="s">
        <v>6</v>
      </c>
      <c r="L6" s="5">
        <v>402</v>
      </c>
      <c r="M6" s="43">
        <v>158</v>
      </c>
      <c r="N6" s="5">
        <v>196</v>
      </c>
      <c r="O6" s="6">
        <f>N6/M6*100</f>
        <v>124.0506329113924</v>
      </c>
      <c r="P6" s="7"/>
    </row>
    <row r="7" spans="2:16" ht="36" customHeight="1" x14ac:dyDescent="0.6">
      <c r="B7" s="95"/>
      <c r="C7" s="8" t="s">
        <v>7</v>
      </c>
      <c r="D7" s="9">
        <v>32693</v>
      </c>
      <c r="E7" s="44">
        <v>37899</v>
      </c>
      <c r="F7" s="9">
        <v>51694</v>
      </c>
      <c r="G7" s="6">
        <f t="shared" ref="G7:G9" si="0">F7/E7*100</f>
        <v>136.39937729227685</v>
      </c>
      <c r="H7" s="10"/>
      <c r="J7" s="133"/>
      <c r="K7" s="8" t="s">
        <v>7</v>
      </c>
      <c r="L7" s="9">
        <v>419</v>
      </c>
      <c r="M7" s="44">
        <v>205</v>
      </c>
      <c r="N7" s="9">
        <v>311</v>
      </c>
      <c r="O7" s="6">
        <f t="shared" ref="O7" si="1">N7/M7*100</f>
        <v>151.70731707317074</v>
      </c>
      <c r="P7" s="10"/>
    </row>
    <row r="8" spans="2:16" ht="36" customHeight="1" x14ac:dyDescent="0.6">
      <c r="B8" s="95"/>
      <c r="C8" s="11" t="s">
        <v>8</v>
      </c>
      <c r="D8" s="9">
        <v>50</v>
      </c>
      <c r="E8" s="44"/>
      <c r="F8" s="9">
        <v>86</v>
      </c>
      <c r="G8" s="6">
        <v>0</v>
      </c>
      <c r="H8" s="10"/>
      <c r="J8" s="133"/>
      <c r="K8" s="11" t="s">
        <v>8</v>
      </c>
      <c r="L8" s="9">
        <v>0</v>
      </c>
      <c r="M8" s="44">
        <v>0</v>
      </c>
      <c r="N8" s="9">
        <v>0</v>
      </c>
      <c r="O8" s="6">
        <v>0</v>
      </c>
      <c r="P8" s="10"/>
    </row>
    <row r="9" spans="2:16" ht="36" customHeight="1" thickBot="1" x14ac:dyDescent="0.65">
      <c r="B9" s="96"/>
      <c r="C9" s="12" t="s">
        <v>9</v>
      </c>
      <c r="D9" s="13">
        <v>50539</v>
      </c>
      <c r="E9" s="45">
        <v>72639</v>
      </c>
      <c r="F9" s="13">
        <v>125131</v>
      </c>
      <c r="G9" s="57">
        <f t="shared" si="0"/>
        <v>172.2642106857198</v>
      </c>
      <c r="H9" s="14"/>
      <c r="J9" s="134"/>
      <c r="K9" s="12" t="s">
        <v>9</v>
      </c>
      <c r="L9" s="13">
        <v>0</v>
      </c>
      <c r="M9" s="46">
        <v>0</v>
      </c>
      <c r="N9" s="13">
        <v>0</v>
      </c>
      <c r="O9" s="57">
        <v>0</v>
      </c>
      <c r="P9" s="14"/>
    </row>
    <row r="10" spans="2:16" ht="16.5" customHeight="1" x14ac:dyDescent="0.6"/>
    <row r="12" spans="2:16" ht="34.5" thickBot="1" x14ac:dyDescent="0.65">
      <c r="B12" s="85" t="s">
        <v>45</v>
      </c>
      <c r="C12" s="85"/>
      <c r="D12" s="85"/>
      <c r="E12" s="85"/>
      <c r="F12" s="85"/>
      <c r="G12" s="85"/>
      <c r="H12" s="85"/>
      <c r="J12" s="85" t="s">
        <v>46</v>
      </c>
      <c r="K12" s="85"/>
      <c r="L12" s="85"/>
      <c r="M12" s="85"/>
      <c r="N12" s="85"/>
      <c r="O12" s="85"/>
      <c r="P12" s="85"/>
    </row>
    <row r="13" spans="2:16" ht="67.900000000000006" customHeight="1" x14ac:dyDescent="0.6">
      <c r="B13" s="106" t="s">
        <v>40</v>
      </c>
      <c r="C13" s="107"/>
      <c r="D13" s="56" t="s">
        <v>35</v>
      </c>
      <c r="E13" s="56" t="s">
        <v>33</v>
      </c>
      <c r="F13" s="56" t="s">
        <v>34</v>
      </c>
      <c r="G13" s="56" t="s">
        <v>12</v>
      </c>
      <c r="H13" s="56" t="s">
        <v>13</v>
      </c>
      <c r="J13" s="106" t="s">
        <v>41</v>
      </c>
      <c r="K13" s="107"/>
      <c r="L13" s="56" t="s">
        <v>35</v>
      </c>
      <c r="M13" s="56" t="s">
        <v>33</v>
      </c>
      <c r="N13" s="56" t="s">
        <v>34</v>
      </c>
      <c r="O13" s="56" t="s">
        <v>12</v>
      </c>
      <c r="P13" s="56" t="s">
        <v>13</v>
      </c>
    </row>
    <row r="14" spans="2:16" ht="42.6" customHeight="1" x14ac:dyDescent="0.6">
      <c r="B14" s="108" t="s">
        <v>36</v>
      </c>
      <c r="C14" s="109"/>
      <c r="D14" s="22">
        <v>89889</v>
      </c>
      <c r="E14" s="47">
        <v>128943</v>
      </c>
      <c r="F14" s="22">
        <v>131601</v>
      </c>
      <c r="G14" s="63">
        <f>IFERROR(F14*100/E14,"")</f>
        <v>102.06137595681813</v>
      </c>
      <c r="H14" s="18">
        <f>IFERROR((F14-D14)*100/D14,"")</f>
        <v>46.403898141040614</v>
      </c>
      <c r="J14" s="108" t="s">
        <v>36</v>
      </c>
      <c r="K14" s="109"/>
      <c r="L14" s="22">
        <v>1577</v>
      </c>
      <c r="M14" s="47">
        <v>1065</v>
      </c>
      <c r="N14" s="22">
        <v>1514</v>
      </c>
      <c r="O14" s="63">
        <f>IFERROR(N14*100/M14,"")</f>
        <v>142.15962441314554</v>
      </c>
      <c r="P14" s="18">
        <f>IFERROR((N14-L14)*100/L14,"")</f>
        <v>-3.9949270767279645</v>
      </c>
    </row>
    <row r="15" spans="2:16" ht="42.6" customHeight="1" x14ac:dyDescent="0.6">
      <c r="B15" s="110" t="s">
        <v>37</v>
      </c>
      <c r="C15" s="111"/>
      <c r="D15" s="22">
        <v>46190</v>
      </c>
      <c r="E15" s="47">
        <v>69943</v>
      </c>
      <c r="F15" s="22">
        <v>163436</v>
      </c>
      <c r="G15" s="63">
        <f t="shared" ref="G15:G19" si="2">IFERROR(F15*100/E15,"")</f>
        <v>233.67027436626967</v>
      </c>
      <c r="H15" s="18">
        <f t="shared" ref="H15:H19" si="3">IFERROR((F15-D15)*100/D15,"")</f>
        <v>253.83416323879626</v>
      </c>
      <c r="J15" s="110" t="s">
        <v>37</v>
      </c>
      <c r="K15" s="111"/>
      <c r="L15" s="22">
        <v>474</v>
      </c>
      <c r="M15" s="47">
        <v>330</v>
      </c>
      <c r="N15" s="22">
        <v>627</v>
      </c>
      <c r="O15" s="63">
        <f>IFERROR(N15*100/M15,"")</f>
        <v>190</v>
      </c>
      <c r="P15" s="18">
        <f t="shared" ref="P15:P19" si="4">IFERROR((N15-L15)*100/L15,"")</f>
        <v>32.278481012658226</v>
      </c>
    </row>
    <row r="16" spans="2:16" ht="42.6" customHeight="1" x14ac:dyDescent="0.6">
      <c r="B16" s="112" t="s">
        <v>8</v>
      </c>
      <c r="C16" s="113"/>
      <c r="D16" s="22">
        <v>125</v>
      </c>
      <c r="E16" s="47"/>
      <c r="F16" s="22">
        <v>128</v>
      </c>
      <c r="G16" s="63" t="str">
        <f t="shared" si="2"/>
        <v/>
      </c>
      <c r="H16" s="18">
        <f t="shared" si="3"/>
        <v>2.4</v>
      </c>
      <c r="J16" s="112" t="s">
        <v>8</v>
      </c>
      <c r="K16" s="113"/>
      <c r="L16" s="22"/>
      <c r="M16" s="47"/>
      <c r="N16" s="22"/>
      <c r="O16" s="64"/>
      <c r="P16" s="18" t="str">
        <f t="shared" si="4"/>
        <v/>
      </c>
    </row>
    <row r="17" spans="2:16" ht="42.6" customHeight="1" x14ac:dyDescent="0.6">
      <c r="B17" s="114" t="s">
        <v>9</v>
      </c>
      <c r="C17" s="115"/>
      <c r="D17" s="22">
        <v>11655</v>
      </c>
      <c r="E17" s="47">
        <v>24797</v>
      </c>
      <c r="F17" s="22">
        <v>24789</v>
      </c>
      <c r="G17" s="63">
        <f t="shared" si="2"/>
        <v>99.967738032826546</v>
      </c>
      <c r="H17" s="18">
        <f t="shared" si="3"/>
        <v>112.68983268983268</v>
      </c>
      <c r="J17" s="114" t="s">
        <v>9</v>
      </c>
      <c r="K17" s="115"/>
      <c r="L17" s="22"/>
      <c r="M17" s="47"/>
      <c r="N17" s="22"/>
      <c r="O17" s="63" t="str">
        <f>IFERROR(N17*100/M17,"")</f>
        <v/>
      </c>
      <c r="P17" s="18" t="str">
        <f t="shared" si="4"/>
        <v/>
      </c>
    </row>
    <row r="18" spans="2:16" ht="42.6" customHeight="1" x14ac:dyDescent="0.6">
      <c r="B18" s="136" t="s">
        <v>38</v>
      </c>
      <c r="C18" s="137"/>
      <c r="D18" s="22">
        <v>9573</v>
      </c>
      <c r="E18" s="47">
        <v>16803</v>
      </c>
      <c r="F18" s="22">
        <v>43786</v>
      </c>
      <c r="G18" s="63">
        <f>IFERROR(F18*100/E18,"")</f>
        <v>260.58441944890791</v>
      </c>
      <c r="H18" s="18">
        <f t="shared" si="3"/>
        <v>357.39057766635329</v>
      </c>
      <c r="J18" s="136" t="s">
        <v>38</v>
      </c>
      <c r="K18" s="137"/>
      <c r="L18" s="22">
        <v>44589</v>
      </c>
      <c r="M18" s="47">
        <v>32269</v>
      </c>
      <c r="N18" s="22">
        <v>23201</v>
      </c>
      <c r="O18" s="64">
        <f>IFERROR(N18*100/M18,"")</f>
        <v>71.898726331773531</v>
      </c>
      <c r="P18" s="18">
        <f t="shared" si="4"/>
        <v>-47.96698737356747</v>
      </c>
    </row>
    <row r="19" spans="2:16" ht="42.6" customHeight="1" thickBot="1" x14ac:dyDescent="0.65">
      <c r="B19" s="138" t="s">
        <v>39</v>
      </c>
      <c r="C19" s="139"/>
      <c r="D19" s="22">
        <v>15546</v>
      </c>
      <c r="E19" s="47">
        <v>34765</v>
      </c>
      <c r="F19" s="22">
        <v>46034</v>
      </c>
      <c r="G19" s="63">
        <f t="shared" si="2"/>
        <v>132.4147849848986</v>
      </c>
      <c r="H19" s="18">
        <f t="shared" si="3"/>
        <v>196.11475620738454</v>
      </c>
      <c r="J19" s="138" t="s">
        <v>39</v>
      </c>
      <c r="K19" s="139"/>
      <c r="L19" s="22">
        <v>167</v>
      </c>
      <c r="M19" s="47">
        <v>155</v>
      </c>
      <c r="N19" s="22">
        <v>169</v>
      </c>
      <c r="O19" s="64">
        <f>IFERROR(N19*100/M19,"")</f>
        <v>109.03225806451613</v>
      </c>
      <c r="P19" s="18">
        <f t="shared" si="4"/>
        <v>1.1976047904191616</v>
      </c>
    </row>
    <row r="21" spans="2:16" ht="34.5" thickBot="1" x14ac:dyDescent="0.65">
      <c r="B21" s="85" t="s">
        <v>11</v>
      </c>
      <c r="C21" s="85"/>
      <c r="D21" s="85"/>
      <c r="E21" s="85"/>
      <c r="F21" s="85"/>
      <c r="G21" s="85"/>
      <c r="H21" s="85"/>
      <c r="I21" s="85"/>
      <c r="J21" s="85"/>
      <c r="K21" s="85"/>
    </row>
    <row r="22" spans="2:16" ht="67.900000000000006" customHeight="1" x14ac:dyDescent="0.6">
      <c r="B22" s="106" t="s">
        <v>32</v>
      </c>
      <c r="C22" s="107"/>
      <c r="D22" s="107" t="s">
        <v>35</v>
      </c>
      <c r="E22" s="107"/>
      <c r="F22" s="87" t="s">
        <v>33</v>
      </c>
      <c r="G22" s="88"/>
      <c r="H22" s="87" t="s">
        <v>34</v>
      </c>
      <c r="I22" s="88"/>
      <c r="J22" s="56" t="s">
        <v>12</v>
      </c>
      <c r="K22" s="31" t="s">
        <v>13</v>
      </c>
    </row>
    <row r="23" spans="2:16" ht="42.6" customHeight="1" x14ac:dyDescent="0.6">
      <c r="B23" s="122" t="s">
        <v>14</v>
      </c>
      <c r="C23" s="123"/>
      <c r="D23" s="83">
        <v>204072</v>
      </c>
      <c r="E23" s="83">
        <f>SUMIFS('[8]جدول فروش خدمات'!$U$25:$FT$25,'[8]جدول فروش خدمات'!$U$1:$FT$1,J21,'[8]جدول فروش خدمات'!$U$26:$FT$26,1)</f>
        <v>0</v>
      </c>
      <c r="F23" s="81">
        <v>274150</v>
      </c>
      <c r="G23" s="81">
        <f>SUMIFS('[8]جدول فروش خدمات'!$U$25:$FT$25,'[8]جدول فروش خدمات'!$U$1:$FT$1,K21,'[8]جدول فروش خدمات'!$U$26:$FT$26,2)</f>
        <v>0</v>
      </c>
      <c r="H23" s="83">
        <v>389082</v>
      </c>
      <c r="I23" s="83">
        <f>SUMIFS('[8]جدول فروش خدمات'!$U$25:$FT$25,'[8]جدول فروش خدمات'!$U$1:$FT$1,L21,'[8]جدول فروش خدمات'!$U$26:$FT$26,3)</f>
        <v>0</v>
      </c>
      <c r="J23" s="59">
        <f>IFERROR(H23*100/F23,"")</f>
        <v>141.92303483494436</v>
      </c>
      <c r="K23" s="54">
        <f>IFERROR((H23-D23)*100/ABS(D23),"")</f>
        <v>90.65917911325414</v>
      </c>
    </row>
    <row r="24" spans="2:16" ht="42.6" customHeight="1" x14ac:dyDescent="0.6">
      <c r="B24" s="130" t="s">
        <v>15</v>
      </c>
      <c r="C24" s="131"/>
      <c r="D24" s="86">
        <v>-330519</v>
      </c>
      <c r="E24" s="86">
        <v>-330519</v>
      </c>
      <c r="F24" s="89">
        <v>-553424</v>
      </c>
      <c r="G24" s="89">
        <v>-553424</v>
      </c>
      <c r="H24" s="86">
        <v>-541536</v>
      </c>
      <c r="I24" s="86">
        <v>-541536</v>
      </c>
      <c r="J24" s="59">
        <f t="shared" ref="J24:J32" si="5">IFERROR(H24*100/F24,"")</f>
        <v>97.851918239902858</v>
      </c>
      <c r="K24" s="55">
        <f t="shared" ref="K24:K32" si="6">IFERROR((H24-D24)*100/ABS(D24),"")</f>
        <v>-63.844136040590705</v>
      </c>
    </row>
    <row r="25" spans="2:16" ht="42.6" customHeight="1" x14ac:dyDescent="0.6">
      <c r="B25" s="118" t="s">
        <v>16</v>
      </c>
      <c r="C25" s="119"/>
      <c r="D25" s="86">
        <f t="shared" ref="D25:I25" si="7">SUM(D23:D24)</f>
        <v>-126447</v>
      </c>
      <c r="E25" s="86">
        <f t="shared" si="7"/>
        <v>-330519</v>
      </c>
      <c r="F25" s="89">
        <f t="shared" si="7"/>
        <v>-279274</v>
      </c>
      <c r="G25" s="89">
        <f t="shared" si="7"/>
        <v>-553424</v>
      </c>
      <c r="H25" s="86">
        <f t="shared" si="7"/>
        <v>-152454</v>
      </c>
      <c r="I25" s="86">
        <f t="shared" si="7"/>
        <v>-541536</v>
      </c>
      <c r="J25" s="25">
        <f t="shared" si="5"/>
        <v>54.589399657683849</v>
      </c>
      <c r="K25" s="55">
        <f t="shared" si="6"/>
        <v>-20.567510498469716</v>
      </c>
    </row>
    <row r="26" spans="2:16" ht="42.6" customHeight="1" x14ac:dyDescent="0.6">
      <c r="B26" s="130" t="s">
        <v>17</v>
      </c>
      <c r="C26" s="131"/>
      <c r="D26" s="86">
        <v>-23770</v>
      </c>
      <c r="E26" s="86">
        <v>-23770</v>
      </c>
      <c r="F26" s="89">
        <v>-37600</v>
      </c>
      <c r="G26" s="89">
        <v>-37600</v>
      </c>
      <c r="H26" s="86">
        <v>-34913</v>
      </c>
      <c r="I26" s="86">
        <v>-34913</v>
      </c>
      <c r="J26" s="59">
        <f t="shared" si="5"/>
        <v>92.853723404255319</v>
      </c>
      <c r="K26" s="55">
        <f t="shared" si="6"/>
        <v>-46.87841817416912</v>
      </c>
    </row>
    <row r="27" spans="2:16" ht="42.6" customHeight="1" x14ac:dyDescent="0.6">
      <c r="B27" s="122" t="s">
        <v>18</v>
      </c>
      <c r="C27" s="123"/>
      <c r="D27" s="83">
        <f>216647+15713</f>
        <v>232360</v>
      </c>
      <c r="E27" s="83">
        <f>216647+15713</f>
        <v>232360</v>
      </c>
      <c r="F27" s="81">
        <v>274985</v>
      </c>
      <c r="G27" s="81">
        <v>274985</v>
      </c>
      <c r="H27" s="83">
        <f>295274+46204</f>
        <v>341478</v>
      </c>
      <c r="I27" s="83">
        <f>295274+46204</f>
        <v>341478</v>
      </c>
      <c r="J27" s="59">
        <f t="shared" si="5"/>
        <v>124.18059166863647</v>
      </c>
      <c r="K27" s="54">
        <f t="shared" si="6"/>
        <v>46.960750559476672</v>
      </c>
    </row>
    <row r="28" spans="2:16" ht="42.6" customHeight="1" x14ac:dyDescent="0.6">
      <c r="B28" s="116" t="s">
        <v>19</v>
      </c>
      <c r="C28" s="117"/>
      <c r="D28" s="83"/>
      <c r="E28" s="83"/>
      <c r="F28" s="81"/>
      <c r="G28" s="81"/>
      <c r="H28" s="83"/>
      <c r="I28" s="83"/>
      <c r="J28" s="59" t="str">
        <f t="shared" si="5"/>
        <v/>
      </c>
      <c r="K28" s="54" t="str">
        <f t="shared" si="6"/>
        <v/>
      </c>
    </row>
    <row r="29" spans="2:16" ht="42.6" customHeight="1" x14ac:dyDescent="0.6">
      <c r="B29" s="118" t="s">
        <v>20</v>
      </c>
      <c r="C29" s="119"/>
      <c r="D29" s="83">
        <v>82143</v>
      </c>
      <c r="E29" s="83"/>
      <c r="F29" s="89">
        <f>SUM(F25:F28)</f>
        <v>-41889</v>
      </c>
      <c r="G29" s="89">
        <f>SUM(G25:G28)</f>
        <v>-316039</v>
      </c>
      <c r="H29" s="83">
        <v>154111</v>
      </c>
      <c r="I29" s="83"/>
      <c r="J29" s="25">
        <f t="shared" si="5"/>
        <v>-367.9032681610924</v>
      </c>
      <c r="K29" s="54">
        <f t="shared" si="6"/>
        <v>87.61306502075648</v>
      </c>
    </row>
    <row r="30" spans="2:16" ht="42.6" customHeight="1" x14ac:dyDescent="0.6">
      <c r="B30" s="120" t="s">
        <v>21</v>
      </c>
      <c r="C30" s="121"/>
      <c r="D30" s="83"/>
      <c r="E30" s="83"/>
      <c r="F30" s="81"/>
      <c r="G30" s="81"/>
      <c r="H30" s="83"/>
      <c r="I30" s="83"/>
      <c r="J30" s="59" t="str">
        <f t="shared" si="5"/>
        <v/>
      </c>
      <c r="K30" s="54" t="str">
        <f t="shared" si="6"/>
        <v/>
      </c>
    </row>
    <row r="31" spans="2:16" ht="42.6" customHeight="1" x14ac:dyDescent="0.6">
      <c r="B31" s="122" t="s">
        <v>22</v>
      </c>
      <c r="C31" s="123"/>
      <c r="D31" s="83"/>
      <c r="E31" s="83"/>
      <c r="F31" s="81"/>
      <c r="G31" s="81"/>
      <c r="H31" s="83"/>
      <c r="I31" s="83"/>
      <c r="J31" s="59" t="str">
        <f t="shared" si="5"/>
        <v/>
      </c>
      <c r="K31" s="54" t="str">
        <f t="shared" si="6"/>
        <v/>
      </c>
    </row>
    <row r="32" spans="2:16" ht="42.6" customHeight="1" thickBot="1" x14ac:dyDescent="0.65">
      <c r="B32" s="124" t="s">
        <v>23</v>
      </c>
      <c r="C32" s="125"/>
      <c r="D32" s="84">
        <v>82143</v>
      </c>
      <c r="E32" s="84"/>
      <c r="F32" s="82">
        <f>SUM(F28:F31)</f>
        <v>-41889</v>
      </c>
      <c r="G32" s="82">
        <f>SUM(G28:G31)</f>
        <v>-316039</v>
      </c>
      <c r="H32" s="84">
        <v>154111</v>
      </c>
      <c r="I32" s="84"/>
      <c r="J32" s="25">
        <f t="shared" si="5"/>
        <v>-367.9032681610924</v>
      </c>
      <c r="K32" s="54">
        <f t="shared" si="6"/>
        <v>87.61306502075648</v>
      </c>
    </row>
    <row r="33" spans="2:17" ht="27.6" customHeight="1" x14ac:dyDescent="0.6"/>
    <row r="34" spans="2:17" ht="34.5" thickBot="1" x14ac:dyDescent="0.65">
      <c r="B34" s="85" t="s">
        <v>24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</row>
    <row r="35" spans="2:17" ht="52.5" customHeight="1" x14ac:dyDescent="0.6">
      <c r="B35" s="140" t="s">
        <v>25</v>
      </c>
      <c r="C35" s="141"/>
      <c r="D35" s="87" t="s">
        <v>35</v>
      </c>
      <c r="E35" s="135"/>
      <c r="F35" s="135"/>
      <c r="G35" s="88"/>
      <c r="H35" s="87" t="s">
        <v>33</v>
      </c>
      <c r="I35" s="135"/>
      <c r="J35" s="135"/>
      <c r="K35" s="88"/>
      <c r="L35" s="87" t="s">
        <v>34</v>
      </c>
      <c r="M35" s="135"/>
      <c r="N35" s="135"/>
      <c r="O35" s="88"/>
      <c r="P35" s="56" t="s">
        <v>26</v>
      </c>
      <c r="Q35" s="31" t="s">
        <v>27</v>
      </c>
    </row>
    <row r="36" spans="2:17" ht="52.5" customHeight="1" x14ac:dyDescent="0.6">
      <c r="B36" s="142"/>
      <c r="C36" s="143"/>
      <c r="D36" s="35" t="s">
        <v>42</v>
      </c>
      <c r="E36" s="35" t="s">
        <v>43</v>
      </c>
      <c r="F36" s="35" t="s">
        <v>44</v>
      </c>
      <c r="G36" s="35" t="s">
        <v>30</v>
      </c>
      <c r="H36" s="35" t="s">
        <v>42</v>
      </c>
      <c r="I36" s="35" t="s">
        <v>43</v>
      </c>
      <c r="J36" s="35" t="s">
        <v>44</v>
      </c>
      <c r="K36" s="35" t="s">
        <v>30</v>
      </c>
      <c r="L36" s="35" t="s">
        <v>42</v>
      </c>
      <c r="M36" s="35" t="s">
        <v>43</v>
      </c>
      <c r="N36" s="35" t="s">
        <v>44</v>
      </c>
      <c r="O36" s="35" t="s">
        <v>30</v>
      </c>
      <c r="P36" s="35" t="s">
        <v>30</v>
      </c>
      <c r="Q36" s="38" t="s">
        <v>30</v>
      </c>
    </row>
    <row r="37" spans="2:17" ht="36" customHeight="1" x14ac:dyDescent="0.6">
      <c r="B37" s="126" t="s">
        <v>28</v>
      </c>
      <c r="C37" s="127"/>
      <c r="D37" s="36"/>
      <c r="E37" s="36">
        <v>59</v>
      </c>
      <c r="F37" s="36">
        <v>8</v>
      </c>
      <c r="G37" s="40">
        <f>SUM(E37:F37)</f>
        <v>67</v>
      </c>
      <c r="H37" s="37"/>
      <c r="I37" s="36">
        <v>59</v>
      </c>
      <c r="J37" s="36">
        <v>24</v>
      </c>
      <c r="K37" s="40">
        <f>SUM(I37:J37)</f>
        <v>83</v>
      </c>
      <c r="L37" s="37"/>
      <c r="M37" s="37">
        <v>57</v>
      </c>
      <c r="N37" s="36">
        <v>11</v>
      </c>
      <c r="O37" s="40">
        <f>SUM(M37:N37)</f>
        <v>68</v>
      </c>
      <c r="P37" s="40">
        <f>O37*100/K37</f>
        <v>81.92771084337349</v>
      </c>
      <c r="Q37" s="42">
        <f>O37*100/G37</f>
        <v>101.49253731343283</v>
      </c>
    </row>
    <row r="38" spans="2:17" ht="36" customHeight="1" x14ac:dyDescent="0.6">
      <c r="B38" s="126" t="s">
        <v>29</v>
      </c>
      <c r="C38" s="127"/>
      <c r="D38" s="36"/>
      <c r="E38" s="36">
        <v>3</v>
      </c>
      <c r="F38" s="36">
        <v>0</v>
      </c>
      <c r="G38" s="40">
        <f>SUM(E38:F38)</f>
        <v>3</v>
      </c>
      <c r="H38" s="37"/>
      <c r="I38" s="36">
        <v>3</v>
      </c>
      <c r="J38" s="36">
        <v>0</v>
      </c>
      <c r="K38" s="40">
        <f>SUM(I38:J38)</f>
        <v>3</v>
      </c>
      <c r="L38" s="37"/>
      <c r="M38" s="37">
        <v>3</v>
      </c>
      <c r="N38" s="36">
        <v>0</v>
      </c>
      <c r="O38" s="40">
        <f>SUM(M38:N38)</f>
        <v>3</v>
      </c>
      <c r="P38" s="40">
        <f t="shared" ref="P38:P39" si="8">O38*100/K38</f>
        <v>100</v>
      </c>
      <c r="Q38" s="42">
        <f t="shared" ref="Q38:Q39" si="9">O38*100/G38</f>
        <v>100</v>
      </c>
    </row>
    <row r="39" spans="2:17" ht="36" customHeight="1" thickBot="1" x14ac:dyDescent="0.65">
      <c r="B39" s="128" t="s">
        <v>30</v>
      </c>
      <c r="C39" s="129"/>
      <c r="D39" s="39"/>
      <c r="E39" s="39">
        <f>SUM(E37:E38)</f>
        <v>62</v>
      </c>
      <c r="F39" s="39">
        <f>SUM(F37:F38)</f>
        <v>8</v>
      </c>
      <c r="G39" s="39">
        <f t="shared" ref="G39:O39" si="10">SUM(G37:G38)</f>
        <v>70</v>
      </c>
      <c r="H39" s="39">
        <f t="shared" si="10"/>
        <v>0</v>
      </c>
      <c r="I39" s="39">
        <f t="shared" si="10"/>
        <v>62</v>
      </c>
      <c r="J39" s="39">
        <f t="shared" si="10"/>
        <v>24</v>
      </c>
      <c r="K39" s="39">
        <f t="shared" si="10"/>
        <v>86</v>
      </c>
      <c r="L39" s="39">
        <f t="shared" si="10"/>
        <v>0</v>
      </c>
      <c r="M39" s="39">
        <f t="shared" si="10"/>
        <v>60</v>
      </c>
      <c r="N39" s="39">
        <f t="shared" si="10"/>
        <v>11</v>
      </c>
      <c r="O39" s="39">
        <f t="shared" si="10"/>
        <v>71</v>
      </c>
      <c r="P39" s="40">
        <f t="shared" si="8"/>
        <v>82.558139534883722</v>
      </c>
      <c r="Q39" s="42">
        <f t="shared" si="9"/>
        <v>101.42857142857143</v>
      </c>
    </row>
    <row r="41" spans="2:17" s="21" customFormat="1" ht="21" x14ac:dyDescent="0.55000000000000004">
      <c r="B41" s="105"/>
      <c r="C41" s="105"/>
      <c r="D41" s="105"/>
      <c r="E41" s="105"/>
      <c r="F41" s="105"/>
      <c r="G41" s="105"/>
      <c r="H41" s="105"/>
    </row>
  </sheetData>
  <mergeCells count="81">
    <mergeCell ref="B12:H12"/>
    <mergeCell ref="J12:P12"/>
    <mergeCell ref="B13:C13"/>
    <mergeCell ref="B1:P1"/>
    <mergeCell ref="B3:H3"/>
    <mergeCell ref="J3:P3"/>
    <mergeCell ref="B4:B9"/>
    <mergeCell ref="C4:C5"/>
    <mergeCell ref="D4:F4"/>
    <mergeCell ref="H4:H5"/>
    <mergeCell ref="J4:J9"/>
    <mergeCell ref="K4:K5"/>
    <mergeCell ref="L4:N4"/>
    <mergeCell ref="P4:P5"/>
    <mergeCell ref="B15:C15"/>
    <mergeCell ref="B18:C18"/>
    <mergeCell ref="J13:K13"/>
    <mergeCell ref="J15:K15"/>
    <mergeCell ref="B16:C16"/>
    <mergeCell ref="J16:K16"/>
    <mergeCell ref="B17:C17"/>
    <mergeCell ref="J17:K17"/>
    <mergeCell ref="B14:C14"/>
    <mergeCell ref="J14:K14"/>
    <mergeCell ref="J18:K18"/>
    <mergeCell ref="B19:C19"/>
    <mergeCell ref="J19:K19"/>
    <mergeCell ref="B21:K21"/>
    <mergeCell ref="B23:C23"/>
    <mergeCell ref="D23:E23"/>
    <mergeCell ref="F23:G23"/>
    <mergeCell ref="H23:I23"/>
    <mergeCell ref="B22:C22"/>
    <mergeCell ref="D22:E22"/>
    <mergeCell ref="F22:G22"/>
    <mergeCell ref="H22:I22"/>
    <mergeCell ref="B24:C24"/>
    <mergeCell ref="D24:E24"/>
    <mergeCell ref="F24:G24"/>
    <mergeCell ref="H24:I24"/>
    <mergeCell ref="B25:C25"/>
    <mergeCell ref="D25:E25"/>
    <mergeCell ref="F25:G25"/>
    <mergeCell ref="H25:I25"/>
    <mergeCell ref="B26:C26"/>
    <mergeCell ref="D26:E26"/>
    <mergeCell ref="F26:G26"/>
    <mergeCell ref="H26:I26"/>
    <mergeCell ref="B27:C27"/>
    <mergeCell ref="D27:E27"/>
    <mergeCell ref="F27:G27"/>
    <mergeCell ref="H27:I27"/>
    <mergeCell ref="B28:C28"/>
    <mergeCell ref="D28:E28"/>
    <mergeCell ref="F28:G28"/>
    <mergeCell ref="H28:I28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8:C38"/>
    <mergeCell ref="B39:C39"/>
    <mergeCell ref="B41:H41"/>
    <mergeCell ref="B34:Q34"/>
    <mergeCell ref="B35:C36"/>
    <mergeCell ref="D35:G35"/>
    <mergeCell ref="H35:K35"/>
    <mergeCell ref="L35:O35"/>
    <mergeCell ref="B37:C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03B4D-1B1A-4FCF-8D78-86D0658EEC76}">
  <dimension ref="B1:Q41"/>
  <sheetViews>
    <sheetView rightToLeft="1" topLeftCell="A23" zoomScale="80" zoomScaleNormal="80" workbookViewId="0">
      <selection activeCell="P37" sqref="P37:Q39"/>
    </sheetView>
  </sheetViews>
  <sheetFormatPr defaultColWidth="9" defaultRowHeight="24" x14ac:dyDescent="0.6"/>
  <cols>
    <col min="1" max="1" width="8.140625" style="1" customWidth="1"/>
    <col min="2" max="16" width="16.5703125" style="1" customWidth="1"/>
    <col min="17" max="17" width="16.42578125" style="1" customWidth="1"/>
    <col min="18" max="18" width="2.42578125" style="1" customWidth="1"/>
    <col min="19" max="16384" width="9" style="1"/>
  </cols>
  <sheetData>
    <row r="1" spans="2:16" ht="42.75" x14ac:dyDescent="0.6">
      <c r="B1" s="104" t="s">
        <v>49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2:16" x14ac:dyDescent="0.6">
      <c r="B2" s="2"/>
      <c r="C2" s="2"/>
      <c r="D2" s="2"/>
      <c r="E2" s="2"/>
      <c r="F2" s="2"/>
      <c r="G2" s="2"/>
      <c r="H2" s="2"/>
    </row>
    <row r="3" spans="2:16" ht="34.5" thickBot="1" x14ac:dyDescent="0.65">
      <c r="B3" s="85" t="s">
        <v>0</v>
      </c>
      <c r="C3" s="85"/>
      <c r="D3" s="85"/>
      <c r="E3" s="85"/>
      <c r="F3" s="85"/>
      <c r="G3" s="85"/>
      <c r="H3" s="85"/>
      <c r="J3" s="85" t="s">
        <v>0</v>
      </c>
      <c r="K3" s="85"/>
      <c r="L3" s="85"/>
      <c r="M3" s="85"/>
      <c r="N3" s="85"/>
      <c r="O3" s="85"/>
      <c r="P3" s="85"/>
    </row>
    <row r="4" spans="2:16" ht="36" customHeight="1" x14ac:dyDescent="0.6">
      <c r="B4" s="94" t="s">
        <v>1</v>
      </c>
      <c r="C4" s="97" t="s">
        <v>31</v>
      </c>
      <c r="D4" s="99" t="s">
        <v>2</v>
      </c>
      <c r="E4" s="100"/>
      <c r="F4" s="101"/>
      <c r="G4" s="28" t="s">
        <v>3</v>
      </c>
      <c r="H4" s="102" t="s">
        <v>4</v>
      </c>
      <c r="J4" s="132" t="s">
        <v>10</v>
      </c>
      <c r="K4" s="97" t="s">
        <v>31</v>
      </c>
      <c r="L4" s="99" t="s">
        <v>2</v>
      </c>
      <c r="M4" s="100"/>
      <c r="N4" s="101"/>
      <c r="O4" s="28" t="s">
        <v>3</v>
      </c>
      <c r="P4" s="102" t="s">
        <v>4</v>
      </c>
    </row>
    <row r="5" spans="2:16" ht="36" customHeight="1" thickBot="1" x14ac:dyDescent="0.65">
      <c r="B5" s="95"/>
      <c r="C5" s="98"/>
      <c r="D5" s="29" t="s">
        <v>35</v>
      </c>
      <c r="E5" s="29" t="s">
        <v>33</v>
      </c>
      <c r="F5" s="29" t="s">
        <v>34</v>
      </c>
      <c r="G5" s="30" t="s">
        <v>5</v>
      </c>
      <c r="H5" s="103"/>
      <c r="J5" s="133"/>
      <c r="K5" s="98"/>
      <c r="L5" s="29" t="s">
        <v>35</v>
      </c>
      <c r="M5" s="29" t="s">
        <v>33</v>
      </c>
      <c r="N5" s="29" t="s">
        <v>34</v>
      </c>
      <c r="O5" s="30" t="s">
        <v>5</v>
      </c>
      <c r="P5" s="103"/>
    </row>
    <row r="6" spans="2:16" ht="36" customHeight="1" x14ac:dyDescent="0.6">
      <c r="B6" s="95"/>
      <c r="C6" s="3" t="s">
        <v>6</v>
      </c>
      <c r="D6" s="4">
        <v>227</v>
      </c>
      <c r="E6" s="43">
        <v>1286</v>
      </c>
      <c r="F6" s="5">
        <v>235</v>
      </c>
      <c r="G6" s="6">
        <f>F6/E6*100</f>
        <v>18.27371695178849</v>
      </c>
      <c r="H6" s="7"/>
      <c r="J6" s="133"/>
      <c r="K6" s="3" t="s">
        <v>6</v>
      </c>
      <c r="L6" s="5"/>
      <c r="M6" s="43"/>
      <c r="N6" s="5"/>
      <c r="O6" s="6" t="e">
        <f>N6/M6*100</f>
        <v>#DIV/0!</v>
      </c>
      <c r="P6" s="7"/>
    </row>
    <row r="7" spans="2:16" ht="36" customHeight="1" x14ac:dyDescent="0.6">
      <c r="B7" s="95"/>
      <c r="C7" s="8" t="s">
        <v>7</v>
      </c>
      <c r="D7" s="9">
        <v>373</v>
      </c>
      <c r="E7" s="44">
        <v>3069</v>
      </c>
      <c r="F7" s="9">
        <v>96</v>
      </c>
      <c r="G7" s="6">
        <f t="shared" ref="G7:G8" si="0">F7/E7*100</f>
        <v>3.1280547409579667</v>
      </c>
      <c r="H7" s="10"/>
      <c r="J7" s="133"/>
      <c r="K7" s="8" t="s">
        <v>7</v>
      </c>
      <c r="L7" s="9"/>
      <c r="M7" s="44"/>
      <c r="N7" s="9"/>
      <c r="O7" s="6" t="e">
        <f t="shared" ref="O7:O9" si="1">N7/M7*100</f>
        <v>#DIV/0!</v>
      </c>
      <c r="P7" s="10"/>
    </row>
    <row r="8" spans="2:16" ht="36" customHeight="1" x14ac:dyDescent="0.6">
      <c r="B8" s="95"/>
      <c r="C8" s="11" t="s">
        <v>8</v>
      </c>
      <c r="D8" s="9">
        <v>29</v>
      </c>
      <c r="E8" s="44">
        <v>58</v>
      </c>
      <c r="F8" s="9">
        <v>38</v>
      </c>
      <c r="G8" s="6">
        <f t="shared" si="0"/>
        <v>65.517241379310349</v>
      </c>
      <c r="H8" s="10"/>
      <c r="J8" s="133"/>
      <c r="K8" s="11" t="s">
        <v>8</v>
      </c>
      <c r="L8" s="9"/>
      <c r="M8" s="44"/>
      <c r="N8" s="9"/>
      <c r="O8" s="6" t="e">
        <f t="shared" si="1"/>
        <v>#DIV/0!</v>
      </c>
      <c r="P8" s="10"/>
    </row>
    <row r="9" spans="2:16" ht="36" customHeight="1" thickBot="1" x14ac:dyDescent="0.65">
      <c r="B9" s="96"/>
      <c r="C9" s="12" t="s">
        <v>9</v>
      </c>
      <c r="D9" s="13"/>
      <c r="E9" s="45"/>
      <c r="F9" s="13"/>
      <c r="G9" s="57">
        <v>0</v>
      </c>
      <c r="H9" s="14"/>
      <c r="J9" s="134"/>
      <c r="K9" s="12" t="s">
        <v>9</v>
      </c>
      <c r="L9" s="13"/>
      <c r="M9" s="46"/>
      <c r="N9" s="13"/>
      <c r="O9" s="57" t="e">
        <f t="shared" si="1"/>
        <v>#DIV/0!</v>
      </c>
      <c r="P9" s="14"/>
    </row>
    <row r="10" spans="2:16" ht="16.5" customHeight="1" x14ac:dyDescent="0.6"/>
    <row r="12" spans="2:16" ht="34.5" thickBot="1" x14ac:dyDescent="0.65">
      <c r="B12" s="85" t="s">
        <v>45</v>
      </c>
      <c r="C12" s="85"/>
      <c r="D12" s="85"/>
      <c r="E12" s="85"/>
      <c r="F12" s="85"/>
      <c r="G12" s="85"/>
      <c r="H12" s="85"/>
      <c r="J12" s="85" t="s">
        <v>46</v>
      </c>
      <c r="K12" s="85"/>
      <c r="L12" s="85"/>
      <c r="M12" s="85"/>
      <c r="N12" s="85"/>
      <c r="O12" s="85"/>
      <c r="P12" s="85"/>
    </row>
    <row r="13" spans="2:16" ht="67.900000000000006" customHeight="1" x14ac:dyDescent="0.6">
      <c r="B13" s="106" t="s">
        <v>40</v>
      </c>
      <c r="C13" s="107"/>
      <c r="D13" s="56" t="s">
        <v>35</v>
      </c>
      <c r="E13" s="56" t="s">
        <v>33</v>
      </c>
      <c r="F13" s="56" t="s">
        <v>34</v>
      </c>
      <c r="G13" s="56" t="s">
        <v>12</v>
      </c>
      <c r="H13" s="56" t="s">
        <v>13</v>
      </c>
      <c r="J13" s="106" t="s">
        <v>41</v>
      </c>
      <c r="K13" s="107"/>
      <c r="L13" s="56" t="s">
        <v>35</v>
      </c>
      <c r="M13" s="56" t="s">
        <v>33</v>
      </c>
      <c r="N13" s="56" t="s">
        <v>34</v>
      </c>
      <c r="O13" s="56" t="s">
        <v>12</v>
      </c>
      <c r="P13" s="56" t="s">
        <v>13</v>
      </c>
    </row>
    <row r="14" spans="2:16" ht="42.6" customHeight="1" x14ac:dyDescent="0.6">
      <c r="B14" s="108" t="s">
        <v>36</v>
      </c>
      <c r="C14" s="109"/>
      <c r="D14" s="22">
        <v>5089</v>
      </c>
      <c r="E14" s="47">
        <v>26217</v>
      </c>
      <c r="F14" s="22">
        <v>195</v>
      </c>
      <c r="G14" s="64">
        <f>IFERROR(F14*100/E14,"")</f>
        <v>0.74379219590342149</v>
      </c>
      <c r="H14" s="18">
        <f>IFERROR((F14-D14)*100/D14,"")</f>
        <v>-96.168205934368245</v>
      </c>
      <c r="J14" s="108" t="s">
        <v>36</v>
      </c>
      <c r="K14" s="109"/>
      <c r="L14" s="22"/>
      <c r="M14" s="47"/>
      <c r="N14" s="22"/>
      <c r="O14" s="15"/>
      <c r="P14" s="16"/>
    </row>
    <row r="15" spans="2:16" ht="42.6" customHeight="1" x14ac:dyDescent="0.6">
      <c r="B15" s="110" t="s">
        <v>37</v>
      </c>
      <c r="C15" s="111"/>
      <c r="D15" s="22">
        <v>215</v>
      </c>
      <c r="E15" s="47">
        <v>1417</v>
      </c>
      <c r="F15" s="22">
        <v>259</v>
      </c>
      <c r="G15" s="63">
        <f t="shared" ref="G15:G19" si="2">IFERROR(F15*100/E15,"")</f>
        <v>18.278052223006352</v>
      </c>
      <c r="H15" s="18">
        <f t="shared" ref="H15:H19" si="3">IFERROR((F15-D15)*100/D15,"")</f>
        <v>20.465116279069768</v>
      </c>
      <c r="J15" s="110" t="s">
        <v>37</v>
      </c>
      <c r="K15" s="111"/>
      <c r="L15" s="23"/>
      <c r="M15" s="48"/>
      <c r="N15" s="23"/>
      <c r="O15" s="17"/>
      <c r="P15" s="18"/>
    </row>
    <row r="16" spans="2:16" ht="42.6" customHeight="1" x14ac:dyDescent="0.6">
      <c r="B16" s="112" t="s">
        <v>8</v>
      </c>
      <c r="C16" s="113"/>
      <c r="D16" s="22"/>
      <c r="E16" s="47"/>
      <c r="F16" s="22">
        <v>33</v>
      </c>
      <c r="G16" s="63" t="str">
        <f t="shared" si="2"/>
        <v/>
      </c>
      <c r="H16" s="18" t="str">
        <f t="shared" si="3"/>
        <v/>
      </c>
      <c r="J16" s="112" t="s">
        <v>8</v>
      </c>
      <c r="K16" s="113"/>
      <c r="L16" s="24"/>
      <c r="M16" s="49"/>
      <c r="N16" s="24"/>
      <c r="O16" s="17"/>
      <c r="P16" s="18"/>
    </row>
    <row r="17" spans="2:16" ht="42.6" customHeight="1" x14ac:dyDescent="0.6">
      <c r="B17" s="114" t="s">
        <v>9</v>
      </c>
      <c r="C17" s="115"/>
      <c r="D17" s="22"/>
      <c r="E17" s="47"/>
      <c r="F17" s="22"/>
      <c r="G17" s="63" t="str">
        <f t="shared" si="2"/>
        <v/>
      </c>
      <c r="H17" s="18" t="str">
        <f t="shared" si="3"/>
        <v/>
      </c>
      <c r="J17" s="114" t="s">
        <v>9</v>
      </c>
      <c r="K17" s="115"/>
      <c r="L17" s="25"/>
      <c r="M17" s="50"/>
      <c r="N17" s="25"/>
      <c r="O17" s="17"/>
      <c r="P17" s="18"/>
    </row>
    <row r="18" spans="2:16" ht="42.6" customHeight="1" x14ac:dyDescent="0.6">
      <c r="B18" s="136" t="s">
        <v>38</v>
      </c>
      <c r="C18" s="137"/>
      <c r="D18" s="22">
        <v>168</v>
      </c>
      <c r="E18" s="47">
        <v>1334</v>
      </c>
      <c r="F18" s="22">
        <v>325</v>
      </c>
      <c r="G18" s="64">
        <f>IFERROR(F18*100/E18,"")</f>
        <v>24.362818590704649</v>
      </c>
      <c r="H18" s="18">
        <f t="shared" si="3"/>
        <v>93.452380952380949</v>
      </c>
      <c r="J18" s="136" t="s">
        <v>38</v>
      </c>
      <c r="K18" s="137"/>
      <c r="L18" s="32"/>
      <c r="M18" s="51"/>
      <c r="N18" s="26"/>
      <c r="O18" s="17"/>
      <c r="P18" s="18"/>
    </row>
    <row r="19" spans="2:16" ht="42.6" customHeight="1" thickBot="1" x14ac:dyDescent="0.65">
      <c r="B19" s="138" t="s">
        <v>39</v>
      </c>
      <c r="C19" s="139"/>
      <c r="D19" s="22">
        <v>939</v>
      </c>
      <c r="E19" s="47">
        <v>1635</v>
      </c>
      <c r="F19" s="22">
        <v>121</v>
      </c>
      <c r="G19" s="63">
        <f t="shared" si="2"/>
        <v>7.4006116207951074</v>
      </c>
      <c r="H19" s="18">
        <f t="shared" si="3"/>
        <v>-87.11395101171459</v>
      </c>
      <c r="J19" s="138" t="s">
        <v>39</v>
      </c>
      <c r="K19" s="139"/>
      <c r="L19" s="27"/>
      <c r="M19" s="52"/>
      <c r="N19" s="27"/>
      <c r="O19" s="19"/>
      <c r="P19" s="20"/>
    </row>
    <row r="21" spans="2:16" ht="34.5" thickBot="1" x14ac:dyDescent="0.65">
      <c r="B21" s="85" t="s">
        <v>11</v>
      </c>
      <c r="C21" s="85"/>
      <c r="D21" s="85"/>
      <c r="E21" s="85"/>
      <c r="F21" s="85"/>
      <c r="G21" s="85"/>
      <c r="H21" s="85"/>
      <c r="I21" s="85"/>
      <c r="J21" s="85"/>
      <c r="K21" s="85"/>
    </row>
    <row r="22" spans="2:16" ht="67.900000000000006" customHeight="1" x14ac:dyDescent="0.6">
      <c r="B22" s="106" t="s">
        <v>32</v>
      </c>
      <c r="C22" s="107"/>
      <c r="D22" s="107" t="s">
        <v>35</v>
      </c>
      <c r="E22" s="107"/>
      <c r="F22" s="87" t="s">
        <v>33</v>
      </c>
      <c r="G22" s="88"/>
      <c r="H22" s="87" t="s">
        <v>34</v>
      </c>
      <c r="I22" s="88"/>
      <c r="J22" s="56" t="s">
        <v>12</v>
      </c>
      <c r="K22" s="31" t="s">
        <v>13</v>
      </c>
    </row>
    <row r="23" spans="2:16" ht="42.6" customHeight="1" x14ac:dyDescent="0.6">
      <c r="B23" s="122" t="s">
        <v>14</v>
      </c>
      <c r="C23" s="123"/>
      <c r="D23" s="83">
        <v>5472</v>
      </c>
      <c r="E23" s="83">
        <f>SUMIFS('[8]جدول فروش خدمات'!$U$25:$FT$25,'[8]جدول فروش خدمات'!$U$1:$FT$1,J21,'[8]جدول فروش خدمات'!$U$26:$FT$26,1)</f>
        <v>0</v>
      </c>
      <c r="F23" s="81">
        <v>28968</v>
      </c>
      <c r="G23" s="81">
        <f>SUMIFS('[8]جدول فروش خدمات'!$U$25:$FT$25,'[8]جدول فروش خدمات'!$U$1:$FT$1,K21,'[8]جدول فروش خدمات'!$U$26:$FT$26,2)</f>
        <v>0</v>
      </c>
      <c r="H23" s="83">
        <v>812</v>
      </c>
      <c r="I23" s="83">
        <f>SUMIFS('[8]جدول فروش خدمات'!$U$25:$FT$25,'[8]جدول فروش خدمات'!$U$1:$FT$1,L21,'[8]جدول فروش خدمات'!$U$26:$FT$26,3)</f>
        <v>0</v>
      </c>
      <c r="J23" s="25">
        <f>IFERROR(H23*100/F23,"")</f>
        <v>2.8030930682132009</v>
      </c>
      <c r="K23" s="55">
        <f>IFERROR((H23-D23)*100/ABS(D23),"")</f>
        <v>-85.160818713450297</v>
      </c>
    </row>
    <row r="24" spans="2:16" ht="42.6" customHeight="1" x14ac:dyDescent="0.6">
      <c r="B24" s="130" t="s">
        <v>15</v>
      </c>
      <c r="C24" s="131"/>
      <c r="D24" s="86">
        <v>-14919</v>
      </c>
      <c r="E24" s="86">
        <v>-14919</v>
      </c>
      <c r="F24" s="89">
        <v>-22136</v>
      </c>
      <c r="G24" s="89">
        <v>-22136</v>
      </c>
      <c r="H24" s="86">
        <v>-28389</v>
      </c>
      <c r="I24" s="86">
        <v>-28389</v>
      </c>
      <c r="J24" s="59">
        <f t="shared" ref="J24:J32" si="4">IFERROR(H24*100/F24,"")</f>
        <v>128.24810263823636</v>
      </c>
      <c r="K24" s="55">
        <f t="shared" ref="K24:K32" si="5">IFERROR((H24-D24)*100/ABS(D24),"")</f>
        <v>-90.28755278503921</v>
      </c>
    </row>
    <row r="25" spans="2:16" ht="42.6" customHeight="1" x14ac:dyDescent="0.6">
      <c r="B25" s="118" t="s">
        <v>16</v>
      </c>
      <c r="C25" s="119"/>
      <c r="D25" s="86">
        <f t="shared" ref="D25:I25" si="6">SUM(D23:D24)</f>
        <v>-9447</v>
      </c>
      <c r="E25" s="86">
        <f t="shared" si="6"/>
        <v>-14919</v>
      </c>
      <c r="F25" s="81">
        <f t="shared" si="6"/>
        <v>6832</v>
      </c>
      <c r="G25" s="81">
        <f t="shared" si="6"/>
        <v>-22136</v>
      </c>
      <c r="H25" s="86">
        <f t="shared" si="6"/>
        <v>-27577</v>
      </c>
      <c r="I25" s="86">
        <f t="shared" si="6"/>
        <v>-28389</v>
      </c>
      <c r="J25" s="25">
        <f t="shared" si="4"/>
        <v>-403.64461358313815</v>
      </c>
      <c r="K25" s="55">
        <f t="shared" si="5"/>
        <v>-191.91277654281782</v>
      </c>
    </row>
    <row r="26" spans="2:16" ht="42.6" customHeight="1" x14ac:dyDescent="0.6">
      <c r="B26" s="130" t="s">
        <v>17</v>
      </c>
      <c r="C26" s="131"/>
      <c r="D26" s="86">
        <v>-2519</v>
      </c>
      <c r="E26" s="86">
        <v>-2519</v>
      </c>
      <c r="F26" s="89">
        <v>-2927</v>
      </c>
      <c r="G26" s="89">
        <v>-2927</v>
      </c>
      <c r="H26" s="86">
        <v>-29</v>
      </c>
      <c r="I26" s="86">
        <v>-29</v>
      </c>
      <c r="J26" s="25">
        <f t="shared" si="4"/>
        <v>0.99077553809361119</v>
      </c>
      <c r="K26" s="54">
        <f t="shared" si="5"/>
        <v>98.848749503771344</v>
      </c>
    </row>
    <row r="27" spans="2:16" ht="42.6" customHeight="1" x14ac:dyDescent="0.6">
      <c r="B27" s="122" t="s">
        <v>18</v>
      </c>
      <c r="C27" s="123"/>
      <c r="D27" s="83">
        <f>18+939</f>
        <v>957</v>
      </c>
      <c r="E27" s="83">
        <f>18+939</f>
        <v>957</v>
      </c>
      <c r="F27" s="81">
        <v>2246</v>
      </c>
      <c r="G27" s="81">
        <v>2246</v>
      </c>
      <c r="H27" s="83">
        <f>8+121</f>
        <v>129</v>
      </c>
      <c r="I27" s="83">
        <f>8+121</f>
        <v>129</v>
      </c>
      <c r="J27" s="25">
        <f t="shared" si="4"/>
        <v>5.7435440783615315</v>
      </c>
      <c r="K27" s="55">
        <f t="shared" si="5"/>
        <v>-86.520376175548591</v>
      </c>
    </row>
    <row r="28" spans="2:16" ht="42.6" customHeight="1" x14ac:dyDescent="0.6">
      <c r="B28" s="116" t="s">
        <v>19</v>
      </c>
      <c r="C28" s="117"/>
      <c r="D28" s="83"/>
      <c r="E28" s="83"/>
      <c r="F28" s="81"/>
      <c r="G28" s="81"/>
      <c r="H28" s="83"/>
      <c r="I28" s="83"/>
      <c r="J28" s="59" t="str">
        <f t="shared" si="4"/>
        <v/>
      </c>
      <c r="K28" s="54" t="str">
        <f t="shared" si="5"/>
        <v/>
      </c>
    </row>
    <row r="29" spans="2:16" ht="42.6" customHeight="1" x14ac:dyDescent="0.6">
      <c r="B29" s="118" t="s">
        <v>20</v>
      </c>
      <c r="C29" s="119"/>
      <c r="D29" s="86">
        <f>SUM(D25:D28)</f>
        <v>-11009</v>
      </c>
      <c r="E29" s="86">
        <f>SUM(E25:E28)</f>
        <v>-16481</v>
      </c>
      <c r="F29" s="81">
        <v>6151</v>
      </c>
      <c r="G29" s="81"/>
      <c r="H29" s="86">
        <f>SUM(H25:H28)</f>
        <v>-27477</v>
      </c>
      <c r="I29" s="86">
        <f>SUM(I25:I28)</f>
        <v>-28289</v>
      </c>
      <c r="J29" s="25">
        <f t="shared" si="4"/>
        <v>-446.70785238172652</v>
      </c>
      <c r="K29" s="55">
        <f t="shared" si="5"/>
        <v>-149.58670178944499</v>
      </c>
    </row>
    <row r="30" spans="2:16" ht="42.6" customHeight="1" x14ac:dyDescent="0.6">
      <c r="B30" s="120" t="s">
        <v>21</v>
      </c>
      <c r="C30" s="121"/>
      <c r="D30" s="83"/>
      <c r="E30" s="83"/>
      <c r="F30" s="81"/>
      <c r="G30" s="81"/>
      <c r="H30" s="83"/>
      <c r="I30" s="83"/>
      <c r="J30" s="59" t="str">
        <f t="shared" si="4"/>
        <v/>
      </c>
      <c r="K30" s="54" t="str">
        <f t="shared" si="5"/>
        <v/>
      </c>
    </row>
    <row r="31" spans="2:16" ht="42.6" customHeight="1" x14ac:dyDescent="0.6">
      <c r="B31" s="122" t="s">
        <v>22</v>
      </c>
      <c r="C31" s="123"/>
      <c r="D31" s="83"/>
      <c r="E31" s="83"/>
      <c r="F31" s="81"/>
      <c r="G31" s="81"/>
      <c r="H31" s="83"/>
      <c r="I31" s="83"/>
      <c r="J31" s="59" t="str">
        <f t="shared" si="4"/>
        <v/>
      </c>
      <c r="K31" s="54" t="str">
        <f t="shared" si="5"/>
        <v/>
      </c>
    </row>
    <row r="32" spans="2:16" ht="42.6" customHeight="1" thickBot="1" x14ac:dyDescent="0.65">
      <c r="B32" s="124" t="s">
        <v>23</v>
      </c>
      <c r="C32" s="125"/>
      <c r="D32" s="144">
        <f>SUM(D28:D31)</f>
        <v>-11009</v>
      </c>
      <c r="E32" s="144">
        <f>SUM(E28:E31)</f>
        <v>-16481</v>
      </c>
      <c r="F32" s="82">
        <v>6151</v>
      </c>
      <c r="G32" s="82"/>
      <c r="H32" s="144">
        <f>SUM(H28:H31)</f>
        <v>-27477</v>
      </c>
      <c r="I32" s="144">
        <f>SUM(I28:I31)</f>
        <v>-28289</v>
      </c>
      <c r="J32" s="25">
        <f t="shared" si="4"/>
        <v>-446.70785238172652</v>
      </c>
      <c r="K32" s="55">
        <f t="shared" si="5"/>
        <v>-149.58670178944499</v>
      </c>
    </row>
    <row r="33" spans="2:17" ht="27.6" customHeight="1" x14ac:dyDescent="0.6"/>
    <row r="34" spans="2:17" ht="34.5" thickBot="1" x14ac:dyDescent="0.65">
      <c r="B34" s="85" t="s">
        <v>24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</row>
    <row r="35" spans="2:17" ht="52.5" customHeight="1" x14ac:dyDescent="0.6">
      <c r="B35" s="140" t="s">
        <v>25</v>
      </c>
      <c r="C35" s="141"/>
      <c r="D35" s="87" t="s">
        <v>35</v>
      </c>
      <c r="E35" s="135"/>
      <c r="F35" s="135"/>
      <c r="G35" s="88"/>
      <c r="H35" s="87" t="s">
        <v>33</v>
      </c>
      <c r="I35" s="135"/>
      <c r="J35" s="135"/>
      <c r="K35" s="88"/>
      <c r="L35" s="87" t="s">
        <v>34</v>
      </c>
      <c r="M35" s="135"/>
      <c r="N35" s="135"/>
      <c r="O35" s="88"/>
      <c r="P35" s="56" t="s">
        <v>26</v>
      </c>
      <c r="Q35" s="31" t="s">
        <v>27</v>
      </c>
    </row>
    <row r="36" spans="2:17" ht="52.5" customHeight="1" x14ac:dyDescent="0.6">
      <c r="B36" s="142"/>
      <c r="C36" s="143"/>
      <c r="D36" s="35" t="s">
        <v>42</v>
      </c>
      <c r="E36" s="35" t="s">
        <v>43</v>
      </c>
      <c r="F36" s="35" t="s">
        <v>44</v>
      </c>
      <c r="G36" s="35" t="s">
        <v>30</v>
      </c>
      <c r="H36" s="35" t="s">
        <v>42</v>
      </c>
      <c r="I36" s="35" t="s">
        <v>43</v>
      </c>
      <c r="J36" s="35" t="s">
        <v>44</v>
      </c>
      <c r="K36" s="35" t="s">
        <v>30</v>
      </c>
      <c r="L36" s="35" t="s">
        <v>42</v>
      </c>
      <c r="M36" s="35" t="s">
        <v>43</v>
      </c>
      <c r="N36" s="35" t="s">
        <v>44</v>
      </c>
      <c r="O36" s="35" t="s">
        <v>30</v>
      </c>
      <c r="P36" s="35" t="s">
        <v>30</v>
      </c>
      <c r="Q36" s="38" t="s">
        <v>30</v>
      </c>
    </row>
    <row r="37" spans="2:17" ht="36" customHeight="1" x14ac:dyDescent="0.6">
      <c r="B37" s="126" t="s">
        <v>28</v>
      </c>
      <c r="C37" s="127"/>
      <c r="D37" s="36"/>
      <c r="E37" s="36">
        <v>4</v>
      </c>
      <c r="F37" s="36">
        <v>0</v>
      </c>
      <c r="G37" s="40">
        <f>SUM(E37:F37)</f>
        <v>4</v>
      </c>
      <c r="H37" s="37"/>
      <c r="I37" s="36">
        <v>4</v>
      </c>
      <c r="J37" s="36">
        <v>0</v>
      </c>
      <c r="K37" s="40">
        <f>SUM(I37:J37)</f>
        <v>4</v>
      </c>
      <c r="L37" s="37"/>
      <c r="M37" s="37">
        <v>4</v>
      </c>
      <c r="N37" s="36">
        <v>0</v>
      </c>
      <c r="O37" s="40">
        <f>SUM(M37:N37)</f>
        <v>4</v>
      </c>
      <c r="P37" s="40">
        <f>O37*100/K37</f>
        <v>100</v>
      </c>
      <c r="Q37" s="42">
        <f>O37*100/G37</f>
        <v>100</v>
      </c>
    </row>
    <row r="38" spans="2:17" ht="36" customHeight="1" x14ac:dyDescent="0.6">
      <c r="B38" s="126" t="s">
        <v>29</v>
      </c>
      <c r="C38" s="127"/>
      <c r="D38" s="36"/>
      <c r="E38" s="36">
        <v>0</v>
      </c>
      <c r="F38" s="36">
        <v>0</v>
      </c>
      <c r="G38" s="40">
        <f>SUM(E38:F38)</f>
        <v>0</v>
      </c>
      <c r="H38" s="37"/>
      <c r="I38" s="36">
        <v>0</v>
      </c>
      <c r="J38" s="36">
        <v>0</v>
      </c>
      <c r="K38" s="40">
        <f>SUM(I38:J38)</f>
        <v>0</v>
      </c>
      <c r="L38" s="37"/>
      <c r="M38" s="37">
        <v>0</v>
      </c>
      <c r="N38" s="36">
        <v>0</v>
      </c>
      <c r="O38" s="40">
        <f>SUM(M38:N38)</f>
        <v>0</v>
      </c>
      <c r="P38" s="40" t="e">
        <f t="shared" ref="P38:P39" si="7">O38*100/K38</f>
        <v>#DIV/0!</v>
      </c>
      <c r="Q38" s="42" t="e">
        <f t="shared" ref="Q38:Q39" si="8">O38*100/G38</f>
        <v>#DIV/0!</v>
      </c>
    </row>
    <row r="39" spans="2:17" ht="36" customHeight="1" thickBot="1" x14ac:dyDescent="0.65">
      <c r="B39" s="128" t="s">
        <v>30</v>
      </c>
      <c r="C39" s="129"/>
      <c r="D39" s="39"/>
      <c r="E39" s="39">
        <f>SUM(E37:E38)</f>
        <v>4</v>
      </c>
      <c r="F39" s="39">
        <f>SUM(F37:F38)</f>
        <v>0</v>
      </c>
      <c r="G39" s="39">
        <f t="shared" ref="G39:O39" si="9">SUM(G37:G38)</f>
        <v>4</v>
      </c>
      <c r="H39" s="39">
        <f t="shared" si="9"/>
        <v>0</v>
      </c>
      <c r="I39" s="39">
        <f t="shared" si="9"/>
        <v>4</v>
      </c>
      <c r="J39" s="39">
        <f t="shared" si="9"/>
        <v>0</v>
      </c>
      <c r="K39" s="39">
        <f t="shared" si="9"/>
        <v>4</v>
      </c>
      <c r="L39" s="39">
        <f t="shared" si="9"/>
        <v>0</v>
      </c>
      <c r="M39" s="39">
        <f t="shared" si="9"/>
        <v>4</v>
      </c>
      <c r="N39" s="39">
        <f t="shared" si="9"/>
        <v>0</v>
      </c>
      <c r="O39" s="39">
        <f t="shared" si="9"/>
        <v>4</v>
      </c>
      <c r="P39" s="40">
        <f t="shared" si="7"/>
        <v>100</v>
      </c>
      <c r="Q39" s="42">
        <f t="shared" si="8"/>
        <v>100</v>
      </c>
    </row>
    <row r="41" spans="2:17" s="21" customFormat="1" ht="21" x14ac:dyDescent="0.55000000000000004">
      <c r="B41" s="105"/>
      <c r="C41" s="105"/>
      <c r="D41" s="105"/>
      <c r="E41" s="105"/>
      <c r="F41" s="105"/>
      <c r="G41" s="105"/>
      <c r="H41" s="105"/>
    </row>
  </sheetData>
  <mergeCells count="81">
    <mergeCell ref="B12:H12"/>
    <mergeCell ref="J12:P12"/>
    <mergeCell ref="B13:C13"/>
    <mergeCell ref="B1:P1"/>
    <mergeCell ref="B3:H3"/>
    <mergeCell ref="J3:P3"/>
    <mergeCell ref="B4:B9"/>
    <mergeCell ref="C4:C5"/>
    <mergeCell ref="D4:F4"/>
    <mergeCell ref="H4:H5"/>
    <mergeCell ref="J4:J9"/>
    <mergeCell ref="K4:K5"/>
    <mergeCell ref="L4:N4"/>
    <mergeCell ref="P4:P5"/>
    <mergeCell ref="B15:C15"/>
    <mergeCell ref="B18:C18"/>
    <mergeCell ref="J13:K13"/>
    <mergeCell ref="J15:K15"/>
    <mergeCell ref="B16:C16"/>
    <mergeCell ref="J16:K16"/>
    <mergeCell ref="B17:C17"/>
    <mergeCell ref="J17:K17"/>
    <mergeCell ref="B14:C14"/>
    <mergeCell ref="J14:K14"/>
    <mergeCell ref="J18:K18"/>
    <mergeCell ref="B19:C19"/>
    <mergeCell ref="J19:K19"/>
    <mergeCell ref="B21:K21"/>
    <mergeCell ref="B23:C23"/>
    <mergeCell ref="D23:E23"/>
    <mergeCell ref="F23:G23"/>
    <mergeCell ref="H23:I23"/>
    <mergeCell ref="B22:C22"/>
    <mergeCell ref="D22:E22"/>
    <mergeCell ref="F22:G22"/>
    <mergeCell ref="H22:I22"/>
    <mergeCell ref="B24:C24"/>
    <mergeCell ref="D24:E24"/>
    <mergeCell ref="F24:G24"/>
    <mergeCell ref="H24:I24"/>
    <mergeCell ref="B25:C25"/>
    <mergeCell ref="D25:E25"/>
    <mergeCell ref="F25:G25"/>
    <mergeCell ref="H25:I25"/>
    <mergeCell ref="B26:C26"/>
    <mergeCell ref="D26:E26"/>
    <mergeCell ref="F26:G26"/>
    <mergeCell ref="H26:I26"/>
    <mergeCell ref="B27:C27"/>
    <mergeCell ref="D27:E27"/>
    <mergeCell ref="F27:G27"/>
    <mergeCell ref="H27:I27"/>
    <mergeCell ref="B28:C28"/>
    <mergeCell ref="D28:E28"/>
    <mergeCell ref="F28:G28"/>
    <mergeCell ref="H28:I28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8:C38"/>
    <mergeCell ref="B39:C39"/>
    <mergeCell ref="B41:H41"/>
    <mergeCell ref="B34:Q34"/>
    <mergeCell ref="B35:C36"/>
    <mergeCell ref="D35:G35"/>
    <mergeCell ref="H35:K35"/>
    <mergeCell ref="L35:O35"/>
    <mergeCell ref="B37:C3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520C-8170-4E49-83E1-C76323574C13}">
  <dimension ref="B1:Q41"/>
  <sheetViews>
    <sheetView rightToLeft="1" topLeftCell="A11" zoomScale="80" zoomScaleNormal="80" workbookViewId="0">
      <selection activeCell="P37" sqref="P37:Q39"/>
    </sheetView>
  </sheetViews>
  <sheetFormatPr defaultColWidth="9" defaultRowHeight="24" x14ac:dyDescent="0.6"/>
  <cols>
    <col min="1" max="1" width="8.140625" style="1" customWidth="1"/>
    <col min="2" max="16" width="16.5703125" style="1" customWidth="1"/>
    <col min="17" max="17" width="16.42578125" style="1" customWidth="1"/>
    <col min="18" max="18" width="2.42578125" style="1" customWidth="1"/>
    <col min="19" max="16384" width="9" style="1"/>
  </cols>
  <sheetData>
    <row r="1" spans="2:16" ht="42.75" x14ac:dyDescent="0.6">
      <c r="B1" s="104" t="s">
        <v>48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2:16" x14ac:dyDescent="0.6">
      <c r="B2" s="2"/>
      <c r="C2" s="2"/>
      <c r="D2" s="2"/>
      <c r="E2" s="2"/>
      <c r="F2" s="2"/>
      <c r="G2" s="2"/>
      <c r="H2" s="2"/>
    </row>
    <row r="3" spans="2:16" ht="34.5" thickBot="1" x14ac:dyDescent="0.65">
      <c r="B3" s="85" t="s">
        <v>0</v>
      </c>
      <c r="C3" s="85"/>
      <c r="D3" s="85"/>
      <c r="E3" s="85"/>
      <c r="F3" s="85"/>
      <c r="G3" s="85"/>
      <c r="H3" s="85"/>
      <c r="J3" s="85" t="s">
        <v>0</v>
      </c>
      <c r="K3" s="85"/>
      <c r="L3" s="85"/>
      <c r="M3" s="85"/>
      <c r="N3" s="85"/>
      <c r="O3" s="85"/>
      <c r="P3" s="85"/>
    </row>
    <row r="4" spans="2:16" ht="36" customHeight="1" x14ac:dyDescent="0.6">
      <c r="B4" s="94" t="s">
        <v>1</v>
      </c>
      <c r="C4" s="97" t="s">
        <v>31</v>
      </c>
      <c r="D4" s="99" t="s">
        <v>2</v>
      </c>
      <c r="E4" s="100"/>
      <c r="F4" s="101"/>
      <c r="G4" s="28" t="s">
        <v>3</v>
      </c>
      <c r="H4" s="102" t="s">
        <v>4</v>
      </c>
      <c r="J4" s="132" t="s">
        <v>10</v>
      </c>
      <c r="K4" s="97" t="s">
        <v>31</v>
      </c>
      <c r="L4" s="99" t="s">
        <v>2</v>
      </c>
      <c r="M4" s="100"/>
      <c r="N4" s="101"/>
      <c r="O4" s="28" t="s">
        <v>3</v>
      </c>
      <c r="P4" s="102" t="s">
        <v>4</v>
      </c>
    </row>
    <row r="5" spans="2:16" ht="36" customHeight="1" thickBot="1" x14ac:dyDescent="0.65">
      <c r="B5" s="95"/>
      <c r="C5" s="98"/>
      <c r="D5" s="29" t="s">
        <v>35</v>
      </c>
      <c r="E5" s="29" t="s">
        <v>33</v>
      </c>
      <c r="F5" s="29" t="s">
        <v>34</v>
      </c>
      <c r="G5" s="30" t="s">
        <v>5</v>
      </c>
      <c r="H5" s="103"/>
      <c r="J5" s="133"/>
      <c r="K5" s="98"/>
      <c r="L5" s="29" t="s">
        <v>35</v>
      </c>
      <c r="M5" s="29" t="s">
        <v>33</v>
      </c>
      <c r="N5" s="29" t="s">
        <v>34</v>
      </c>
      <c r="O5" s="30" t="s">
        <v>5</v>
      </c>
      <c r="P5" s="103"/>
    </row>
    <row r="6" spans="2:16" ht="36" customHeight="1" x14ac:dyDescent="0.6">
      <c r="B6" s="95"/>
      <c r="C6" s="3" t="s">
        <v>6</v>
      </c>
      <c r="D6" s="4">
        <v>597</v>
      </c>
      <c r="E6" s="43">
        <v>3115</v>
      </c>
      <c r="F6" s="5">
        <v>7029</v>
      </c>
      <c r="G6" s="6">
        <f>F6/E6*100</f>
        <v>225.65008025682184</v>
      </c>
      <c r="H6" s="7"/>
      <c r="J6" s="133"/>
      <c r="K6" s="3" t="s">
        <v>6</v>
      </c>
      <c r="L6" s="5"/>
      <c r="M6" s="43"/>
      <c r="N6" s="5"/>
      <c r="O6" s="6" t="e">
        <f>N6/M6*100</f>
        <v>#DIV/0!</v>
      </c>
      <c r="P6" s="7"/>
    </row>
    <row r="7" spans="2:16" ht="36" customHeight="1" x14ac:dyDescent="0.6">
      <c r="B7" s="95"/>
      <c r="C7" s="8" t="s">
        <v>7</v>
      </c>
      <c r="D7" s="9">
        <v>626</v>
      </c>
      <c r="E7" s="44">
        <v>3436</v>
      </c>
      <c r="F7" s="9">
        <v>6747</v>
      </c>
      <c r="G7" s="6">
        <f t="shared" ref="G7" si="0">F7/E7*100</f>
        <v>196.36204889406287</v>
      </c>
      <c r="H7" s="10"/>
      <c r="J7" s="133"/>
      <c r="K7" s="8" t="s">
        <v>7</v>
      </c>
      <c r="L7" s="9"/>
      <c r="M7" s="44"/>
      <c r="N7" s="9"/>
      <c r="O7" s="6" t="e">
        <f t="shared" ref="O7:O9" si="1">N7/M7*100</f>
        <v>#DIV/0!</v>
      </c>
      <c r="P7" s="10"/>
    </row>
    <row r="8" spans="2:16" ht="36" customHeight="1" x14ac:dyDescent="0.6">
      <c r="B8" s="95"/>
      <c r="C8" s="11" t="s">
        <v>8</v>
      </c>
      <c r="D8" s="9">
        <v>0</v>
      </c>
      <c r="E8" s="44">
        <v>0</v>
      </c>
      <c r="F8" s="9">
        <v>0</v>
      </c>
      <c r="G8" s="6">
        <v>0</v>
      </c>
      <c r="H8" s="10"/>
      <c r="J8" s="133"/>
      <c r="K8" s="11" t="s">
        <v>8</v>
      </c>
      <c r="L8" s="9"/>
      <c r="M8" s="44"/>
      <c r="N8" s="9"/>
      <c r="O8" s="6" t="e">
        <f t="shared" si="1"/>
        <v>#DIV/0!</v>
      </c>
      <c r="P8" s="10"/>
    </row>
    <row r="9" spans="2:16" ht="36" customHeight="1" thickBot="1" x14ac:dyDescent="0.65">
      <c r="B9" s="96"/>
      <c r="C9" s="12" t="s">
        <v>9</v>
      </c>
      <c r="D9" s="13">
        <v>0</v>
      </c>
      <c r="E9" s="45">
        <v>0</v>
      </c>
      <c r="F9" s="13">
        <v>0</v>
      </c>
      <c r="G9" s="57">
        <v>0</v>
      </c>
      <c r="H9" s="14"/>
      <c r="J9" s="134"/>
      <c r="K9" s="12" t="s">
        <v>9</v>
      </c>
      <c r="L9" s="13"/>
      <c r="M9" s="46"/>
      <c r="N9" s="13"/>
      <c r="O9" s="57" t="e">
        <f t="shared" si="1"/>
        <v>#DIV/0!</v>
      </c>
      <c r="P9" s="14"/>
    </row>
    <row r="10" spans="2:16" ht="16.5" customHeight="1" x14ac:dyDescent="0.6"/>
    <row r="12" spans="2:16" ht="34.5" thickBot="1" x14ac:dyDescent="0.65">
      <c r="B12" s="85" t="s">
        <v>45</v>
      </c>
      <c r="C12" s="85"/>
      <c r="D12" s="85"/>
      <c r="E12" s="85"/>
      <c r="F12" s="85"/>
      <c r="G12" s="85"/>
      <c r="H12" s="85"/>
      <c r="J12" s="85" t="s">
        <v>46</v>
      </c>
      <c r="K12" s="85"/>
      <c r="L12" s="85"/>
      <c r="M12" s="85"/>
      <c r="N12" s="85"/>
      <c r="O12" s="85"/>
      <c r="P12" s="85"/>
    </row>
    <row r="13" spans="2:16" ht="67.900000000000006" customHeight="1" x14ac:dyDescent="0.6">
      <c r="B13" s="106" t="s">
        <v>40</v>
      </c>
      <c r="C13" s="107"/>
      <c r="D13" s="56" t="s">
        <v>35</v>
      </c>
      <c r="E13" s="56" t="s">
        <v>33</v>
      </c>
      <c r="F13" s="56" t="s">
        <v>34</v>
      </c>
      <c r="G13" s="56" t="s">
        <v>12</v>
      </c>
      <c r="H13" s="56" t="s">
        <v>13</v>
      </c>
      <c r="J13" s="106" t="s">
        <v>41</v>
      </c>
      <c r="K13" s="107"/>
      <c r="L13" s="56" t="s">
        <v>35</v>
      </c>
      <c r="M13" s="56" t="s">
        <v>33</v>
      </c>
      <c r="N13" s="56" t="s">
        <v>34</v>
      </c>
      <c r="O13" s="56" t="s">
        <v>12</v>
      </c>
      <c r="P13" s="56" t="s">
        <v>13</v>
      </c>
    </row>
    <row r="14" spans="2:16" ht="42.6" customHeight="1" x14ac:dyDescent="0.6">
      <c r="B14" s="108" t="s">
        <v>36</v>
      </c>
      <c r="C14" s="109"/>
      <c r="D14" s="22">
        <v>2342</v>
      </c>
      <c r="E14" s="47">
        <v>10057</v>
      </c>
      <c r="F14" s="22">
        <v>15394</v>
      </c>
      <c r="G14" s="63">
        <f>IFERROR(F14*100/E14,"")</f>
        <v>153.06751516356766</v>
      </c>
      <c r="H14" s="18">
        <f>IFERROR((F14-D14)*100/D14,"")</f>
        <v>557.30145175064047</v>
      </c>
      <c r="J14" s="108" t="s">
        <v>36</v>
      </c>
      <c r="K14" s="109"/>
      <c r="L14" s="22"/>
      <c r="M14" s="47"/>
      <c r="N14" s="22">
        <v>132</v>
      </c>
      <c r="O14" s="63" t="str">
        <f>IFERROR(N14*100/M14,"")</f>
        <v/>
      </c>
      <c r="P14" s="18" t="str">
        <f>IFERROR((N14-L14)*100/L14,"")</f>
        <v/>
      </c>
    </row>
    <row r="15" spans="2:16" ht="42.6" customHeight="1" x14ac:dyDescent="0.6">
      <c r="B15" s="110" t="s">
        <v>37</v>
      </c>
      <c r="C15" s="111"/>
      <c r="D15" s="22">
        <v>531</v>
      </c>
      <c r="E15" s="47">
        <v>2442</v>
      </c>
      <c r="F15" s="22">
        <v>21398</v>
      </c>
      <c r="G15" s="63">
        <f t="shared" ref="G15:G19" si="2">IFERROR(F15*100/E15,"")</f>
        <v>876.24897624897631</v>
      </c>
      <c r="H15" s="18">
        <f t="shared" ref="H15:H19" si="3">IFERROR((F15-D15)*100/D15,"")</f>
        <v>3929.7551789077211</v>
      </c>
      <c r="J15" s="110" t="s">
        <v>37</v>
      </c>
      <c r="K15" s="111"/>
      <c r="L15" s="23"/>
      <c r="M15" s="48"/>
      <c r="N15" s="22">
        <v>8</v>
      </c>
      <c r="O15" s="64"/>
      <c r="P15" s="18" t="str">
        <f t="shared" ref="P15:P19" si="4">IFERROR((N15-L15)*100/L15,"")</f>
        <v/>
      </c>
    </row>
    <row r="16" spans="2:16" ht="42.6" customHeight="1" x14ac:dyDescent="0.6">
      <c r="B16" s="112" t="s">
        <v>8</v>
      </c>
      <c r="C16" s="113"/>
      <c r="D16" s="22"/>
      <c r="E16" s="47"/>
      <c r="F16" s="22"/>
      <c r="G16" s="63" t="str">
        <f t="shared" si="2"/>
        <v/>
      </c>
      <c r="H16" s="18" t="str">
        <f t="shared" si="3"/>
        <v/>
      </c>
      <c r="J16" s="112" t="s">
        <v>8</v>
      </c>
      <c r="K16" s="113"/>
      <c r="L16" s="24"/>
      <c r="M16" s="49"/>
      <c r="N16" s="22"/>
      <c r="O16" s="64"/>
      <c r="P16" s="18" t="str">
        <f t="shared" si="4"/>
        <v/>
      </c>
    </row>
    <row r="17" spans="2:16" ht="42.6" customHeight="1" x14ac:dyDescent="0.6">
      <c r="B17" s="114" t="s">
        <v>9</v>
      </c>
      <c r="C17" s="115"/>
      <c r="D17" s="22"/>
      <c r="E17" s="47"/>
      <c r="F17" s="22"/>
      <c r="G17" s="63" t="str">
        <f t="shared" si="2"/>
        <v/>
      </c>
      <c r="H17" s="18" t="str">
        <f t="shared" si="3"/>
        <v/>
      </c>
      <c r="J17" s="114" t="s">
        <v>9</v>
      </c>
      <c r="K17" s="115"/>
      <c r="L17" s="25"/>
      <c r="M17" s="50"/>
      <c r="N17" s="22"/>
      <c r="O17" s="63" t="str">
        <f>IFERROR(N17*100/M17,"")</f>
        <v/>
      </c>
      <c r="P17" s="18" t="str">
        <f t="shared" si="4"/>
        <v/>
      </c>
    </row>
    <row r="18" spans="2:16" ht="42.6" customHeight="1" x14ac:dyDescent="0.6">
      <c r="B18" s="136" t="s">
        <v>38</v>
      </c>
      <c r="C18" s="137"/>
      <c r="D18" s="22">
        <v>52</v>
      </c>
      <c r="E18" s="47">
        <v>211</v>
      </c>
      <c r="F18" s="22">
        <v>913</v>
      </c>
      <c r="G18" s="63">
        <f>IFERROR(F18*100/E18,"")</f>
        <v>432.70142180094786</v>
      </c>
      <c r="H18" s="18">
        <f t="shared" si="3"/>
        <v>1655.7692307692307</v>
      </c>
      <c r="J18" s="136" t="s">
        <v>38</v>
      </c>
      <c r="K18" s="137"/>
      <c r="L18" s="32"/>
      <c r="M18" s="51"/>
      <c r="N18" s="22">
        <v>3</v>
      </c>
      <c r="O18" s="64"/>
      <c r="P18" s="18" t="str">
        <f t="shared" si="4"/>
        <v/>
      </c>
    </row>
    <row r="19" spans="2:16" ht="42.6" customHeight="1" thickBot="1" x14ac:dyDescent="0.65">
      <c r="B19" s="138" t="s">
        <v>39</v>
      </c>
      <c r="C19" s="139"/>
      <c r="D19" s="22">
        <v>302</v>
      </c>
      <c r="E19" s="47">
        <v>415</v>
      </c>
      <c r="F19" s="22">
        <v>5827</v>
      </c>
      <c r="G19" s="63">
        <f t="shared" si="2"/>
        <v>1404.0963855421687</v>
      </c>
      <c r="H19" s="18">
        <f t="shared" si="3"/>
        <v>1829.4701986754967</v>
      </c>
      <c r="J19" s="138" t="s">
        <v>39</v>
      </c>
      <c r="K19" s="139"/>
      <c r="L19" s="27"/>
      <c r="M19" s="52"/>
      <c r="N19" s="22"/>
      <c r="O19" s="64" t="str">
        <f>IFERROR(N19*100/M19,"")</f>
        <v/>
      </c>
      <c r="P19" s="18" t="str">
        <f t="shared" si="4"/>
        <v/>
      </c>
    </row>
    <row r="21" spans="2:16" ht="34.5" thickBot="1" x14ac:dyDescent="0.65">
      <c r="B21" s="85" t="s">
        <v>11</v>
      </c>
      <c r="C21" s="85"/>
      <c r="D21" s="85"/>
      <c r="E21" s="85"/>
      <c r="F21" s="85"/>
      <c r="G21" s="85"/>
      <c r="H21" s="85"/>
      <c r="I21" s="85"/>
      <c r="J21" s="85"/>
      <c r="K21" s="85"/>
    </row>
    <row r="22" spans="2:16" ht="67.900000000000006" customHeight="1" x14ac:dyDescent="0.6">
      <c r="B22" s="106" t="s">
        <v>32</v>
      </c>
      <c r="C22" s="107"/>
      <c r="D22" s="107" t="s">
        <v>35</v>
      </c>
      <c r="E22" s="107"/>
      <c r="F22" s="87" t="s">
        <v>33</v>
      </c>
      <c r="G22" s="88"/>
      <c r="H22" s="87" t="s">
        <v>34</v>
      </c>
      <c r="I22" s="88"/>
      <c r="J22" s="56" t="s">
        <v>12</v>
      </c>
      <c r="K22" s="31" t="s">
        <v>13</v>
      </c>
    </row>
    <row r="23" spans="2:16" ht="42.6" customHeight="1" x14ac:dyDescent="0.6">
      <c r="B23" s="122" t="s">
        <v>14</v>
      </c>
      <c r="C23" s="123"/>
      <c r="D23" s="83">
        <v>2925</v>
      </c>
      <c r="E23" s="83">
        <f>SUMIFS('[8]جدول فروش خدمات'!$U$25:$FT$25,'[8]جدول فروش خدمات'!$U$1:$FT$1,J21,'[8]جدول فروش خدمات'!$U$26:$FT$26,1)</f>
        <v>0</v>
      </c>
      <c r="F23" s="81">
        <v>12710</v>
      </c>
      <c r="G23" s="81">
        <f>SUMIFS('[8]جدول فروش خدمات'!$U$25:$FT$25,'[8]جدول فروش خدمات'!$U$1:$FT$1,K21,'[8]جدول فروش خدمات'!$U$26:$FT$26,2)</f>
        <v>0</v>
      </c>
      <c r="H23" s="83">
        <v>37848</v>
      </c>
      <c r="I23" s="83">
        <f>SUMIFS('[8]جدول فروش خدمات'!$U$25:$FT$25,'[8]جدول فروش خدمات'!$U$1:$FT$1,L21,'[8]جدول فروش خدمات'!$U$26:$FT$26,3)</f>
        <v>0</v>
      </c>
      <c r="J23" s="59">
        <f>IFERROR(H23*100/F23,"")</f>
        <v>297.78127458693945</v>
      </c>
      <c r="K23" s="54">
        <f>IFERROR((H23-D23)*100/ABS(D23),"")</f>
        <v>1193.948717948718</v>
      </c>
    </row>
    <row r="24" spans="2:16" ht="42.6" customHeight="1" x14ac:dyDescent="0.6">
      <c r="B24" s="130" t="s">
        <v>15</v>
      </c>
      <c r="C24" s="131"/>
      <c r="D24" s="86">
        <v>-7658</v>
      </c>
      <c r="E24" s="86">
        <v>-7658</v>
      </c>
      <c r="F24" s="89">
        <v>-11865</v>
      </c>
      <c r="G24" s="89">
        <v>-11865</v>
      </c>
      <c r="H24" s="86">
        <v>-39081</v>
      </c>
      <c r="I24" s="86">
        <v>-39081</v>
      </c>
      <c r="J24" s="59">
        <f t="shared" ref="J24:J32" si="5">IFERROR(H24*100/F24,"")</f>
        <v>329.3805309734513</v>
      </c>
      <c r="K24" s="55">
        <f t="shared" ref="K24:K32" si="6">IFERROR((H24-D24)*100/ABS(D24),"")</f>
        <v>-410.32906764168189</v>
      </c>
    </row>
    <row r="25" spans="2:16" ht="42.6" customHeight="1" x14ac:dyDescent="0.6">
      <c r="B25" s="118" t="s">
        <v>16</v>
      </c>
      <c r="C25" s="119"/>
      <c r="D25" s="86">
        <f t="shared" ref="D25:I25" si="7">SUM(D23:D24)</f>
        <v>-4733</v>
      </c>
      <c r="E25" s="86">
        <f t="shared" si="7"/>
        <v>-7658</v>
      </c>
      <c r="F25" s="81">
        <f t="shared" si="7"/>
        <v>845</v>
      </c>
      <c r="G25" s="81">
        <f t="shared" si="7"/>
        <v>-11865</v>
      </c>
      <c r="H25" s="86">
        <f t="shared" si="7"/>
        <v>-1233</v>
      </c>
      <c r="I25" s="86">
        <f t="shared" si="7"/>
        <v>-39081</v>
      </c>
      <c r="J25" s="25">
        <f t="shared" si="5"/>
        <v>-145.91715976331361</v>
      </c>
      <c r="K25" s="54">
        <f t="shared" si="6"/>
        <v>73.948869638706952</v>
      </c>
    </row>
    <row r="26" spans="2:16" ht="42.6" customHeight="1" x14ac:dyDescent="0.6">
      <c r="B26" s="130" t="s">
        <v>17</v>
      </c>
      <c r="C26" s="131"/>
      <c r="D26" s="86">
        <v>-184</v>
      </c>
      <c r="E26" s="86">
        <v>-184</v>
      </c>
      <c r="F26" s="89">
        <v>-934</v>
      </c>
      <c r="G26" s="89">
        <v>-934</v>
      </c>
      <c r="H26" s="86">
        <v>-8</v>
      </c>
      <c r="I26" s="86">
        <v>-8</v>
      </c>
      <c r="J26" s="25">
        <f t="shared" si="5"/>
        <v>0.85653104925053536</v>
      </c>
      <c r="K26" s="54">
        <f t="shared" si="6"/>
        <v>95.652173913043484</v>
      </c>
    </row>
    <row r="27" spans="2:16" ht="42.6" customHeight="1" x14ac:dyDescent="0.6">
      <c r="B27" s="122" t="s">
        <v>18</v>
      </c>
      <c r="C27" s="123"/>
      <c r="D27" s="83">
        <f>303</f>
        <v>303</v>
      </c>
      <c r="E27" s="83">
        <f>303</f>
        <v>303</v>
      </c>
      <c r="F27" s="81">
        <v>415</v>
      </c>
      <c r="G27" s="81">
        <v>415</v>
      </c>
      <c r="H27" s="83">
        <f>5827</f>
        <v>5827</v>
      </c>
      <c r="I27" s="83">
        <f>5827</f>
        <v>5827</v>
      </c>
      <c r="J27" s="59">
        <f t="shared" si="5"/>
        <v>1404.0963855421687</v>
      </c>
      <c r="K27" s="54">
        <f t="shared" si="6"/>
        <v>1823.102310231023</v>
      </c>
    </row>
    <row r="28" spans="2:16" ht="42.6" customHeight="1" x14ac:dyDescent="0.6">
      <c r="B28" s="116" t="s">
        <v>19</v>
      </c>
      <c r="C28" s="117"/>
      <c r="D28" s="83"/>
      <c r="E28" s="83"/>
      <c r="F28" s="81"/>
      <c r="G28" s="81"/>
      <c r="H28" s="83"/>
      <c r="I28" s="83"/>
      <c r="J28" s="59" t="str">
        <f t="shared" si="5"/>
        <v/>
      </c>
      <c r="K28" s="54" t="str">
        <f t="shared" si="6"/>
        <v/>
      </c>
    </row>
    <row r="29" spans="2:16" ht="42.6" customHeight="1" x14ac:dyDescent="0.6">
      <c r="B29" s="118" t="s">
        <v>20</v>
      </c>
      <c r="C29" s="119"/>
      <c r="D29" s="86">
        <f>SUM(D25:D28)</f>
        <v>-4614</v>
      </c>
      <c r="E29" s="86">
        <f>SUM(E25:E28)</f>
        <v>-7539</v>
      </c>
      <c r="F29" s="81">
        <v>326</v>
      </c>
      <c r="G29" s="81"/>
      <c r="H29" s="83">
        <v>4586</v>
      </c>
      <c r="I29" s="83"/>
      <c r="J29" s="59">
        <f t="shared" si="5"/>
        <v>1406.7484662576687</v>
      </c>
      <c r="K29" s="54">
        <f t="shared" si="6"/>
        <v>199.39315127871694</v>
      </c>
    </row>
    <row r="30" spans="2:16" ht="42.6" customHeight="1" x14ac:dyDescent="0.6">
      <c r="B30" s="120" t="s">
        <v>21</v>
      </c>
      <c r="C30" s="121"/>
      <c r="D30" s="83"/>
      <c r="E30" s="83"/>
      <c r="F30" s="81"/>
      <c r="G30" s="81"/>
      <c r="H30" s="83"/>
      <c r="I30" s="83"/>
      <c r="J30" s="59" t="str">
        <f t="shared" si="5"/>
        <v/>
      </c>
      <c r="K30" s="54" t="str">
        <f t="shared" si="6"/>
        <v/>
      </c>
    </row>
    <row r="31" spans="2:16" ht="42.6" customHeight="1" x14ac:dyDescent="0.6">
      <c r="B31" s="122" t="s">
        <v>22</v>
      </c>
      <c r="C31" s="123"/>
      <c r="D31" s="83"/>
      <c r="E31" s="83"/>
      <c r="F31" s="81"/>
      <c r="G31" s="81"/>
      <c r="H31" s="83"/>
      <c r="I31" s="83"/>
      <c r="J31" s="59" t="str">
        <f t="shared" si="5"/>
        <v/>
      </c>
      <c r="K31" s="54" t="str">
        <f t="shared" si="6"/>
        <v/>
      </c>
    </row>
    <row r="32" spans="2:16" ht="42.6" customHeight="1" thickBot="1" x14ac:dyDescent="0.65">
      <c r="B32" s="124" t="s">
        <v>23</v>
      </c>
      <c r="C32" s="125"/>
      <c r="D32" s="144">
        <f>SUM(D28:D31)</f>
        <v>-4614</v>
      </c>
      <c r="E32" s="144">
        <f>SUM(E28:E31)</f>
        <v>-7539</v>
      </c>
      <c r="F32" s="82">
        <v>326</v>
      </c>
      <c r="G32" s="82"/>
      <c r="H32" s="84">
        <v>4586</v>
      </c>
      <c r="I32" s="84"/>
      <c r="J32" s="59">
        <f t="shared" si="5"/>
        <v>1406.7484662576687</v>
      </c>
      <c r="K32" s="54">
        <f t="shared" si="6"/>
        <v>199.39315127871694</v>
      </c>
    </row>
    <row r="33" spans="2:17" ht="27.6" customHeight="1" x14ac:dyDescent="0.6"/>
    <row r="34" spans="2:17" ht="34.5" thickBot="1" x14ac:dyDescent="0.65">
      <c r="B34" s="85" t="s">
        <v>24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</row>
    <row r="35" spans="2:17" ht="52.5" customHeight="1" x14ac:dyDescent="0.6">
      <c r="B35" s="140" t="s">
        <v>25</v>
      </c>
      <c r="C35" s="141"/>
      <c r="D35" s="87" t="s">
        <v>35</v>
      </c>
      <c r="E35" s="135"/>
      <c r="F35" s="135"/>
      <c r="G35" s="88"/>
      <c r="H35" s="87" t="s">
        <v>33</v>
      </c>
      <c r="I35" s="135"/>
      <c r="J35" s="135"/>
      <c r="K35" s="88"/>
      <c r="L35" s="87" t="s">
        <v>34</v>
      </c>
      <c r="M35" s="135"/>
      <c r="N35" s="135"/>
      <c r="O35" s="88"/>
      <c r="P35" s="56" t="s">
        <v>26</v>
      </c>
      <c r="Q35" s="31" t="s">
        <v>27</v>
      </c>
    </row>
    <row r="36" spans="2:17" ht="52.5" customHeight="1" x14ac:dyDescent="0.6">
      <c r="B36" s="142"/>
      <c r="C36" s="143"/>
      <c r="D36" s="35" t="s">
        <v>42</v>
      </c>
      <c r="E36" s="35" t="s">
        <v>43</v>
      </c>
      <c r="F36" s="35" t="s">
        <v>44</v>
      </c>
      <c r="G36" s="35" t="s">
        <v>30</v>
      </c>
      <c r="H36" s="35" t="s">
        <v>42</v>
      </c>
      <c r="I36" s="35" t="s">
        <v>43</v>
      </c>
      <c r="J36" s="35" t="s">
        <v>44</v>
      </c>
      <c r="K36" s="35" t="s">
        <v>30</v>
      </c>
      <c r="L36" s="35" t="s">
        <v>42</v>
      </c>
      <c r="M36" s="35" t="s">
        <v>43</v>
      </c>
      <c r="N36" s="35" t="s">
        <v>44</v>
      </c>
      <c r="O36" s="35" t="s">
        <v>30</v>
      </c>
      <c r="P36" s="35" t="s">
        <v>30</v>
      </c>
      <c r="Q36" s="38" t="s">
        <v>30</v>
      </c>
    </row>
    <row r="37" spans="2:17" ht="36" customHeight="1" x14ac:dyDescent="0.6">
      <c r="B37" s="126" t="s">
        <v>28</v>
      </c>
      <c r="C37" s="127"/>
      <c r="D37" s="36"/>
      <c r="E37" s="36"/>
      <c r="F37" s="36"/>
      <c r="G37" s="40">
        <f>SUM(E37:F37)</f>
        <v>0</v>
      </c>
      <c r="H37" s="37"/>
      <c r="I37" s="36">
        <v>0</v>
      </c>
      <c r="J37" s="36">
        <v>3</v>
      </c>
      <c r="K37" s="40">
        <f>SUM(I37:J37)</f>
        <v>3</v>
      </c>
      <c r="L37" s="37"/>
      <c r="M37" s="37">
        <v>0</v>
      </c>
      <c r="N37" s="36">
        <v>3</v>
      </c>
      <c r="O37" s="40">
        <f>SUM(M37:N37)</f>
        <v>3</v>
      </c>
      <c r="P37" s="40">
        <f>O37*100/K37</f>
        <v>100</v>
      </c>
      <c r="Q37" s="42" t="e">
        <f>O37*100/G37</f>
        <v>#DIV/0!</v>
      </c>
    </row>
    <row r="38" spans="2:17" ht="36" customHeight="1" x14ac:dyDescent="0.6">
      <c r="B38" s="126" t="s">
        <v>29</v>
      </c>
      <c r="C38" s="127"/>
      <c r="D38" s="36"/>
      <c r="E38" s="36">
        <v>1</v>
      </c>
      <c r="F38" s="36"/>
      <c r="G38" s="40">
        <f>SUM(E38:F38)</f>
        <v>1</v>
      </c>
      <c r="H38" s="37"/>
      <c r="I38" s="36">
        <v>1</v>
      </c>
      <c r="J38" s="36"/>
      <c r="K38" s="40">
        <f>SUM(I38:J38)</f>
        <v>1</v>
      </c>
      <c r="L38" s="37"/>
      <c r="M38" s="37">
        <v>2</v>
      </c>
      <c r="N38" s="36"/>
      <c r="O38" s="40">
        <f>SUM(M38:N38)</f>
        <v>2</v>
      </c>
      <c r="P38" s="40">
        <f t="shared" ref="P38:P39" si="8">O38*100/K38</f>
        <v>200</v>
      </c>
      <c r="Q38" s="42">
        <f t="shared" ref="Q38:Q39" si="9">O38*100/G38</f>
        <v>200</v>
      </c>
    </row>
    <row r="39" spans="2:17" ht="36" customHeight="1" thickBot="1" x14ac:dyDescent="0.65">
      <c r="B39" s="128" t="s">
        <v>30</v>
      </c>
      <c r="C39" s="129"/>
      <c r="D39" s="39"/>
      <c r="E39" s="39">
        <f>SUM(E37:E38)</f>
        <v>1</v>
      </c>
      <c r="F39" s="39">
        <f>SUM(F37:F38)</f>
        <v>0</v>
      </c>
      <c r="G39" s="39">
        <f t="shared" ref="G39:O39" si="10">SUM(G37:G38)</f>
        <v>1</v>
      </c>
      <c r="H39" s="39">
        <f t="shared" si="10"/>
        <v>0</v>
      </c>
      <c r="I39" s="39">
        <f t="shared" si="10"/>
        <v>1</v>
      </c>
      <c r="J39" s="39">
        <f t="shared" si="10"/>
        <v>3</v>
      </c>
      <c r="K39" s="39">
        <f t="shared" si="10"/>
        <v>4</v>
      </c>
      <c r="L39" s="39">
        <f t="shared" si="10"/>
        <v>0</v>
      </c>
      <c r="M39" s="39">
        <f t="shared" si="10"/>
        <v>2</v>
      </c>
      <c r="N39" s="39">
        <f t="shared" si="10"/>
        <v>3</v>
      </c>
      <c r="O39" s="39">
        <f t="shared" si="10"/>
        <v>5</v>
      </c>
      <c r="P39" s="40">
        <f t="shared" si="8"/>
        <v>125</v>
      </c>
      <c r="Q39" s="42">
        <f t="shared" si="9"/>
        <v>500</v>
      </c>
    </row>
    <row r="41" spans="2:17" s="21" customFormat="1" ht="21" x14ac:dyDescent="0.55000000000000004">
      <c r="B41" s="105"/>
      <c r="C41" s="105"/>
      <c r="D41" s="105"/>
      <c r="E41" s="105"/>
      <c r="F41" s="105"/>
      <c r="G41" s="105"/>
      <c r="H41" s="105"/>
    </row>
  </sheetData>
  <mergeCells count="81">
    <mergeCell ref="B12:H12"/>
    <mergeCell ref="J12:P12"/>
    <mergeCell ref="B13:C13"/>
    <mergeCell ref="B1:P1"/>
    <mergeCell ref="B3:H3"/>
    <mergeCell ref="J3:P3"/>
    <mergeCell ref="B4:B9"/>
    <mergeCell ref="C4:C5"/>
    <mergeCell ref="D4:F4"/>
    <mergeCell ref="H4:H5"/>
    <mergeCell ref="J4:J9"/>
    <mergeCell ref="K4:K5"/>
    <mergeCell ref="L4:N4"/>
    <mergeCell ref="P4:P5"/>
    <mergeCell ref="B15:C15"/>
    <mergeCell ref="B18:C18"/>
    <mergeCell ref="J13:K13"/>
    <mergeCell ref="J15:K15"/>
    <mergeCell ref="B16:C16"/>
    <mergeCell ref="J16:K16"/>
    <mergeCell ref="B17:C17"/>
    <mergeCell ref="J17:K17"/>
    <mergeCell ref="B14:C14"/>
    <mergeCell ref="J14:K14"/>
    <mergeCell ref="J18:K18"/>
    <mergeCell ref="B19:C19"/>
    <mergeCell ref="J19:K19"/>
    <mergeCell ref="B21:K21"/>
    <mergeCell ref="B23:C23"/>
    <mergeCell ref="D23:E23"/>
    <mergeCell ref="F23:G23"/>
    <mergeCell ref="H23:I23"/>
    <mergeCell ref="B22:C22"/>
    <mergeCell ref="D22:E22"/>
    <mergeCell ref="F22:G22"/>
    <mergeCell ref="H22:I22"/>
    <mergeCell ref="B24:C24"/>
    <mergeCell ref="D24:E24"/>
    <mergeCell ref="F24:G24"/>
    <mergeCell ref="H24:I24"/>
    <mergeCell ref="B25:C25"/>
    <mergeCell ref="D25:E25"/>
    <mergeCell ref="F25:G25"/>
    <mergeCell ref="H25:I25"/>
    <mergeCell ref="B26:C26"/>
    <mergeCell ref="D26:E26"/>
    <mergeCell ref="F26:G26"/>
    <mergeCell ref="H26:I26"/>
    <mergeCell ref="B27:C27"/>
    <mergeCell ref="D27:E27"/>
    <mergeCell ref="F27:G27"/>
    <mergeCell ref="H27:I27"/>
    <mergeCell ref="B28:C28"/>
    <mergeCell ref="D28:E28"/>
    <mergeCell ref="F28:G28"/>
    <mergeCell ref="H28:I28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8:C38"/>
    <mergeCell ref="B39:C39"/>
    <mergeCell ref="B41:H41"/>
    <mergeCell ref="B34:Q34"/>
    <mergeCell ref="B35:C36"/>
    <mergeCell ref="D35:G35"/>
    <mergeCell ref="H35:K35"/>
    <mergeCell ref="L35:O35"/>
    <mergeCell ref="B37:C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99C6-013F-470C-8DA2-1372CB0C2B75}">
  <dimension ref="B1:Q41"/>
  <sheetViews>
    <sheetView rightToLeft="1" zoomScale="70" zoomScaleNormal="70" workbookViewId="0">
      <selection activeCell="Q6" sqref="Q6"/>
    </sheetView>
  </sheetViews>
  <sheetFormatPr defaultColWidth="9" defaultRowHeight="24" x14ac:dyDescent="0.6"/>
  <cols>
    <col min="1" max="1" width="8.140625" style="1" customWidth="1"/>
    <col min="2" max="16" width="16.5703125" style="1" customWidth="1"/>
    <col min="17" max="17" width="16.42578125" style="1" customWidth="1"/>
    <col min="18" max="18" width="2.42578125" style="1" customWidth="1"/>
    <col min="19" max="16384" width="9" style="1"/>
  </cols>
  <sheetData>
    <row r="1" spans="2:16" ht="42.75" x14ac:dyDescent="0.6">
      <c r="B1" s="104" t="s">
        <v>47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2:16" x14ac:dyDescent="0.6">
      <c r="B2" s="2"/>
      <c r="C2" s="2"/>
      <c r="D2" s="2"/>
      <c r="E2" s="2"/>
      <c r="F2" s="2"/>
      <c r="G2" s="2"/>
      <c r="H2" s="2"/>
    </row>
    <row r="3" spans="2:16" ht="34.5" thickBot="1" x14ac:dyDescent="0.65">
      <c r="B3" s="85" t="s">
        <v>0</v>
      </c>
      <c r="C3" s="85"/>
      <c r="D3" s="85"/>
      <c r="E3" s="85"/>
      <c r="F3" s="85"/>
      <c r="G3" s="85"/>
      <c r="H3" s="85"/>
      <c r="J3" s="85" t="s">
        <v>0</v>
      </c>
      <c r="K3" s="85"/>
      <c r="L3" s="85"/>
      <c r="M3" s="85"/>
      <c r="N3" s="85"/>
      <c r="O3" s="85"/>
      <c r="P3" s="85"/>
    </row>
    <row r="4" spans="2:16" ht="36" customHeight="1" x14ac:dyDescent="0.6">
      <c r="B4" s="94" t="s">
        <v>1</v>
      </c>
      <c r="C4" s="97" t="s">
        <v>31</v>
      </c>
      <c r="D4" s="99" t="s">
        <v>2</v>
      </c>
      <c r="E4" s="100"/>
      <c r="F4" s="101"/>
      <c r="G4" s="28" t="s">
        <v>3</v>
      </c>
      <c r="H4" s="102" t="s">
        <v>4</v>
      </c>
      <c r="J4" s="132" t="s">
        <v>10</v>
      </c>
      <c r="K4" s="97" t="s">
        <v>31</v>
      </c>
      <c r="L4" s="99" t="s">
        <v>2</v>
      </c>
      <c r="M4" s="100"/>
      <c r="N4" s="101"/>
      <c r="O4" s="28" t="s">
        <v>3</v>
      </c>
      <c r="P4" s="102" t="s">
        <v>4</v>
      </c>
    </row>
    <row r="5" spans="2:16" ht="36" customHeight="1" thickBot="1" x14ac:dyDescent="0.65">
      <c r="B5" s="95"/>
      <c r="C5" s="98"/>
      <c r="D5" s="29" t="s">
        <v>35</v>
      </c>
      <c r="E5" s="29" t="s">
        <v>33</v>
      </c>
      <c r="F5" s="29" t="s">
        <v>34</v>
      </c>
      <c r="G5" s="30" t="s">
        <v>5</v>
      </c>
      <c r="H5" s="103"/>
      <c r="J5" s="133"/>
      <c r="K5" s="98"/>
      <c r="L5" s="29" t="s">
        <v>35</v>
      </c>
      <c r="M5" s="29" t="s">
        <v>33</v>
      </c>
      <c r="N5" s="29" t="s">
        <v>34</v>
      </c>
      <c r="O5" s="30" t="s">
        <v>5</v>
      </c>
      <c r="P5" s="103"/>
    </row>
    <row r="6" spans="2:16" ht="36" customHeight="1" x14ac:dyDescent="0.6">
      <c r="B6" s="95"/>
      <c r="C6" s="3" t="s">
        <v>6</v>
      </c>
      <c r="D6" s="4">
        <v>0</v>
      </c>
      <c r="E6" s="43">
        <v>0</v>
      </c>
      <c r="F6" s="5">
        <v>54</v>
      </c>
      <c r="G6" s="6"/>
      <c r="H6" s="7"/>
      <c r="J6" s="133"/>
      <c r="K6" s="3" t="s">
        <v>6</v>
      </c>
      <c r="L6" s="5">
        <v>0</v>
      </c>
      <c r="M6" s="43">
        <v>0</v>
      </c>
      <c r="N6" s="5">
        <v>1151</v>
      </c>
      <c r="O6" s="6"/>
      <c r="P6" s="7"/>
    </row>
    <row r="7" spans="2:16" ht="36" customHeight="1" x14ac:dyDescent="0.6">
      <c r="B7" s="95"/>
      <c r="C7" s="8" t="s">
        <v>7</v>
      </c>
      <c r="D7" s="9">
        <v>0</v>
      </c>
      <c r="E7" s="44">
        <v>0</v>
      </c>
      <c r="F7" s="9">
        <v>1</v>
      </c>
      <c r="G7" s="6"/>
      <c r="H7" s="10"/>
      <c r="J7" s="133"/>
      <c r="K7" s="8" t="s">
        <v>7</v>
      </c>
      <c r="L7" s="9">
        <v>0</v>
      </c>
      <c r="M7" s="44">
        <v>0</v>
      </c>
      <c r="N7" s="9">
        <v>952</v>
      </c>
      <c r="O7" s="6"/>
      <c r="P7" s="10"/>
    </row>
    <row r="8" spans="2:16" ht="36" customHeight="1" x14ac:dyDescent="0.6">
      <c r="B8" s="95"/>
      <c r="C8" s="11" t="s">
        <v>8</v>
      </c>
      <c r="D8" s="9">
        <v>0</v>
      </c>
      <c r="E8" s="44">
        <v>0</v>
      </c>
      <c r="F8" s="9">
        <v>0</v>
      </c>
      <c r="G8" s="6"/>
      <c r="H8" s="10"/>
      <c r="J8" s="133"/>
      <c r="K8" s="11" t="s">
        <v>8</v>
      </c>
      <c r="L8" s="9">
        <v>0</v>
      </c>
      <c r="M8" s="44">
        <v>0</v>
      </c>
      <c r="N8" s="9">
        <v>0</v>
      </c>
      <c r="O8" s="6">
        <v>0</v>
      </c>
      <c r="P8" s="10"/>
    </row>
    <row r="9" spans="2:16" ht="36" customHeight="1" thickBot="1" x14ac:dyDescent="0.65">
      <c r="B9" s="96"/>
      <c r="C9" s="12" t="s">
        <v>9</v>
      </c>
      <c r="D9" s="13">
        <v>0</v>
      </c>
      <c r="E9" s="45">
        <v>0</v>
      </c>
      <c r="F9" s="13">
        <v>0</v>
      </c>
      <c r="G9" s="57"/>
      <c r="H9" s="14"/>
      <c r="J9" s="134"/>
      <c r="K9" s="12" t="s">
        <v>9</v>
      </c>
      <c r="L9" s="13">
        <v>0</v>
      </c>
      <c r="M9" s="46">
        <v>0</v>
      </c>
      <c r="N9" s="13">
        <v>0</v>
      </c>
      <c r="O9" s="57">
        <v>0</v>
      </c>
      <c r="P9" s="14"/>
    </row>
    <row r="10" spans="2:16" ht="16.5" customHeight="1" x14ac:dyDescent="0.6"/>
    <row r="12" spans="2:16" ht="34.5" thickBot="1" x14ac:dyDescent="0.65">
      <c r="B12" s="85" t="s">
        <v>45</v>
      </c>
      <c r="C12" s="85"/>
      <c r="D12" s="85"/>
      <c r="E12" s="85"/>
      <c r="F12" s="85"/>
      <c r="G12" s="85"/>
      <c r="H12" s="85"/>
      <c r="J12" s="85" t="s">
        <v>46</v>
      </c>
      <c r="K12" s="85"/>
      <c r="L12" s="85"/>
      <c r="M12" s="85"/>
      <c r="N12" s="85"/>
      <c r="O12" s="85"/>
      <c r="P12" s="85"/>
    </row>
    <row r="13" spans="2:16" ht="67.900000000000006" customHeight="1" x14ac:dyDescent="0.6">
      <c r="B13" s="106" t="s">
        <v>40</v>
      </c>
      <c r="C13" s="107"/>
      <c r="D13" s="56" t="s">
        <v>35</v>
      </c>
      <c r="E13" s="56" t="s">
        <v>33</v>
      </c>
      <c r="F13" s="56" t="s">
        <v>34</v>
      </c>
      <c r="G13" s="56" t="s">
        <v>12</v>
      </c>
      <c r="H13" s="56" t="s">
        <v>13</v>
      </c>
      <c r="J13" s="106" t="s">
        <v>41</v>
      </c>
      <c r="K13" s="107"/>
      <c r="L13" s="56" t="s">
        <v>35</v>
      </c>
      <c r="M13" s="56" t="s">
        <v>33</v>
      </c>
      <c r="N13" s="56" t="s">
        <v>34</v>
      </c>
      <c r="O13" s="56" t="s">
        <v>12</v>
      </c>
      <c r="P13" s="56" t="s">
        <v>13</v>
      </c>
    </row>
    <row r="14" spans="2:16" ht="42.6" customHeight="1" x14ac:dyDescent="0.6">
      <c r="B14" s="108" t="s">
        <v>36</v>
      </c>
      <c r="C14" s="109"/>
      <c r="D14" s="22"/>
      <c r="E14" s="47"/>
      <c r="F14" s="22"/>
      <c r="G14" s="15"/>
      <c r="H14" s="16"/>
      <c r="J14" s="108" t="s">
        <v>36</v>
      </c>
      <c r="K14" s="109"/>
      <c r="L14" s="22"/>
      <c r="M14" s="47"/>
      <c r="N14" s="22">
        <v>1864</v>
      </c>
      <c r="O14" s="15"/>
      <c r="P14" s="16"/>
    </row>
    <row r="15" spans="2:16" ht="42.6" customHeight="1" x14ac:dyDescent="0.6">
      <c r="B15" s="110" t="s">
        <v>37</v>
      </c>
      <c r="C15" s="111"/>
      <c r="D15" s="23"/>
      <c r="E15" s="48"/>
      <c r="F15" s="23"/>
      <c r="G15" s="17"/>
      <c r="H15" s="18"/>
      <c r="J15" s="110" t="s">
        <v>37</v>
      </c>
      <c r="K15" s="111"/>
      <c r="L15" s="23"/>
      <c r="M15" s="48"/>
      <c r="N15" s="22">
        <v>1026</v>
      </c>
      <c r="O15" s="17"/>
      <c r="P15" s="18"/>
    </row>
    <row r="16" spans="2:16" ht="42.6" customHeight="1" x14ac:dyDescent="0.6">
      <c r="B16" s="112" t="s">
        <v>8</v>
      </c>
      <c r="C16" s="113"/>
      <c r="D16" s="24"/>
      <c r="E16" s="49"/>
      <c r="F16" s="24"/>
      <c r="G16" s="17"/>
      <c r="H16" s="18"/>
      <c r="J16" s="112" t="s">
        <v>8</v>
      </c>
      <c r="K16" s="113"/>
      <c r="L16" s="24"/>
      <c r="M16" s="49"/>
      <c r="N16" s="24"/>
      <c r="O16" s="17"/>
      <c r="P16" s="18"/>
    </row>
    <row r="17" spans="2:16" ht="42.6" customHeight="1" x14ac:dyDescent="0.6">
      <c r="B17" s="114" t="s">
        <v>9</v>
      </c>
      <c r="C17" s="115"/>
      <c r="D17" s="25"/>
      <c r="E17" s="50"/>
      <c r="F17" s="25"/>
      <c r="G17" s="17"/>
      <c r="H17" s="18"/>
      <c r="J17" s="114" t="s">
        <v>9</v>
      </c>
      <c r="K17" s="115"/>
      <c r="L17" s="25"/>
      <c r="M17" s="50"/>
      <c r="N17" s="25"/>
      <c r="O17" s="17"/>
      <c r="P17" s="18"/>
    </row>
    <row r="18" spans="2:16" ht="42.6" customHeight="1" x14ac:dyDescent="0.6">
      <c r="B18" s="136" t="s">
        <v>38</v>
      </c>
      <c r="C18" s="137"/>
      <c r="D18" s="32"/>
      <c r="E18" s="51"/>
      <c r="F18" s="26"/>
      <c r="G18" s="17"/>
      <c r="H18" s="18"/>
      <c r="J18" s="136" t="s">
        <v>38</v>
      </c>
      <c r="K18" s="137"/>
      <c r="L18" s="32"/>
      <c r="M18" s="51"/>
      <c r="N18" s="26">
        <v>359</v>
      </c>
      <c r="O18" s="17"/>
      <c r="P18" s="18"/>
    </row>
    <row r="19" spans="2:16" ht="42.6" customHeight="1" thickBot="1" x14ac:dyDescent="0.65">
      <c r="B19" s="138" t="s">
        <v>39</v>
      </c>
      <c r="C19" s="139"/>
      <c r="D19" s="27"/>
      <c r="E19" s="52"/>
      <c r="F19" s="27"/>
      <c r="G19" s="19"/>
      <c r="H19" s="20"/>
      <c r="J19" s="138" t="s">
        <v>39</v>
      </c>
      <c r="K19" s="139"/>
      <c r="L19" s="27"/>
      <c r="M19" s="52"/>
      <c r="N19" s="27">
        <v>1551</v>
      </c>
      <c r="O19" s="19"/>
      <c r="P19" s="20"/>
    </row>
    <row r="21" spans="2:16" ht="34.5" thickBot="1" x14ac:dyDescent="0.65">
      <c r="B21" s="85" t="s">
        <v>11</v>
      </c>
      <c r="C21" s="85"/>
      <c r="D21" s="85"/>
      <c r="E21" s="85"/>
      <c r="F21" s="85"/>
      <c r="G21" s="85"/>
      <c r="H21" s="85"/>
      <c r="I21" s="85"/>
      <c r="J21" s="85"/>
      <c r="K21" s="85"/>
    </row>
    <row r="22" spans="2:16" ht="67.900000000000006" customHeight="1" x14ac:dyDescent="0.6">
      <c r="B22" s="106" t="s">
        <v>32</v>
      </c>
      <c r="C22" s="107"/>
      <c r="D22" s="107" t="s">
        <v>35</v>
      </c>
      <c r="E22" s="107"/>
      <c r="F22" s="87" t="s">
        <v>33</v>
      </c>
      <c r="G22" s="88"/>
      <c r="H22" s="87" t="s">
        <v>34</v>
      </c>
      <c r="I22" s="88"/>
      <c r="J22" s="56" t="s">
        <v>12</v>
      </c>
      <c r="K22" s="31" t="s">
        <v>13</v>
      </c>
    </row>
    <row r="23" spans="2:16" ht="42.6" customHeight="1" x14ac:dyDescent="0.6">
      <c r="B23" s="122" t="s">
        <v>14</v>
      </c>
      <c r="C23" s="123"/>
      <c r="D23" s="83"/>
      <c r="E23" s="83"/>
      <c r="F23" s="81"/>
      <c r="G23" s="81"/>
      <c r="H23" s="83">
        <v>3249</v>
      </c>
      <c r="I23" s="83">
        <f>SUMIFS('[8]جدول فروش خدمات'!$U$25:$FT$25,'[8]جدول فروش خدمات'!$U$1:$FT$1,L21,'[8]جدول فروش خدمات'!$U$26:$FT$26,3)</f>
        <v>0</v>
      </c>
      <c r="J23" s="59" t="str">
        <f>IFERROR(H23*100/F23,"")</f>
        <v/>
      </c>
      <c r="K23" s="54" t="str">
        <f>IFERROR((H23-D23)*100/ABS(D23),"")</f>
        <v/>
      </c>
    </row>
    <row r="24" spans="2:16" ht="42.6" customHeight="1" x14ac:dyDescent="0.6">
      <c r="B24" s="130" t="s">
        <v>15</v>
      </c>
      <c r="C24" s="131"/>
      <c r="D24" s="83"/>
      <c r="E24" s="83"/>
      <c r="F24" s="81"/>
      <c r="G24" s="81"/>
      <c r="H24" s="86">
        <v>-783</v>
      </c>
      <c r="I24" s="86">
        <v>-783</v>
      </c>
      <c r="J24" s="59" t="str">
        <f t="shared" ref="J24:J32" si="0">IFERROR(H24*100/F24,"")</f>
        <v/>
      </c>
      <c r="K24" s="54" t="str">
        <f t="shared" ref="K24:K32" si="1">IFERROR((H24-D24)*100/ABS(D24),"")</f>
        <v/>
      </c>
    </row>
    <row r="25" spans="2:16" ht="42.6" customHeight="1" x14ac:dyDescent="0.6">
      <c r="B25" s="118" t="s">
        <v>16</v>
      </c>
      <c r="C25" s="119"/>
      <c r="D25" s="83"/>
      <c r="E25" s="83"/>
      <c r="F25" s="81"/>
      <c r="G25" s="81"/>
      <c r="H25" s="83">
        <f>SUM(H23:H24)</f>
        <v>2466</v>
      </c>
      <c r="I25" s="83">
        <f>SUM(I23:I24)</f>
        <v>-783</v>
      </c>
      <c r="J25" s="59" t="str">
        <f t="shared" si="0"/>
        <v/>
      </c>
      <c r="K25" s="54" t="str">
        <f t="shared" si="1"/>
        <v/>
      </c>
    </row>
    <row r="26" spans="2:16" ht="42.6" customHeight="1" x14ac:dyDescent="0.6">
      <c r="B26" s="130" t="s">
        <v>17</v>
      </c>
      <c r="C26" s="131"/>
      <c r="D26" s="83"/>
      <c r="E26" s="83"/>
      <c r="F26" s="81"/>
      <c r="G26" s="81"/>
      <c r="H26" s="86">
        <v>-1</v>
      </c>
      <c r="I26" s="86">
        <v>-1</v>
      </c>
      <c r="J26" s="59" t="str">
        <f t="shared" si="0"/>
        <v/>
      </c>
      <c r="K26" s="54" t="str">
        <f t="shared" si="1"/>
        <v/>
      </c>
    </row>
    <row r="27" spans="2:16" ht="42.6" customHeight="1" x14ac:dyDescent="0.6">
      <c r="B27" s="122" t="s">
        <v>18</v>
      </c>
      <c r="C27" s="123"/>
      <c r="D27" s="83"/>
      <c r="E27" s="83"/>
      <c r="F27" s="81"/>
      <c r="G27" s="81"/>
      <c r="H27" s="83">
        <f>1551</f>
        <v>1551</v>
      </c>
      <c r="I27" s="83">
        <f>1551</f>
        <v>1551</v>
      </c>
      <c r="J27" s="59" t="str">
        <f t="shared" si="0"/>
        <v/>
      </c>
      <c r="K27" s="54" t="str">
        <f t="shared" si="1"/>
        <v/>
      </c>
    </row>
    <row r="28" spans="2:16" ht="42.6" customHeight="1" x14ac:dyDescent="0.6">
      <c r="B28" s="116" t="s">
        <v>19</v>
      </c>
      <c r="C28" s="117"/>
      <c r="D28" s="83"/>
      <c r="E28" s="83"/>
      <c r="F28" s="81"/>
      <c r="G28" s="81"/>
      <c r="H28" s="83"/>
      <c r="I28" s="83"/>
      <c r="J28" s="59" t="str">
        <f t="shared" si="0"/>
        <v/>
      </c>
      <c r="K28" s="54" t="str">
        <f t="shared" si="1"/>
        <v/>
      </c>
    </row>
    <row r="29" spans="2:16" ht="42.6" customHeight="1" x14ac:dyDescent="0.6">
      <c r="B29" s="118" t="s">
        <v>20</v>
      </c>
      <c r="C29" s="119"/>
      <c r="D29" s="83"/>
      <c r="E29" s="83"/>
      <c r="F29" s="81"/>
      <c r="G29" s="81"/>
      <c r="H29" s="83">
        <v>4016</v>
      </c>
      <c r="I29" s="83"/>
      <c r="J29" s="59" t="str">
        <f t="shared" si="0"/>
        <v/>
      </c>
      <c r="K29" s="54" t="str">
        <f t="shared" si="1"/>
        <v/>
      </c>
    </row>
    <row r="30" spans="2:16" ht="42.6" customHeight="1" x14ac:dyDescent="0.6">
      <c r="B30" s="120" t="s">
        <v>21</v>
      </c>
      <c r="C30" s="121"/>
      <c r="D30" s="83"/>
      <c r="E30" s="83"/>
      <c r="F30" s="81"/>
      <c r="G30" s="81"/>
      <c r="H30" s="83"/>
      <c r="I30" s="83"/>
      <c r="J30" s="59" t="str">
        <f t="shared" si="0"/>
        <v/>
      </c>
      <c r="K30" s="54" t="str">
        <f t="shared" si="1"/>
        <v/>
      </c>
    </row>
    <row r="31" spans="2:16" ht="42.6" customHeight="1" x14ac:dyDescent="0.6">
      <c r="B31" s="122" t="s">
        <v>22</v>
      </c>
      <c r="C31" s="123"/>
      <c r="D31" s="83"/>
      <c r="E31" s="83"/>
      <c r="F31" s="81"/>
      <c r="G31" s="81"/>
      <c r="H31" s="83"/>
      <c r="I31" s="83"/>
      <c r="J31" s="59" t="str">
        <f t="shared" si="0"/>
        <v/>
      </c>
      <c r="K31" s="54" t="str">
        <f t="shared" si="1"/>
        <v/>
      </c>
    </row>
    <row r="32" spans="2:16" ht="42.6" customHeight="1" thickBot="1" x14ac:dyDescent="0.65">
      <c r="B32" s="124" t="s">
        <v>23</v>
      </c>
      <c r="C32" s="125"/>
      <c r="D32" s="84"/>
      <c r="E32" s="84"/>
      <c r="F32" s="82"/>
      <c r="G32" s="82"/>
      <c r="H32" s="84">
        <v>4016</v>
      </c>
      <c r="I32" s="84"/>
      <c r="J32" s="59" t="str">
        <f t="shared" si="0"/>
        <v/>
      </c>
      <c r="K32" s="54" t="str">
        <f t="shared" si="1"/>
        <v/>
      </c>
    </row>
    <row r="33" spans="2:17" ht="27.6" customHeight="1" x14ac:dyDescent="0.6"/>
    <row r="34" spans="2:17" ht="34.5" thickBot="1" x14ac:dyDescent="0.65">
      <c r="B34" s="85" t="s">
        <v>24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</row>
    <row r="35" spans="2:17" ht="52.5" customHeight="1" x14ac:dyDescent="0.6">
      <c r="B35" s="140" t="s">
        <v>25</v>
      </c>
      <c r="C35" s="141"/>
      <c r="D35" s="87" t="s">
        <v>35</v>
      </c>
      <c r="E35" s="135"/>
      <c r="F35" s="135"/>
      <c r="G35" s="88"/>
      <c r="H35" s="87" t="s">
        <v>33</v>
      </c>
      <c r="I35" s="135"/>
      <c r="J35" s="135"/>
      <c r="K35" s="88"/>
      <c r="L35" s="87" t="s">
        <v>34</v>
      </c>
      <c r="M35" s="135"/>
      <c r="N35" s="135"/>
      <c r="O35" s="88"/>
      <c r="P35" s="56" t="s">
        <v>26</v>
      </c>
      <c r="Q35" s="31" t="s">
        <v>27</v>
      </c>
    </row>
    <row r="36" spans="2:17" ht="52.5" customHeight="1" x14ac:dyDescent="0.6">
      <c r="B36" s="142"/>
      <c r="C36" s="143"/>
      <c r="D36" s="35" t="s">
        <v>42</v>
      </c>
      <c r="E36" s="35" t="s">
        <v>43</v>
      </c>
      <c r="F36" s="35" t="s">
        <v>44</v>
      </c>
      <c r="G36" s="35" t="s">
        <v>30</v>
      </c>
      <c r="H36" s="35" t="s">
        <v>42</v>
      </c>
      <c r="I36" s="35" t="s">
        <v>43</v>
      </c>
      <c r="J36" s="35" t="s">
        <v>44</v>
      </c>
      <c r="K36" s="35" t="s">
        <v>30</v>
      </c>
      <c r="L36" s="35" t="s">
        <v>42</v>
      </c>
      <c r="M36" s="35" t="s">
        <v>43</v>
      </c>
      <c r="N36" s="35" t="s">
        <v>44</v>
      </c>
      <c r="O36" s="35" t="s">
        <v>30</v>
      </c>
      <c r="P36" s="35" t="s">
        <v>30</v>
      </c>
      <c r="Q36" s="38" t="s">
        <v>30</v>
      </c>
    </row>
    <row r="37" spans="2:17" ht="36" customHeight="1" x14ac:dyDescent="0.6">
      <c r="B37" s="126" t="s">
        <v>28</v>
      </c>
      <c r="C37" s="127"/>
      <c r="D37" s="36"/>
      <c r="E37" s="36">
        <v>0</v>
      </c>
      <c r="F37" s="36">
        <v>0</v>
      </c>
      <c r="G37" s="40">
        <f>SUM(E37:F37)</f>
        <v>0</v>
      </c>
      <c r="H37" s="37"/>
      <c r="I37" s="36">
        <v>0</v>
      </c>
      <c r="J37" s="36">
        <v>3</v>
      </c>
      <c r="K37" s="41"/>
      <c r="L37" s="37"/>
      <c r="M37" s="37">
        <v>0</v>
      </c>
      <c r="N37" s="36">
        <v>1</v>
      </c>
      <c r="O37" s="40">
        <f>SUM(M37:N37)</f>
        <v>1</v>
      </c>
      <c r="P37" s="40" t="e">
        <f>O37*100/K37</f>
        <v>#DIV/0!</v>
      </c>
      <c r="Q37" s="42" t="e">
        <f>O37*100/G37</f>
        <v>#DIV/0!</v>
      </c>
    </row>
    <row r="38" spans="2:17" ht="36" customHeight="1" x14ac:dyDescent="0.6">
      <c r="B38" s="126" t="s">
        <v>29</v>
      </c>
      <c r="C38" s="127"/>
      <c r="D38" s="36"/>
      <c r="E38" s="36"/>
      <c r="F38" s="36"/>
      <c r="G38" s="40">
        <f>SUM(E38:F38)</f>
        <v>0</v>
      </c>
      <c r="H38" s="37"/>
      <c r="I38" s="36"/>
      <c r="J38" s="36">
        <v>1</v>
      </c>
      <c r="K38" s="41"/>
      <c r="L38" s="37"/>
      <c r="M38" s="37">
        <v>0</v>
      </c>
      <c r="N38" s="36">
        <v>0</v>
      </c>
      <c r="O38" s="40">
        <f>SUM(M38:N38)</f>
        <v>0</v>
      </c>
      <c r="P38" s="40" t="e">
        <f t="shared" ref="P38:P39" si="2">O38*100/K38</f>
        <v>#DIV/0!</v>
      </c>
      <c r="Q38" s="42" t="e">
        <f t="shared" ref="Q38:Q39" si="3">O38*100/G38</f>
        <v>#DIV/0!</v>
      </c>
    </row>
    <row r="39" spans="2:17" ht="36" customHeight="1" thickBot="1" x14ac:dyDescent="0.65">
      <c r="B39" s="128" t="s">
        <v>30</v>
      </c>
      <c r="C39" s="129"/>
      <c r="D39" s="39"/>
      <c r="E39" s="39">
        <f>SUM(E37:E38)</f>
        <v>0</v>
      </c>
      <c r="F39" s="39">
        <f>SUM(F37:F38)</f>
        <v>0</v>
      </c>
      <c r="G39" s="39">
        <f t="shared" ref="G39:O39" si="4">SUM(G37:G38)</f>
        <v>0</v>
      </c>
      <c r="H39" s="39">
        <f t="shared" si="4"/>
        <v>0</v>
      </c>
      <c r="I39" s="39">
        <f t="shared" si="4"/>
        <v>0</v>
      </c>
      <c r="J39" s="39">
        <f t="shared" si="4"/>
        <v>4</v>
      </c>
      <c r="K39" s="39">
        <f t="shared" si="4"/>
        <v>0</v>
      </c>
      <c r="L39" s="39">
        <f t="shared" si="4"/>
        <v>0</v>
      </c>
      <c r="M39" s="39">
        <f t="shared" si="4"/>
        <v>0</v>
      </c>
      <c r="N39" s="39">
        <f t="shared" si="4"/>
        <v>1</v>
      </c>
      <c r="O39" s="39">
        <f t="shared" si="4"/>
        <v>1</v>
      </c>
      <c r="P39" s="40" t="e">
        <f t="shared" si="2"/>
        <v>#DIV/0!</v>
      </c>
      <c r="Q39" s="42" t="e">
        <f t="shared" si="3"/>
        <v>#DIV/0!</v>
      </c>
    </row>
    <row r="41" spans="2:17" s="21" customFormat="1" ht="21" x14ac:dyDescent="0.55000000000000004">
      <c r="B41" s="105"/>
      <c r="C41" s="105"/>
      <c r="D41" s="105"/>
      <c r="E41" s="105"/>
      <c r="F41" s="105"/>
      <c r="G41" s="105"/>
      <c r="H41" s="105"/>
    </row>
  </sheetData>
  <mergeCells count="81">
    <mergeCell ref="B12:H12"/>
    <mergeCell ref="J12:P12"/>
    <mergeCell ref="B13:C13"/>
    <mergeCell ref="B1:P1"/>
    <mergeCell ref="B3:H3"/>
    <mergeCell ref="J3:P3"/>
    <mergeCell ref="B4:B9"/>
    <mergeCell ref="C4:C5"/>
    <mergeCell ref="D4:F4"/>
    <mergeCell ref="H4:H5"/>
    <mergeCell ref="J4:J9"/>
    <mergeCell ref="K4:K5"/>
    <mergeCell ref="L4:N4"/>
    <mergeCell ref="P4:P5"/>
    <mergeCell ref="B15:C15"/>
    <mergeCell ref="B18:C18"/>
    <mergeCell ref="J13:K13"/>
    <mergeCell ref="J15:K15"/>
    <mergeCell ref="B16:C16"/>
    <mergeCell ref="J16:K16"/>
    <mergeCell ref="B17:C17"/>
    <mergeCell ref="J17:K17"/>
    <mergeCell ref="B14:C14"/>
    <mergeCell ref="J14:K14"/>
    <mergeCell ref="J18:K18"/>
    <mergeCell ref="B19:C19"/>
    <mergeCell ref="J19:K19"/>
    <mergeCell ref="B21:K21"/>
    <mergeCell ref="B23:C23"/>
    <mergeCell ref="D23:E23"/>
    <mergeCell ref="F23:G23"/>
    <mergeCell ref="H23:I23"/>
    <mergeCell ref="B22:C22"/>
    <mergeCell ref="D22:E22"/>
    <mergeCell ref="F22:G22"/>
    <mergeCell ref="H22:I22"/>
    <mergeCell ref="B24:C24"/>
    <mergeCell ref="D24:E24"/>
    <mergeCell ref="F24:G24"/>
    <mergeCell ref="H24:I24"/>
    <mergeCell ref="B25:C25"/>
    <mergeCell ref="D25:E25"/>
    <mergeCell ref="F25:G25"/>
    <mergeCell ref="H25:I25"/>
    <mergeCell ref="B26:C26"/>
    <mergeCell ref="D26:E26"/>
    <mergeCell ref="F26:G26"/>
    <mergeCell ref="H26:I26"/>
    <mergeCell ref="B27:C27"/>
    <mergeCell ref="D27:E27"/>
    <mergeCell ref="F27:G27"/>
    <mergeCell ref="H27:I27"/>
    <mergeCell ref="B28:C28"/>
    <mergeCell ref="D28:E28"/>
    <mergeCell ref="F28:G28"/>
    <mergeCell ref="H28:I28"/>
    <mergeCell ref="B29:C29"/>
    <mergeCell ref="D29:E29"/>
    <mergeCell ref="F29:G29"/>
    <mergeCell ref="H29:I29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8:C38"/>
    <mergeCell ref="B39:C39"/>
    <mergeCell ref="B41:H41"/>
    <mergeCell ref="B34:Q34"/>
    <mergeCell ref="B35:C36"/>
    <mergeCell ref="D35:G35"/>
    <mergeCell ref="H35:K35"/>
    <mergeCell ref="L35:O35"/>
    <mergeCell ref="B37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مجتمع خراسان</vt:lpstr>
      <vt:lpstr>کاوه</vt:lpstr>
      <vt:lpstr>مطهری</vt:lpstr>
      <vt:lpstr>سرخس</vt:lpstr>
      <vt:lpstr>لطف آباد</vt:lpstr>
      <vt:lpstr>نیشابور</vt:lpstr>
      <vt:lpstr>ماهیرود</vt:lpstr>
      <vt:lpstr>دوغارون</vt:lpstr>
      <vt:lpstr>بجنورد</vt:lpstr>
      <vt:lpstr>بیرجند</vt:lpstr>
      <vt:lpstr>باجگیران</vt:lpstr>
      <vt:lpstr>'مجتمع خراسان'!Print_Area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 Avini</dc:creator>
  <cp:lastModifiedBy>it</cp:lastModifiedBy>
  <cp:lastPrinted>2026-09-26T06:46:10Z</cp:lastPrinted>
  <dcterms:created xsi:type="dcterms:W3CDTF">2026-09-22T14:38:04Z</dcterms:created>
  <dcterms:modified xsi:type="dcterms:W3CDTF">2026-10-06T12:58:37Z</dcterms:modified>
</cp:coreProperties>
</file>