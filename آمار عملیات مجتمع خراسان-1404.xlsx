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6523124-D15D-4BB3-A0CB-086A37AB5859}" xr6:coauthVersionLast="45" xr6:coauthVersionMax="45" xr10:uidLastSave="{00000000-0000-0000-0000-000000000000}"/>
  <bookViews>
    <workbookView xWindow="-120" yWindow="-120" windowWidth="29040" windowHeight="15840" tabRatio="741" activeTab="3" xr2:uid="{00000000-000D-0000-FFFF-FFFF00000000}"/>
  </bookViews>
  <sheets>
    <sheet name="تجمیعی" sheetId="1" r:id="rId1"/>
    <sheet name="واردات" sheetId="3" r:id="rId2"/>
    <sheet name="صادرات" sheetId="4" r:id="rId3"/>
    <sheet name="انبار مسقف" sheetId="7" r:id="rId4"/>
    <sheet name="انبار بارانداز" sheetId="6" r:id="rId5"/>
    <sheet name="انبار هانگار" sheetId="5" r:id="rId6"/>
    <sheet name="چک تناژ" sheetId="8" r:id="rId7"/>
    <sheet name="مقایسه بودجه- واردات" sheetId="9" r:id="rId8"/>
    <sheet name="مقایسه بودجه- صادرات" sheetId="10" r:id="rId9"/>
    <sheet name="مقایسه بودجه- تجمیعی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7" l="1"/>
  <c r="N94" i="7"/>
  <c r="M94" i="7"/>
  <c r="L94" i="4"/>
  <c r="K94" i="4"/>
  <c r="B137" i="11" l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Q148" i="11"/>
  <c r="M148" i="11"/>
  <c r="N148" i="11" s="1"/>
  <c r="L148" i="11"/>
  <c r="O148" i="11" s="1"/>
  <c r="I148" i="11"/>
  <c r="E148" i="11"/>
  <c r="Q147" i="11"/>
  <c r="M147" i="11"/>
  <c r="N147" i="11" s="1"/>
  <c r="L147" i="11"/>
  <c r="O147" i="11" s="1"/>
  <c r="I147" i="11"/>
  <c r="E147" i="11"/>
  <c r="Q146" i="11"/>
  <c r="M146" i="11"/>
  <c r="N146" i="11" s="1"/>
  <c r="L146" i="11"/>
  <c r="O139" i="11" s="1"/>
  <c r="I146" i="11"/>
  <c r="E146" i="11"/>
  <c r="Q145" i="11"/>
  <c r="M145" i="11"/>
  <c r="L145" i="11"/>
  <c r="O145" i="11" s="1"/>
  <c r="I145" i="11"/>
  <c r="E145" i="11"/>
  <c r="Q144" i="11"/>
  <c r="M144" i="11"/>
  <c r="N144" i="11" s="1"/>
  <c r="L144" i="11"/>
  <c r="O144" i="11" s="1"/>
  <c r="I144" i="11"/>
  <c r="E144" i="11"/>
  <c r="Q143" i="11"/>
  <c r="M143" i="11"/>
  <c r="N143" i="11" s="1"/>
  <c r="L143" i="11"/>
  <c r="I143" i="11"/>
  <c r="E143" i="11"/>
  <c r="Q142" i="11"/>
  <c r="N142" i="11"/>
  <c r="M142" i="11"/>
  <c r="L142" i="11"/>
  <c r="I142" i="11"/>
  <c r="E142" i="11"/>
  <c r="Q141" i="11"/>
  <c r="M141" i="11"/>
  <c r="N141" i="11" s="1"/>
  <c r="L141" i="11"/>
  <c r="I141" i="11"/>
  <c r="E141" i="11"/>
  <c r="Q140" i="11"/>
  <c r="M140" i="11"/>
  <c r="N140" i="11" s="1"/>
  <c r="L140" i="11"/>
  <c r="O140" i="11" s="1"/>
  <c r="I140" i="11"/>
  <c r="E140" i="11"/>
  <c r="AJ139" i="11"/>
  <c r="AJ140" i="11" s="1"/>
  <c r="AJ141" i="11" s="1"/>
  <c r="AJ142" i="11" s="1"/>
  <c r="AJ143" i="11" s="1"/>
  <c r="AJ144" i="11" s="1"/>
  <c r="AJ145" i="11" s="1"/>
  <c r="AJ146" i="11" s="1"/>
  <c r="AJ147" i="11" s="1"/>
  <c r="AJ148" i="11" s="1"/>
  <c r="Q139" i="11"/>
  <c r="M139" i="11"/>
  <c r="N139" i="11" s="1"/>
  <c r="L139" i="11"/>
  <c r="I139" i="11"/>
  <c r="E139" i="11"/>
  <c r="AJ138" i="11"/>
  <c r="Q138" i="11"/>
  <c r="O138" i="11"/>
  <c r="N138" i="11"/>
  <c r="M138" i="11"/>
  <c r="L138" i="11"/>
  <c r="I138" i="11"/>
  <c r="E138" i="11"/>
  <c r="Q137" i="11"/>
  <c r="M137" i="11"/>
  <c r="N137" i="11" s="1"/>
  <c r="L137" i="11"/>
  <c r="O137" i="11" s="1"/>
  <c r="I137" i="11"/>
  <c r="E137" i="11"/>
  <c r="H139" i="10"/>
  <c r="A137" i="10"/>
  <c r="B137" i="10"/>
  <c r="AJ138" i="10"/>
  <c r="AJ139" i="10" s="1"/>
  <c r="AJ140" i="10" s="1"/>
  <c r="AJ141" i="10" s="1"/>
  <c r="AJ142" i="10" s="1"/>
  <c r="AJ143" i="10" s="1"/>
  <c r="AJ144" i="10" s="1"/>
  <c r="AJ145" i="10" s="1"/>
  <c r="AJ146" i="10" s="1"/>
  <c r="AJ147" i="10" s="1"/>
  <c r="AJ148" i="10" s="1"/>
  <c r="C137" i="9"/>
  <c r="L137" i="9"/>
  <c r="D137" i="9"/>
  <c r="T137" i="9" s="1"/>
  <c r="B137" i="9"/>
  <c r="A137" i="9" s="1"/>
  <c r="AJ138" i="9"/>
  <c r="M95" i="8"/>
  <c r="L95" i="8"/>
  <c r="M94" i="8"/>
  <c r="L94" i="8"/>
  <c r="N93" i="8"/>
  <c r="M93" i="8"/>
  <c r="L93" i="8"/>
  <c r="K93" i="8"/>
  <c r="J93" i="8"/>
  <c r="N92" i="8"/>
  <c r="M92" i="8"/>
  <c r="L92" i="8"/>
  <c r="K92" i="8"/>
  <c r="J92" i="8"/>
  <c r="N91" i="8"/>
  <c r="M91" i="8"/>
  <c r="L91" i="8"/>
  <c r="K91" i="8"/>
  <c r="J91" i="8"/>
  <c r="N90" i="8"/>
  <c r="M90" i="8"/>
  <c r="L90" i="8"/>
  <c r="K90" i="8"/>
  <c r="J90" i="8"/>
  <c r="N89" i="8"/>
  <c r="M89" i="8"/>
  <c r="L89" i="8"/>
  <c r="K89" i="8"/>
  <c r="J89" i="8"/>
  <c r="N88" i="8"/>
  <c r="M88" i="8"/>
  <c r="L88" i="8"/>
  <c r="K88" i="8"/>
  <c r="J88" i="8"/>
  <c r="N87" i="8"/>
  <c r="M87" i="8"/>
  <c r="L87" i="8"/>
  <c r="K87" i="8"/>
  <c r="J87" i="8"/>
  <c r="N86" i="8"/>
  <c r="M86" i="8"/>
  <c r="L86" i="8"/>
  <c r="K86" i="8"/>
  <c r="J86" i="8"/>
  <c r="N85" i="8"/>
  <c r="M85" i="8"/>
  <c r="L85" i="8"/>
  <c r="K85" i="8"/>
  <c r="J85" i="8"/>
  <c r="N84" i="8"/>
  <c r="M84" i="8"/>
  <c r="L84" i="8"/>
  <c r="K84" i="8"/>
  <c r="J84" i="8"/>
  <c r="A95" i="8"/>
  <c r="A94" i="8"/>
  <c r="A93" i="8"/>
  <c r="A92" i="8"/>
  <c r="A91" i="8"/>
  <c r="A90" i="8"/>
  <c r="A89" i="8"/>
  <c r="A88" i="8"/>
  <c r="A87" i="8"/>
  <c r="A86" i="8"/>
  <c r="A85" i="8"/>
  <c r="A84" i="8"/>
  <c r="A79" i="8"/>
  <c r="A78" i="8"/>
  <c r="A77" i="8"/>
  <c r="A76" i="8"/>
  <c r="A75" i="8"/>
  <c r="A74" i="8"/>
  <c r="A73" i="8"/>
  <c r="A72" i="8"/>
  <c r="A71" i="8"/>
  <c r="A70" i="8"/>
  <c r="A69" i="8"/>
  <c r="A68" i="8"/>
  <c r="H95" i="8"/>
  <c r="H94" i="8"/>
  <c r="H93" i="8"/>
  <c r="H92" i="8"/>
  <c r="H91" i="8"/>
  <c r="H90" i="8"/>
  <c r="H89" i="8"/>
  <c r="H88" i="8"/>
  <c r="H87" i="8"/>
  <c r="H86" i="8"/>
  <c r="H85" i="8"/>
  <c r="H84" i="8"/>
  <c r="H79" i="8"/>
  <c r="H78" i="8"/>
  <c r="H77" i="8"/>
  <c r="H76" i="8"/>
  <c r="H75" i="8"/>
  <c r="H74" i="8"/>
  <c r="H73" i="8"/>
  <c r="H72" i="8"/>
  <c r="H71" i="8"/>
  <c r="H70" i="8"/>
  <c r="H69" i="8"/>
  <c r="H68" i="8"/>
  <c r="L96" i="8"/>
  <c r="J96" i="8"/>
  <c r="I15" i="5"/>
  <c r="J15" i="5" s="1"/>
  <c r="G15" i="5"/>
  <c r="F15" i="5"/>
  <c r="E15" i="5"/>
  <c r="D15" i="5"/>
  <c r="C15" i="5"/>
  <c r="I14" i="5"/>
  <c r="J14" i="5" s="1"/>
  <c r="H14" i="5"/>
  <c r="G14" i="5"/>
  <c r="F14" i="5"/>
  <c r="E14" i="5"/>
  <c r="D14" i="5"/>
  <c r="C14" i="5"/>
  <c r="I13" i="5"/>
  <c r="J13" i="5" s="1"/>
  <c r="G13" i="5"/>
  <c r="F13" i="5"/>
  <c r="E13" i="5"/>
  <c r="D13" i="5"/>
  <c r="C13" i="5"/>
  <c r="H13" i="5" s="1"/>
  <c r="I12" i="5"/>
  <c r="J12" i="5" s="1"/>
  <c r="G12" i="5"/>
  <c r="F12" i="5"/>
  <c r="E12" i="5"/>
  <c r="D12" i="5"/>
  <c r="C12" i="5"/>
  <c r="H12" i="5" s="1"/>
  <c r="I11" i="5"/>
  <c r="J11" i="5" s="1"/>
  <c r="H11" i="5"/>
  <c r="G11" i="5"/>
  <c r="F11" i="5"/>
  <c r="E11" i="5"/>
  <c r="D11" i="5"/>
  <c r="C11" i="5"/>
  <c r="J10" i="5"/>
  <c r="I10" i="5"/>
  <c r="G10" i="5"/>
  <c r="F10" i="5"/>
  <c r="E10" i="5"/>
  <c r="D10" i="5"/>
  <c r="C10" i="5"/>
  <c r="H10" i="5" s="1"/>
  <c r="I9" i="5"/>
  <c r="J9" i="5" s="1"/>
  <c r="G9" i="5"/>
  <c r="F9" i="5"/>
  <c r="E9" i="5"/>
  <c r="D9" i="5"/>
  <c r="C9" i="5"/>
  <c r="H9" i="5" s="1"/>
  <c r="I8" i="5"/>
  <c r="J8" i="5" s="1"/>
  <c r="H8" i="5"/>
  <c r="G8" i="5"/>
  <c r="F8" i="5"/>
  <c r="E8" i="5"/>
  <c r="D8" i="5"/>
  <c r="C8" i="5"/>
  <c r="J7" i="5"/>
  <c r="I7" i="5"/>
  <c r="G7" i="5"/>
  <c r="F7" i="5"/>
  <c r="E7" i="5"/>
  <c r="D7" i="5"/>
  <c r="C7" i="5"/>
  <c r="H7" i="5" s="1"/>
  <c r="J6" i="5"/>
  <c r="I6" i="5"/>
  <c r="G6" i="5"/>
  <c r="F6" i="5"/>
  <c r="E6" i="5"/>
  <c r="D6" i="5"/>
  <c r="C6" i="5"/>
  <c r="H6" i="5" s="1"/>
  <c r="I5" i="5"/>
  <c r="J5" i="5" s="1"/>
  <c r="H5" i="5"/>
  <c r="G5" i="5"/>
  <c r="F5" i="5"/>
  <c r="E5" i="5"/>
  <c r="D5" i="5"/>
  <c r="C5" i="5"/>
  <c r="J4" i="5"/>
  <c r="I4" i="5"/>
  <c r="G4" i="5"/>
  <c r="F4" i="5"/>
  <c r="E4" i="5"/>
  <c r="D4" i="5"/>
  <c r="C4" i="5"/>
  <c r="H4" i="5" s="1"/>
  <c r="A95" i="5"/>
  <c r="A94" i="5"/>
  <c r="A93" i="5"/>
  <c r="A92" i="5"/>
  <c r="A91" i="5"/>
  <c r="A90" i="5"/>
  <c r="A89" i="5"/>
  <c r="A88" i="5"/>
  <c r="A87" i="5"/>
  <c r="A86" i="5"/>
  <c r="A85" i="5"/>
  <c r="A84" i="5"/>
  <c r="A79" i="5"/>
  <c r="A78" i="5"/>
  <c r="A77" i="5"/>
  <c r="A76" i="5"/>
  <c r="A75" i="5"/>
  <c r="A74" i="5"/>
  <c r="A73" i="5"/>
  <c r="A72" i="5"/>
  <c r="A71" i="5"/>
  <c r="A70" i="5"/>
  <c r="A69" i="5"/>
  <c r="A68" i="5"/>
  <c r="K85" i="5"/>
  <c r="K95" i="5"/>
  <c r="K94" i="5"/>
  <c r="K93" i="5"/>
  <c r="K92" i="5"/>
  <c r="K91" i="5"/>
  <c r="K90" i="5"/>
  <c r="K89" i="5"/>
  <c r="K88" i="5"/>
  <c r="K87" i="5"/>
  <c r="K86" i="5"/>
  <c r="K84" i="5"/>
  <c r="K79" i="5"/>
  <c r="K78" i="5"/>
  <c r="K77" i="5"/>
  <c r="K76" i="5"/>
  <c r="K75" i="5"/>
  <c r="K74" i="5"/>
  <c r="K73" i="5"/>
  <c r="K72" i="5"/>
  <c r="K71" i="5"/>
  <c r="K70" i="5"/>
  <c r="K69" i="5"/>
  <c r="K68" i="5"/>
  <c r="S96" i="5"/>
  <c r="T96" i="5" s="1"/>
  <c r="Q96" i="5"/>
  <c r="P96" i="5"/>
  <c r="O96" i="5"/>
  <c r="N96" i="5"/>
  <c r="M96" i="5"/>
  <c r="R96" i="5" s="1"/>
  <c r="R95" i="5"/>
  <c r="R94" i="5"/>
  <c r="R93" i="5"/>
  <c r="R92" i="5"/>
  <c r="R91" i="5"/>
  <c r="R90" i="5"/>
  <c r="R89" i="5"/>
  <c r="R88" i="5"/>
  <c r="R87" i="5"/>
  <c r="R86" i="5"/>
  <c r="R85" i="5"/>
  <c r="R84" i="5"/>
  <c r="J5" i="6"/>
  <c r="I15" i="6"/>
  <c r="J15" i="6" s="1"/>
  <c r="G15" i="6"/>
  <c r="F15" i="6"/>
  <c r="E15" i="6"/>
  <c r="D15" i="6"/>
  <c r="C15" i="6"/>
  <c r="H15" i="6" s="1"/>
  <c r="I14" i="6"/>
  <c r="J14" i="6" s="1"/>
  <c r="H14" i="6"/>
  <c r="G14" i="6"/>
  <c r="F14" i="6"/>
  <c r="E14" i="6"/>
  <c r="D14" i="6"/>
  <c r="C14" i="6"/>
  <c r="I13" i="6"/>
  <c r="J13" i="6" s="1"/>
  <c r="G13" i="6"/>
  <c r="F13" i="6"/>
  <c r="E13" i="6"/>
  <c r="D13" i="6"/>
  <c r="C13" i="6"/>
  <c r="H13" i="6" s="1"/>
  <c r="J12" i="6"/>
  <c r="I12" i="6"/>
  <c r="G12" i="6"/>
  <c r="F12" i="6"/>
  <c r="E12" i="6"/>
  <c r="D12" i="6"/>
  <c r="C12" i="6"/>
  <c r="H12" i="6" s="1"/>
  <c r="I11" i="6"/>
  <c r="J11" i="6" s="1"/>
  <c r="H11" i="6"/>
  <c r="G11" i="6"/>
  <c r="F11" i="6"/>
  <c r="E11" i="6"/>
  <c r="D11" i="6"/>
  <c r="C11" i="6"/>
  <c r="J10" i="6"/>
  <c r="I10" i="6"/>
  <c r="G10" i="6"/>
  <c r="F10" i="6"/>
  <c r="E10" i="6"/>
  <c r="D10" i="6"/>
  <c r="C10" i="6"/>
  <c r="H10" i="6" s="1"/>
  <c r="J9" i="6"/>
  <c r="I9" i="6"/>
  <c r="G9" i="6"/>
  <c r="F9" i="6"/>
  <c r="E9" i="6"/>
  <c r="D9" i="6"/>
  <c r="C9" i="6"/>
  <c r="H9" i="6" s="1"/>
  <c r="I8" i="6"/>
  <c r="J8" i="6" s="1"/>
  <c r="H8" i="6"/>
  <c r="G8" i="6"/>
  <c r="F8" i="6"/>
  <c r="E8" i="6"/>
  <c r="D8" i="6"/>
  <c r="C8" i="6"/>
  <c r="I7" i="6"/>
  <c r="J7" i="6" s="1"/>
  <c r="G7" i="6"/>
  <c r="F7" i="6"/>
  <c r="E7" i="6"/>
  <c r="D7" i="6"/>
  <c r="C7" i="6"/>
  <c r="H7" i="6" s="1"/>
  <c r="I6" i="6"/>
  <c r="J6" i="6" s="1"/>
  <c r="G6" i="6"/>
  <c r="F6" i="6"/>
  <c r="E6" i="6"/>
  <c r="D6" i="6"/>
  <c r="C6" i="6"/>
  <c r="H6" i="6" s="1"/>
  <c r="I5" i="6"/>
  <c r="H5" i="6"/>
  <c r="G5" i="6"/>
  <c r="F5" i="6"/>
  <c r="E5" i="6"/>
  <c r="D5" i="6"/>
  <c r="C5" i="6"/>
  <c r="J4" i="6"/>
  <c r="I4" i="6"/>
  <c r="G4" i="6"/>
  <c r="F4" i="6"/>
  <c r="E4" i="6"/>
  <c r="D4" i="6"/>
  <c r="C4" i="6"/>
  <c r="H4" i="6" s="1"/>
  <c r="K85" i="6"/>
  <c r="K95" i="6"/>
  <c r="K94" i="6"/>
  <c r="K93" i="6"/>
  <c r="K92" i="6"/>
  <c r="K91" i="6"/>
  <c r="K90" i="6"/>
  <c r="K89" i="6"/>
  <c r="K88" i="6"/>
  <c r="K87" i="6"/>
  <c r="K86" i="6"/>
  <c r="K84" i="6"/>
  <c r="K79" i="6"/>
  <c r="K78" i="6"/>
  <c r="K77" i="6"/>
  <c r="K76" i="6"/>
  <c r="K75" i="6"/>
  <c r="K74" i="6"/>
  <c r="K73" i="6"/>
  <c r="K72" i="6"/>
  <c r="K71" i="6"/>
  <c r="K70" i="6"/>
  <c r="K69" i="6"/>
  <c r="K68" i="6"/>
  <c r="A95" i="6"/>
  <c r="A94" i="6"/>
  <c r="A93" i="6"/>
  <c r="A92" i="6"/>
  <c r="A91" i="6"/>
  <c r="A90" i="6"/>
  <c r="A89" i="6"/>
  <c r="A88" i="6"/>
  <c r="A87" i="6"/>
  <c r="A86" i="6"/>
  <c r="A85" i="6"/>
  <c r="A84" i="6"/>
  <c r="A79" i="6"/>
  <c r="A78" i="6"/>
  <c r="A77" i="6"/>
  <c r="A76" i="6"/>
  <c r="A75" i="6"/>
  <c r="A74" i="6"/>
  <c r="A73" i="6"/>
  <c r="A72" i="6"/>
  <c r="A71" i="6"/>
  <c r="A70" i="6"/>
  <c r="A69" i="6"/>
  <c r="A68" i="6"/>
  <c r="S96" i="6"/>
  <c r="T96" i="6" s="1"/>
  <c r="Q96" i="6"/>
  <c r="P96" i="6"/>
  <c r="O96" i="6"/>
  <c r="N96" i="6"/>
  <c r="M96" i="6"/>
  <c r="R96" i="6" s="1"/>
  <c r="R95" i="6"/>
  <c r="R94" i="6"/>
  <c r="R93" i="6"/>
  <c r="R92" i="6"/>
  <c r="R91" i="6"/>
  <c r="R90" i="6"/>
  <c r="R89" i="6"/>
  <c r="R88" i="6"/>
  <c r="R87" i="6"/>
  <c r="R86" i="6"/>
  <c r="R85" i="6"/>
  <c r="R84" i="6"/>
  <c r="J15" i="7"/>
  <c r="J13" i="7"/>
  <c r="J12" i="7"/>
  <c r="J11" i="7"/>
  <c r="J10" i="7"/>
  <c r="J9" i="7"/>
  <c r="J8" i="7"/>
  <c r="J7" i="7"/>
  <c r="J6" i="7"/>
  <c r="J5" i="7"/>
  <c r="J4" i="7"/>
  <c r="I15" i="7"/>
  <c r="I14" i="7"/>
  <c r="J14" i="7" s="1"/>
  <c r="I13" i="7"/>
  <c r="I12" i="7"/>
  <c r="I11" i="7"/>
  <c r="I10" i="7"/>
  <c r="I9" i="7"/>
  <c r="I8" i="7"/>
  <c r="I7" i="7"/>
  <c r="I6" i="7"/>
  <c r="I5" i="7"/>
  <c r="I4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A86" i="7"/>
  <c r="A85" i="7"/>
  <c r="A95" i="7"/>
  <c r="A94" i="7"/>
  <c r="A93" i="7"/>
  <c r="A92" i="7"/>
  <c r="A91" i="7"/>
  <c r="A90" i="7"/>
  <c r="A89" i="7"/>
  <c r="A88" i="7"/>
  <c r="A87" i="7"/>
  <c r="A84" i="7"/>
  <c r="A79" i="7"/>
  <c r="A78" i="7"/>
  <c r="A77" i="7"/>
  <c r="A76" i="7"/>
  <c r="A75" i="7"/>
  <c r="A74" i="7"/>
  <c r="A73" i="7"/>
  <c r="A72" i="7"/>
  <c r="A71" i="7"/>
  <c r="A70" i="7"/>
  <c r="A69" i="7"/>
  <c r="A68" i="7"/>
  <c r="K86" i="7"/>
  <c r="K95" i="7"/>
  <c r="K94" i="7"/>
  <c r="K93" i="7"/>
  <c r="K92" i="7"/>
  <c r="K91" i="7"/>
  <c r="K90" i="7"/>
  <c r="K89" i="7"/>
  <c r="K88" i="7"/>
  <c r="K87" i="7"/>
  <c r="K85" i="7"/>
  <c r="K84" i="7"/>
  <c r="K79" i="7"/>
  <c r="K78" i="7"/>
  <c r="K77" i="7"/>
  <c r="K76" i="7"/>
  <c r="K75" i="7"/>
  <c r="K74" i="7"/>
  <c r="K73" i="7"/>
  <c r="K72" i="7"/>
  <c r="K71" i="7"/>
  <c r="K70" i="7"/>
  <c r="K69" i="7"/>
  <c r="K68" i="7"/>
  <c r="I85" i="4"/>
  <c r="I95" i="4"/>
  <c r="I94" i="4"/>
  <c r="I93" i="4"/>
  <c r="I92" i="4"/>
  <c r="I91" i="4"/>
  <c r="I90" i="4"/>
  <c r="I89" i="4"/>
  <c r="I88" i="4"/>
  <c r="I87" i="4"/>
  <c r="I86" i="4"/>
  <c r="I84" i="4"/>
  <c r="I84" i="3"/>
  <c r="I95" i="3"/>
  <c r="I94" i="3"/>
  <c r="I93" i="3"/>
  <c r="I92" i="3"/>
  <c r="I91" i="3"/>
  <c r="I90" i="3"/>
  <c r="I89" i="3"/>
  <c r="I88" i="3"/>
  <c r="I87" i="3"/>
  <c r="I86" i="3"/>
  <c r="I85" i="3"/>
  <c r="S96" i="7"/>
  <c r="T96" i="7" s="1"/>
  <c r="Q96" i="7"/>
  <c r="P96" i="7"/>
  <c r="O96" i="7"/>
  <c r="N96" i="7"/>
  <c r="N96" i="8" s="1"/>
  <c r="M96" i="7"/>
  <c r="M96" i="8" s="1"/>
  <c r="R95" i="7"/>
  <c r="R94" i="7"/>
  <c r="R93" i="7"/>
  <c r="R92" i="7"/>
  <c r="R91" i="7"/>
  <c r="R90" i="7"/>
  <c r="R89" i="7"/>
  <c r="R88" i="7"/>
  <c r="R87" i="7"/>
  <c r="R86" i="7"/>
  <c r="R85" i="7"/>
  <c r="R84" i="7"/>
  <c r="T84" i="1"/>
  <c r="S84" i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95" i="3"/>
  <c r="V95" i="3" s="1"/>
  <c r="U94" i="3"/>
  <c r="V94" i="3" s="1"/>
  <c r="U93" i="3"/>
  <c r="V93" i="3" s="1"/>
  <c r="U92" i="3"/>
  <c r="V92" i="3" s="1"/>
  <c r="U91" i="3"/>
  <c r="V91" i="3" s="1"/>
  <c r="U90" i="3"/>
  <c r="V90" i="3" s="1"/>
  <c r="U89" i="3"/>
  <c r="V89" i="3" s="1"/>
  <c r="U88" i="3"/>
  <c r="V88" i="3" s="1"/>
  <c r="U87" i="3"/>
  <c r="V87" i="3" s="1"/>
  <c r="U86" i="3"/>
  <c r="V86" i="3" s="1"/>
  <c r="U85" i="3"/>
  <c r="V85" i="3" s="1"/>
  <c r="U84" i="3"/>
  <c r="V84" i="3" s="1"/>
  <c r="S84" i="3"/>
  <c r="T84" i="4"/>
  <c r="S84" i="4"/>
  <c r="U95" i="4"/>
  <c r="V95" i="4" s="1"/>
  <c r="U94" i="4"/>
  <c r="V94" i="4" s="1"/>
  <c r="U93" i="4"/>
  <c r="V93" i="4" s="1"/>
  <c r="U92" i="4"/>
  <c r="V92" i="4" s="1"/>
  <c r="U91" i="4"/>
  <c r="V91" i="4" s="1"/>
  <c r="U90" i="4"/>
  <c r="V90" i="4" s="1"/>
  <c r="U89" i="4"/>
  <c r="V89" i="4" s="1"/>
  <c r="U88" i="4"/>
  <c r="V88" i="4" s="1"/>
  <c r="U87" i="4"/>
  <c r="V87" i="4" s="1"/>
  <c r="U86" i="4"/>
  <c r="V86" i="4" s="1"/>
  <c r="U85" i="4"/>
  <c r="V85" i="4" s="1"/>
  <c r="U84" i="4"/>
  <c r="V84" i="4" s="1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O96" i="4"/>
  <c r="N96" i="4"/>
  <c r="M96" i="4"/>
  <c r="L96" i="4"/>
  <c r="K96" i="4"/>
  <c r="P95" i="4"/>
  <c r="P94" i="4"/>
  <c r="P93" i="4"/>
  <c r="P92" i="4"/>
  <c r="P91" i="4"/>
  <c r="P90" i="4"/>
  <c r="P89" i="4"/>
  <c r="P88" i="4"/>
  <c r="P87" i="4"/>
  <c r="P86" i="4"/>
  <c r="P85" i="4"/>
  <c r="P84" i="4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O96" i="3"/>
  <c r="N96" i="3"/>
  <c r="M96" i="3"/>
  <c r="L96" i="3"/>
  <c r="K96" i="3"/>
  <c r="P96" i="3" s="1"/>
  <c r="P95" i="3"/>
  <c r="P94" i="3"/>
  <c r="P93" i="3"/>
  <c r="P92" i="3"/>
  <c r="P91" i="3"/>
  <c r="P90" i="3"/>
  <c r="P89" i="3"/>
  <c r="P88" i="3"/>
  <c r="P87" i="3"/>
  <c r="P86" i="3"/>
  <c r="P85" i="3"/>
  <c r="P84" i="3"/>
  <c r="E15" i="1"/>
  <c r="E14" i="1"/>
  <c r="E11" i="1"/>
  <c r="E10" i="1"/>
  <c r="O95" i="1"/>
  <c r="N95" i="8" s="1"/>
  <c r="N95" i="1"/>
  <c r="M95" i="1"/>
  <c r="L95" i="1"/>
  <c r="K95" i="8" s="1"/>
  <c r="K95" i="1"/>
  <c r="J95" i="8" s="1"/>
  <c r="O94" i="1"/>
  <c r="G14" i="1" s="1"/>
  <c r="N94" i="1"/>
  <c r="F14" i="1" s="1"/>
  <c r="M94" i="1"/>
  <c r="L94" i="1"/>
  <c r="D14" i="1" s="1"/>
  <c r="K94" i="1"/>
  <c r="O93" i="1"/>
  <c r="G13" i="1" s="1"/>
  <c r="N93" i="1"/>
  <c r="F13" i="1" s="1"/>
  <c r="M93" i="1"/>
  <c r="E13" i="1" s="1"/>
  <c r="L93" i="1"/>
  <c r="D13" i="1" s="1"/>
  <c r="K93" i="1"/>
  <c r="O92" i="1"/>
  <c r="G12" i="1" s="1"/>
  <c r="N92" i="1"/>
  <c r="F12" i="1" s="1"/>
  <c r="M92" i="1"/>
  <c r="E12" i="1" s="1"/>
  <c r="L92" i="1"/>
  <c r="D12" i="1" s="1"/>
  <c r="K92" i="1"/>
  <c r="O91" i="1"/>
  <c r="G11" i="1" s="1"/>
  <c r="N91" i="1"/>
  <c r="F11" i="1" s="1"/>
  <c r="M91" i="1"/>
  <c r="L91" i="1"/>
  <c r="D11" i="1" s="1"/>
  <c r="K91" i="1"/>
  <c r="O90" i="1"/>
  <c r="G10" i="1" s="1"/>
  <c r="N90" i="1"/>
  <c r="F10" i="1" s="1"/>
  <c r="M90" i="1"/>
  <c r="L90" i="1"/>
  <c r="D10" i="1" s="1"/>
  <c r="K90" i="1"/>
  <c r="O89" i="1"/>
  <c r="G9" i="1" s="1"/>
  <c r="N89" i="1"/>
  <c r="F9" i="1" s="1"/>
  <c r="M89" i="1"/>
  <c r="E9" i="1" s="1"/>
  <c r="L89" i="1"/>
  <c r="D9" i="1" s="1"/>
  <c r="K89" i="1"/>
  <c r="O88" i="1"/>
  <c r="G8" i="1" s="1"/>
  <c r="N88" i="1"/>
  <c r="F8" i="1" s="1"/>
  <c r="M88" i="1"/>
  <c r="E8" i="1" s="1"/>
  <c r="L88" i="1"/>
  <c r="D8" i="1" s="1"/>
  <c r="K88" i="1"/>
  <c r="O87" i="1"/>
  <c r="G7" i="1" s="1"/>
  <c r="N87" i="1"/>
  <c r="F7" i="1" s="1"/>
  <c r="M87" i="1"/>
  <c r="E7" i="1" s="1"/>
  <c r="L87" i="1"/>
  <c r="D7" i="1" s="1"/>
  <c r="K87" i="1"/>
  <c r="O86" i="1"/>
  <c r="G6" i="1" s="1"/>
  <c r="N86" i="1"/>
  <c r="F6" i="1" s="1"/>
  <c r="M86" i="1"/>
  <c r="E6" i="1" s="1"/>
  <c r="L86" i="1"/>
  <c r="D6" i="1" s="1"/>
  <c r="K86" i="1"/>
  <c r="O85" i="1"/>
  <c r="G5" i="1" s="1"/>
  <c r="N85" i="1"/>
  <c r="F5" i="1" s="1"/>
  <c r="M85" i="1"/>
  <c r="E5" i="1" s="1"/>
  <c r="L85" i="1"/>
  <c r="D5" i="1" s="1"/>
  <c r="K85" i="1"/>
  <c r="O84" i="1"/>
  <c r="G4" i="1" s="1"/>
  <c r="N84" i="1"/>
  <c r="M84" i="1"/>
  <c r="E4" i="1" s="1"/>
  <c r="L84" i="1"/>
  <c r="K84" i="1"/>
  <c r="H15" i="5" l="1"/>
  <c r="R96" i="7"/>
  <c r="N94" i="8"/>
  <c r="U95" i="1"/>
  <c r="V95" i="1" s="1"/>
  <c r="P96" i="4"/>
  <c r="K94" i="8"/>
  <c r="U94" i="1"/>
  <c r="V94" i="1" s="1"/>
  <c r="J94" i="8"/>
  <c r="N145" i="11"/>
  <c r="O146" i="11"/>
  <c r="O143" i="11"/>
  <c r="O142" i="11"/>
  <c r="O141" i="11"/>
  <c r="A138" i="10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38" i="9"/>
  <c r="AJ139" i="9"/>
  <c r="S85" i="1"/>
  <c r="T84" i="3"/>
  <c r="S85" i="3"/>
  <c r="T85" i="3" s="1"/>
  <c r="S85" i="4"/>
  <c r="T85" i="4" s="1"/>
  <c r="P90" i="1"/>
  <c r="P86" i="1"/>
  <c r="P94" i="1"/>
  <c r="C10" i="1"/>
  <c r="P91" i="1"/>
  <c r="O96" i="1"/>
  <c r="P95" i="1"/>
  <c r="P88" i="1"/>
  <c r="C8" i="1"/>
  <c r="P93" i="1"/>
  <c r="C13" i="1"/>
  <c r="C6" i="1"/>
  <c r="C11" i="1"/>
  <c r="P84" i="1"/>
  <c r="C4" i="1"/>
  <c r="L96" i="1"/>
  <c r="P89" i="1"/>
  <c r="D4" i="1"/>
  <c r="C9" i="1"/>
  <c r="C14" i="1"/>
  <c r="N96" i="1"/>
  <c r="P87" i="1"/>
  <c r="F4" i="1"/>
  <c r="C7" i="1"/>
  <c r="M96" i="1"/>
  <c r="P92" i="1"/>
  <c r="C12" i="1"/>
  <c r="P85" i="1"/>
  <c r="C5" i="1"/>
  <c r="K96" i="1"/>
  <c r="K96" i="8" s="1"/>
  <c r="Q44" i="6"/>
  <c r="Q44" i="7"/>
  <c r="AJ140" i="9" l="1"/>
  <c r="A139" i="9"/>
  <c r="S86" i="1"/>
  <c r="T86" i="1" s="1"/>
  <c r="T85" i="1"/>
  <c r="S87" i="1"/>
  <c r="T87" i="1" s="1"/>
  <c r="S86" i="3"/>
  <c r="T86" i="3" s="1"/>
  <c r="S86" i="4"/>
  <c r="T86" i="4" s="1"/>
  <c r="P96" i="1"/>
  <c r="H91" i="4"/>
  <c r="P74" i="4"/>
  <c r="H59" i="3"/>
  <c r="P43" i="4"/>
  <c r="AJ141" i="9" l="1"/>
  <c r="A140" i="9"/>
  <c r="S88" i="1"/>
  <c r="T88" i="1" s="1"/>
  <c r="S87" i="3"/>
  <c r="S87" i="4"/>
  <c r="T87" i="4" s="1"/>
  <c r="S88" i="4"/>
  <c r="T88" i="4" s="1"/>
  <c r="H58" i="3"/>
  <c r="P42" i="4"/>
  <c r="A141" i="9" l="1"/>
  <c r="AJ142" i="9"/>
  <c r="S89" i="1"/>
  <c r="T89" i="1" s="1"/>
  <c r="T87" i="3"/>
  <c r="S88" i="3"/>
  <c r="T88" i="3" s="1"/>
  <c r="S89" i="4"/>
  <c r="T89" i="4" s="1"/>
  <c r="H57" i="3"/>
  <c r="P41" i="4"/>
  <c r="AJ143" i="9" l="1"/>
  <c r="A142" i="9"/>
  <c r="S90" i="1"/>
  <c r="T90" i="1" s="1"/>
  <c r="S89" i="3"/>
  <c r="S90" i="4"/>
  <c r="T90" i="4" s="1"/>
  <c r="S91" i="4"/>
  <c r="T91" i="4" s="1"/>
  <c r="H88" i="4"/>
  <c r="H88" i="3"/>
  <c r="P72" i="3"/>
  <c r="H72" i="3"/>
  <c r="H56" i="3"/>
  <c r="AJ144" i="9" l="1"/>
  <c r="A143" i="9"/>
  <c r="S91" i="1"/>
  <c r="T89" i="3"/>
  <c r="S90" i="3"/>
  <c r="T90" i="3" s="1"/>
  <c r="S92" i="4"/>
  <c r="H87" i="4"/>
  <c r="H87" i="3"/>
  <c r="P71" i="3"/>
  <c r="A144" i="9" l="1"/>
  <c r="AJ145" i="9"/>
  <c r="T91" i="1"/>
  <c r="S92" i="1"/>
  <c r="S91" i="3"/>
  <c r="T92" i="4"/>
  <c r="S93" i="4"/>
  <c r="H55" i="3"/>
  <c r="P39" i="4"/>
  <c r="C24" i="1"/>
  <c r="AJ146" i="9" l="1"/>
  <c r="A145" i="9"/>
  <c r="T92" i="1"/>
  <c r="S93" i="1"/>
  <c r="T91" i="3"/>
  <c r="S92" i="3"/>
  <c r="T93" i="4"/>
  <c r="S94" i="4"/>
  <c r="P70" i="3"/>
  <c r="H86" i="4"/>
  <c r="H69" i="4"/>
  <c r="H54" i="3"/>
  <c r="P38" i="4"/>
  <c r="P69" i="4"/>
  <c r="P69" i="3"/>
  <c r="A146" i="9" l="1"/>
  <c r="AJ147" i="9"/>
  <c r="T93" i="1"/>
  <c r="S94" i="1"/>
  <c r="T92" i="3"/>
  <c r="S93" i="3"/>
  <c r="T94" i="4"/>
  <c r="S95" i="4"/>
  <c r="T95" i="4" s="1"/>
  <c r="H85" i="4"/>
  <c r="H53" i="4"/>
  <c r="H53" i="3"/>
  <c r="P37" i="4"/>
  <c r="H84" i="4"/>
  <c r="H84" i="3"/>
  <c r="H68" i="4"/>
  <c r="H52" i="4"/>
  <c r="H52" i="3"/>
  <c r="P36" i="4"/>
  <c r="H36" i="4"/>
  <c r="P20" i="3"/>
  <c r="C96" i="3"/>
  <c r="I79" i="4"/>
  <c r="I78" i="4"/>
  <c r="I77" i="4"/>
  <c r="I76" i="4"/>
  <c r="I75" i="4"/>
  <c r="I74" i="4"/>
  <c r="I73" i="4"/>
  <c r="I72" i="4"/>
  <c r="I71" i="4"/>
  <c r="I70" i="4"/>
  <c r="I69" i="4"/>
  <c r="I68" i="4"/>
  <c r="A95" i="4"/>
  <c r="A94" i="4"/>
  <c r="A93" i="4"/>
  <c r="A92" i="4"/>
  <c r="A91" i="4"/>
  <c r="A90" i="4"/>
  <c r="A89" i="4"/>
  <c r="A88" i="4"/>
  <c r="A87" i="4"/>
  <c r="A86" i="4"/>
  <c r="A85" i="4"/>
  <c r="A84" i="4"/>
  <c r="A79" i="4"/>
  <c r="A78" i="4"/>
  <c r="A77" i="4"/>
  <c r="A76" i="4"/>
  <c r="A75" i="4"/>
  <c r="A74" i="4"/>
  <c r="A73" i="4"/>
  <c r="A72" i="4"/>
  <c r="A71" i="4"/>
  <c r="A70" i="4"/>
  <c r="A69" i="4"/>
  <c r="A68" i="4"/>
  <c r="A95" i="3"/>
  <c r="A94" i="3"/>
  <c r="A93" i="3"/>
  <c r="A92" i="3"/>
  <c r="A91" i="3"/>
  <c r="A90" i="3"/>
  <c r="A89" i="3"/>
  <c r="A88" i="3"/>
  <c r="A87" i="3"/>
  <c r="A86" i="3"/>
  <c r="A85" i="3"/>
  <c r="A84" i="3"/>
  <c r="I79" i="3"/>
  <c r="I78" i="3"/>
  <c r="I77" i="3"/>
  <c r="I76" i="3"/>
  <c r="I75" i="3"/>
  <c r="I74" i="3"/>
  <c r="I73" i="3"/>
  <c r="I72" i="3"/>
  <c r="I71" i="3"/>
  <c r="I70" i="3"/>
  <c r="I69" i="3"/>
  <c r="I68" i="3"/>
  <c r="A68" i="3"/>
  <c r="A79" i="3"/>
  <c r="A78" i="3"/>
  <c r="A77" i="3"/>
  <c r="A76" i="3"/>
  <c r="A75" i="3"/>
  <c r="A74" i="3"/>
  <c r="A73" i="3"/>
  <c r="A72" i="3"/>
  <c r="A71" i="3"/>
  <c r="A70" i="3"/>
  <c r="A69" i="3"/>
  <c r="I20" i="3"/>
  <c r="I4" i="3"/>
  <c r="A4" i="3"/>
  <c r="H79" i="3"/>
  <c r="H47" i="4"/>
  <c r="H31" i="3"/>
  <c r="AJ148" i="9" l="1"/>
  <c r="A147" i="9"/>
  <c r="T94" i="1"/>
  <c r="S95" i="1"/>
  <c r="T95" i="1" s="1"/>
  <c r="T93" i="3"/>
  <c r="S94" i="3"/>
  <c r="H30" i="3"/>
  <c r="H45" i="4"/>
  <c r="P28" i="4"/>
  <c r="A148" i="9" l="1"/>
  <c r="T94" i="3"/>
  <c r="S95" i="3"/>
  <c r="T95" i="3" s="1"/>
  <c r="M64" i="6"/>
  <c r="K64" i="3"/>
  <c r="H28" i="3" l="1"/>
  <c r="H44" i="4"/>
  <c r="H43" i="4"/>
  <c r="H27" i="4"/>
  <c r="H27" i="3"/>
  <c r="A5" i="9"/>
  <c r="P26" i="4" l="1"/>
  <c r="P26" i="3"/>
  <c r="H90" i="4"/>
  <c r="H42" i="4"/>
  <c r="H26" i="3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C1" i="11"/>
  <c r="B1" i="11"/>
  <c r="B1" i="10"/>
  <c r="C1" i="10"/>
  <c r="AJ126" i="11"/>
  <c r="AJ127" i="11" s="1"/>
  <c r="AJ128" i="11" s="1"/>
  <c r="AJ129" i="11" s="1"/>
  <c r="AJ130" i="11" s="1"/>
  <c r="AJ131" i="11" s="1"/>
  <c r="AJ114" i="11"/>
  <c r="AJ115" i="11" s="1"/>
  <c r="AJ116" i="11" s="1"/>
  <c r="AJ117" i="11" s="1"/>
  <c r="AJ118" i="11" s="1"/>
  <c r="AJ119" i="11" s="1"/>
  <c r="AJ102" i="11"/>
  <c r="AJ103" i="11" s="1"/>
  <c r="AJ104" i="11" s="1"/>
  <c r="AJ105" i="11" s="1"/>
  <c r="AJ106" i="11" s="1"/>
  <c r="AJ107" i="11" s="1"/>
  <c r="AJ90" i="11"/>
  <c r="AJ91" i="11" s="1"/>
  <c r="AJ92" i="11" s="1"/>
  <c r="AJ93" i="11" s="1"/>
  <c r="AJ94" i="11" s="1"/>
  <c r="AJ95" i="11" s="1"/>
  <c r="AJ78" i="11"/>
  <c r="AJ79" i="11" s="1"/>
  <c r="AJ80" i="11" s="1"/>
  <c r="AJ81" i="11" s="1"/>
  <c r="AJ82" i="11" s="1"/>
  <c r="AJ83" i="11" s="1"/>
  <c r="AJ66" i="11"/>
  <c r="AJ67" i="11" s="1"/>
  <c r="AJ68" i="11" s="1"/>
  <c r="AJ69" i="11" s="1"/>
  <c r="AJ70" i="11" s="1"/>
  <c r="AJ71" i="11" s="1"/>
  <c r="AJ54" i="11"/>
  <c r="AJ55" i="11" s="1"/>
  <c r="AJ56" i="11" s="1"/>
  <c r="AJ57" i="11" s="1"/>
  <c r="AJ58" i="11" s="1"/>
  <c r="AJ59" i="11" s="1"/>
  <c r="AJ42" i="11"/>
  <c r="AJ43" i="11" s="1"/>
  <c r="AJ44" i="11" s="1"/>
  <c r="AJ45" i="11" s="1"/>
  <c r="AJ46" i="11" s="1"/>
  <c r="AJ47" i="11" s="1"/>
  <c r="AJ30" i="11"/>
  <c r="AJ31" i="11" s="1"/>
  <c r="AJ32" i="11" s="1"/>
  <c r="AJ33" i="11" s="1"/>
  <c r="AJ34" i="11" s="1"/>
  <c r="AJ35" i="11" s="1"/>
  <c r="AJ18" i="11"/>
  <c r="AJ19" i="11" s="1"/>
  <c r="AJ20" i="11" s="1"/>
  <c r="AJ21" i="11" s="1"/>
  <c r="AJ22" i="11" s="1"/>
  <c r="AJ23" i="11" s="1"/>
  <c r="AJ6" i="11"/>
  <c r="AJ7" i="11" s="1"/>
  <c r="AJ8" i="11" s="1"/>
  <c r="AJ9" i="11" s="1"/>
  <c r="AJ10" i="11" s="1"/>
  <c r="AJ11" i="11" s="1"/>
  <c r="AJ126" i="10"/>
  <c r="AJ127" i="10" s="1"/>
  <c r="AJ128" i="10" s="1"/>
  <c r="AJ129" i="10" s="1"/>
  <c r="AJ130" i="10" s="1"/>
  <c r="AJ131" i="10" s="1"/>
  <c r="AJ132" i="10" s="1"/>
  <c r="AJ133" i="10" s="1"/>
  <c r="AJ134" i="10" s="1"/>
  <c r="AJ135" i="10" s="1"/>
  <c r="AJ136" i="10" s="1"/>
  <c r="AJ114" i="10"/>
  <c r="AJ115" i="10" s="1"/>
  <c r="AJ116" i="10" s="1"/>
  <c r="AJ117" i="10" s="1"/>
  <c r="AJ118" i="10" s="1"/>
  <c r="AJ119" i="10" s="1"/>
  <c r="AJ120" i="10" s="1"/>
  <c r="AJ121" i="10" s="1"/>
  <c r="AJ122" i="10" s="1"/>
  <c r="AJ123" i="10" s="1"/>
  <c r="AJ124" i="10" s="1"/>
  <c r="AJ102" i="10"/>
  <c r="AJ103" i="10" s="1"/>
  <c r="AJ104" i="10" s="1"/>
  <c r="AJ105" i="10" s="1"/>
  <c r="AJ106" i="10" s="1"/>
  <c r="AJ107" i="10" s="1"/>
  <c r="AJ108" i="10" s="1"/>
  <c r="AJ109" i="10" s="1"/>
  <c r="AJ110" i="10" s="1"/>
  <c r="AJ111" i="10" s="1"/>
  <c r="AJ112" i="10" s="1"/>
  <c r="AJ90" i="10"/>
  <c r="AJ91" i="10" s="1"/>
  <c r="AJ92" i="10" s="1"/>
  <c r="AJ93" i="10" s="1"/>
  <c r="AJ94" i="10" s="1"/>
  <c r="AJ95" i="10" s="1"/>
  <c r="AJ96" i="10" s="1"/>
  <c r="AJ97" i="10" s="1"/>
  <c r="AJ98" i="10" s="1"/>
  <c r="AJ99" i="10" s="1"/>
  <c r="AJ100" i="10" s="1"/>
  <c r="AJ78" i="10"/>
  <c r="AJ79" i="10" s="1"/>
  <c r="AJ80" i="10" s="1"/>
  <c r="AJ81" i="10" s="1"/>
  <c r="AJ82" i="10" s="1"/>
  <c r="AJ83" i="10" s="1"/>
  <c r="AJ84" i="10" s="1"/>
  <c r="AJ85" i="10" s="1"/>
  <c r="AJ86" i="10" s="1"/>
  <c r="AJ87" i="10" s="1"/>
  <c r="AJ88" i="10" s="1"/>
  <c r="AJ66" i="10"/>
  <c r="AJ67" i="10" s="1"/>
  <c r="AJ68" i="10" s="1"/>
  <c r="AJ69" i="10" s="1"/>
  <c r="AJ70" i="10" s="1"/>
  <c r="AJ71" i="10" s="1"/>
  <c r="AJ72" i="10" s="1"/>
  <c r="AJ73" i="10" s="1"/>
  <c r="AJ74" i="10" s="1"/>
  <c r="AJ75" i="10" s="1"/>
  <c r="AJ76" i="10" s="1"/>
  <c r="AJ54" i="10"/>
  <c r="AJ55" i="10" s="1"/>
  <c r="AJ56" i="10" s="1"/>
  <c r="AJ57" i="10" s="1"/>
  <c r="AJ58" i="10" s="1"/>
  <c r="AJ59" i="10" s="1"/>
  <c r="AJ42" i="10"/>
  <c r="AJ43" i="10" s="1"/>
  <c r="AJ44" i="10" s="1"/>
  <c r="AJ45" i="10" s="1"/>
  <c r="AJ46" i="10" s="1"/>
  <c r="AJ47" i="10" s="1"/>
  <c r="AJ48" i="10" s="1"/>
  <c r="AJ49" i="10" s="1"/>
  <c r="AJ50" i="10" s="1"/>
  <c r="AJ51" i="10" s="1"/>
  <c r="AJ52" i="10" s="1"/>
  <c r="AJ30" i="10"/>
  <c r="AJ31" i="10" s="1"/>
  <c r="AJ18" i="10"/>
  <c r="AJ19" i="10" s="1"/>
  <c r="AJ20" i="10" s="1"/>
  <c r="AJ21" i="10" s="1"/>
  <c r="AJ22" i="10" s="1"/>
  <c r="AJ23" i="10" s="1"/>
  <c r="AJ24" i="10" s="1"/>
  <c r="AJ25" i="10" s="1"/>
  <c r="AJ26" i="10" s="1"/>
  <c r="AJ27" i="10" s="1"/>
  <c r="AJ28" i="10" s="1"/>
  <c r="AJ6" i="10"/>
  <c r="AJ7" i="10" s="1"/>
  <c r="AJ126" i="9"/>
  <c r="AJ114" i="9"/>
  <c r="AJ102" i="9"/>
  <c r="AJ103" i="9" s="1"/>
  <c r="AJ104" i="9" s="1"/>
  <c r="AJ105" i="9" s="1"/>
  <c r="AJ106" i="9" s="1"/>
  <c r="AJ107" i="9" s="1"/>
  <c r="AJ108" i="9" s="1"/>
  <c r="AJ109" i="9" s="1"/>
  <c r="AJ110" i="9" s="1"/>
  <c r="AJ111" i="9" s="1"/>
  <c r="AJ112" i="9" s="1"/>
  <c r="AJ90" i="9"/>
  <c r="AJ91" i="9" s="1"/>
  <c r="AJ92" i="9" s="1"/>
  <c r="AJ93" i="9" s="1"/>
  <c r="AJ94" i="9" s="1"/>
  <c r="AJ95" i="9" s="1"/>
  <c r="AJ96" i="9" s="1"/>
  <c r="AJ97" i="9" s="1"/>
  <c r="AJ98" i="9" s="1"/>
  <c r="AJ99" i="9" s="1"/>
  <c r="AJ100" i="9" s="1"/>
  <c r="AJ78" i="9"/>
  <c r="AJ66" i="9"/>
  <c r="AJ67" i="9" s="1"/>
  <c r="AJ68" i="9" s="1"/>
  <c r="AJ69" i="9" s="1"/>
  <c r="AJ70" i="9" s="1"/>
  <c r="AJ71" i="9" s="1"/>
  <c r="AJ72" i="9" s="1"/>
  <c r="AJ73" i="9" s="1"/>
  <c r="AJ74" i="9" s="1"/>
  <c r="AJ75" i="9" s="1"/>
  <c r="AJ76" i="9" s="1"/>
  <c r="AJ54" i="9"/>
  <c r="AJ55" i="9" s="1"/>
  <c r="AJ56" i="9" s="1"/>
  <c r="AJ57" i="9" s="1"/>
  <c r="AJ58" i="9" s="1"/>
  <c r="AJ59" i="9" s="1"/>
  <c r="AJ60" i="9" s="1"/>
  <c r="AJ61" i="9" s="1"/>
  <c r="AJ62" i="9" s="1"/>
  <c r="AJ63" i="9" s="1"/>
  <c r="AJ64" i="9" s="1"/>
  <c r="AJ42" i="9"/>
  <c r="AJ43" i="9" s="1"/>
  <c r="AJ44" i="9" s="1"/>
  <c r="AJ45" i="9" s="1"/>
  <c r="AJ46" i="9" s="1"/>
  <c r="AJ47" i="9" s="1"/>
  <c r="AJ48" i="9" s="1"/>
  <c r="AJ49" i="9" s="1"/>
  <c r="AJ50" i="9" s="1"/>
  <c r="AJ51" i="9" s="1"/>
  <c r="AJ52" i="9" s="1"/>
  <c r="AJ30" i="9"/>
  <c r="AJ18" i="9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5" i="10"/>
  <c r="A6" i="9"/>
  <c r="H25" i="3"/>
  <c r="A7" i="9" l="1"/>
  <c r="AJ60" i="11"/>
  <c r="AJ8" i="10"/>
  <c r="AJ9" i="10" s="1"/>
  <c r="A6" i="10"/>
  <c r="A7" i="10" s="1"/>
  <c r="A8" i="10" s="1"/>
  <c r="A9" i="10" s="1"/>
  <c r="AJ32" i="10"/>
  <c r="AJ33" i="10" s="1"/>
  <c r="AJ72" i="11"/>
  <c r="AJ108" i="11"/>
  <c r="A8" i="9"/>
  <c r="AJ60" i="10"/>
  <c r="AJ12" i="11"/>
  <c r="AJ24" i="11"/>
  <c r="AJ31" i="9"/>
  <c r="AJ79" i="9"/>
  <c r="AJ127" i="9"/>
  <c r="AJ36" i="11"/>
  <c r="AJ48" i="11"/>
  <c r="AJ84" i="11"/>
  <c r="AJ120" i="11"/>
  <c r="AJ96" i="11"/>
  <c r="AJ132" i="11"/>
  <c r="AJ115" i="9"/>
  <c r="A10" i="10"/>
  <c r="AJ6" i="9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B125" i="11"/>
  <c r="A125" i="11" s="1"/>
  <c r="B113" i="11"/>
  <c r="A113" i="11" s="1"/>
  <c r="B101" i="11"/>
  <c r="A101" i="11" s="1"/>
  <c r="B89" i="11"/>
  <c r="A89" i="11" s="1"/>
  <c r="B77" i="11"/>
  <c r="A77" i="11" s="1"/>
  <c r="B65" i="11"/>
  <c r="A65" i="11" s="1"/>
  <c r="B53" i="11"/>
  <c r="A53" i="11" s="1"/>
  <c r="B41" i="11"/>
  <c r="A41" i="11" s="1"/>
  <c r="B29" i="11"/>
  <c r="A29" i="11" s="1"/>
  <c r="B17" i="11"/>
  <c r="A17" i="11" s="1"/>
  <c r="C16" i="11"/>
  <c r="C15" i="11"/>
  <c r="C27" i="11" s="1"/>
  <c r="C14" i="11"/>
  <c r="C13" i="11"/>
  <c r="C12" i="11"/>
  <c r="C11" i="11"/>
  <c r="C23" i="11" s="1"/>
  <c r="C10" i="11"/>
  <c r="C22" i="11" s="1"/>
  <c r="C9" i="11"/>
  <c r="C8" i="11"/>
  <c r="C7" i="11"/>
  <c r="C19" i="11" s="1"/>
  <c r="C6" i="11"/>
  <c r="C18" i="11" s="1"/>
  <c r="C5" i="11"/>
  <c r="P1" i="11"/>
  <c r="Q1" i="11" s="1"/>
  <c r="L1" i="11"/>
  <c r="M1" i="11" s="1"/>
  <c r="H1" i="11"/>
  <c r="I1" i="11" s="1"/>
  <c r="D1" i="11"/>
  <c r="E1" i="11" s="1"/>
  <c r="C20" i="11" l="1"/>
  <c r="C24" i="11"/>
  <c r="C36" i="11" s="1"/>
  <c r="C28" i="11"/>
  <c r="C40" i="11" s="1"/>
  <c r="C21" i="11"/>
  <c r="C33" i="11" s="1"/>
  <c r="A11" i="10"/>
  <c r="AJ80" i="9"/>
  <c r="AJ37" i="11"/>
  <c r="AJ61" i="10"/>
  <c r="C26" i="11"/>
  <c r="C38" i="11" s="1"/>
  <c r="AJ7" i="9"/>
  <c r="AJ121" i="11"/>
  <c r="AJ85" i="11"/>
  <c r="AJ49" i="11"/>
  <c r="AJ128" i="9"/>
  <c r="AJ32" i="9"/>
  <c r="AJ25" i="11"/>
  <c r="A9" i="9"/>
  <c r="AJ34" i="10"/>
  <c r="AJ61" i="11"/>
  <c r="AJ97" i="11"/>
  <c r="AJ13" i="11"/>
  <c r="AJ10" i="10"/>
  <c r="AJ116" i="9"/>
  <c r="AJ133" i="11"/>
  <c r="AJ109" i="11"/>
  <c r="AJ73" i="11"/>
  <c r="A42" i="11"/>
  <c r="A90" i="11"/>
  <c r="A30" i="11"/>
  <c r="A54" i="11"/>
  <c r="A102" i="11"/>
  <c r="A66" i="11"/>
  <c r="A126" i="11"/>
  <c r="A18" i="11"/>
  <c r="A78" i="11"/>
  <c r="A114" i="11"/>
  <c r="C17" i="11"/>
  <c r="C30" i="11"/>
  <c r="C34" i="11"/>
  <c r="C25" i="11"/>
  <c r="C31" i="11"/>
  <c r="C39" i="11"/>
  <c r="C35" i="11"/>
  <c r="C32" i="11"/>
  <c r="AJ11" i="10" l="1"/>
  <c r="AJ33" i="9"/>
  <c r="AJ122" i="11"/>
  <c r="AJ81" i="9"/>
  <c r="AJ129" i="9"/>
  <c r="AJ8" i="9"/>
  <c r="AJ134" i="11"/>
  <c r="AJ117" i="9"/>
  <c r="AJ14" i="11"/>
  <c r="AJ98" i="11"/>
  <c r="A10" i="9"/>
  <c r="AJ50" i="11"/>
  <c r="AJ38" i="11"/>
  <c r="A12" i="10"/>
  <c r="AJ62" i="11"/>
  <c r="AJ74" i="11"/>
  <c r="AJ110" i="11"/>
  <c r="AJ35" i="10"/>
  <c r="AJ26" i="11"/>
  <c r="AJ86" i="11"/>
  <c r="AJ62" i="10"/>
  <c r="A19" i="11"/>
  <c r="A55" i="11"/>
  <c r="A79" i="11"/>
  <c r="A127" i="11"/>
  <c r="A31" i="11"/>
  <c r="A91" i="11"/>
  <c r="A67" i="11"/>
  <c r="A115" i="11"/>
  <c r="A103" i="11"/>
  <c r="A43" i="11"/>
  <c r="C48" i="11"/>
  <c r="C46" i="11"/>
  <c r="C42" i="11"/>
  <c r="C29" i="11"/>
  <c r="C50" i="11"/>
  <c r="C52" i="11"/>
  <c r="C47" i="11"/>
  <c r="C51" i="11"/>
  <c r="C43" i="11"/>
  <c r="C37" i="11"/>
  <c r="C44" i="11"/>
  <c r="C45" i="11"/>
  <c r="AJ111" i="11" l="1"/>
  <c r="AJ63" i="11"/>
  <c r="AJ118" i="9"/>
  <c r="AJ9" i="9"/>
  <c r="AJ36" i="10"/>
  <c r="A13" i="10"/>
  <c r="AJ15" i="11"/>
  <c r="AJ87" i="11"/>
  <c r="AJ75" i="11"/>
  <c r="AJ99" i="11"/>
  <c r="AJ130" i="9"/>
  <c r="AJ34" i="9"/>
  <c r="AJ63" i="10"/>
  <c r="AJ51" i="11"/>
  <c r="AJ123" i="11"/>
  <c r="AJ12" i="10"/>
  <c r="AJ27" i="11"/>
  <c r="AJ39" i="11"/>
  <c r="A11" i="9"/>
  <c r="AJ135" i="11"/>
  <c r="AJ82" i="9"/>
  <c r="A116" i="11"/>
  <c r="A92" i="11"/>
  <c r="A32" i="11"/>
  <c r="A56" i="11"/>
  <c r="A68" i="11"/>
  <c r="A128" i="11"/>
  <c r="A44" i="11"/>
  <c r="A80" i="11"/>
  <c r="A104" i="11"/>
  <c r="A20" i="11"/>
  <c r="C55" i="11"/>
  <c r="C59" i="11"/>
  <c r="C49" i="11"/>
  <c r="C63" i="11"/>
  <c r="C64" i="11"/>
  <c r="C54" i="11"/>
  <c r="C60" i="11"/>
  <c r="C62" i="11"/>
  <c r="C58" i="11"/>
  <c r="C57" i="11"/>
  <c r="C56" i="11"/>
  <c r="C41" i="11"/>
  <c r="A12" i="9" l="1"/>
  <c r="AJ40" i="11"/>
  <c r="AJ13" i="10"/>
  <c r="AJ64" i="10"/>
  <c r="AJ35" i="9"/>
  <c r="AJ88" i="11"/>
  <c r="AJ16" i="11"/>
  <c r="AJ112" i="11"/>
  <c r="AJ83" i="9"/>
  <c r="AJ124" i="11"/>
  <c r="AJ119" i="9"/>
  <c r="AJ64" i="11"/>
  <c r="AJ131" i="9"/>
  <c r="AJ136" i="11"/>
  <c r="AJ28" i="11"/>
  <c r="AJ52" i="11"/>
  <c r="AJ100" i="11"/>
  <c r="AJ76" i="11"/>
  <c r="A14" i="10"/>
  <c r="AJ37" i="10"/>
  <c r="AJ10" i="9"/>
  <c r="A81" i="11"/>
  <c r="A57" i="11"/>
  <c r="A45" i="11"/>
  <c r="A33" i="11"/>
  <c r="A21" i="11"/>
  <c r="A129" i="11"/>
  <c r="A93" i="11"/>
  <c r="A105" i="11"/>
  <c r="A69" i="11"/>
  <c r="A117" i="11"/>
  <c r="C69" i="11"/>
  <c r="C76" i="11"/>
  <c r="C67" i="11"/>
  <c r="C68" i="11"/>
  <c r="C72" i="11"/>
  <c r="C71" i="11"/>
  <c r="C53" i="11"/>
  <c r="C74" i="11"/>
  <c r="C70" i="11"/>
  <c r="C66" i="11"/>
  <c r="C75" i="11"/>
  <c r="C61" i="11"/>
  <c r="AJ38" i="10" l="1"/>
  <c r="A13" i="9"/>
  <c r="AJ36" i="9"/>
  <c r="AJ14" i="10"/>
  <c r="AJ11" i="9"/>
  <c r="A15" i="10"/>
  <c r="AJ120" i="9"/>
  <c r="AJ84" i="9"/>
  <c r="AJ132" i="9"/>
  <c r="A46" i="11"/>
  <c r="A70" i="11"/>
  <c r="A58" i="11"/>
  <c r="A118" i="11"/>
  <c r="A130" i="11"/>
  <c r="A106" i="11"/>
  <c r="A82" i="11"/>
  <c r="A94" i="11"/>
  <c r="A22" i="11"/>
  <c r="A34" i="11"/>
  <c r="C78" i="11"/>
  <c r="C84" i="11"/>
  <c r="C73" i="11"/>
  <c r="C87" i="11"/>
  <c r="C80" i="11"/>
  <c r="C81" i="11"/>
  <c r="C82" i="11"/>
  <c r="C86" i="11"/>
  <c r="C88" i="11"/>
  <c r="C65" i="11"/>
  <c r="C83" i="11"/>
  <c r="C79" i="11"/>
  <c r="AJ12" i="9" l="1"/>
  <c r="AJ39" i="10"/>
  <c r="AJ121" i="9"/>
  <c r="A16" i="10"/>
  <c r="AJ15" i="10"/>
  <c r="A14" i="9"/>
  <c r="AJ85" i="9"/>
  <c r="AJ133" i="9"/>
  <c r="AJ37" i="9"/>
  <c r="A131" i="11"/>
  <c r="A71" i="11"/>
  <c r="A23" i="11"/>
  <c r="A95" i="11"/>
  <c r="A119" i="11"/>
  <c r="A83" i="11"/>
  <c r="A47" i="11"/>
  <c r="A35" i="11"/>
  <c r="A107" i="11"/>
  <c r="A59" i="11"/>
  <c r="C77" i="11"/>
  <c r="C98" i="11"/>
  <c r="C93" i="11"/>
  <c r="C92" i="11"/>
  <c r="C85" i="11"/>
  <c r="C100" i="11"/>
  <c r="C99" i="11"/>
  <c r="C90" i="11"/>
  <c r="C95" i="11"/>
  <c r="C91" i="11"/>
  <c r="C94" i="11"/>
  <c r="C96" i="11"/>
  <c r="A15" i="9" l="1"/>
  <c r="AJ38" i="9"/>
  <c r="AJ134" i="9"/>
  <c r="AJ13" i="9"/>
  <c r="AJ122" i="9"/>
  <c r="AJ40" i="10"/>
  <c r="AJ86" i="9"/>
  <c r="AJ16" i="10"/>
  <c r="A36" i="11"/>
  <c r="A48" i="11"/>
  <c r="A24" i="11"/>
  <c r="A60" i="11"/>
  <c r="A108" i="11"/>
  <c r="A132" i="11"/>
  <c r="A84" i="11"/>
  <c r="A120" i="11"/>
  <c r="A72" i="11"/>
  <c r="A96" i="11"/>
  <c r="C108" i="11"/>
  <c r="C97" i="11"/>
  <c r="C89" i="11"/>
  <c r="C107" i="11"/>
  <c r="C106" i="11"/>
  <c r="C103" i="11"/>
  <c r="C102" i="11"/>
  <c r="C112" i="11"/>
  <c r="C104" i="11"/>
  <c r="C111" i="11"/>
  <c r="C105" i="11"/>
  <c r="C110" i="11"/>
  <c r="AJ39" i="9" l="1"/>
  <c r="AJ14" i="9"/>
  <c r="AJ135" i="9"/>
  <c r="AJ87" i="9"/>
  <c r="AJ123" i="9"/>
  <c r="A16" i="9"/>
  <c r="A121" i="11"/>
  <c r="A133" i="11"/>
  <c r="A61" i="11"/>
  <c r="A85" i="11"/>
  <c r="A25" i="11"/>
  <c r="A97" i="11"/>
  <c r="A73" i="11"/>
  <c r="A49" i="11"/>
  <c r="A109" i="11"/>
  <c r="A37" i="11"/>
  <c r="C115" i="11"/>
  <c r="C120" i="11"/>
  <c r="C114" i="11"/>
  <c r="C118" i="11"/>
  <c r="C119" i="11"/>
  <c r="C109" i="11"/>
  <c r="C101" i="11"/>
  <c r="C122" i="11"/>
  <c r="C117" i="11"/>
  <c r="C123" i="11"/>
  <c r="C116" i="11"/>
  <c r="C124" i="11"/>
  <c r="AJ124" i="9" l="1"/>
  <c r="AJ40" i="9"/>
  <c r="AJ88" i="9"/>
  <c r="AJ136" i="9"/>
  <c r="AJ15" i="9"/>
  <c r="A98" i="11"/>
  <c r="A62" i="11"/>
  <c r="A50" i="11"/>
  <c r="A26" i="11"/>
  <c r="A134" i="11"/>
  <c r="A86" i="11"/>
  <c r="A122" i="11"/>
  <c r="A38" i="11"/>
  <c r="A110" i="11"/>
  <c r="A74" i="11"/>
  <c r="C136" i="11"/>
  <c r="C148" i="11" s="1"/>
  <c r="C128" i="11"/>
  <c r="C140" i="11" s="1"/>
  <c r="C113" i="11"/>
  <c r="C131" i="11"/>
  <c r="C143" i="11" s="1"/>
  <c r="C126" i="11"/>
  <c r="C138" i="11" s="1"/>
  <c r="C127" i="11"/>
  <c r="C139" i="11" s="1"/>
  <c r="C135" i="11"/>
  <c r="C147" i="11" s="1"/>
  <c r="C134" i="11"/>
  <c r="C146" i="11" s="1"/>
  <c r="C130" i="11"/>
  <c r="C142" i="11" s="1"/>
  <c r="C132" i="11"/>
  <c r="C144" i="11" s="1"/>
  <c r="C129" i="11"/>
  <c r="C141" i="11" s="1"/>
  <c r="C121" i="11"/>
  <c r="P40" i="4"/>
  <c r="H40" i="4"/>
  <c r="H24" i="4"/>
  <c r="H24" i="3"/>
  <c r="K55" i="1"/>
  <c r="L55" i="1"/>
  <c r="M55" i="1"/>
  <c r="N55" i="1"/>
  <c r="O55" i="1"/>
  <c r="H71" i="3"/>
  <c r="H23" i="4"/>
  <c r="H23" i="3"/>
  <c r="H86" i="3"/>
  <c r="H85" i="3"/>
  <c r="H70" i="3"/>
  <c r="H69" i="3"/>
  <c r="H38" i="4"/>
  <c r="H37" i="4"/>
  <c r="H22" i="4"/>
  <c r="H22" i="3"/>
  <c r="H21" i="3"/>
  <c r="AJ16" i="9" l="1"/>
  <c r="A39" i="11"/>
  <c r="A63" i="11"/>
  <c r="A123" i="11"/>
  <c r="A87" i="11"/>
  <c r="A27" i="11"/>
  <c r="A75" i="11"/>
  <c r="A51" i="11"/>
  <c r="A99" i="11"/>
  <c r="A111" i="11"/>
  <c r="A135" i="11"/>
  <c r="C133" i="11"/>
  <c r="C145" i="11" s="1"/>
  <c r="C125" i="11"/>
  <c r="H20" i="3"/>
  <c r="H68" i="3"/>
  <c r="P1" i="10"/>
  <c r="Q1" i="10" s="1"/>
  <c r="L1" i="10"/>
  <c r="M1" i="10" s="1"/>
  <c r="H1" i="10"/>
  <c r="I1" i="10" s="1"/>
  <c r="D1" i="10"/>
  <c r="E1" i="10" s="1"/>
  <c r="P1" i="9"/>
  <c r="Q1" i="9" s="1"/>
  <c r="L1" i="9"/>
  <c r="M1" i="9" s="1"/>
  <c r="H1" i="9"/>
  <c r="I1" i="9" s="1"/>
  <c r="D1" i="9"/>
  <c r="E1" i="9" s="1"/>
  <c r="Q7" i="11" l="1"/>
  <c r="C137" i="11"/>
  <c r="Q11" i="11"/>
  <c r="M7" i="11"/>
  <c r="I7" i="11"/>
  <c r="Q5" i="11"/>
  <c r="M16" i="11"/>
  <c r="Q15" i="11"/>
  <c r="E15" i="11"/>
  <c r="E8" i="11"/>
  <c r="Q13" i="11"/>
  <c r="M14" i="11"/>
  <c r="Q10" i="11"/>
  <c r="M13" i="11"/>
  <c r="I16" i="11"/>
  <c r="E16" i="11"/>
  <c r="E11" i="11"/>
  <c r="E14" i="11"/>
  <c r="Q9" i="11"/>
  <c r="I13" i="11"/>
  <c r="I9" i="11"/>
  <c r="M10" i="11"/>
  <c r="I5" i="11"/>
  <c r="M8" i="11"/>
  <c r="M6" i="11"/>
  <c r="Q14" i="11"/>
  <c r="I15" i="11"/>
  <c r="Q6" i="11"/>
  <c r="I14" i="11"/>
  <c r="M15" i="11"/>
  <c r="E7" i="11"/>
  <c r="I12" i="11"/>
  <c r="E10" i="11"/>
  <c r="E6" i="11"/>
  <c r="M5" i="11"/>
  <c r="I10" i="11"/>
  <c r="E12" i="11"/>
  <c r="E13" i="11"/>
  <c r="E9" i="11"/>
  <c r="M11" i="11"/>
  <c r="I11" i="11"/>
  <c r="Q12" i="11"/>
  <c r="I6" i="11"/>
  <c r="Q16" i="11"/>
  <c r="Q8" i="11"/>
  <c r="E5" i="11"/>
  <c r="I8" i="11"/>
  <c r="M12" i="11"/>
  <c r="M9" i="11"/>
  <c r="A136" i="11"/>
  <c r="A76" i="11"/>
  <c r="A88" i="11"/>
  <c r="A112" i="11"/>
  <c r="A52" i="11"/>
  <c r="A124" i="11"/>
  <c r="A100" i="11"/>
  <c r="A64" i="11"/>
  <c r="A40" i="11"/>
  <c r="A28" i="11"/>
  <c r="B125" i="10"/>
  <c r="A125" i="10" s="1"/>
  <c r="B113" i="10"/>
  <c r="A113" i="10" s="1"/>
  <c r="B101" i="10"/>
  <c r="A101" i="10" s="1"/>
  <c r="B89" i="10"/>
  <c r="A89" i="10" s="1"/>
  <c r="B77" i="10"/>
  <c r="A77" i="10" s="1"/>
  <c r="B65" i="10"/>
  <c r="A65" i="10" s="1"/>
  <c r="B53" i="10"/>
  <c r="A53" i="10" s="1"/>
  <c r="B41" i="10"/>
  <c r="A41" i="10" s="1"/>
  <c r="B29" i="10"/>
  <c r="A29" i="10" s="1"/>
  <c r="B17" i="10"/>
  <c r="A17" i="10" s="1"/>
  <c r="C16" i="10"/>
  <c r="C15" i="10"/>
  <c r="C14" i="10"/>
  <c r="C13" i="10"/>
  <c r="C12" i="10"/>
  <c r="C11" i="10"/>
  <c r="C10" i="10"/>
  <c r="C9" i="10"/>
  <c r="C8" i="10"/>
  <c r="C7" i="10"/>
  <c r="C6" i="10"/>
  <c r="C5" i="10"/>
  <c r="U120" i="11" l="1"/>
  <c r="U142" i="11"/>
  <c r="Y141" i="11"/>
  <c r="AG145" i="11"/>
  <c r="U139" i="11"/>
  <c r="Y138" i="11"/>
  <c r="Y137" i="11"/>
  <c r="AG138" i="11"/>
  <c r="AB137" i="11"/>
  <c r="AG137" i="11"/>
  <c r="Y148" i="11"/>
  <c r="AC137" i="11"/>
  <c r="Y147" i="11"/>
  <c r="AB140" i="11"/>
  <c r="U143" i="11"/>
  <c r="Y145" i="11"/>
  <c r="AG147" i="11"/>
  <c r="AC145" i="11"/>
  <c r="U137" i="11"/>
  <c r="AB143" i="11"/>
  <c r="AB139" i="11"/>
  <c r="AG146" i="11"/>
  <c r="Y140" i="11"/>
  <c r="Y139" i="11"/>
  <c r="Y146" i="11"/>
  <c r="AC139" i="11"/>
  <c r="AC141" i="11"/>
  <c r="AG144" i="11"/>
  <c r="U148" i="11"/>
  <c r="AC138" i="11"/>
  <c r="AG142" i="11"/>
  <c r="AG140" i="11"/>
  <c r="U138" i="11"/>
  <c r="U145" i="11"/>
  <c r="AB144" i="11"/>
  <c r="AB145" i="11"/>
  <c r="AB148" i="11"/>
  <c r="AE148" i="11" s="1"/>
  <c r="U147" i="11"/>
  <c r="Y143" i="11"/>
  <c r="AC140" i="11"/>
  <c r="AD140" i="11" s="1"/>
  <c r="AB146" i="11"/>
  <c r="AC143" i="11"/>
  <c r="AD143" i="11" s="1"/>
  <c r="AC147" i="11"/>
  <c r="U141" i="11"/>
  <c r="AG139" i="11"/>
  <c r="AC146" i="11"/>
  <c r="AG141" i="11"/>
  <c r="U146" i="11"/>
  <c r="AG143" i="11"/>
  <c r="AG148" i="11"/>
  <c r="AB141" i="11"/>
  <c r="Y144" i="11"/>
  <c r="U144" i="11"/>
  <c r="AB138" i="11"/>
  <c r="AE138" i="11" s="1"/>
  <c r="Y142" i="11"/>
  <c r="AB142" i="11"/>
  <c r="U140" i="11"/>
  <c r="AC144" i="11"/>
  <c r="AD144" i="11" s="1"/>
  <c r="AB147" i="11"/>
  <c r="AE147" i="11" s="1"/>
  <c r="AC142" i="11"/>
  <c r="AD142" i="11" s="1"/>
  <c r="AC148" i="11"/>
  <c r="AD148" i="11" s="1"/>
  <c r="AG131" i="11"/>
  <c r="AG84" i="11"/>
  <c r="U130" i="11"/>
  <c r="Y71" i="11"/>
  <c r="Y122" i="11"/>
  <c r="U56" i="11"/>
  <c r="U109" i="11"/>
  <c r="AG119" i="11"/>
  <c r="AC97" i="11"/>
  <c r="Y95" i="11"/>
  <c r="AC33" i="11"/>
  <c r="AC44" i="11"/>
  <c r="AC85" i="11"/>
  <c r="AG60" i="11"/>
  <c r="AC119" i="11"/>
  <c r="U95" i="11"/>
  <c r="U121" i="11"/>
  <c r="AG27" i="11"/>
  <c r="U70" i="11"/>
  <c r="Y121" i="11"/>
  <c r="U73" i="11"/>
  <c r="U71" i="11"/>
  <c r="Y38" i="11"/>
  <c r="AG86" i="11"/>
  <c r="AC37" i="11"/>
  <c r="AC133" i="11"/>
  <c r="AG71" i="11"/>
  <c r="AG83" i="11"/>
  <c r="U93" i="11"/>
  <c r="AG73" i="11"/>
  <c r="U85" i="11"/>
  <c r="U107" i="11"/>
  <c r="Y32" i="11"/>
  <c r="AC57" i="11"/>
  <c r="Y109" i="11"/>
  <c r="Y85" i="11"/>
  <c r="AC95" i="11"/>
  <c r="Y83" i="11"/>
  <c r="Y131" i="11"/>
  <c r="AG23" i="11"/>
  <c r="U80" i="11"/>
  <c r="AG85" i="11"/>
  <c r="AC131" i="11"/>
  <c r="AC59" i="11"/>
  <c r="Y61" i="11"/>
  <c r="Y132" i="11"/>
  <c r="AC121" i="11"/>
  <c r="U132" i="11"/>
  <c r="Y130" i="11"/>
  <c r="AG95" i="11"/>
  <c r="U23" i="11"/>
  <c r="AC109" i="11"/>
  <c r="Y133" i="11"/>
  <c r="Y21" i="11"/>
  <c r="AG130" i="11"/>
  <c r="U25" i="11"/>
  <c r="AG37" i="11"/>
  <c r="AG120" i="11"/>
  <c r="Y119" i="11"/>
  <c r="AC107" i="11"/>
  <c r="U59" i="11"/>
  <c r="AC130" i="11"/>
  <c r="AG109" i="11"/>
  <c r="U133" i="11"/>
  <c r="Y59" i="11"/>
  <c r="Y27" i="11"/>
  <c r="AC62" i="11"/>
  <c r="Y73" i="11"/>
  <c r="Y60" i="11"/>
  <c r="U131" i="11"/>
  <c r="Y23" i="11"/>
  <c r="Y70" i="11"/>
  <c r="AC120" i="11"/>
  <c r="U37" i="11"/>
  <c r="AC60" i="11"/>
  <c r="AG70" i="11"/>
  <c r="Y107" i="11"/>
  <c r="AG35" i="11"/>
  <c r="AG121" i="11"/>
  <c r="AG133" i="11"/>
  <c r="AG59" i="11"/>
  <c r="AC70" i="11"/>
  <c r="U21" i="11"/>
  <c r="AG107" i="11"/>
  <c r="Y37" i="11"/>
  <c r="U129" i="11"/>
  <c r="U119" i="11"/>
  <c r="AC23" i="11"/>
  <c r="C21" i="10"/>
  <c r="C33" i="10" s="1"/>
  <c r="A18" i="10"/>
  <c r="C18" i="10"/>
  <c r="C24" i="10"/>
  <c r="C28" i="10"/>
  <c r="C40" i="10" s="1"/>
  <c r="A42" i="10"/>
  <c r="A90" i="10"/>
  <c r="U83" i="11"/>
  <c r="AC73" i="11"/>
  <c r="AC132" i="11"/>
  <c r="AC83" i="11"/>
  <c r="Y129" i="11"/>
  <c r="A54" i="10"/>
  <c r="A114" i="10"/>
  <c r="Y25" i="11"/>
  <c r="C17" i="10"/>
  <c r="A102" i="10"/>
  <c r="C22" i="10"/>
  <c r="C34" i="10" s="1"/>
  <c r="A66" i="10"/>
  <c r="C27" i="10"/>
  <c r="A30" i="10"/>
  <c r="A78" i="10"/>
  <c r="A126" i="10"/>
  <c r="AG33" i="11"/>
  <c r="AG135" i="11"/>
  <c r="AG39" i="11"/>
  <c r="AG63" i="11"/>
  <c r="AG64" i="11"/>
  <c r="Y64" i="11"/>
  <c r="AC64" i="11"/>
  <c r="U64" i="11"/>
  <c r="AG26" i="11"/>
  <c r="Y99" i="11"/>
  <c r="AG62" i="11"/>
  <c r="AC123" i="11"/>
  <c r="Y26" i="11"/>
  <c r="U51" i="11"/>
  <c r="AC111" i="11"/>
  <c r="AG49" i="11"/>
  <c r="AG87" i="11"/>
  <c r="AC86" i="11"/>
  <c r="AG75" i="11"/>
  <c r="Y135" i="11"/>
  <c r="AC71" i="11"/>
  <c r="Y49" i="11"/>
  <c r="U27" i="11"/>
  <c r="U39" i="11"/>
  <c r="Y63" i="11"/>
  <c r="U62" i="11"/>
  <c r="AG99" i="11"/>
  <c r="AC100" i="11"/>
  <c r="U100" i="11"/>
  <c r="AG100" i="11"/>
  <c r="Y100" i="11"/>
  <c r="Y123" i="11"/>
  <c r="AC124" i="11"/>
  <c r="U124" i="11"/>
  <c r="AG124" i="11"/>
  <c r="Y124" i="11"/>
  <c r="AC51" i="11"/>
  <c r="AC52" i="11"/>
  <c r="Y52" i="11"/>
  <c r="AG52" i="11"/>
  <c r="U52" i="11"/>
  <c r="Y111" i="11"/>
  <c r="Y62" i="11"/>
  <c r="U87" i="11"/>
  <c r="U75" i="11"/>
  <c r="AC76" i="11"/>
  <c r="U76" i="11"/>
  <c r="Y76" i="11"/>
  <c r="AG76" i="11"/>
  <c r="AC28" i="11"/>
  <c r="U28" i="11"/>
  <c r="AG28" i="11"/>
  <c r="Y28" i="11"/>
  <c r="U26" i="11"/>
  <c r="AG22" i="11"/>
  <c r="AC82" i="11"/>
  <c r="AG94" i="11"/>
  <c r="Y69" i="11"/>
  <c r="Y45" i="11"/>
  <c r="Y108" i="11"/>
  <c r="AC47" i="11"/>
  <c r="AC84" i="11"/>
  <c r="AG92" i="11"/>
  <c r="AG69" i="11"/>
  <c r="AG34" i="11"/>
  <c r="AC68" i="11"/>
  <c r="AC93" i="11"/>
  <c r="AG57" i="11"/>
  <c r="AC72" i="11"/>
  <c r="Y24" i="11"/>
  <c r="AG116" i="11"/>
  <c r="Y94" i="11"/>
  <c r="AG104" i="11"/>
  <c r="U33" i="11"/>
  <c r="AC58" i="11"/>
  <c r="AG82" i="11"/>
  <c r="AG58" i="11"/>
  <c r="Y20" i="11"/>
  <c r="U72" i="11"/>
  <c r="U84" i="11"/>
  <c r="AC25" i="11"/>
  <c r="AC98" i="11"/>
  <c r="AG47" i="11"/>
  <c r="AC20" i="11"/>
  <c r="Y128" i="11"/>
  <c r="AC21" i="11"/>
  <c r="U106" i="11"/>
  <c r="AG128" i="11"/>
  <c r="AC129" i="11"/>
  <c r="AC128" i="11"/>
  <c r="AG129" i="11"/>
  <c r="Y118" i="11"/>
  <c r="U96" i="11"/>
  <c r="AG36" i="11"/>
  <c r="AC108" i="11"/>
  <c r="AG24" i="11"/>
  <c r="AC105" i="11"/>
  <c r="U105" i="11"/>
  <c r="AC117" i="11"/>
  <c r="AC116" i="11"/>
  <c r="AG105" i="11"/>
  <c r="Y48" i="11"/>
  <c r="AC46" i="11"/>
  <c r="AG45" i="11"/>
  <c r="U81" i="11"/>
  <c r="AC69" i="11"/>
  <c r="AG48" i="11"/>
  <c r="U45" i="11"/>
  <c r="AC106" i="11"/>
  <c r="AC24" i="11"/>
  <c r="Y46" i="11"/>
  <c r="Y22" i="11"/>
  <c r="AG21" i="11"/>
  <c r="Y33" i="11"/>
  <c r="Y92" i="11"/>
  <c r="AC94" i="11"/>
  <c r="Y96" i="11"/>
  <c r="U60" i="11"/>
  <c r="U74" i="11"/>
  <c r="AC49" i="11"/>
  <c r="Y50" i="11"/>
  <c r="U98" i="11"/>
  <c r="AG110" i="11"/>
  <c r="Y134" i="11"/>
  <c r="AC61" i="11"/>
  <c r="AG74" i="11"/>
  <c r="AG98" i="11"/>
  <c r="AC134" i="11"/>
  <c r="U36" i="11"/>
  <c r="U50" i="11"/>
  <c r="AG132" i="11"/>
  <c r="Y84" i="11"/>
  <c r="Y105" i="11"/>
  <c r="U69" i="11"/>
  <c r="U34" i="11"/>
  <c r="U20" i="11"/>
  <c r="Y116" i="11"/>
  <c r="Y82" i="11"/>
  <c r="AG72" i="11"/>
  <c r="Y36" i="11"/>
  <c r="AC22" i="11"/>
  <c r="U94" i="11"/>
  <c r="U92" i="11"/>
  <c r="AC92" i="11"/>
  <c r="U57" i="11"/>
  <c r="AG81" i="11"/>
  <c r="Y47" i="11"/>
  <c r="AC34" i="11"/>
  <c r="AG118" i="11"/>
  <c r="U46" i="11"/>
  <c r="U35" i="11"/>
  <c r="U108" i="11"/>
  <c r="AC81" i="11"/>
  <c r="Y72" i="11"/>
  <c r="Y93" i="11"/>
  <c r="U118" i="11"/>
  <c r="AC35" i="11"/>
  <c r="U97" i="11"/>
  <c r="AG50" i="11"/>
  <c r="Y110" i="11"/>
  <c r="AG97" i="11"/>
  <c r="Y58" i="11"/>
  <c r="Y68" i="11"/>
  <c r="AC74" i="11"/>
  <c r="U110" i="11"/>
  <c r="AC26" i="11"/>
  <c r="U24" i="11"/>
  <c r="AG68" i="11"/>
  <c r="Y57" i="11"/>
  <c r="U22" i="11"/>
  <c r="U116" i="11"/>
  <c r="AG93" i="11"/>
  <c r="U117" i="11"/>
  <c r="U48" i="11"/>
  <c r="AC96" i="11"/>
  <c r="AC36" i="11"/>
  <c r="AG117" i="11"/>
  <c r="AC45" i="11"/>
  <c r="U128" i="11"/>
  <c r="AC118" i="11"/>
  <c r="U82" i="11"/>
  <c r="U47" i="11"/>
  <c r="AC48" i="11"/>
  <c r="AG80" i="11"/>
  <c r="Y81" i="11"/>
  <c r="AG106" i="11"/>
  <c r="Y104" i="11"/>
  <c r="Y117" i="11"/>
  <c r="AG96" i="11"/>
  <c r="Y35" i="11"/>
  <c r="AG108" i="11"/>
  <c r="U104" i="11"/>
  <c r="U68" i="11"/>
  <c r="Y106" i="11"/>
  <c r="U58" i="11"/>
  <c r="AG46" i="11"/>
  <c r="U49" i="11"/>
  <c r="Y74" i="11"/>
  <c r="AC50" i="11"/>
  <c r="U61" i="11"/>
  <c r="Y98" i="11"/>
  <c r="AC110" i="11"/>
  <c r="U134" i="11"/>
  <c r="Y120" i="11"/>
  <c r="Y34" i="11"/>
  <c r="AC104" i="11"/>
  <c r="AG20" i="11"/>
  <c r="AG61" i="11"/>
  <c r="Y97" i="11"/>
  <c r="AG134" i="11"/>
  <c r="AC27" i="11"/>
  <c r="AC39" i="11"/>
  <c r="U63" i="11"/>
  <c r="AC122" i="11"/>
  <c r="U99" i="11"/>
  <c r="AC38" i="11"/>
  <c r="AG123" i="11"/>
  <c r="U122" i="11"/>
  <c r="Y51" i="11"/>
  <c r="AG111" i="11"/>
  <c r="AC112" i="11"/>
  <c r="U112" i="11"/>
  <c r="AG112" i="11"/>
  <c r="Y112" i="11"/>
  <c r="AG122" i="11"/>
  <c r="AC87" i="11"/>
  <c r="AC75" i="11"/>
  <c r="U135" i="11"/>
  <c r="AG136" i="11"/>
  <c r="Y136" i="11"/>
  <c r="AC136" i="11"/>
  <c r="U136" i="11"/>
  <c r="Y115" i="11"/>
  <c r="U31" i="11"/>
  <c r="AC77" i="11"/>
  <c r="AG15" i="11"/>
  <c r="AG125" i="11"/>
  <c r="U101" i="11"/>
  <c r="Y101" i="11"/>
  <c r="U9" i="11"/>
  <c r="Y13" i="11"/>
  <c r="AG91" i="11"/>
  <c r="Y89" i="11"/>
  <c r="AC13" i="11"/>
  <c r="AG41" i="11"/>
  <c r="AC16" i="11"/>
  <c r="AG113" i="11"/>
  <c r="Y41" i="11"/>
  <c r="AG9" i="11"/>
  <c r="AG8" i="11"/>
  <c r="U65" i="11"/>
  <c r="AC53" i="11"/>
  <c r="AC9" i="11"/>
  <c r="Y103" i="11"/>
  <c r="AC65" i="11"/>
  <c r="U13" i="11"/>
  <c r="U7" i="11"/>
  <c r="AC101" i="11"/>
  <c r="Y9" i="11"/>
  <c r="AG12" i="11"/>
  <c r="U10" i="11"/>
  <c r="AG65" i="11"/>
  <c r="Y55" i="11"/>
  <c r="AC12" i="11"/>
  <c r="AG6" i="11"/>
  <c r="AC67" i="11"/>
  <c r="Y17" i="11"/>
  <c r="U53" i="11"/>
  <c r="AG10" i="11"/>
  <c r="U125" i="11"/>
  <c r="U79" i="11"/>
  <c r="AC11" i="11"/>
  <c r="Y15" i="11"/>
  <c r="AG77" i="11"/>
  <c r="Y12" i="11"/>
  <c r="Y16" i="11"/>
  <c r="Y113" i="11"/>
  <c r="U15" i="11"/>
  <c r="AG53" i="11"/>
  <c r="U77" i="11"/>
  <c r="U8" i="11"/>
  <c r="Y125" i="11"/>
  <c r="U17" i="11"/>
  <c r="U29" i="11"/>
  <c r="Y11" i="11"/>
  <c r="AG14" i="11"/>
  <c r="Y77" i="11"/>
  <c r="Y8" i="11"/>
  <c r="U5" i="11"/>
  <c r="U6" i="11"/>
  <c r="AG103" i="11"/>
  <c r="Y53" i="11"/>
  <c r="U55" i="11"/>
  <c r="U67" i="11"/>
  <c r="AG7" i="11"/>
  <c r="AC89" i="11"/>
  <c r="U16" i="11"/>
  <c r="AG17" i="11"/>
  <c r="AC17" i="11"/>
  <c r="Y65" i="11"/>
  <c r="AG5" i="11"/>
  <c r="U11" i="11"/>
  <c r="Y6" i="11"/>
  <c r="U89" i="11"/>
  <c r="AG13" i="11"/>
  <c r="AC8" i="11"/>
  <c r="AC5" i="11"/>
  <c r="U41" i="11"/>
  <c r="Y5" i="11"/>
  <c r="AG16" i="11"/>
  <c r="AG89" i="11"/>
  <c r="AC113" i="11"/>
  <c r="AC43" i="11"/>
  <c r="AC15" i="11"/>
  <c r="AG101" i="11"/>
  <c r="AC41" i="11"/>
  <c r="AC10" i="11"/>
  <c r="Y29" i="11"/>
  <c r="AC7" i="11"/>
  <c r="AC14" i="11"/>
  <c r="Y14" i="11"/>
  <c r="U14" i="11"/>
  <c r="Y56" i="11"/>
  <c r="Y10" i="11"/>
  <c r="AG29" i="11"/>
  <c r="AG11" i="11"/>
  <c r="AC32" i="11"/>
  <c r="AC29" i="11"/>
  <c r="Y44" i="11"/>
  <c r="U113" i="11"/>
  <c r="U12" i="11"/>
  <c r="Y7" i="11"/>
  <c r="AC125" i="11"/>
  <c r="AC6" i="11"/>
  <c r="AC56" i="11"/>
  <c r="AG30" i="11"/>
  <c r="AG115" i="11"/>
  <c r="AG56" i="11"/>
  <c r="AG126" i="11"/>
  <c r="AG127" i="11"/>
  <c r="U19" i="11"/>
  <c r="AC102" i="11"/>
  <c r="AC55" i="11"/>
  <c r="Y79" i="11"/>
  <c r="Y90" i="11"/>
  <c r="AC79" i="11"/>
  <c r="U32" i="11"/>
  <c r="AG42" i="11"/>
  <c r="AG66" i="11"/>
  <c r="U115" i="11"/>
  <c r="Y114" i="11"/>
  <c r="U114" i="11"/>
  <c r="U91" i="11"/>
  <c r="AC54" i="11"/>
  <c r="AC66" i="11"/>
  <c r="AG54" i="11"/>
  <c r="Y102" i="11"/>
  <c r="U103" i="11"/>
  <c r="AC42" i="11"/>
  <c r="Y78" i="11"/>
  <c r="AC103" i="11"/>
  <c r="AG102" i="11"/>
  <c r="U78" i="11"/>
  <c r="Y18" i="11"/>
  <c r="AG32" i="11"/>
  <c r="AG78" i="11"/>
  <c r="Y54" i="11"/>
  <c r="AG55" i="11"/>
  <c r="U18" i="11"/>
  <c r="AC78" i="11"/>
  <c r="Y127" i="11"/>
  <c r="AC31" i="11"/>
  <c r="AG18" i="11"/>
  <c r="AG79" i="11"/>
  <c r="AC18" i="11"/>
  <c r="U90" i="11"/>
  <c r="AC91" i="11"/>
  <c r="AC30" i="11"/>
  <c r="U66" i="11"/>
  <c r="Y19" i="11"/>
  <c r="Y66" i="11"/>
  <c r="AG67" i="11"/>
  <c r="AC114" i="11"/>
  <c r="U44" i="11"/>
  <c r="Y42" i="11"/>
  <c r="AG31" i="11"/>
  <c r="AC90" i="11"/>
  <c r="U102" i="11"/>
  <c r="AG19" i="11"/>
  <c r="U43" i="11"/>
  <c r="AC127" i="11"/>
  <c r="U30" i="11"/>
  <c r="AG44" i="11"/>
  <c r="AG43" i="11"/>
  <c r="Y126" i="11"/>
  <c r="U54" i="11"/>
  <c r="AG90" i="11"/>
  <c r="Y31" i="11"/>
  <c r="Y43" i="11"/>
  <c r="Y80" i="11"/>
  <c r="U127" i="11"/>
  <c r="AC19" i="11"/>
  <c r="AC115" i="11"/>
  <c r="U126" i="11"/>
  <c r="AC126" i="11"/>
  <c r="Y91" i="11"/>
  <c r="Y67" i="11"/>
  <c r="U42" i="11"/>
  <c r="AG114" i="11"/>
  <c r="AC80" i="11"/>
  <c r="Y30" i="11"/>
  <c r="Y39" i="11"/>
  <c r="AG40" i="11"/>
  <c r="Y40" i="11"/>
  <c r="AC40" i="11"/>
  <c r="U40" i="11"/>
  <c r="AC63" i="11"/>
  <c r="U86" i="11"/>
  <c r="AC99" i="11"/>
  <c r="AG25" i="11"/>
  <c r="U123" i="11"/>
  <c r="Y86" i="11"/>
  <c r="AG51" i="11"/>
  <c r="U111" i="11"/>
  <c r="U38" i="11"/>
  <c r="Y87" i="11"/>
  <c r="AG88" i="11"/>
  <c r="U88" i="11"/>
  <c r="Y88" i="11"/>
  <c r="AC88" i="11"/>
  <c r="Y75" i="11"/>
  <c r="AC135" i="11"/>
  <c r="AG38" i="11"/>
  <c r="C29" i="10"/>
  <c r="C36" i="10"/>
  <c r="C30" i="10"/>
  <c r="C20" i="10"/>
  <c r="C25" i="10"/>
  <c r="C19" i="10"/>
  <c r="C39" i="10"/>
  <c r="C26" i="10"/>
  <c r="C23" i="10"/>
  <c r="AD145" i="11" l="1"/>
  <c r="AD141" i="11"/>
  <c r="AD146" i="11"/>
  <c r="AD139" i="11"/>
  <c r="AE141" i="11"/>
  <c r="AE137" i="11"/>
  <c r="AE145" i="11"/>
  <c r="AE140" i="11"/>
  <c r="AE142" i="11"/>
  <c r="AD147" i="11"/>
  <c r="AE144" i="11"/>
  <c r="AE139" i="11"/>
  <c r="AD137" i="11"/>
  <c r="AE146" i="11"/>
  <c r="AD138" i="11"/>
  <c r="AE143" i="11"/>
  <c r="A127" i="10"/>
  <c r="A67" i="10"/>
  <c r="A91" i="10"/>
  <c r="A79" i="10"/>
  <c r="A115" i="10"/>
  <c r="A43" i="10"/>
  <c r="A19" i="10"/>
  <c r="A31" i="10"/>
  <c r="A103" i="10"/>
  <c r="A55" i="10"/>
  <c r="C52" i="10"/>
  <c r="C37" i="10"/>
  <c r="C46" i="10"/>
  <c r="C51" i="10"/>
  <c r="C32" i="10"/>
  <c r="C48" i="10"/>
  <c r="C45" i="10"/>
  <c r="C41" i="10"/>
  <c r="C35" i="10"/>
  <c r="C38" i="10"/>
  <c r="C31" i="10"/>
  <c r="C42" i="10"/>
  <c r="A80" i="10" l="1"/>
  <c r="A92" i="10"/>
  <c r="A68" i="10"/>
  <c r="A44" i="10"/>
  <c r="A104" i="10"/>
  <c r="A32" i="10"/>
  <c r="A20" i="10"/>
  <c r="A116" i="10"/>
  <c r="A56" i="10"/>
  <c r="A128" i="10"/>
  <c r="C47" i="10"/>
  <c r="C50" i="10"/>
  <c r="C60" i="10"/>
  <c r="C44" i="10"/>
  <c r="C53" i="10"/>
  <c r="C63" i="10"/>
  <c r="C54" i="10"/>
  <c r="C43" i="10"/>
  <c r="C57" i="10"/>
  <c r="C58" i="10"/>
  <c r="C49" i="10"/>
  <c r="C64" i="10"/>
  <c r="A21" i="10" l="1"/>
  <c r="A81" i="10"/>
  <c r="A33" i="10"/>
  <c r="A45" i="10"/>
  <c r="A69" i="10"/>
  <c r="A129" i="10"/>
  <c r="A57" i="10"/>
  <c r="A117" i="10"/>
  <c r="A105" i="10"/>
  <c r="A93" i="10"/>
  <c r="C55" i="10"/>
  <c r="C66" i="10"/>
  <c r="C65" i="10"/>
  <c r="C56" i="10"/>
  <c r="C72" i="10"/>
  <c r="C70" i="10"/>
  <c r="C76" i="10"/>
  <c r="C62" i="10"/>
  <c r="C61" i="10"/>
  <c r="C69" i="10"/>
  <c r="C75" i="10"/>
  <c r="C59" i="10"/>
  <c r="B125" i="9"/>
  <c r="A125" i="9" s="1"/>
  <c r="B113" i="9"/>
  <c r="A113" i="9" s="1"/>
  <c r="B101" i="9"/>
  <c r="A101" i="9" s="1"/>
  <c r="B89" i="9"/>
  <c r="A89" i="9" s="1"/>
  <c r="B77" i="9"/>
  <c r="A77" i="9" s="1"/>
  <c r="B65" i="9"/>
  <c r="A65" i="9" s="1"/>
  <c r="B53" i="9"/>
  <c r="A53" i="9" s="1"/>
  <c r="B41" i="9"/>
  <c r="A41" i="9" s="1"/>
  <c r="B29" i="9"/>
  <c r="A29" i="9" s="1"/>
  <c r="B17" i="9"/>
  <c r="A17" i="9" s="1"/>
  <c r="C16" i="9"/>
  <c r="C15" i="9"/>
  <c r="C14" i="9"/>
  <c r="C13" i="9"/>
  <c r="C12" i="9"/>
  <c r="C11" i="9"/>
  <c r="C10" i="9"/>
  <c r="C9" i="9"/>
  <c r="C8" i="9"/>
  <c r="C7" i="9"/>
  <c r="C6" i="9"/>
  <c r="C5" i="9"/>
  <c r="D96" i="5"/>
  <c r="G96" i="5"/>
  <c r="I96" i="5"/>
  <c r="J96" i="5" s="1"/>
  <c r="F96" i="5"/>
  <c r="E96" i="5"/>
  <c r="C96" i="5"/>
  <c r="S80" i="5"/>
  <c r="T80" i="5" s="1"/>
  <c r="Q80" i="5"/>
  <c r="P80" i="5"/>
  <c r="O80" i="5"/>
  <c r="N80" i="5"/>
  <c r="M80" i="5"/>
  <c r="I80" i="5"/>
  <c r="J80" i="5" s="1"/>
  <c r="G80" i="5"/>
  <c r="F80" i="5"/>
  <c r="E80" i="5"/>
  <c r="D80" i="5"/>
  <c r="C80" i="5"/>
  <c r="I64" i="5"/>
  <c r="J64" i="5" s="1"/>
  <c r="G64" i="5"/>
  <c r="F64" i="5"/>
  <c r="E64" i="5"/>
  <c r="D64" i="5"/>
  <c r="C64" i="5"/>
  <c r="S64" i="5"/>
  <c r="T64" i="5" s="1"/>
  <c r="Q64" i="5"/>
  <c r="P64" i="5"/>
  <c r="O64" i="5"/>
  <c r="N64" i="5"/>
  <c r="M64" i="5"/>
  <c r="S48" i="5"/>
  <c r="T48" i="5" s="1"/>
  <c r="Q48" i="5"/>
  <c r="P48" i="5"/>
  <c r="O48" i="5"/>
  <c r="N48" i="5"/>
  <c r="M48" i="5"/>
  <c r="I48" i="5"/>
  <c r="J48" i="5" s="1"/>
  <c r="G48" i="5"/>
  <c r="F48" i="5"/>
  <c r="E48" i="5"/>
  <c r="D48" i="5"/>
  <c r="C48" i="5"/>
  <c r="I32" i="5"/>
  <c r="J32" i="5" s="1"/>
  <c r="G32" i="5"/>
  <c r="F32" i="5"/>
  <c r="E32" i="5"/>
  <c r="D32" i="5"/>
  <c r="C32" i="5"/>
  <c r="S32" i="5"/>
  <c r="T32" i="5" s="1"/>
  <c r="Q32" i="5"/>
  <c r="P32" i="5"/>
  <c r="O32" i="5"/>
  <c r="N32" i="5"/>
  <c r="M32" i="5"/>
  <c r="S16" i="5"/>
  <c r="T16" i="5" s="1"/>
  <c r="Q16" i="5"/>
  <c r="P16" i="5"/>
  <c r="O16" i="5"/>
  <c r="N16" i="5"/>
  <c r="M16" i="5"/>
  <c r="H95" i="5"/>
  <c r="H94" i="5"/>
  <c r="H93" i="5"/>
  <c r="H92" i="5"/>
  <c r="H91" i="5"/>
  <c r="H90" i="5"/>
  <c r="H89" i="5"/>
  <c r="H88" i="5"/>
  <c r="H87" i="5"/>
  <c r="H86" i="5"/>
  <c r="H85" i="5"/>
  <c r="H84" i="5"/>
  <c r="R79" i="5"/>
  <c r="R78" i="5"/>
  <c r="R77" i="5"/>
  <c r="R76" i="5"/>
  <c r="R75" i="5"/>
  <c r="R74" i="5"/>
  <c r="R73" i="5"/>
  <c r="R72" i="5"/>
  <c r="R71" i="5"/>
  <c r="R70" i="5"/>
  <c r="R69" i="5"/>
  <c r="R68" i="5"/>
  <c r="I96" i="6"/>
  <c r="J96" i="6" s="1"/>
  <c r="G96" i="6"/>
  <c r="F96" i="6"/>
  <c r="E96" i="6"/>
  <c r="D96" i="6"/>
  <c r="C96" i="6"/>
  <c r="I80" i="6"/>
  <c r="J80" i="6" s="1"/>
  <c r="G80" i="6"/>
  <c r="F80" i="6"/>
  <c r="E80" i="6"/>
  <c r="D80" i="6"/>
  <c r="C80" i="6"/>
  <c r="S80" i="6"/>
  <c r="T80" i="6" s="1"/>
  <c r="Q80" i="6"/>
  <c r="P80" i="6"/>
  <c r="O80" i="6"/>
  <c r="N80" i="6"/>
  <c r="M80" i="6"/>
  <c r="S64" i="6"/>
  <c r="T64" i="6" s="1"/>
  <c r="Q64" i="6"/>
  <c r="P64" i="6"/>
  <c r="O64" i="6"/>
  <c r="N64" i="6"/>
  <c r="I64" i="6"/>
  <c r="J64" i="6" s="1"/>
  <c r="G64" i="6"/>
  <c r="F64" i="6"/>
  <c r="E64" i="6"/>
  <c r="D64" i="6"/>
  <c r="C64" i="6"/>
  <c r="S48" i="6"/>
  <c r="T48" i="6" s="1"/>
  <c r="Q48" i="6"/>
  <c r="P48" i="6"/>
  <c r="O48" i="6"/>
  <c r="N48" i="6"/>
  <c r="M48" i="6"/>
  <c r="I48" i="6"/>
  <c r="J48" i="6" s="1"/>
  <c r="G48" i="6"/>
  <c r="F48" i="6"/>
  <c r="E48" i="6"/>
  <c r="D48" i="6"/>
  <c r="C48" i="6"/>
  <c r="S32" i="6"/>
  <c r="T32" i="6" s="1"/>
  <c r="Q32" i="6"/>
  <c r="P32" i="6"/>
  <c r="O32" i="6"/>
  <c r="N32" i="6"/>
  <c r="M32" i="6"/>
  <c r="I32" i="6"/>
  <c r="J32" i="6" s="1"/>
  <c r="G32" i="6"/>
  <c r="F32" i="6"/>
  <c r="E32" i="6"/>
  <c r="D32" i="6"/>
  <c r="C32" i="6"/>
  <c r="S16" i="6"/>
  <c r="T16" i="6" s="1"/>
  <c r="Q16" i="6"/>
  <c r="P16" i="6"/>
  <c r="O16" i="6"/>
  <c r="N16" i="6"/>
  <c r="M16" i="6"/>
  <c r="H95" i="6"/>
  <c r="H94" i="6"/>
  <c r="H93" i="6"/>
  <c r="H92" i="6"/>
  <c r="H91" i="6"/>
  <c r="H90" i="6"/>
  <c r="H89" i="6"/>
  <c r="H88" i="6"/>
  <c r="H87" i="6"/>
  <c r="H86" i="6"/>
  <c r="H85" i="6"/>
  <c r="H84" i="6"/>
  <c r="R79" i="6"/>
  <c r="R78" i="6"/>
  <c r="R77" i="6"/>
  <c r="R76" i="6"/>
  <c r="R75" i="6"/>
  <c r="R74" i="6"/>
  <c r="R73" i="6"/>
  <c r="R72" i="6"/>
  <c r="R71" i="6"/>
  <c r="R70" i="6"/>
  <c r="R69" i="6"/>
  <c r="R68" i="6"/>
  <c r="S80" i="7"/>
  <c r="T80" i="7" s="1"/>
  <c r="Q80" i="7"/>
  <c r="N80" i="8" s="1"/>
  <c r="I96" i="7"/>
  <c r="J96" i="7" s="1"/>
  <c r="G96" i="7"/>
  <c r="F96" i="7"/>
  <c r="E96" i="7"/>
  <c r="D96" i="7"/>
  <c r="C96" i="7"/>
  <c r="P80" i="7"/>
  <c r="O80" i="7"/>
  <c r="N80" i="7"/>
  <c r="M80" i="7"/>
  <c r="I80" i="7"/>
  <c r="J80" i="7" s="1"/>
  <c r="G80" i="7"/>
  <c r="F80" i="7"/>
  <c r="E80" i="7"/>
  <c r="D80" i="7"/>
  <c r="C80" i="7"/>
  <c r="I64" i="7"/>
  <c r="J64" i="7" s="1"/>
  <c r="G64" i="7"/>
  <c r="F64" i="7"/>
  <c r="E64" i="7"/>
  <c r="D64" i="7"/>
  <c r="C64" i="7"/>
  <c r="S64" i="7"/>
  <c r="T64" i="7" s="1"/>
  <c r="Q64" i="7"/>
  <c r="P64" i="7"/>
  <c r="O64" i="7"/>
  <c r="N64" i="7"/>
  <c r="M64" i="7"/>
  <c r="S48" i="7"/>
  <c r="T48" i="7" s="1"/>
  <c r="Q48" i="7"/>
  <c r="P48" i="7"/>
  <c r="O48" i="7"/>
  <c r="N48" i="7"/>
  <c r="M48" i="7"/>
  <c r="I48" i="7"/>
  <c r="J48" i="7" s="1"/>
  <c r="G48" i="7"/>
  <c r="F48" i="7"/>
  <c r="E48" i="7"/>
  <c r="D48" i="7"/>
  <c r="C48" i="7"/>
  <c r="S32" i="7"/>
  <c r="T32" i="7" s="1"/>
  <c r="Q32" i="7"/>
  <c r="P32" i="7"/>
  <c r="O32" i="7"/>
  <c r="N32" i="7"/>
  <c r="M32" i="7"/>
  <c r="I32" i="7"/>
  <c r="J32" i="7" s="1"/>
  <c r="G32" i="7"/>
  <c r="F32" i="7"/>
  <c r="E32" i="7"/>
  <c r="D32" i="7"/>
  <c r="C32" i="7"/>
  <c r="S16" i="7"/>
  <c r="T16" i="7" s="1"/>
  <c r="Q16" i="7"/>
  <c r="P16" i="7"/>
  <c r="O16" i="7"/>
  <c r="N16" i="7"/>
  <c r="M16" i="7"/>
  <c r="H95" i="7"/>
  <c r="H94" i="7"/>
  <c r="H93" i="7"/>
  <c r="H92" i="7"/>
  <c r="H91" i="7"/>
  <c r="H90" i="7"/>
  <c r="H89" i="7"/>
  <c r="H88" i="7"/>
  <c r="H87" i="7"/>
  <c r="H86" i="7"/>
  <c r="H85" i="7"/>
  <c r="H84" i="7"/>
  <c r="R79" i="7"/>
  <c r="R78" i="7"/>
  <c r="R77" i="7"/>
  <c r="R76" i="7"/>
  <c r="R75" i="7"/>
  <c r="R74" i="7"/>
  <c r="R73" i="7"/>
  <c r="R72" i="7"/>
  <c r="R71" i="7"/>
  <c r="R70" i="7"/>
  <c r="R69" i="7"/>
  <c r="R68" i="7"/>
  <c r="G96" i="4"/>
  <c r="F96" i="4"/>
  <c r="E96" i="4"/>
  <c r="D96" i="4"/>
  <c r="C96" i="4"/>
  <c r="H95" i="4"/>
  <c r="H94" i="4"/>
  <c r="H93" i="4"/>
  <c r="H92" i="4"/>
  <c r="H89" i="4"/>
  <c r="O80" i="4"/>
  <c r="N80" i="4"/>
  <c r="M80" i="4"/>
  <c r="L80" i="4"/>
  <c r="K80" i="4"/>
  <c r="P79" i="4"/>
  <c r="P78" i="4"/>
  <c r="P77" i="4"/>
  <c r="P76" i="4"/>
  <c r="P75" i="4"/>
  <c r="P73" i="4"/>
  <c r="P72" i="4"/>
  <c r="P71" i="4"/>
  <c r="P70" i="4"/>
  <c r="P68" i="4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M9" i="1"/>
  <c r="L9" i="1"/>
  <c r="K9" i="1"/>
  <c r="O8" i="1"/>
  <c r="N8" i="1"/>
  <c r="M8" i="1"/>
  <c r="L8" i="1"/>
  <c r="K8" i="1"/>
  <c r="O7" i="1"/>
  <c r="N7" i="1"/>
  <c r="M7" i="1"/>
  <c r="L7" i="1"/>
  <c r="K7" i="1"/>
  <c r="O6" i="1"/>
  <c r="N6" i="1"/>
  <c r="M6" i="1"/>
  <c r="L6" i="1"/>
  <c r="K6" i="1"/>
  <c r="O5" i="1"/>
  <c r="N5" i="1"/>
  <c r="M5" i="1"/>
  <c r="L5" i="1"/>
  <c r="K5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K39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G47" i="1"/>
  <c r="G15" i="1" s="1"/>
  <c r="F47" i="1"/>
  <c r="F15" i="1" s="1"/>
  <c r="E47" i="1"/>
  <c r="D47" i="1"/>
  <c r="D15" i="1" s="1"/>
  <c r="C47" i="1"/>
  <c r="C15" i="1" s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K61" i="1"/>
  <c r="O60" i="1"/>
  <c r="N60" i="1"/>
  <c r="M60" i="1"/>
  <c r="L60" i="1"/>
  <c r="K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95" i="1"/>
  <c r="G95" i="8" s="1"/>
  <c r="F95" i="1"/>
  <c r="F95" i="8" s="1"/>
  <c r="E95" i="1"/>
  <c r="E95" i="8" s="1"/>
  <c r="D95" i="1"/>
  <c r="D95" i="8" s="1"/>
  <c r="C95" i="1"/>
  <c r="C95" i="8" s="1"/>
  <c r="G94" i="1"/>
  <c r="G94" i="8" s="1"/>
  <c r="F94" i="1"/>
  <c r="F94" i="8" s="1"/>
  <c r="E94" i="1"/>
  <c r="E94" i="8" s="1"/>
  <c r="D94" i="1"/>
  <c r="D94" i="8" s="1"/>
  <c r="C94" i="1"/>
  <c r="C94" i="8" s="1"/>
  <c r="G93" i="1"/>
  <c r="G93" i="8" s="1"/>
  <c r="F93" i="1"/>
  <c r="F93" i="8" s="1"/>
  <c r="E93" i="1"/>
  <c r="E93" i="8" s="1"/>
  <c r="D93" i="1"/>
  <c r="D93" i="8" s="1"/>
  <c r="C93" i="1"/>
  <c r="C93" i="8" s="1"/>
  <c r="G92" i="1"/>
  <c r="F92" i="1"/>
  <c r="F92" i="8" s="1"/>
  <c r="E92" i="1"/>
  <c r="E92" i="8" s="1"/>
  <c r="D92" i="1"/>
  <c r="D92" i="8" s="1"/>
  <c r="C92" i="1"/>
  <c r="C92" i="8" s="1"/>
  <c r="G91" i="1"/>
  <c r="G91" i="8" s="1"/>
  <c r="F91" i="1"/>
  <c r="F91" i="8" s="1"/>
  <c r="E91" i="1"/>
  <c r="E91" i="8" s="1"/>
  <c r="D91" i="1"/>
  <c r="C91" i="1"/>
  <c r="C91" i="8" s="1"/>
  <c r="G90" i="1"/>
  <c r="G90" i="8" s="1"/>
  <c r="F90" i="1"/>
  <c r="F90" i="8" s="1"/>
  <c r="E90" i="1"/>
  <c r="E90" i="8" s="1"/>
  <c r="D90" i="1"/>
  <c r="D90" i="8" s="1"/>
  <c r="C90" i="1"/>
  <c r="C90" i="8" s="1"/>
  <c r="G89" i="1"/>
  <c r="G89" i="8" s="1"/>
  <c r="F89" i="1"/>
  <c r="F89" i="8" s="1"/>
  <c r="E89" i="1"/>
  <c r="E89" i="8" s="1"/>
  <c r="D89" i="1"/>
  <c r="D89" i="8" s="1"/>
  <c r="C89" i="1"/>
  <c r="C89" i="8" s="1"/>
  <c r="G88" i="1"/>
  <c r="G88" i="8" s="1"/>
  <c r="F88" i="1"/>
  <c r="F88" i="8" s="1"/>
  <c r="E88" i="1"/>
  <c r="E88" i="8" s="1"/>
  <c r="D88" i="1"/>
  <c r="D88" i="8" s="1"/>
  <c r="C88" i="1"/>
  <c r="C88" i="8" s="1"/>
  <c r="G87" i="1"/>
  <c r="G87" i="8" s="1"/>
  <c r="F87" i="1"/>
  <c r="F87" i="8" s="1"/>
  <c r="E87" i="1"/>
  <c r="E87" i="8" s="1"/>
  <c r="D87" i="1"/>
  <c r="D87" i="8" s="1"/>
  <c r="C87" i="1"/>
  <c r="C87" i="8" s="1"/>
  <c r="G86" i="1"/>
  <c r="G86" i="8" s="1"/>
  <c r="F86" i="1"/>
  <c r="F86" i="8" s="1"/>
  <c r="E86" i="1"/>
  <c r="E86" i="8" s="1"/>
  <c r="D86" i="1"/>
  <c r="D86" i="8" s="1"/>
  <c r="C86" i="1"/>
  <c r="C86" i="8" s="1"/>
  <c r="G85" i="1"/>
  <c r="G85" i="8" s="1"/>
  <c r="F85" i="1"/>
  <c r="F85" i="8" s="1"/>
  <c r="E85" i="1"/>
  <c r="E85" i="8" s="1"/>
  <c r="D85" i="1"/>
  <c r="D85" i="8" s="1"/>
  <c r="C85" i="1"/>
  <c r="C85" i="8" s="1"/>
  <c r="G84" i="1"/>
  <c r="G84" i="8" s="1"/>
  <c r="F84" i="1"/>
  <c r="F84" i="8" s="1"/>
  <c r="E84" i="1"/>
  <c r="D84" i="1"/>
  <c r="D84" i="8" s="1"/>
  <c r="C84" i="1"/>
  <c r="C84" i="8" s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O79" i="1"/>
  <c r="N79" i="8" s="1"/>
  <c r="N79" i="1"/>
  <c r="M79" i="8" s="1"/>
  <c r="M79" i="1"/>
  <c r="L79" i="8" s="1"/>
  <c r="L79" i="1"/>
  <c r="K79" i="8" s="1"/>
  <c r="K79" i="1"/>
  <c r="J79" i="8" s="1"/>
  <c r="O78" i="1"/>
  <c r="N78" i="1"/>
  <c r="M78" i="8" s="1"/>
  <c r="M78" i="1"/>
  <c r="L78" i="8" s="1"/>
  <c r="L78" i="1"/>
  <c r="K78" i="8" s="1"/>
  <c r="K78" i="1"/>
  <c r="O77" i="1"/>
  <c r="N77" i="8" s="1"/>
  <c r="N77" i="1"/>
  <c r="M77" i="8" s="1"/>
  <c r="M77" i="1"/>
  <c r="L77" i="8" s="1"/>
  <c r="L77" i="1"/>
  <c r="K77" i="8" s="1"/>
  <c r="K77" i="1"/>
  <c r="J77" i="8" s="1"/>
  <c r="O76" i="1"/>
  <c r="N76" i="8" s="1"/>
  <c r="N76" i="1"/>
  <c r="M76" i="8" s="1"/>
  <c r="M76" i="1"/>
  <c r="L76" i="1"/>
  <c r="K76" i="8" s="1"/>
  <c r="K76" i="1"/>
  <c r="J76" i="8" s="1"/>
  <c r="O75" i="1"/>
  <c r="N75" i="8" s="1"/>
  <c r="N75" i="1"/>
  <c r="M75" i="8" s="1"/>
  <c r="M75" i="1"/>
  <c r="L75" i="8" s="1"/>
  <c r="L75" i="1"/>
  <c r="K75" i="8" s="1"/>
  <c r="K75" i="1"/>
  <c r="J75" i="8" s="1"/>
  <c r="O74" i="1"/>
  <c r="N74" i="8" s="1"/>
  <c r="N74" i="1"/>
  <c r="M74" i="8" s="1"/>
  <c r="M74" i="1"/>
  <c r="L74" i="8" s="1"/>
  <c r="L74" i="1"/>
  <c r="K74" i="8" s="1"/>
  <c r="K74" i="1"/>
  <c r="O73" i="1"/>
  <c r="N73" i="8" s="1"/>
  <c r="N73" i="1"/>
  <c r="M73" i="8" s="1"/>
  <c r="M73" i="1"/>
  <c r="L73" i="8" s="1"/>
  <c r="L73" i="1"/>
  <c r="K73" i="8" s="1"/>
  <c r="K73" i="1"/>
  <c r="J73" i="8" s="1"/>
  <c r="O72" i="1"/>
  <c r="N72" i="8" s="1"/>
  <c r="N72" i="1"/>
  <c r="M72" i="8" s="1"/>
  <c r="M72" i="1"/>
  <c r="L72" i="1"/>
  <c r="K72" i="8" s="1"/>
  <c r="K72" i="1"/>
  <c r="J72" i="8" s="1"/>
  <c r="O71" i="1"/>
  <c r="N71" i="8" s="1"/>
  <c r="N71" i="1"/>
  <c r="M71" i="8" s="1"/>
  <c r="M71" i="1"/>
  <c r="L71" i="8" s="1"/>
  <c r="L71" i="1"/>
  <c r="K71" i="8" s="1"/>
  <c r="K71" i="1"/>
  <c r="J71" i="8" s="1"/>
  <c r="O70" i="1"/>
  <c r="N70" i="8" s="1"/>
  <c r="N70" i="1"/>
  <c r="M70" i="8" s="1"/>
  <c r="M70" i="1"/>
  <c r="L70" i="8" s="1"/>
  <c r="L70" i="1"/>
  <c r="K70" i="8" s="1"/>
  <c r="K70" i="1"/>
  <c r="O69" i="1"/>
  <c r="N69" i="8" s="1"/>
  <c r="N69" i="1"/>
  <c r="M69" i="8" s="1"/>
  <c r="M69" i="1"/>
  <c r="L69" i="8" s="1"/>
  <c r="L69" i="1"/>
  <c r="K69" i="8" s="1"/>
  <c r="K69" i="1"/>
  <c r="J69" i="8" s="1"/>
  <c r="O68" i="1"/>
  <c r="N68" i="8" s="1"/>
  <c r="N68" i="1"/>
  <c r="M68" i="1"/>
  <c r="L68" i="1"/>
  <c r="K68" i="8" s="1"/>
  <c r="U83" i="1"/>
  <c r="V83" i="1" s="1"/>
  <c r="S83" i="1"/>
  <c r="T83" i="1" s="1"/>
  <c r="K68" i="1"/>
  <c r="J68" i="8" s="1"/>
  <c r="G96" i="3"/>
  <c r="F96" i="3"/>
  <c r="E96" i="3"/>
  <c r="D96" i="3"/>
  <c r="H95" i="3"/>
  <c r="H94" i="3"/>
  <c r="H93" i="3"/>
  <c r="H92" i="3"/>
  <c r="H91" i="3"/>
  <c r="H90" i="3"/>
  <c r="H89" i="3"/>
  <c r="O80" i="3"/>
  <c r="N80" i="3"/>
  <c r="M80" i="3"/>
  <c r="L80" i="3"/>
  <c r="K80" i="3"/>
  <c r="P79" i="3"/>
  <c r="P78" i="3"/>
  <c r="P77" i="3"/>
  <c r="P76" i="3"/>
  <c r="P75" i="3"/>
  <c r="P74" i="3"/>
  <c r="P73" i="3"/>
  <c r="P68" i="3"/>
  <c r="H64" i="5" l="1"/>
  <c r="H32" i="7"/>
  <c r="C24" i="9"/>
  <c r="A58" i="10"/>
  <c r="R80" i="5"/>
  <c r="A18" i="9"/>
  <c r="A19" i="9" s="1"/>
  <c r="A66" i="9"/>
  <c r="A114" i="9"/>
  <c r="A70" i="10"/>
  <c r="A34" i="10"/>
  <c r="A22" i="10"/>
  <c r="A118" i="10"/>
  <c r="R80" i="7"/>
  <c r="G96" i="8"/>
  <c r="A30" i="9"/>
  <c r="A78" i="9"/>
  <c r="A126" i="9"/>
  <c r="A46" i="10"/>
  <c r="A82" i="10"/>
  <c r="C20" i="9"/>
  <c r="C28" i="9"/>
  <c r="C40" i="9" s="1"/>
  <c r="A54" i="9"/>
  <c r="A102" i="9"/>
  <c r="R48" i="7"/>
  <c r="R16" i="6"/>
  <c r="H48" i="5"/>
  <c r="R64" i="5"/>
  <c r="A42" i="9"/>
  <c r="A90" i="9"/>
  <c r="A94" i="10"/>
  <c r="A106" i="10"/>
  <c r="A130" i="10"/>
  <c r="G16" i="7"/>
  <c r="H96" i="6"/>
  <c r="H64" i="6"/>
  <c r="R48" i="6"/>
  <c r="R32" i="7"/>
  <c r="P80" i="3"/>
  <c r="N80" i="1"/>
  <c r="H87" i="1"/>
  <c r="E96" i="1"/>
  <c r="E96" i="8" s="1"/>
  <c r="H64" i="7"/>
  <c r="H32" i="6"/>
  <c r="R32" i="6"/>
  <c r="H48" i="6"/>
  <c r="C32" i="9"/>
  <c r="C36" i="9"/>
  <c r="M80" i="8"/>
  <c r="R16" i="5"/>
  <c r="R48" i="5"/>
  <c r="H80" i="5"/>
  <c r="H96" i="5"/>
  <c r="M68" i="8"/>
  <c r="E84" i="8"/>
  <c r="C21" i="9"/>
  <c r="C25" i="9"/>
  <c r="C17" i="9"/>
  <c r="H96" i="3"/>
  <c r="M80" i="1"/>
  <c r="L80" i="8" s="1"/>
  <c r="P70" i="1"/>
  <c r="P72" i="1"/>
  <c r="P74" i="1"/>
  <c r="P76" i="1"/>
  <c r="P78" i="1"/>
  <c r="O80" i="1"/>
  <c r="I16" i="7"/>
  <c r="J16" i="7" s="1"/>
  <c r="R64" i="7"/>
  <c r="H96" i="7"/>
  <c r="R64" i="6"/>
  <c r="H80" i="6"/>
  <c r="R32" i="5"/>
  <c r="C26" i="9"/>
  <c r="C18" i="9"/>
  <c r="H91" i="1"/>
  <c r="G96" i="1"/>
  <c r="P80" i="4"/>
  <c r="H80" i="7"/>
  <c r="D91" i="8"/>
  <c r="G92" i="8"/>
  <c r="C19" i="9"/>
  <c r="C23" i="9"/>
  <c r="C27" i="9"/>
  <c r="H96" i="4"/>
  <c r="R16" i="7"/>
  <c r="H48" i="7"/>
  <c r="R80" i="6"/>
  <c r="H32" i="5"/>
  <c r="L68" i="8"/>
  <c r="J70" i="8"/>
  <c r="L72" i="8"/>
  <c r="J74" i="8"/>
  <c r="L76" i="8"/>
  <c r="J78" i="8"/>
  <c r="N78" i="8"/>
  <c r="C22" i="9"/>
  <c r="C74" i="10"/>
  <c r="C88" i="10"/>
  <c r="C78" i="10"/>
  <c r="C67" i="10"/>
  <c r="C87" i="10"/>
  <c r="C73" i="10"/>
  <c r="C82" i="10"/>
  <c r="C84" i="10"/>
  <c r="C77" i="10"/>
  <c r="C81" i="10"/>
  <c r="C71" i="10"/>
  <c r="C68" i="10"/>
  <c r="D16" i="5"/>
  <c r="I16" i="5"/>
  <c r="G16" i="5"/>
  <c r="E16" i="5"/>
  <c r="F16" i="5"/>
  <c r="C16" i="5"/>
  <c r="G16" i="6"/>
  <c r="F16" i="6"/>
  <c r="E16" i="6"/>
  <c r="C16" i="6"/>
  <c r="D16" i="6"/>
  <c r="I16" i="6"/>
  <c r="J16" i="6" s="1"/>
  <c r="F96" i="1"/>
  <c r="F96" i="8" s="1"/>
  <c r="H88" i="1"/>
  <c r="H92" i="1"/>
  <c r="H93" i="1"/>
  <c r="H95" i="1"/>
  <c r="D96" i="1"/>
  <c r="D96" i="8" s="1"/>
  <c r="H85" i="1"/>
  <c r="H89" i="1"/>
  <c r="H86" i="1"/>
  <c r="H90" i="1"/>
  <c r="H94" i="1"/>
  <c r="L80" i="1"/>
  <c r="K80" i="8" s="1"/>
  <c r="P69" i="1"/>
  <c r="P71" i="1"/>
  <c r="P73" i="1"/>
  <c r="P75" i="1"/>
  <c r="P77" i="1"/>
  <c r="P79" i="1"/>
  <c r="C96" i="1"/>
  <c r="P68" i="1"/>
  <c r="H84" i="1"/>
  <c r="K80" i="1"/>
  <c r="H46" i="4"/>
  <c r="H29" i="3"/>
  <c r="P28" i="3"/>
  <c r="H76" i="3"/>
  <c r="P60" i="3"/>
  <c r="H44" i="3"/>
  <c r="P44" i="3"/>
  <c r="P27" i="4"/>
  <c r="P27" i="3"/>
  <c r="H75" i="3"/>
  <c r="P59" i="4"/>
  <c r="P59" i="3"/>
  <c r="H43" i="3"/>
  <c r="P43" i="3"/>
  <c r="H42" i="3"/>
  <c r="H26" i="4"/>
  <c r="P58" i="4"/>
  <c r="P58" i="3"/>
  <c r="H74" i="3"/>
  <c r="P42" i="3"/>
  <c r="P41" i="3"/>
  <c r="H25" i="4"/>
  <c r="P25" i="4"/>
  <c r="P25" i="3"/>
  <c r="P57" i="4"/>
  <c r="P57" i="3"/>
  <c r="H73" i="4"/>
  <c r="H73" i="3"/>
  <c r="H41" i="4"/>
  <c r="H41" i="3"/>
  <c r="A59" i="10" l="1"/>
  <c r="A55" i="9"/>
  <c r="A47" i="10"/>
  <c r="A127" i="9"/>
  <c r="A43" i="9"/>
  <c r="A67" i="9"/>
  <c r="A107" i="10"/>
  <c r="A95" i="10"/>
  <c r="A83" i="10"/>
  <c r="A79" i="9"/>
  <c r="A119" i="10"/>
  <c r="A23" i="10"/>
  <c r="A71" i="10"/>
  <c r="A103" i="9"/>
  <c r="A20" i="9"/>
  <c r="A131" i="10"/>
  <c r="A91" i="9"/>
  <c r="A31" i="9"/>
  <c r="A35" i="10"/>
  <c r="A115" i="9"/>
  <c r="P80" i="1"/>
  <c r="H96" i="1"/>
  <c r="C96" i="8"/>
  <c r="J80" i="8"/>
  <c r="C39" i="9"/>
  <c r="H16" i="5"/>
  <c r="C35" i="9"/>
  <c r="C38" i="9"/>
  <c r="C37" i="9"/>
  <c r="C48" i="9"/>
  <c r="C31" i="9"/>
  <c r="C30" i="9"/>
  <c r="C33" i="9"/>
  <c r="C44" i="9"/>
  <c r="C34" i="9"/>
  <c r="C29" i="9"/>
  <c r="C52" i="9"/>
  <c r="C80" i="10"/>
  <c r="C83" i="10"/>
  <c r="C86" i="10"/>
  <c r="C93" i="10"/>
  <c r="C96" i="10"/>
  <c r="C79" i="10"/>
  <c r="C89" i="10"/>
  <c r="C94" i="10"/>
  <c r="C90" i="10"/>
  <c r="C85" i="10"/>
  <c r="C99" i="10"/>
  <c r="C100" i="10"/>
  <c r="J16" i="5"/>
  <c r="H16" i="6"/>
  <c r="P24" i="3"/>
  <c r="P24" i="4"/>
  <c r="P56" i="4"/>
  <c r="P56" i="3"/>
  <c r="H40" i="3"/>
  <c r="P40" i="3"/>
  <c r="H39" i="4"/>
  <c r="H39" i="3"/>
  <c r="A104" i="9" l="1"/>
  <c r="A48" i="10"/>
  <c r="A60" i="10"/>
  <c r="A84" i="10"/>
  <c r="A36" i="10"/>
  <c r="A72" i="10"/>
  <c r="A120" i="10"/>
  <c r="A96" i="10"/>
  <c r="A68" i="9"/>
  <c r="A128" i="9"/>
  <c r="A56" i="9"/>
  <c r="A24" i="10"/>
  <c r="A116" i="9"/>
  <c r="A32" i="9"/>
  <c r="A132" i="10"/>
  <c r="A44" i="9"/>
  <c r="A92" i="9"/>
  <c r="A21" i="9"/>
  <c r="A80" i="9"/>
  <c r="A108" i="10"/>
  <c r="C43" i="9"/>
  <c r="C46" i="9"/>
  <c r="C45" i="9"/>
  <c r="C49" i="9"/>
  <c r="C47" i="9"/>
  <c r="C51" i="9"/>
  <c r="C41" i="9"/>
  <c r="C56" i="9"/>
  <c r="C42" i="9"/>
  <c r="C60" i="9"/>
  <c r="C64" i="9"/>
  <c r="C50" i="9"/>
  <c r="C95" i="10"/>
  <c r="C106" i="10"/>
  <c r="C91" i="10"/>
  <c r="C92" i="10"/>
  <c r="C111" i="10"/>
  <c r="C112" i="10"/>
  <c r="C102" i="10"/>
  <c r="C101" i="10"/>
  <c r="C108" i="10"/>
  <c r="C105" i="10"/>
  <c r="C97" i="10"/>
  <c r="C98" i="10"/>
  <c r="P23" i="4"/>
  <c r="P23" i="3"/>
  <c r="P55" i="4"/>
  <c r="P55" i="3"/>
  <c r="A22" i="9" l="1"/>
  <c r="A117" i="9"/>
  <c r="A25" i="10"/>
  <c r="A57" i="9"/>
  <c r="A129" i="9"/>
  <c r="A69" i="9"/>
  <c r="A121" i="10"/>
  <c r="A61" i="10"/>
  <c r="A105" i="9"/>
  <c r="A93" i="9"/>
  <c r="A81" i="9"/>
  <c r="A109" i="10"/>
  <c r="A45" i="9"/>
  <c r="A133" i="10"/>
  <c r="A33" i="9"/>
  <c r="A97" i="10"/>
  <c r="A73" i="10"/>
  <c r="A37" i="10"/>
  <c r="A85" i="10"/>
  <c r="A49" i="10"/>
  <c r="C68" i="9"/>
  <c r="C53" i="9"/>
  <c r="C57" i="9"/>
  <c r="C62" i="9"/>
  <c r="C76" i="9"/>
  <c r="C59" i="9"/>
  <c r="C58" i="9"/>
  <c r="C54" i="9"/>
  <c r="C63" i="9"/>
  <c r="C55" i="9"/>
  <c r="C72" i="9"/>
  <c r="C61" i="9"/>
  <c r="C109" i="10"/>
  <c r="C118" i="10"/>
  <c r="C113" i="10"/>
  <c r="C107" i="10"/>
  <c r="C120" i="10"/>
  <c r="C114" i="10"/>
  <c r="C123" i="10"/>
  <c r="C104" i="10"/>
  <c r="C110" i="10"/>
  <c r="C117" i="10"/>
  <c r="C124" i="10"/>
  <c r="C103" i="10"/>
  <c r="P39" i="3"/>
  <c r="A86" i="10" l="1"/>
  <c r="A134" i="10"/>
  <c r="A94" i="9"/>
  <c r="A118" i="9"/>
  <c r="A50" i="10"/>
  <c r="A38" i="10"/>
  <c r="A46" i="9"/>
  <c r="A106" i="9"/>
  <c r="A70" i="9"/>
  <c r="A130" i="9"/>
  <c r="A58" i="9"/>
  <c r="A98" i="10"/>
  <c r="A110" i="10"/>
  <c r="A23" i="9"/>
  <c r="A74" i="10"/>
  <c r="A34" i="9"/>
  <c r="A82" i="9"/>
  <c r="A62" i="10"/>
  <c r="A122" i="10"/>
  <c r="A26" i="10"/>
  <c r="C84" i="9"/>
  <c r="C66" i="9"/>
  <c r="C71" i="9"/>
  <c r="C74" i="9"/>
  <c r="C67" i="9"/>
  <c r="C75" i="9"/>
  <c r="C73" i="9"/>
  <c r="C70" i="9"/>
  <c r="C88" i="9"/>
  <c r="C65" i="9"/>
  <c r="C69" i="9"/>
  <c r="C80" i="9"/>
  <c r="C132" i="10"/>
  <c r="C144" i="10" s="1"/>
  <c r="C119" i="10"/>
  <c r="C116" i="10"/>
  <c r="C121" i="10"/>
  <c r="C136" i="10"/>
  <c r="C148" i="10" s="1"/>
  <c r="C122" i="10"/>
  <c r="C115" i="10"/>
  <c r="C129" i="10"/>
  <c r="C141" i="10" s="1"/>
  <c r="C135" i="10"/>
  <c r="C147" i="10" s="1"/>
  <c r="C126" i="10"/>
  <c r="C138" i="10" s="1"/>
  <c r="C125" i="10"/>
  <c r="C137" i="10" s="1"/>
  <c r="C130" i="10"/>
  <c r="C142" i="10" s="1"/>
  <c r="H38" i="3"/>
  <c r="P22" i="4"/>
  <c r="P22" i="3"/>
  <c r="P54" i="4"/>
  <c r="P54" i="3"/>
  <c r="P38" i="3"/>
  <c r="P142" i="10" l="1"/>
  <c r="D142" i="10"/>
  <c r="L142" i="10"/>
  <c r="H142" i="10"/>
  <c r="P147" i="10"/>
  <c r="D147" i="10"/>
  <c r="L147" i="10"/>
  <c r="H147" i="10"/>
  <c r="H141" i="10"/>
  <c r="D141" i="10"/>
  <c r="L141" i="10"/>
  <c r="P141" i="10"/>
  <c r="L144" i="10"/>
  <c r="P144" i="10"/>
  <c r="H144" i="10"/>
  <c r="D144" i="10"/>
  <c r="D138" i="10"/>
  <c r="P138" i="10"/>
  <c r="L138" i="10"/>
  <c r="H138" i="10"/>
  <c r="L137" i="10"/>
  <c r="H137" i="10"/>
  <c r="D137" i="10"/>
  <c r="D137" i="11" s="1"/>
  <c r="P137" i="10"/>
  <c r="H148" i="10"/>
  <c r="D148" i="10"/>
  <c r="P148" i="10"/>
  <c r="L148" i="10"/>
  <c r="A83" i="9"/>
  <c r="A35" i="9"/>
  <c r="A24" i="9"/>
  <c r="A51" i="10"/>
  <c r="A95" i="9"/>
  <c r="A135" i="10"/>
  <c r="A75" i="10"/>
  <c r="A59" i="9"/>
  <c r="A131" i="9"/>
  <c r="A119" i="9"/>
  <c r="A71" i="9"/>
  <c r="A107" i="9"/>
  <c r="A87" i="10"/>
  <c r="A27" i="10"/>
  <c r="A123" i="10"/>
  <c r="A63" i="10"/>
  <c r="A111" i="10"/>
  <c r="A99" i="10"/>
  <c r="A47" i="9"/>
  <c r="A39" i="10"/>
  <c r="C92" i="9"/>
  <c r="C85" i="9"/>
  <c r="C87" i="9"/>
  <c r="C83" i="9"/>
  <c r="C100" i="9"/>
  <c r="C79" i="9"/>
  <c r="C86" i="9"/>
  <c r="C78" i="9"/>
  <c r="C81" i="9"/>
  <c r="C77" i="9"/>
  <c r="C82" i="9"/>
  <c r="C96" i="9"/>
  <c r="C133" i="10"/>
  <c r="C145" i="10" s="1"/>
  <c r="C128" i="10"/>
  <c r="C140" i="10" s="1"/>
  <c r="C127" i="10"/>
  <c r="C139" i="10" s="1"/>
  <c r="C134" i="10"/>
  <c r="C146" i="10" s="1"/>
  <c r="C131" i="10"/>
  <c r="C143" i="10" s="1"/>
  <c r="H21" i="4"/>
  <c r="H37" i="3"/>
  <c r="P21" i="4"/>
  <c r="P21" i="3"/>
  <c r="P53" i="4"/>
  <c r="P53" i="3"/>
  <c r="P37" i="3"/>
  <c r="F137" i="11" l="1"/>
  <c r="T137" i="11"/>
  <c r="N141" i="10"/>
  <c r="J137" i="10"/>
  <c r="F141" i="10"/>
  <c r="R137" i="10"/>
  <c r="N137" i="10"/>
  <c r="J141" i="10"/>
  <c r="O148" i="10"/>
  <c r="N148" i="10"/>
  <c r="P139" i="10"/>
  <c r="L139" i="10"/>
  <c r="D139" i="10"/>
  <c r="D140" i="10"/>
  <c r="P140" i="10"/>
  <c r="L140" i="10"/>
  <c r="H140" i="10"/>
  <c r="D145" i="10"/>
  <c r="H145" i="10"/>
  <c r="P145" i="10"/>
  <c r="L145" i="10"/>
  <c r="J138" i="10"/>
  <c r="K147" i="10"/>
  <c r="J147" i="10"/>
  <c r="F137" i="10"/>
  <c r="N138" i="10"/>
  <c r="O147" i="10"/>
  <c r="N147" i="10"/>
  <c r="R138" i="10"/>
  <c r="F147" i="10"/>
  <c r="G147" i="10"/>
  <c r="R141" i="10"/>
  <c r="H143" i="10"/>
  <c r="D143" i="10"/>
  <c r="P143" i="10"/>
  <c r="L143" i="10"/>
  <c r="F138" i="10"/>
  <c r="S147" i="10"/>
  <c r="R147" i="10"/>
  <c r="L146" i="10"/>
  <c r="H146" i="10"/>
  <c r="D146" i="10"/>
  <c r="P146" i="10"/>
  <c r="F144" i="10"/>
  <c r="J142" i="10"/>
  <c r="S148" i="10"/>
  <c r="R148" i="10"/>
  <c r="J144" i="10"/>
  <c r="N142" i="10"/>
  <c r="G148" i="10"/>
  <c r="F148" i="10"/>
  <c r="R144" i="10"/>
  <c r="F142" i="10"/>
  <c r="J148" i="10"/>
  <c r="K148" i="10"/>
  <c r="N144" i="10"/>
  <c r="R142" i="10"/>
  <c r="A40" i="10"/>
  <c r="A112" i="10"/>
  <c r="A64" i="10"/>
  <c r="Q10" i="10"/>
  <c r="M5" i="10"/>
  <c r="M8" i="10"/>
  <c r="I6" i="10"/>
  <c r="Q14" i="10"/>
  <c r="M16" i="10"/>
  <c r="Q5" i="10"/>
  <c r="M15" i="10"/>
  <c r="I12" i="10"/>
  <c r="Q9" i="10"/>
  <c r="Q12" i="10"/>
  <c r="M9" i="10"/>
  <c r="I16" i="10"/>
  <c r="I7" i="10"/>
  <c r="I13" i="10"/>
  <c r="I8" i="10"/>
  <c r="Q16" i="10"/>
  <c r="M14" i="10"/>
  <c r="Q13" i="10"/>
  <c r="I11" i="10"/>
  <c r="E9" i="10"/>
  <c r="Q7" i="10"/>
  <c r="E11" i="10"/>
  <c r="M11" i="10"/>
  <c r="I9" i="10"/>
  <c r="E5" i="10"/>
  <c r="E13" i="10"/>
  <c r="I10" i="10"/>
  <c r="M10" i="10"/>
  <c r="I5" i="10"/>
  <c r="M12" i="10"/>
  <c r="M7" i="10"/>
  <c r="E15" i="10"/>
  <c r="E16" i="10"/>
  <c r="M13" i="10"/>
  <c r="E6" i="10"/>
  <c r="Q11" i="10"/>
  <c r="I15" i="10"/>
  <c r="E12" i="10"/>
  <c r="Q6" i="10"/>
  <c r="Q15" i="10"/>
  <c r="E10" i="10"/>
  <c r="E14" i="10"/>
  <c r="Q8" i="10"/>
  <c r="M6" i="10"/>
  <c r="E7" i="10"/>
  <c r="E8" i="10"/>
  <c r="I14" i="10"/>
  <c r="A48" i="9"/>
  <c r="A88" i="10"/>
  <c r="A100" i="10"/>
  <c r="A28" i="10"/>
  <c r="A108" i="9"/>
  <c r="A25" i="9"/>
  <c r="A120" i="9"/>
  <c r="A136" i="10"/>
  <c r="A52" i="10"/>
  <c r="A60" i="9"/>
  <c r="A36" i="9"/>
  <c r="A124" i="10"/>
  <c r="AG123" i="10"/>
  <c r="A72" i="9"/>
  <c r="A132" i="9"/>
  <c r="A76" i="10"/>
  <c r="A96" i="9"/>
  <c r="A84" i="9"/>
  <c r="C108" i="9"/>
  <c r="C112" i="9"/>
  <c r="C95" i="9"/>
  <c r="C93" i="9"/>
  <c r="C104" i="9"/>
  <c r="C94" i="9"/>
  <c r="C90" i="9"/>
  <c r="C91" i="9"/>
  <c r="C99" i="9"/>
  <c r="C89" i="9"/>
  <c r="C98" i="9"/>
  <c r="C97" i="9"/>
  <c r="P36" i="3"/>
  <c r="H36" i="3"/>
  <c r="P52" i="4"/>
  <c r="P52" i="3"/>
  <c r="S144" i="10" l="1"/>
  <c r="V137" i="11"/>
  <c r="G144" i="10"/>
  <c r="K137" i="10"/>
  <c r="N139" i="10"/>
  <c r="O139" i="10"/>
  <c r="S139" i="10"/>
  <c r="R139" i="10"/>
  <c r="S146" i="10"/>
  <c r="R146" i="10"/>
  <c r="O143" i="10"/>
  <c r="N143" i="10"/>
  <c r="O145" i="10"/>
  <c r="N145" i="10"/>
  <c r="G146" i="10"/>
  <c r="F146" i="10"/>
  <c r="S143" i="10"/>
  <c r="R143" i="10"/>
  <c r="S141" i="10"/>
  <c r="S145" i="10"/>
  <c r="R145" i="10"/>
  <c r="S142" i="10"/>
  <c r="K146" i="10"/>
  <c r="J146" i="10"/>
  <c r="G143" i="10"/>
  <c r="F143" i="10"/>
  <c r="K145" i="10"/>
  <c r="J145" i="10"/>
  <c r="O146" i="10"/>
  <c r="N146" i="10"/>
  <c r="K143" i="10"/>
  <c r="J143" i="10"/>
  <c r="G137" i="10"/>
  <c r="F145" i="10"/>
  <c r="G145" i="10"/>
  <c r="K141" i="10"/>
  <c r="AC142" i="10"/>
  <c r="Y144" i="10"/>
  <c r="X145" i="10"/>
  <c r="AC145" i="10"/>
  <c r="AC143" i="10"/>
  <c r="AG148" i="10"/>
  <c r="Y148" i="10"/>
  <c r="AG139" i="10"/>
  <c r="U145" i="10"/>
  <c r="AG147" i="10"/>
  <c r="AC147" i="10"/>
  <c r="AC144" i="10"/>
  <c r="AB139" i="10"/>
  <c r="X143" i="10"/>
  <c r="AG141" i="10"/>
  <c r="X140" i="10"/>
  <c r="AF138" i="10"/>
  <c r="X141" i="10"/>
  <c r="T137" i="10"/>
  <c r="AF140" i="10"/>
  <c r="AG146" i="10"/>
  <c r="T142" i="10"/>
  <c r="AF147" i="10"/>
  <c r="AG145" i="10"/>
  <c r="AG137" i="10"/>
  <c r="T138" i="10"/>
  <c r="AC148" i="10"/>
  <c r="AB147" i="10"/>
  <c r="AF142" i="10"/>
  <c r="T141" i="10"/>
  <c r="Y141" i="10"/>
  <c r="T139" i="10"/>
  <c r="U140" i="10"/>
  <c r="X144" i="10"/>
  <c r="AC138" i="10"/>
  <c r="AB138" i="10"/>
  <c r="Y140" i="10"/>
  <c r="U139" i="10"/>
  <c r="U138" i="10"/>
  <c r="Y143" i="10"/>
  <c r="Y137" i="10"/>
  <c r="Y145" i="10"/>
  <c r="X142" i="10"/>
  <c r="U146" i="10"/>
  <c r="AC140" i="10"/>
  <c r="AG138" i="10"/>
  <c r="Y139" i="10"/>
  <c r="T146" i="10"/>
  <c r="AB140" i="10"/>
  <c r="AC139" i="10"/>
  <c r="AF143" i="10"/>
  <c r="U142" i="10"/>
  <c r="AF141" i="10"/>
  <c r="AB148" i="10"/>
  <c r="AE148" i="10" s="1"/>
  <c r="U148" i="10"/>
  <c r="X147" i="10"/>
  <c r="U137" i="10"/>
  <c r="AF145" i="10"/>
  <c r="AC137" i="10"/>
  <c r="AF139" i="10"/>
  <c r="U147" i="10"/>
  <c r="AB137" i="10"/>
  <c r="X146" i="10"/>
  <c r="AA146" i="10" s="1"/>
  <c r="U144" i="10"/>
  <c r="U141" i="10"/>
  <c r="Y142" i="10"/>
  <c r="T148" i="10"/>
  <c r="W148" i="10" s="1"/>
  <c r="T147" i="10"/>
  <c r="AF148" i="10"/>
  <c r="AI148" i="10" s="1"/>
  <c r="AG142" i="10"/>
  <c r="AF137" i="10"/>
  <c r="X148" i="10"/>
  <c r="AA148" i="10" s="1"/>
  <c r="X139" i="10"/>
  <c r="AB144" i="10"/>
  <c r="AB143" i="10"/>
  <c r="Y138" i="10"/>
  <c r="T144" i="10"/>
  <c r="AB146" i="10"/>
  <c r="X138" i="10"/>
  <c r="U143" i="10"/>
  <c r="AG143" i="10"/>
  <c r="Y146" i="10"/>
  <c r="AG144" i="10"/>
  <c r="AG140" i="10"/>
  <c r="AC141" i="10"/>
  <c r="AD141" i="10" s="1"/>
  <c r="T143" i="10"/>
  <c r="AB142" i="10"/>
  <c r="X137" i="10"/>
  <c r="AB141" i="10"/>
  <c r="AB145" i="10"/>
  <c r="T140" i="10"/>
  <c r="AF146" i="10"/>
  <c r="AI146" i="10" s="1"/>
  <c r="Y147" i="10"/>
  <c r="AC146" i="10"/>
  <c r="AD146" i="10" s="1"/>
  <c r="AF144" i="10"/>
  <c r="T145" i="10"/>
  <c r="K140" i="10"/>
  <c r="J140" i="10"/>
  <c r="O142" i="10"/>
  <c r="O144" i="10"/>
  <c r="K144" i="10"/>
  <c r="S138" i="10"/>
  <c r="O140" i="10"/>
  <c r="N140" i="10"/>
  <c r="O137" i="10"/>
  <c r="K138" i="10"/>
  <c r="S140" i="10"/>
  <c r="R140" i="10"/>
  <c r="S137" i="10"/>
  <c r="G138" i="10"/>
  <c r="F140" i="10"/>
  <c r="G140" i="10"/>
  <c r="G139" i="10"/>
  <c r="F139" i="10"/>
  <c r="O141" i="10"/>
  <c r="G142" i="10"/>
  <c r="K142" i="10"/>
  <c r="O138" i="10"/>
  <c r="K139" i="10"/>
  <c r="J139" i="10"/>
  <c r="G141" i="10"/>
  <c r="AC134" i="10"/>
  <c r="U50" i="10"/>
  <c r="Y57" i="10"/>
  <c r="Y105" i="10"/>
  <c r="AC39" i="10"/>
  <c r="U74" i="10"/>
  <c r="AG135" i="10"/>
  <c r="U121" i="10"/>
  <c r="AG25" i="10"/>
  <c r="Y94" i="10"/>
  <c r="AG99" i="10"/>
  <c r="U51" i="10"/>
  <c r="AG45" i="10"/>
  <c r="AC37" i="10"/>
  <c r="AC105" i="10"/>
  <c r="Y45" i="10"/>
  <c r="AG118" i="10"/>
  <c r="AG33" i="10"/>
  <c r="U81" i="10"/>
  <c r="AG93" i="10"/>
  <c r="AC93" i="10"/>
  <c r="Y50" i="10"/>
  <c r="U37" i="10"/>
  <c r="U46" i="10"/>
  <c r="AG61" i="10"/>
  <c r="Y75" i="10"/>
  <c r="Y133" i="10"/>
  <c r="AG27" i="10"/>
  <c r="AC97" i="10"/>
  <c r="Y73" i="10"/>
  <c r="AC117" i="10"/>
  <c r="Y117" i="10"/>
  <c r="U106" i="10"/>
  <c r="AC34" i="10"/>
  <c r="AC27" i="10"/>
  <c r="Y87" i="10"/>
  <c r="AC100" i="10"/>
  <c r="AG100" i="10"/>
  <c r="Y100" i="10"/>
  <c r="U100" i="10"/>
  <c r="Y134" i="10"/>
  <c r="A133" i="9"/>
  <c r="Y123" i="10"/>
  <c r="Y49" i="10"/>
  <c r="AG74" i="10"/>
  <c r="U73" i="10"/>
  <c r="Y109" i="10"/>
  <c r="Y51" i="10"/>
  <c r="AC135" i="10"/>
  <c r="AG134" i="10"/>
  <c r="AG49" i="10"/>
  <c r="AC86" i="10"/>
  <c r="AC107" i="10"/>
  <c r="AC22" i="10"/>
  <c r="AG81" i="10"/>
  <c r="AG73" i="10"/>
  <c r="U129" i="10"/>
  <c r="U23" i="10"/>
  <c r="AG131" i="10"/>
  <c r="Y25" i="10"/>
  <c r="AG70" i="10"/>
  <c r="AG105" i="10"/>
  <c r="AG129" i="10"/>
  <c r="AG107" i="10"/>
  <c r="U61" i="10"/>
  <c r="Y107" i="10"/>
  <c r="U45" i="10"/>
  <c r="AG130" i="10"/>
  <c r="Y69" i="10"/>
  <c r="AC129" i="10"/>
  <c r="AC25" i="10"/>
  <c r="U99" i="10"/>
  <c r="U87" i="10"/>
  <c r="A49" i="9"/>
  <c r="U63" i="10"/>
  <c r="AC111" i="10"/>
  <c r="A73" i="9"/>
  <c r="A37" i="9"/>
  <c r="A109" i="9"/>
  <c r="A85" i="9"/>
  <c r="AG75" i="10"/>
  <c r="AG97" i="10"/>
  <c r="AC75" i="10"/>
  <c r="AC76" i="10"/>
  <c r="AG76" i="10"/>
  <c r="U76" i="10"/>
  <c r="Y76" i="10"/>
  <c r="Y97" i="10"/>
  <c r="AC123" i="10"/>
  <c r="AC50" i="10"/>
  <c r="A61" i="9"/>
  <c r="AG51" i="10"/>
  <c r="AG52" i="10"/>
  <c r="AC52" i="10"/>
  <c r="U52" i="10"/>
  <c r="Y52" i="10"/>
  <c r="U135" i="10"/>
  <c r="AC74" i="10"/>
  <c r="A26" i="9"/>
  <c r="AG85" i="10"/>
  <c r="U133" i="10"/>
  <c r="Y21" i="10"/>
  <c r="Y82" i="10"/>
  <c r="Y131" i="10"/>
  <c r="U25" i="10"/>
  <c r="Y129" i="10"/>
  <c r="U117" i="10"/>
  <c r="U34" i="10"/>
  <c r="AG121" i="10"/>
  <c r="AC70" i="10"/>
  <c r="AC45" i="10"/>
  <c r="AC94" i="10"/>
  <c r="AG94" i="10"/>
  <c r="AG117" i="10"/>
  <c r="Y106" i="10"/>
  <c r="Y118" i="10"/>
  <c r="U33" i="10"/>
  <c r="AC131" i="10"/>
  <c r="U69" i="10"/>
  <c r="U27" i="10"/>
  <c r="U28" i="10"/>
  <c r="AG28" i="10"/>
  <c r="AC28" i="10"/>
  <c r="Y28" i="10"/>
  <c r="AG86" i="10"/>
  <c r="AG26" i="10"/>
  <c r="Y24" i="10"/>
  <c r="AG60" i="10"/>
  <c r="AG23" i="10"/>
  <c r="U119" i="10"/>
  <c r="AG59" i="10"/>
  <c r="AC72" i="10"/>
  <c r="AC60" i="10"/>
  <c r="U35" i="10"/>
  <c r="AC36" i="10"/>
  <c r="AC35" i="10"/>
  <c r="U60" i="10"/>
  <c r="U132" i="10"/>
  <c r="AG36" i="10"/>
  <c r="Y48" i="10"/>
  <c r="AC23" i="10"/>
  <c r="AC59" i="10"/>
  <c r="AC47" i="10"/>
  <c r="Y71" i="10"/>
  <c r="U122" i="10"/>
  <c r="AG62" i="10"/>
  <c r="AC73" i="10"/>
  <c r="U49" i="10"/>
  <c r="AC133" i="10"/>
  <c r="U86" i="10"/>
  <c r="AC26" i="10"/>
  <c r="AG71" i="10"/>
  <c r="AG95" i="10"/>
  <c r="AC108" i="10"/>
  <c r="U59" i="10"/>
  <c r="Y72" i="10"/>
  <c r="AC48" i="10"/>
  <c r="Y35" i="10"/>
  <c r="Y108" i="10"/>
  <c r="U84" i="10"/>
  <c r="Y22" i="10"/>
  <c r="Y59" i="10"/>
  <c r="AC120" i="10"/>
  <c r="U47" i="10"/>
  <c r="Y95" i="10"/>
  <c r="Y83" i="10"/>
  <c r="U72" i="10"/>
  <c r="AC130" i="10"/>
  <c r="AC95" i="10"/>
  <c r="Y60" i="10"/>
  <c r="AC132" i="10"/>
  <c r="Y36" i="10"/>
  <c r="AC122" i="10"/>
  <c r="U109" i="10"/>
  <c r="U26" i="10"/>
  <c r="AG47" i="10"/>
  <c r="AG35" i="10"/>
  <c r="AG132" i="10"/>
  <c r="Y96" i="10"/>
  <c r="AC84" i="10"/>
  <c r="U24" i="10"/>
  <c r="AG119" i="10"/>
  <c r="U96" i="10"/>
  <c r="AG24" i="10"/>
  <c r="Y34" i="10"/>
  <c r="AG83" i="10"/>
  <c r="AG72" i="10"/>
  <c r="Y47" i="10"/>
  <c r="AC24" i="10"/>
  <c r="U118" i="10"/>
  <c r="Y70" i="10"/>
  <c r="AG120" i="10"/>
  <c r="AG108" i="10"/>
  <c r="U83" i="10"/>
  <c r="AC96" i="10"/>
  <c r="AC121" i="10"/>
  <c r="Y122" i="10"/>
  <c r="AC62" i="10"/>
  <c r="Y26" i="10"/>
  <c r="U120" i="10"/>
  <c r="U36" i="10"/>
  <c r="Y132" i="10"/>
  <c r="AG96" i="10"/>
  <c r="AC71" i="10"/>
  <c r="AG122" i="10"/>
  <c r="Y62" i="10"/>
  <c r="Y110" i="10"/>
  <c r="Y98" i="10"/>
  <c r="Y38" i="10"/>
  <c r="AG133" i="10"/>
  <c r="AG48" i="10"/>
  <c r="U71" i="10"/>
  <c r="Y84" i="10"/>
  <c r="AC119" i="10"/>
  <c r="Y61" i="10"/>
  <c r="AC109" i="10"/>
  <c r="U110" i="10"/>
  <c r="AG98" i="10"/>
  <c r="U38" i="10"/>
  <c r="AC49" i="10"/>
  <c r="Y85" i="10"/>
  <c r="Y86" i="10"/>
  <c r="Y120" i="10"/>
  <c r="U108" i="10"/>
  <c r="U48" i="10"/>
  <c r="Y119" i="10"/>
  <c r="AG84" i="10"/>
  <c r="AG110" i="10"/>
  <c r="AC98" i="10"/>
  <c r="AG37" i="10"/>
  <c r="AC38" i="10"/>
  <c r="AC83" i="10"/>
  <c r="U95" i="10"/>
  <c r="Y23" i="10"/>
  <c r="U62" i="10"/>
  <c r="AC110" i="10"/>
  <c r="U97" i="10"/>
  <c r="U98" i="10"/>
  <c r="AG38" i="10"/>
  <c r="AC99" i="10"/>
  <c r="AC87" i="10"/>
  <c r="AC63" i="10"/>
  <c r="AC64" i="10"/>
  <c r="AG64" i="10"/>
  <c r="U64" i="10"/>
  <c r="Y64" i="10"/>
  <c r="U111" i="10"/>
  <c r="Y39" i="10"/>
  <c r="AG8" i="10"/>
  <c r="AG6" i="10"/>
  <c r="AG9" i="10"/>
  <c r="AG7" i="10"/>
  <c r="AG5" i="10"/>
  <c r="AG10" i="10"/>
  <c r="AG11" i="10"/>
  <c r="AG12" i="10"/>
  <c r="AG13" i="10"/>
  <c r="AG14" i="10"/>
  <c r="AG15" i="10"/>
  <c r="AG16" i="10"/>
  <c r="Y63" i="10"/>
  <c r="AG111" i="10"/>
  <c r="AC112" i="10"/>
  <c r="AG112" i="10"/>
  <c r="U112" i="10"/>
  <c r="Y112" i="10"/>
  <c r="U39" i="10"/>
  <c r="AC85" i="10"/>
  <c r="A97" i="9"/>
  <c r="U75" i="10"/>
  <c r="AG109" i="10"/>
  <c r="U123" i="10"/>
  <c r="Y124" i="10"/>
  <c r="AG124" i="10"/>
  <c r="U124" i="10"/>
  <c r="AC124" i="10"/>
  <c r="U134" i="10"/>
  <c r="U85" i="10"/>
  <c r="AC51" i="10"/>
  <c r="Y135" i="10"/>
  <c r="AG136" i="10"/>
  <c r="Y136" i="10"/>
  <c r="U136" i="10"/>
  <c r="AC136" i="10"/>
  <c r="Y126" i="10"/>
  <c r="AG113" i="10"/>
  <c r="Y29" i="10"/>
  <c r="AG65" i="10"/>
  <c r="AC101" i="10"/>
  <c r="U53" i="10"/>
  <c r="AG42" i="10"/>
  <c r="Y65" i="10"/>
  <c r="AC78" i="10"/>
  <c r="AG17" i="10"/>
  <c r="AG89" i="10"/>
  <c r="Y17" i="10"/>
  <c r="AC77" i="10"/>
  <c r="U126" i="10"/>
  <c r="AC125" i="10"/>
  <c r="AG53" i="10"/>
  <c r="AC90" i="10"/>
  <c r="Y113" i="10"/>
  <c r="U101" i="10"/>
  <c r="U41" i="10"/>
  <c r="U90" i="10"/>
  <c r="AC17" i="10"/>
  <c r="Y41" i="10"/>
  <c r="U89" i="10"/>
  <c r="AC29" i="10"/>
  <c r="Y89" i="10"/>
  <c r="U77" i="10"/>
  <c r="AG41" i="10"/>
  <c r="AG101" i="10"/>
  <c r="AC89" i="10"/>
  <c r="AG29" i="10"/>
  <c r="AC42" i="10"/>
  <c r="AC65" i="10"/>
  <c r="Y114" i="10"/>
  <c r="U19" i="10"/>
  <c r="Y43" i="10"/>
  <c r="AC103" i="10"/>
  <c r="U65" i="10"/>
  <c r="AG77" i="10"/>
  <c r="AG90" i="10"/>
  <c r="AG126" i="10"/>
  <c r="Y66" i="10"/>
  <c r="AG57" i="10"/>
  <c r="U67" i="10"/>
  <c r="AG30" i="10"/>
  <c r="AC41" i="10"/>
  <c r="U17" i="10"/>
  <c r="AC66" i="10"/>
  <c r="Y77" i="10"/>
  <c r="U66" i="10"/>
  <c r="AC67" i="10"/>
  <c r="AG67" i="10"/>
  <c r="Y102" i="10"/>
  <c r="AC43" i="10"/>
  <c r="Y31" i="10"/>
  <c r="Y18" i="10"/>
  <c r="AC19" i="10"/>
  <c r="AG43" i="10"/>
  <c r="Y30" i="10"/>
  <c r="AG91" i="10"/>
  <c r="AC126" i="10"/>
  <c r="Y78" i="10"/>
  <c r="Y54" i="10"/>
  <c r="AG114" i="10"/>
  <c r="AC53" i="10"/>
  <c r="U18" i="10"/>
  <c r="AG66" i="10"/>
  <c r="AG125" i="10"/>
  <c r="Y101" i="10"/>
  <c r="U91" i="10"/>
  <c r="AG103" i="10"/>
  <c r="U78" i="10"/>
  <c r="AC102" i="10"/>
  <c r="U31" i="10"/>
  <c r="AC114" i="10"/>
  <c r="AG31" i="10"/>
  <c r="AC18" i="10"/>
  <c r="U43" i="10"/>
  <c r="U54" i="10"/>
  <c r="Y67" i="10"/>
  <c r="U79" i="10"/>
  <c r="AG19" i="10"/>
  <c r="AG78" i="10"/>
  <c r="U113" i="10"/>
  <c r="U114" i="10"/>
  <c r="AC113" i="10"/>
  <c r="Y125" i="10"/>
  <c r="Y53" i="10"/>
  <c r="U29" i="10"/>
  <c r="Y42" i="10"/>
  <c r="U125" i="10"/>
  <c r="U42" i="10"/>
  <c r="AG102" i="10"/>
  <c r="U102" i="10"/>
  <c r="Y103" i="10"/>
  <c r="U103" i="10"/>
  <c r="Y90" i="10"/>
  <c r="Y91" i="10"/>
  <c r="U30" i="10"/>
  <c r="AC79" i="10"/>
  <c r="Y92" i="10"/>
  <c r="AC91" i="10"/>
  <c r="AG18" i="10"/>
  <c r="Y80" i="10"/>
  <c r="AG56" i="10"/>
  <c r="AG127" i="10"/>
  <c r="AC55" i="10"/>
  <c r="AG44" i="10"/>
  <c r="AG54" i="10"/>
  <c r="AG116" i="10"/>
  <c r="Y127" i="10"/>
  <c r="AC33" i="10"/>
  <c r="U92" i="10"/>
  <c r="U68" i="10"/>
  <c r="AG79" i="10"/>
  <c r="AC30" i="10"/>
  <c r="AC54" i="10"/>
  <c r="AC31" i="10"/>
  <c r="Y79" i="10"/>
  <c r="U128" i="10"/>
  <c r="U104" i="10"/>
  <c r="U57" i="10"/>
  <c r="U116" i="10"/>
  <c r="AC115" i="10"/>
  <c r="U20" i="10"/>
  <c r="U55" i="10"/>
  <c r="AG92" i="10"/>
  <c r="AC80" i="10"/>
  <c r="AC116" i="10"/>
  <c r="AG115" i="10"/>
  <c r="AC92" i="10"/>
  <c r="AC32" i="10"/>
  <c r="U127" i="10"/>
  <c r="Y20" i="10"/>
  <c r="AG55" i="10"/>
  <c r="AG32" i="10"/>
  <c r="U56" i="10"/>
  <c r="AC44" i="10"/>
  <c r="AC127" i="10"/>
  <c r="Y55" i="10"/>
  <c r="Y19" i="10"/>
  <c r="U44" i="10"/>
  <c r="AC69" i="10"/>
  <c r="Y115" i="10"/>
  <c r="U115" i="10"/>
  <c r="U80" i="10"/>
  <c r="U32" i="10"/>
  <c r="AG80" i="10"/>
  <c r="Y56" i="10"/>
  <c r="Y68" i="10"/>
  <c r="AC57" i="10"/>
  <c r="AG20" i="10"/>
  <c r="Y128" i="10"/>
  <c r="Y44" i="10"/>
  <c r="AG128" i="10"/>
  <c r="Y58" i="10"/>
  <c r="U130" i="10"/>
  <c r="AG68" i="10"/>
  <c r="U58" i="10"/>
  <c r="Y32" i="10"/>
  <c r="AC128" i="10"/>
  <c r="AC81" i="10"/>
  <c r="AC104" i="10"/>
  <c r="Y46" i="10"/>
  <c r="AC68" i="10"/>
  <c r="AC58" i="10"/>
  <c r="U21" i="10"/>
  <c r="AC20" i="10"/>
  <c r="AC21" i="10"/>
  <c r="AG104" i="10"/>
  <c r="U82" i="10"/>
  <c r="AG106" i="10"/>
  <c r="AC106" i="10"/>
  <c r="Y33" i="10"/>
  <c r="U105" i="10"/>
  <c r="U94" i="10"/>
  <c r="AG34" i="10"/>
  <c r="AG69" i="10"/>
  <c r="Y116" i="10"/>
  <c r="AC118" i="10"/>
  <c r="AC56" i="10"/>
  <c r="AG46" i="10"/>
  <c r="A121" i="9"/>
  <c r="AG50" i="10"/>
  <c r="Y74" i="10"/>
  <c r="Y37" i="10"/>
  <c r="U22" i="10"/>
  <c r="AG82" i="10"/>
  <c r="Y81" i="10"/>
  <c r="AC61" i="10"/>
  <c r="AG58" i="10"/>
  <c r="U93" i="10"/>
  <c r="U107" i="10"/>
  <c r="AC46" i="10"/>
  <c r="Y130" i="10"/>
  <c r="AG22" i="10"/>
  <c r="U70" i="10"/>
  <c r="Y104" i="10"/>
  <c r="AG21" i="10"/>
  <c r="Y121" i="10"/>
  <c r="U131" i="10"/>
  <c r="AC82" i="10"/>
  <c r="Y93" i="10"/>
  <c r="Y27" i="10"/>
  <c r="Y99" i="10"/>
  <c r="AG87" i="10"/>
  <c r="AG88" i="10"/>
  <c r="AC88" i="10"/>
  <c r="Y88" i="10"/>
  <c r="U88" i="10"/>
  <c r="Y8" i="10"/>
  <c r="Y6" i="10"/>
  <c r="Y7" i="10"/>
  <c r="Y5" i="10"/>
  <c r="Y9" i="10"/>
  <c r="Y10" i="10"/>
  <c r="Y11" i="10"/>
  <c r="Y12" i="10"/>
  <c r="Y14" i="10"/>
  <c r="Y13" i="10"/>
  <c r="Y15" i="10"/>
  <c r="Y16" i="10"/>
  <c r="U8" i="10"/>
  <c r="U6" i="10"/>
  <c r="U9" i="10"/>
  <c r="U7" i="10"/>
  <c r="U5" i="10"/>
  <c r="U10" i="10"/>
  <c r="U11" i="10"/>
  <c r="U12" i="10"/>
  <c r="U13" i="10"/>
  <c r="U14" i="10"/>
  <c r="U15" i="10"/>
  <c r="U16" i="10"/>
  <c r="AC8" i="10"/>
  <c r="AC6" i="10"/>
  <c r="AC9" i="10"/>
  <c r="AC7" i="10"/>
  <c r="AC5" i="10"/>
  <c r="AC10" i="10"/>
  <c r="AC11" i="10"/>
  <c r="AC12" i="10"/>
  <c r="AC13" i="10"/>
  <c r="AC14" i="10"/>
  <c r="AC15" i="10"/>
  <c r="AC16" i="10"/>
  <c r="AG63" i="10"/>
  <c r="Y111" i="10"/>
  <c r="AG39" i="10"/>
  <c r="Y40" i="10"/>
  <c r="U40" i="10"/>
  <c r="AC40" i="10"/>
  <c r="AG40" i="10"/>
  <c r="C102" i="9"/>
  <c r="C107" i="9"/>
  <c r="C109" i="9"/>
  <c r="C101" i="9"/>
  <c r="C106" i="9"/>
  <c r="C124" i="9"/>
  <c r="C110" i="9"/>
  <c r="C111" i="9"/>
  <c r="C116" i="9"/>
  <c r="C120" i="9"/>
  <c r="C103" i="9"/>
  <c r="C105" i="9"/>
  <c r="P20" i="4"/>
  <c r="AH140" i="10" l="1"/>
  <c r="AH138" i="10"/>
  <c r="AH142" i="10"/>
  <c r="AI143" i="10"/>
  <c r="V137" i="10"/>
  <c r="V141" i="10"/>
  <c r="V142" i="10"/>
  <c r="W145" i="10"/>
  <c r="W143" i="10"/>
  <c r="V139" i="10"/>
  <c r="Z144" i="10"/>
  <c r="Z147" i="10"/>
  <c r="Z141" i="10"/>
  <c r="Z142" i="10"/>
  <c r="AD138" i="10"/>
  <c r="W147" i="10"/>
  <c r="V146" i="10"/>
  <c r="AD139" i="10"/>
  <c r="AA143" i="10"/>
  <c r="AH147" i="10"/>
  <c r="AA147" i="10"/>
  <c r="Z145" i="10"/>
  <c r="AA137" i="10"/>
  <c r="Z138" i="10"/>
  <c r="V144" i="10"/>
  <c r="Z143" i="10"/>
  <c r="AE147" i="10"/>
  <c r="AA140" i="10"/>
  <c r="AD145" i="10"/>
  <c r="AE142" i="10"/>
  <c r="AE143" i="10"/>
  <c r="V138" i="10"/>
  <c r="AD148" i="10"/>
  <c r="AH141" i="10"/>
  <c r="AA145" i="10"/>
  <c r="AA139" i="10"/>
  <c r="V147" i="10"/>
  <c r="AE140" i="10"/>
  <c r="Z140" i="10"/>
  <c r="AH137" i="10"/>
  <c r="AE139" i="10"/>
  <c r="AD142" i="10"/>
  <c r="AE144" i="10"/>
  <c r="AI139" i="10"/>
  <c r="W146" i="10"/>
  <c r="AE138" i="10"/>
  <c r="AH145" i="10"/>
  <c r="AD144" i="10"/>
  <c r="AE137" i="10"/>
  <c r="W138" i="10"/>
  <c r="AI144" i="10"/>
  <c r="AH144" i="10"/>
  <c r="AI137" i="10"/>
  <c r="AD137" i="10"/>
  <c r="Z139" i="10"/>
  <c r="AI147" i="10"/>
  <c r="AD147" i="10"/>
  <c r="Z146" i="10"/>
  <c r="AI145" i="10"/>
  <c r="AA144" i="10"/>
  <c r="W142" i="10"/>
  <c r="AH143" i="10"/>
  <c r="AD140" i="10"/>
  <c r="V140" i="10"/>
  <c r="AH146" i="10"/>
  <c r="V145" i="10"/>
  <c r="V143" i="10"/>
  <c r="W139" i="10"/>
  <c r="AI140" i="10"/>
  <c r="AH139" i="10"/>
  <c r="W140" i="10"/>
  <c r="AA138" i="10"/>
  <c r="V148" i="10"/>
  <c r="AA142" i="10"/>
  <c r="W137" i="10"/>
  <c r="Z148" i="10"/>
  <c r="AE145" i="10"/>
  <c r="AE146" i="10"/>
  <c r="W141" i="10"/>
  <c r="AA141" i="10"/>
  <c r="AH148" i="10"/>
  <c r="AE141" i="10"/>
  <c r="W144" i="10"/>
  <c r="AI141" i="10"/>
  <c r="Z137" i="10"/>
  <c r="AI142" i="10"/>
  <c r="AI138" i="10"/>
  <c r="AD143" i="10"/>
  <c r="A38" i="9"/>
  <c r="A50" i="9"/>
  <c r="A122" i="9"/>
  <c r="A74" i="9"/>
  <c r="A86" i="9"/>
  <c r="A98" i="9"/>
  <c r="A27" i="9"/>
  <c r="A62" i="9"/>
  <c r="A110" i="9"/>
  <c r="A134" i="9"/>
  <c r="C115" i="9"/>
  <c r="C123" i="9"/>
  <c r="C118" i="9"/>
  <c r="C119" i="9"/>
  <c r="C122" i="9"/>
  <c r="C113" i="9"/>
  <c r="C114" i="9"/>
  <c r="C132" i="9"/>
  <c r="C144" i="9" s="1"/>
  <c r="C121" i="9"/>
  <c r="C117" i="9"/>
  <c r="C128" i="9"/>
  <c r="C140" i="9" s="1"/>
  <c r="C136" i="9"/>
  <c r="C148" i="9" s="1"/>
  <c r="H20" i="4"/>
  <c r="D140" i="9" l="1"/>
  <c r="D140" i="11" s="1"/>
  <c r="P140" i="9"/>
  <c r="P140" i="11" s="1"/>
  <c r="L140" i="9"/>
  <c r="H140" i="9"/>
  <c r="H140" i="11" s="1"/>
  <c r="L144" i="9"/>
  <c r="H144" i="9"/>
  <c r="H144" i="11" s="1"/>
  <c r="J144" i="11" s="1"/>
  <c r="D144" i="9"/>
  <c r="D144" i="11" s="1"/>
  <c r="P144" i="9"/>
  <c r="P144" i="11" s="1"/>
  <c r="H148" i="9"/>
  <c r="H148" i="11" s="1"/>
  <c r="D148" i="9"/>
  <c r="D148" i="11" s="1"/>
  <c r="P148" i="9"/>
  <c r="P148" i="11" s="1"/>
  <c r="L148" i="9"/>
  <c r="A75" i="9"/>
  <c r="A123" i="9"/>
  <c r="A135" i="9"/>
  <c r="A63" i="9"/>
  <c r="A28" i="9"/>
  <c r="A99" i="9"/>
  <c r="A39" i="9"/>
  <c r="A111" i="9"/>
  <c r="A87" i="9"/>
  <c r="A51" i="9"/>
  <c r="C131" i="9"/>
  <c r="C143" i="9" s="1"/>
  <c r="C133" i="9"/>
  <c r="C145" i="9" s="1"/>
  <c r="C126" i="9"/>
  <c r="C138" i="9" s="1"/>
  <c r="C130" i="9"/>
  <c r="C142" i="9" s="1"/>
  <c r="C129" i="9"/>
  <c r="C141" i="9" s="1"/>
  <c r="C125" i="9"/>
  <c r="C135" i="9"/>
  <c r="C147" i="9" s="1"/>
  <c r="C134" i="9"/>
  <c r="C146" i="9" s="1"/>
  <c r="C127" i="9"/>
  <c r="C139" i="9" s="1"/>
  <c r="P47" i="3"/>
  <c r="S148" i="11" l="1"/>
  <c r="R148" i="11"/>
  <c r="R140" i="11"/>
  <c r="R144" i="11"/>
  <c r="K148" i="11"/>
  <c r="J148" i="11"/>
  <c r="J140" i="11"/>
  <c r="F144" i="11"/>
  <c r="G148" i="11"/>
  <c r="F148" i="11"/>
  <c r="F140" i="11"/>
  <c r="L139" i="9"/>
  <c r="H139" i="9"/>
  <c r="H139" i="11" s="1"/>
  <c r="P139" i="9"/>
  <c r="P139" i="11" s="1"/>
  <c r="D139" i="9"/>
  <c r="D139" i="11" s="1"/>
  <c r="J144" i="9"/>
  <c r="N144" i="9"/>
  <c r="F144" i="9"/>
  <c r="P147" i="9"/>
  <c r="P147" i="11" s="1"/>
  <c r="L147" i="9"/>
  <c r="H147" i="9"/>
  <c r="H147" i="11" s="1"/>
  <c r="D147" i="9"/>
  <c r="D147" i="11" s="1"/>
  <c r="H141" i="9"/>
  <c r="H141" i="11" s="1"/>
  <c r="J141" i="11" s="1"/>
  <c r="D141" i="9"/>
  <c r="D141" i="11" s="1"/>
  <c r="P141" i="9"/>
  <c r="P141" i="11" s="1"/>
  <c r="L141" i="9"/>
  <c r="J140" i="9"/>
  <c r="D145" i="9"/>
  <c r="D145" i="11" s="1"/>
  <c r="L145" i="9"/>
  <c r="P145" i="9"/>
  <c r="P145" i="11" s="1"/>
  <c r="H145" i="9"/>
  <c r="H145" i="11" s="1"/>
  <c r="H143" i="9"/>
  <c r="H143" i="11" s="1"/>
  <c r="D143" i="9"/>
  <c r="D143" i="11" s="1"/>
  <c r="P143" i="9"/>
  <c r="P143" i="11" s="1"/>
  <c r="L143" i="9"/>
  <c r="L146" i="9"/>
  <c r="H146" i="9"/>
  <c r="H146" i="11" s="1"/>
  <c r="D146" i="9"/>
  <c r="D146" i="11" s="1"/>
  <c r="P146" i="9"/>
  <c r="P146" i="11" s="1"/>
  <c r="P142" i="9"/>
  <c r="P142" i="11" s="1"/>
  <c r="L142" i="9"/>
  <c r="D142" i="9"/>
  <c r="D142" i="11" s="1"/>
  <c r="H142" i="9"/>
  <c r="H142" i="11" s="1"/>
  <c r="N140" i="9"/>
  <c r="R144" i="9"/>
  <c r="D138" i="9"/>
  <c r="D138" i="11" s="1"/>
  <c r="P138" i="9"/>
  <c r="P138" i="11" s="1"/>
  <c r="L138" i="9"/>
  <c r="H138" i="9"/>
  <c r="H138" i="11" s="1"/>
  <c r="R140" i="9"/>
  <c r="F140" i="9"/>
  <c r="O148" i="9"/>
  <c r="N148" i="9"/>
  <c r="S148" i="9"/>
  <c r="R148" i="9"/>
  <c r="G148" i="9"/>
  <c r="F148" i="9"/>
  <c r="J148" i="9"/>
  <c r="K148" i="9"/>
  <c r="A52" i="9"/>
  <c r="M16" i="9"/>
  <c r="I10" i="9"/>
  <c r="I11" i="9"/>
  <c r="Q10" i="9"/>
  <c r="Q13" i="9"/>
  <c r="A100" i="9"/>
  <c r="A64" i="9"/>
  <c r="A112" i="9"/>
  <c r="E16" i="9"/>
  <c r="I14" i="9"/>
  <c r="Q9" i="9"/>
  <c r="I7" i="9"/>
  <c r="E5" i="9"/>
  <c r="A88" i="9"/>
  <c r="M9" i="9"/>
  <c r="M10" i="9"/>
  <c r="Q14" i="9"/>
  <c r="M11" i="9"/>
  <c r="E14" i="9"/>
  <c r="E11" i="9"/>
  <c r="A136" i="9"/>
  <c r="A76" i="9"/>
  <c r="M8" i="9"/>
  <c r="I8" i="9"/>
  <c r="M15" i="9"/>
  <c r="M7" i="9"/>
  <c r="M12" i="9"/>
  <c r="E7" i="9"/>
  <c r="Q16" i="9"/>
  <c r="E6" i="9"/>
  <c r="A40" i="9"/>
  <c r="A124" i="9"/>
  <c r="H47" i="3"/>
  <c r="P63" i="3"/>
  <c r="H31" i="4"/>
  <c r="P31" i="4"/>
  <c r="P31" i="3"/>
  <c r="S143" i="11" l="1"/>
  <c r="R143" i="11"/>
  <c r="S147" i="11"/>
  <c r="R147" i="11"/>
  <c r="S145" i="11"/>
  <c r="R145" i="11"/>
  <c r="S142" i="11"/>
  <c r="R142" i="11"/>
  <c r="S146" i="11"/>
  <c r="R146" i="11"/>
  <c r="S144" i="11"/>
  <c r="S139" i="11"/>
  <c r="R139" i="11"/>
  <c r="S141" i="11"/>
  <c r="R141" i="11"/>
  <c r="S140" i="11"/>
  <c r="S138" i="11"/>
  <c r="R138" i="11"/>
  <c r="J146" i="11"/>
  <c r="K146" i="11"/>
  <c r="J139" i="11"/>
  <c r="K139" i="11"/>
  <c r="J147" i="11"/>
  <c r="K147" i="11"/>
  <c r="K141" i="11"/>
  <c r="K143" i="11"/>
  <c r="J143" i="11"/>
  <c r="K144" i="11"/>
  <c r="J145" i="11"/>
  <c r="K145" i="11"/>
  <c r="J142" i="11"/>
  <c r="K142" i="11"/>
  <c r="K140" i="11"/>
  <c r="J138" i="11"/>
  <c r="K138" i="11"/>
  <c r="G146" i="11"/>
  <c r="F146" i="11"/>
  <c r="T143" i="11"/>
  <c r="F139" i="11"/>
  <c r="G139" i="11"/>
  <c r="F141" i="11"/>
  <c r="G141" i="11"/>
  <c r="F145" i="11"/>
  <c r="G145" i="11"/>
  <c r="G140" i="11"/>
  <c r="G147" i="11"/>
  <c r="F147" i="11"/>
  <c r="F143" i="11"/>
  <c r="G143" i="11"/>
  <c r="T138" i="11"/>
  <c r="F138" i="11"/>
  <c r="T148" i="11"/>
  <c r="T139" i="11"/>
  <c r="T146" i="11"/>
  <c r="T144" i="11"/>
  <c r="T142" i="11"/>
  <c r="T141" i="11"/>
  <c r="T145" i="11"/>
  <c r="G137" i="11"/>
  <c r="T140" i="11"/>
  <c r="T147" i="11"/>
  <c r="G138" i="11"/>
  <c r="G144" i="11"/>
  <c r="F142" i="11"/>
  <c r="G142" i="11"/>
  <c r="K144" i="9"/>
  <c r="O144" i="9"/>
  <c r="O140" i="9"/>
  <c r="K146" i="9"/>
  <c r="J146" i="9"/>
  <c r="H137" i="9"/>
  <c r="X142" i="9" s="1"/>
  <c r="P137" i="9"/>
  <c r="Q5" i="9"/>
  <c r="E9" i="9"/>
  <c r="U15" i="9" s="1"/>
  <c r="Q15" i="9"/>
  <c r="M6" i="9"/>
  <c r="M5" i="9"/>
  <c r="O146" i="9"/>
  <c r="N146" i="9"/>
  <c r="I12" i="9"/>
  <c r="Y123" i="9"/>
  <c r="M13" i="9"/>
  <c r="AC13" i="9" s="1"/>
  <c r="Q11" i="9"/>
  <c r="AG13" i="9" s="1"/>
  <c r="I16" i="9"/>
  <c r="K138" i="9"/>
  <c r="J138" i="9"/>
  <c r="O143" i="9"/>
  <c r="N143" i="9"/>
  <c r="Q12" i="9"/>
  <c r="E13" i="9"/>
  <c r="Q6" i="9"/>
  <c r="N138" i="9"/>
  <c r="O138" i="9"/>
  <c r="S143" i="9"/>
  <c r="R143" i="9"/>
  <c r="S138" i="9"/>
  <c r="R138" i="9"/>
  <c r="G143" i="9"/>
  <c r="F143" i="9"/>
  <c r="O141" i="9"/>
  <c r="N141" i="9"/>
  <c r="G139" i="9"/>
  <c r="F139" i="9"/>
  <c r="G138" i="9"/>
  <c r="F138" i="9"/>
  <c r="K143" i="9"/>
  <c r="J143" i="9"/>
  <c r="R141" i="9"/>
  <c r="S141" i="9"/>
  <c r="S139" i="9"/>
  <c r="R139" i="9"/>
  <c r="K142" i="9"/>
  <c r="J142" i="9"/>
  <c r="K145" i="9"/>
  <c r="J145" i="9"/>
  <c r="G141" i="9"/>
  <c r="F141" i="9"/>
  <c r="G147" i="9"/>
  <c r="F147" i="9"/>
  <c r="K139" i="9"/>
  <c r="J139" i="9"/>
  <c r="G142" i="9"/>
  <c r="F142" i="9"/>
  <c r="S145" i="9"/>
  <c r="R145" i="9"/>
  <c r="K141" i="9"/>
  <c r="J141" i="9"/>
  <c r="J147" i="9"/>
  <c r="K147" i="9"/>
  <c r="N139" i="9"/>
  <c r="O139" i="9"/>
  <c r="E8" i="9"/>
  <c r="O142" i="9"/>
  <c r="N142" i="9"/>
  <c r="O145" i="9"/>
  <c r="N145" i="9"/>
  <c r="O147" i="9"/>
  <c r="N147" i="9"/>
  <c r="G140" i="9"/>
  <c r="I6" i="9"/>
  <c r="S140" i="9"/>
  <c r="R142" i="9"/>
  <c r="S142" i="9"/>
  <c r="F145" i="9"/>
  <c r="G145" i="9"/>
  <c r="S147" i="9"/>
  <c r="R147" i="9"/>
  <c r="AB139" i="9"/>
  <c r="T147" i="9"/>
  <c r="T139" i="9"/>
  <c r="T144" i="9"/>
  <c r="T140" i="9"/>
  <c r="T145" i="9"/>
  <c r="AB145" i="9"/>
  <c r="AB142" i="9"/>
  <c r="T143" i="9"/>
  <c r="U143" i="9"/>
  <c r="Y145" i="9"/>
  <c r="U148" i="9"/>
  <c r="AG147" i="9"/>
  <c r="U141" i="9"/>
  <c r="AC144" i="9"/>
  <c r="X146" i="9"/>
  <c r="AB140" i="9"/>
  <c r="AG137" i="9"/>
  <c r="Y144" i="9"/>
  <c r="AG146" i="9"/>
  <c r="AC143" i="9"/>
  <c r="AG145" i="9"/>
  <c r="AB143" i="9"/>
  <c r="U144" i="9"/>
  <c r="T142" i="9"/>
  <c r="AG142" i="9"/>
  <c r="AG140" i="9"/>
  <c r="Y147" i="9"/>
  <c r="U140" i="9"/>
  <c r="Y138" i="9"/>
  <c r="AC139" i="9"/>
  <c r="AG139" i="9"/>
  <c r="T138" i="9"/>
  <c r="T141" i="9"/>
  <c r="U146" i="9"/>
  <c r="X147" i="9"/>
  <c r="X137" i="9"/>
  <c r="X141" i="9"/>
  <c r="U137" i="9"/>
  <c r="Y148" i="9"/>
  <c r="Y140" i="9"/>
  <c r="AB137" i="9"/>
  <c r="AB144" i="9"/>
  <c r="AB141" i="9"/>
  <c r="AC138" i="9"/>
  <c r="AB138" i="9"/>
  <c r="AB147" i="9"/>
  <c r="AF141" i="9"/>
  <c r="U138" i="9"/>
  <c r="Y146" i="9"/>
  <c r="AG141" i="9"/>
  <c r="Y142" i="9"/>
  <c r="AB148" i="9"/>
  <c r="AE148" i="9" s="1"/>
  <c r="U145" i="9"/>
  <c r="AC145" i="9"/>
  <c r="AD145" i="9" s="1"/>
  <c r="AC142" i="9"/>
  <c r="AF148" i="9"/>
  <c r="AI148" i="9" s="1"/>
  <c r="T148" i="9"/>
  <c r="W148" i="9" s="1"/>
  <c r="AG138" i="9"/>
  <c r="AC141" i="9"/>
  <c r="T146" i="9"/>
  <c r="AC137" i="9"/>
  <c r="U139" i="9"/>
  <c r="Y137" i="9"/>
  <c r="Y143" i="9"/>
  <c r="AC140" i="9"/>
  <c r="AG148" i="9"/>
  <c r="Y141" i="9"/>
  <c r="AB146" i="9"/>
  <c r="X138" i="9"/>
  <c r="Y139" i="9"/>
  <c r="AC148" i="9"/>
  <c r="AG144" i="9"/>
  <c r="AG143" i="9"/>
  <c r="AC146" i="9"/>
  <c r="AD146" i="9" s="1"/>
  <c r="U142" i="9"/>
  <c r="U147" i="9"/>
  <c r="AC147" i="9"/>
  <c r="E12" i="9"/>
  <c r="Q7" i="9"/>
  <c r="Q8" i="9"/>
  <c r="AG15" i="9" s="1"/>
  <c r="I13" i="9"/>
  <c r="I15" i="9"/>
  <c r="S146" i="9"/>
  <c r="R146" i="9"/>
  <c r="G144" i="9"/>
  <c r="I5" i="9"/>
  <c r="Y7" i="9" s="1"/>
  <c r="M14" i="9"/>
  <c r="I9" i="9"/>
  <c r="Y13" i="9" s="1"/>
  <c r="E10" i="9"/>
  <c r="E15" i="9"/>
  <c r="S144" i="9"/>
  <c r="G146" i="9"/>
  <c r="F146" i="9"/>
  <c r="K140" i="9"/>
  <c r="U123" i="9"/>
  <c r="AG84" i="9"/>
  <c r="AG39" i="9"/>
  <c r="AG51" i="9"/>
  <c r="AC73" i="9"/>
  <c r="U108" i="9"/>
  <c r="U62" i="9"/>
  <c r="U61" i="9"/>
  <c r="AG119" i="9"/>
  <c r="Y83" i="9"/>
  <c r="AG33" i="9"/>
  <c r="Y26" i="9"/>
  <c r="U72" i="9"/>
  <c r="Y47" i="9"/>
  <c r="U83" i="9"/>
  <c r="U59" i="9"/>
  <c r="AC83" i="9"/>
  <c r="AC97" i="9"/>
  <c r="U133" i="9"/>
  <c r="U71" i="9"/>
  <c r="AC119" i="9"/>
  <c r="AG133" i="9"/>
  <c r="AG61" i="9"/>
  <c r="Y131" i="9"/>
  <c r="AC33" i="9"/>
  <c r="Y95" i="9"/>
  <c r="U28" i="9"/>
  <c r="Y27" i="9"/>
  <c r="AG70" i="9"/>
  <c r="AC105" i="9"/>
  <c r="Y105" i="9"/>
  <c r="AG21" i="9"/>
  <c r="Y44" i="9"/>
  <c r="Y24" i="9"/>
  <c r="Y92" i="9"/>
  <c r="U121" i="9"/>
  <c r="Y39" i="9"/>
  <c r="AC75" i="9"/>
  <c r="AC49" i="9"/>
  <c r="AC135" i="9"/>
  <c r="AC72" i="9"/>
  <c r="AG44" i="9"/>
  <c r="AC44" i="9"/>
  <c r="Y96" i="9"/>
  <c r="AG106" i="9"/>
  <c r="Y23" i="9"/>
  <c r="AC21" i="9"/>
  <c r="U47" i="9"/>
  <c r="U118" i="9"/>
  <c r="U70" i="9"/>
  <c r="AG98" i="9"/>
  <c r="AG87" i="9"/>
  <c r="U84" i="9"/>
  <c r="U48" i="9"/>
  <c r="AC37" i="9"/>
  <c r="AG80" i="9"/>
  <c r="AC92" i="9"/>
  <c r="Y58" i="9"/>
  <c r="AC23" i="9"/>
  <c r="Y80" i="9"/>
  <c r="Y119" i="9"/>
  <c r="AG130" i="9"/>
  <c r="U128" i="9"/>
  <c r="Y97" i="9"/>
  <c r="Y5" i="9"/>
  <c r="Y6" i="9"/>
  <c r="Y12" i="9"/>
  <c r="U111" i="9"/>
  <c r="AC74" i="9"/>
  <c r="Y134" i="9"/>
  <c r="Y63" i="9"/>
  <c r="AC62" i="9"/>
  <c r="U58" i="9"/>
  <c r="Y118" i="9"/>
  <c r="AC69" i="9"/>
  <c r="U120" i="9"/>
  <c r="AG45" i="9"/>
  <c r="U99" i="9"/>
  <c r="AG36" i="9"/>
  <c r="U74" i="9"/>
  <c r="AC123" i="9"/>
  <c r="AC134" i="9"/>
  <c r="AG48" i="9"/>
  <c r="AG20" i="9"/>
  <c r="AC95" i="9"/>
  <c r="AC24" i="9"/>
  <c r="AG97" i="9"/>
  <c r="AC84" i="9"/>
  <c r="Y82" i="9"/>
  <c r="Y81" i="9"/>
  <c r="Y71" i="9"/>
  <c r="U36" i="9"/>
  <c r="AC36" i="9"/>
  <c r="U33" i="9"/>
  <c r="U131" i="9"/>
  <c r="AC82" i="9"/>
  <c r="U34" i="9"/>
  <c r="AC47" i="9"/>
  <c r="AC60" i="9"/>
  <c r="Y59" i="9"/>
  <c r="AC71" i="9"/>
  <c r="U119" i="9"/>
  <c r="AC34" i="9"/>
  <c r="AC28" i="9"/>
  <c r="AC128" i="9"/>
  <c r="AG22" i="9"/>
  <c r="AG23" i="9"/>
  <c r="Y21" i="9"/>
  <c r="AC129" i="9"/>
  <c r="Y116" i="9"/>
  <c r="AC40" i="9"/>
  <c r="U40" i="9"/>
  <c r="AG40" i="9"/>
  <c r="Y40" i="9"/>
  <c r="U38" i="9"/>
  <c r="AG110" i="9"/>
  <c r="Y85" i="9"/>
  <c r="U86" i="9"/>
  <c r="AC108" i="9"/>
  <c r="AG50" i="9"/>
  <c r="AG37" i="9"/>
  <c r="AG38" i="9"/>
  <c r="Y60" i="9"/>
  <c r="AC110" i="9"/>
  <c r="AG86" i="9"/>
  <c r="AC121" i="9"/>
  <c r="Y50" i="9"/>
  <c r="Y36" i="9"/>
  <c r="AG132" i="9"/>
  <c r="AG73" i="9"/>
  <c r="AG49" i="9"/>
  <c r="Y38" i="9"/>
  <c r="U110" i="9"/>
  <c r="Y86" i="9"/>
  <c r="AC48" i="9"/>
  <c r="U49" i="9"/>
  <c r="AC50" i="9"/>
  <c r="Y37" i="9"/>
  <c r="AC38" i="9"/>
  <c r="Y110" i="9"/>
  <c r="Y48" i="9"/>
  <c r="AC86" i="9"/>
  <c r="U73" i="9"/>
  <c r="U50" i="9"/>
  <c r="Y75" i="9"/>
  <c r="Y76" i="9"/>
  <c r="AC76" i="9"/>
  <c r="U76" i="9"/>
  <c r="AG76" i="9"/>
  <c r="Y135" i="9"/>
  <c r="AG136" i="9"/>
  <c r="Y136" i="9"/>
  <c r="AC136" i="9"/>
  <c r="U136" i="9"/>
  <c r="Y77" i="9"/>
  <c r="AG113" i="9"/>
  <c r="AG53" i="9"/>
  <c r="Y125" i="9"/>
  <c r="U101" i="9"/>
  <c r="Y65" i="9"/>
  <c r="AC29" i="9"/>
  <c r="AC65" i="9"/>
  <c r="U41" i="9"/>
  <c r="AC89" i="9"/>
  <c r="Y41" i="9"/>
  <c r="AG101" i="9"/>
  <c r="U53" i="9"/>
  <c r="AG125" i="9"/>
  <c r="U125" i="9"/>
  <c r="U89" i="9"/>
  <c r="AC53" i="9"/>
  <c r="AC113" i="9"/>
  <c r="Y53" i="9"/>
  <c r="U17" i="9"/>
  <c r="AC77" i="9"/>
  <c r="AG42" i="9"/>
  <c r="AG89" i="9"/>
  <c r="AC102" i="9"/>
  <c r="Y54" i="9"/>
  <c r="AG41" i="9"/>
  <c r="AC101" i="9"/>
  <c r="AG54" i="9"/>
  <c r="Y126" i="9"/>
  <c r="Y113" i="9"/>
  <c r="Y78" i="9"/>
  <c r="AC125" i="9"/>
  <c r="AG77" i="9"/>
  <c r="Y18" i="9"/>
  <c r="U113" i="9"/>
  <c r="AC54" i="9"/>
  <c r="Y89" i="9"/>
  <c r="Y90" i="9"/>
  <c r="AC126" i="9"/>
  <c r="AG65" i="9"/>
  <c r="AC42" i="9"/>
  <c r="AG102" i="9"/>
  <c r="AC17" i="9"/>
  <c r="AG66" i="9"/>
  <c r="U54" i="9"/>
  <c r="AG18" i="9"/>
  <c r="AC30" i="9"/>
  <c r="U126" i="9"/>
  <c r="U102" i="9"/>
  <c r="AG29" i="9"/>
  <c r="U77" i="9"/>
  <c r="Y29" i="9"/>
  <c r="Y66" i="9"/>
  <c r="Y114" i="9"/>
  <c r="Y101" i="9"/>
  <c r="Y17" i="9"/>
  <c r="AC78" i="9"/>
  <c r="AC18" i="9"/>
  <c r="AC41" i="9"/>
  <c r="AC19" i="9"/>
  <c r="U65" i="9"/>
  <c r="AG17" i="9"/>
  <c r="Y102" i="9"/>
  <c r="U66" i="9"/>
  <c r="U42" i="9"/>
  <c r="U90" i="9"/>
  <c r="U29" i="9"/>
  <c r="AG78" i="9"/>
  <c r="AG114" i="9"/>
  <c r="U67" i="9"/>
  <c r="AG79" i="9"/>
  <c r="AG43" i="9"/>
  <c r="AG67" i="9"/>
  <c r="AG19" i="9"/>
  <c r="AG91" i="9"/>
  <c r="AC91" i="9"/>
  <c r="AC114" i="9"/>
  <c r="Y67" i="9"/>
  <c r="U55" i="9"/>
  <c r="AG30" i="9"/>
  <c r="AC90" i="9"/>
  <c r="AC43" i="9"/>
  <c r="AG31" i="9"/>
  <c r="U91" i="9"/>
  <c r="Y103" i="9"/>
  <c r="U114" i="9"/>
  <c r="U78" i="9"/>
  <c r="U103" i="9"/>
  <c r="U127" i="9"/>
  <c r="Y20" i="9"/>
  <c r="U19" i="9"/>
  <c r="Y91" i="9"/>
  <c r="Y127" i="9"/>
  <c r="AG55" i="9"/>
  <c r="U115" i="9"/>
  <c r="AC67" i="9"/>
  <c r="Y79" i="9"/>
  <c r="AC103" i="9"/>
  <c r="AG115" i="9"/>
  <c r="AC20" i="9"/>
  <c r="Y43" i="9"/>
  <c r="Y19" i="9"/>
  <c r="Y30" i="9"/>
  <c r="AC127" i="9"/>
  <c r="U43" i="9"/>
  <c r="Y42" i="9"/>
  <c r="AC55" i="9"/>
  <c r="Y55" i="9"/>
  <c r="U31" i="9"/>
  <c r="U79" i="9"/>
  <c r="AC66" i="9"/>
  <c r="U18" i="9"/>
  <c r="AG126" i="9"/>
  <c r="AG103" i="9"/>
  <c r="AG127" i="9"/>
  <c r="AC115" i="9"/>
  <c r="Y115" i="9"/>
  <c r="U30" i="9"/>
  <c r="AG90" i="9"/>
  <c r="AC31" i="9"/>
  <c r="AG62" i="9"/>
  <c r="AG47" i="9"/>
  <c r="AG92" i="9"/>
  <c r="U68" i="9"/>
  <c r="AG96" i="9"/>
  <c r="AC70" i="9"/>
  <c r="AG57" i="9"/>
  <c r="AG25" i="9"/>
  <c r="Y68" i="9"/>
  <c r="AC130" i="9"/>
  <c r="AC85" i="9"/>
  <c r="U87" i="9"/>
  <c r="Y74" i="9"/>
  <c r="AG134" i="9"/>
  <c r="Y62" i="9"/>
  <c r="Y94" i="9"/>
  <c r="AC118" i="9"/>
  <c r="AG46" i="9"/>
  <c r="U130" i="9"/>
  <c r="AG81" i="9"/>
  <c r="U106" i="9"/>
  <c r="AC58" i="9"/>
  <c r="AC98" i="9"/>
  <c r="AC111" i="9"/>
  <c r="Y121" i="9"/>
  <c r="U107" i="9"/>
  <c r="U63" i="9"/>
  <c r="AG27" i="9"/>
  <c r="AG32" i="9"/>
  <c r="AG116" i="9"/>
  <c r="U57" i="9"/>
  <c r="AG69" i="9"/>
  <c r="AC117" i="9"/>
  <c r="AG56" i="9"/>
  <c r="Y56" i="9"/>
  <c r="Y93" i="9"/>
  <c r="AC99" i="9"/>
  <c r="AC5" i="9"/>
  <c r="AC6" i="9"/>
  <c r="AC7" i="9"/>
  <c r="AC8" i="9"/>
  <c r="AC9" i="9"/>
  <c r="AC10" i="9"/>
  <c r="AC11" i="9"/>
  <c r="AC12" i="9"/>
  <c r="AC51" i="9"/>
  <c r="AG52" i="9"/>
  <c r="Y52" i="9"/>
  <c r="AC52" i="9"/>
  <c r="U52" i="9"/>
  <c r="AG124" i="9"/>
  <c r="Y124" i="9"/>
  <c r="U124" i="9"/>
  <c r="AC124" i="9"/>
  <c r="Y73" i="9"/>
  <c r="AG109" i="9"/>
  <c r="U24" i="9"/>
  <c r="AG24" i="9"/>
  <c r="Y35" i="9"/>
  <c r="AC131" i="9"/>
  <c r="AG72" i="9"/>
  <c r="AC61" i="9"/>
  <c r="U82" i="9"/>
  <c r="U95" i="9"/>
  <c r="U20" i="9"/>
  <c r="AG34" i="9"/>
  <c r="AC132" i="9"/>
  <c r="AC109" i="9"/>
  <c r="Y31" i="9"/>
  <c r="U35" i="9"/>
  <c r="AC133" i="9"/>
  <c r="Y34" i="9"/>
  <c r="AC79" i="9"/>
  <c r="Y107" i="9"/>
  <c r="AC22" i="9"/>
  <c r="AC26" i="9"/>
  <c r="Y28" i="9"/>
  <c r="U23" i="9"/>
  <c r="U32" i="9"/>
  <c r="U60" i="9"/>
  <c r="AC80" i="9"/>
  <c r="Y57" i="9"/>
  <c r="AC57" i="9"/>
  <c r="AG118" i="9"/>
  <c r="Y98" i="9"/>
  <c r="U39" i="9"/>
  <c r="AG75" i="9"/>
  <c r="AG74" i="9"/>
  <c r="AG135" i="9"/>
  <c r="U134" i="9"/>
  <c r="AC27" i="9"/>
  <c r="AG117" i="9"/>
  <c r="AC25" i="9"/>
  <c r="AG93" i="9"/>
  <c r="Y45" i="9"/>
  <c r="AG107" i="9"/>
  <c r="Y22" i="9"/>
  <c r="U94" i="9"/>
  <c r="AC68" i="9"/>
  <c r="AC93" i="9"/>
  <c r="U132" i="9"/>
  <c r="AC87" i="9"/>
  <c r="Y84" i="9"/>
  <c r="U85" i="9"/>
  <c r="U27" i="9"/>
  <c r="Y32" i="9"/>
  <c r="U56" i="9"/>
  <c r="Y120" i="9"/>
  <c r="AG94" i="9"/>
  <c r="AC96" i="9"/>
  <c r="U45" i="9"/>
  <c r="U5" i="9"/>
  <c r="U6" i="9"/>
  <c r="U7" i="9"/>
  <c r="U8" i="9"/>
  <c r="AG5" i="9"/>
  <c r="AG6" i="9"/>
  <c r="AG7" i="9"/>
  <c r="AG14" i="9"/>
  <c r="Y111" i="9"/>
  <c r="Y112" i="9"/>
  <c r="AC112" i="9"/>
  <c r="U112" i="9"/>
  <c r="AG112" i="9"/>
  <c r="AC122" i="9"/>
  <c r="AG121" i="9"/>
  <c r="AC63" i="9"/>
  <c r="U69" i="9"/>
  <c r="Y33" i="9"/>
  <c r="Y128" i="9"/>
  <c r="AC120" i="9"/>
  <c r="Y70" i="9"/>
  <c r="Y129" i="9"/>
  <c r="AG104" i="9"/>
  <c r="AC94" i="9"/>
  <c r="Y99" i="9"/>
  <c r="Y100" i="9"/>
  <c r="AG100" i="9"/>
  <c r="AC100" i="9"/>
  <c r="U100" i="9"/>
  <c r="U51" i="9"/>
  <c r="AG85" i="9"/>
  <c r="AG123" i="9"/>
  <c r="U122" i="9"/>
  <c r="Y49" i="9"/>
  <c r="AG108" i="9"/>
  <c r="AG71" i="9"/>
  <c r="AG35" i="9"/>
  <c r="AC59" i="9"/>
  <c r="Y133" i="9"/>
  <c r="AG59" i="9"/>
  <c r="U81" i="9"/>
  <c r="AG131" i="9"/>
  <c r="AG95" i="9"/>
  <c r="AG26" i="9"/>
  <c r="U109" i="9"/>
  <c r="Y61" i="9"/>
  <c r="AC35" i="9"/>
  <c r="AG83" i="9"/>
  <c r="U26" i="9"/>
  <c r="Y109" i="9"/>
  <c r="AC81" i="9"/>
  <c r="AG82" i="9"/>
  <c r="U97" i="9"/>
  <c r="AG28" i="9"/>
  <c r="U105" i="9"/>
  <c r="U80" i="9"/>
  <c r="AG58" i="9"/>
  <c r="AC107" i="9"/>
  <c r="U104" i="9"/>
  <c r="U129" i="9"/>
  <c r="AC56" i="9"/>
  <c r="Y108" i="9"/>
  <c r="AC39" i="9"/>
  <c r="U75" i="9"/>
  <c r="AG122" i="9"/>
  <c r="U135" i="9"/>
  <c r="Y72" i="9"/>
  <c r="Y130" i="9"/>
  <c r="U46" i="9"/>
  <c r="AC32" i="9"/>
  <c r="AC45" i="9"/>
  <c r="AC106" i="9"/>
  <c r="Y46" i="9"/>
  <c r="AG68" i="9"/>
  <c r="U96" i="9"/>
  <c r="Y87" i="9"/>
  <c r="Y88" i="9"/>
  <c r="AG88" i="9"/>
  <c r="AC88" i="9"/>
  <c r="U88" i="9"/>
  <c r="Y122" i="9"/>
  <c r="AG60" i="9"/>
  <c r="Y104" i="9"/>
  <c r="AC104" i="9"/>
  <c r="AG128" i="9"/>
  <c r="AG120" i="9"/>
  <c r="AG129" i="9"/>
  <c r="U117" i="9"/>
  <c r="U21" i="9"/>
  <c r="U44" i="9"/>
  <c r="AC116" i="9"/>
  <c r="AG105" i="9"/>
  <c r="AG111" i="9"/>
  <c r="Y132" i="9"/>
  <c r="U37" i="9"/>
  <c r="AG63" i="9"/>
  <c r="U64" i="9"/>
  <c r="AG64" i="9"/>
  <c r="Y64" i="9"/>
  <c r="AC64" i="9"/>
  <c r="Y106" i="9"/>
  <c r="U116" i="9"/>
  <c r="U92" i="9"/>
  <c r="U93" i="9"/>
  <c r="U25" i="9"/>
  <c r="Y117" i="9"/>
  <c r="AC46" i="9"/>
  <c r="U22" i="9"/>
  <c r="Y69" i="9"/>
  <c r="AG99" i="9"/>
  <c r="U98" i="9"/>
  <c r="Y51" i="9"/>
  <c r="Y25" i="9"/>
  <c r="H46" i="3"/>
  <c r="P62" i="3"/>
  <c r="P46" i="3"/>
  <c r="H30" i="4"/>
  <c r="P30" i="4"/>
  <c r="P30" i="3"/>
  <c r="AF138" i="9" l="1"/>
  <c r="AH138" i="9" s="1"/>
  <c r="P137" i="11"/>
  <c r="AF143" i="9"/>
  <c r="AH143" i="9" s="1"/>
  <c r="AF140" i="9"/>
  <c r="AH140" i="9" s="1"/>
  <c r="AF147" i="9"/>
  <c r="AH147" i="9" s="1"/>
  <c r="AF137" i="9"/>
  <c r="AH137" i="9" s="1"/>
  <c r="AH141" i="9"/>
  <c r="AH148" i="9"/>
  <c r="AF146" i="9"/>
  <c r="AH146" i="9" s="1"/>
  <c r="AF145" i="9"/>
  <c r="AH145" i="9" s="1"/>
  <c r="Z137" i="9"/>
  <c r="Z142" i="9"/>
  <c r="X144" i="9"/>
  <c r="Z144" i="9" s="1"/>
  <c r="Z146" i="9"/>
  <c r="X139" i="9"/>
  <c r="AA138" i="9" s="1"/>
  <c r="X145" i="9"/>
  <c r="Z145" i="9" s="1"/>
  <c r="X143" i="9"/>
  <c r="Z143" i="9" s="1"/>
  <c r="H137" i="11"/>
  <c r="X140" i="9"/>
  <c r="Z140" i="9" s="1"/>
  <c r="X148" i="9"/>
  <c r="AA148" i="9" s="1"/>
  <c r="Z141" i="9"/>
  <c r="V141" i="11"/>
  <c r="W141" i="11"/>
  <c r="V142" i="11"/>
  <c r="W142" i="11"/>
  <c r="W144" i="11"/>
  <c r="V144" i="11"/>
  <c r="V146" i="11"/>
  <c r="W146" i="11"/>
  <c r="W137" i="11"/>
  <c r="V139" i="11"/>
  <c r="W139" i="11"/>
  <c r="W145" i="11"/>
  <c r="V145" i="11"/>
  <c r="V145" i="9"/>
  <c r="V148" i="11"/>
  <c r="W148" i="11"/>
  <c r="V138" i="11"/>
  <c r="W138" i="11"/>
  <c r="V143" i="11"/>
  <c r="W143" i="11"/>
  <c r="W147" i="11"/>
  <c r="V147" i="11"/>
  <c r="W140" i="11"/>
  <c r="V140" i="11"/>
  <c r="AD148" i="9"/>
  <c r="AE146" i="9"/>
  <c r="AD147" i="9"/>
  <c r="AD142" i="9"/>
  <c r="AD140" i="9"/>
  <c r="AD143" i="9"/>
  <c r="AD139" i="9"/>
  <c r="Y8" i="9"/>
  <c r="U14" i="9"/>
  <c r="U13" i="9"/>
  <c r="AE137" i="9"/>
  <c r="Z138" i="9"/>
  <c r="W147" i="9"/>
  <c r="Z147" i="9"/>
  <c r="AF144" i="9"/>
  <c r="AH144" i="9" s="1"/>
  <c r="AD141" i="9"/>
  <c r="AF139" i="9"/>
  <c r="AH139" i="9" s="1"/>
  <c r="AF142" i="9"/>
  <c r="V143" i="9"/>
  <c r="V141" i="9"/>
  <c r="V142" i="9"/>
  <c r="W139" i="9"/>
  <c r="V140" i="9"/>
  <c r="W143" i="9"/>
  <c r="V138" i="9"/>
  <c r="AG12" i="9"/>
  <c r="U12" i="9"/>
  <c r="Y10" i="9"/>
  <c r="AD137" i="9"/>
  <c r="AE139" i="9"/>
  <c r="AG11" i="9"/>
  <c r="U11" i="9"/>
  <c r="Y9" i="9"/>
  <c r="W146" i="9"/>
  <c r="V137" i="9"/>
  <c r="AE140" i="9"/>
  <c r="AE142" i="9"/>
  <c r="S137" i="9"/>
  <c r="R137" i="9"/>
  <c r="AG10" i="9"/>
  <c r="U10" i="9"/>
  <c r="AC16" i="9"/>
  <c r="F137" i="9"/>
  <c r="G137" i="9"/>
  <c r="AG9" i="9"/>
  <c r="U9" i="9"/>
  <c r="AC15" i="9"/>
  <c r="AD144" i="9"/>
  <c r="K137" i="9"/>
  <c r="J137" i="9"/>
  <c r="AG8" i="9"/>
  <c r="AC14" i="9"/>
  <c r="AE147" i="9"/>
  <c r="AE145" i="9"/>
  <c r="O137" i="9"/>
  <c r="N137" i="9"/>
  <c r="V146" i="9"/>
  <c r="W142" i="9"/>
  <c r="V139" i="9"/>
  <c r="Y16" i="9"/>
  <c r="AE138" i="9"/>
  <c r="V144" i="9"/>
  <c r="W145" i="9"/>
  <c r="Y15" i="9"/>
  <c r="V147" i="9"/>
  <c r="AD138" i="9"/>
  <c r="W141" i="9"/>
  <c r="AE143" i="9"/>
  <c r="V148" i="9"/>
  <c r="W140" i="9"/>
  <c r="AG16" i="9"/>
  <c r="U16" i="9"/>
  <c r="Y14" i="9"/>
  <c r="AE141" i="9"/>
  <c r="W138" i="9"/>
  <c r="Y11" i="9"/>
  <c r="W137" i="9"/>
  <c r="AE144" i="9"/>
  <c r="W144" i="9"/>
  <c r="H29" i="4"/>
  <c r="H45" i="3"/>
  <c r="P61" i="4"/>
  <c r="P61" i="3"/>
  <c r="P29" i="4"/>
  <c r="P29" i="3"/>
  <c r="P45" i="3"/>
  <c r="AI140" i="9" l="1"/>
  <c r="AI145" i="9"/>
  <c r="AI138" i="9"/>
  <c r="AI143" i="9"/>
  <c r="AI147" i="9"/>
  <c r="S137" i="11"/>
  <c r="R137" i="11"/>
  <c r="AF142" i="11"/>
  <c r="AF143" i="11"/>
  <c r="AF138" i="11"/>
  <c r="AF147" i="11"/>
  <c r="AF141" i="11"/>
  <c r="AF146" i="11"/>
  <c r="AF145" i="11"/>
  <c r="AF139" i="11"/>
  <c r="AF137" i="11"/>
  <c r="AF144" i="11"/>
  <c r="AF140" i="11"/>
  <c r="AF148" i="11"/>
  <c r="AI146" i="9"/>
  <c r="AI142" i="9"/>
  <c r="AI144" i="9"/>
  <c r="AI141" i="9"/>
  <c r="Z139" i="9"/>
  <c r="AA146" i="9"/>
  <c r="J137" i="11"/>
  <c r="X138" i="11"/>
  <c r="X137" i="11"/>
  <c r="X139" i="11"/>
  <c r="X148" i="11"/>
  <c r="X144" i="11"/>
  <c r="X145" i="11"/>
  <c r="K137" i="11"/>
  <c r="X140" i="11"/>
  <c r="X147" i="11"/>
  <c r="X141" i="11"/>
  <c r="X142" i="11"/>
  <c r="X146" i="11"/>
  <c r="X143" i="11"/>
  <c r="Z148" i="9"/>
  <c r="AA140" i="9"/>
  <c r="AA137" i="9"/>
  <c r="AA144" i="9"/>
  <c r="AA143" i="9"/>
  <c r="AA139" i="9"/>
  <c r="AA145" i="9"/>
  <c r="AA142" i="9"/>
  <c r="AA141" i="9"/>
  <c r="AA147" i="9"/>
  <c r="AI139" i="9"/>
  <c r="AH142" i="9"/>
  <c r="AI137" i="9"/>
  <c r="H79" i="4"/>
  <c r="H78" i="4"/>
  <c r="H77" i="4"/>
  <c r="H76" i="4"/>
  <c r="H75" i="4"/>
  <c r="H74" i="4"/>
  <c r="H72" i="4"/>
  <c r="H70" i="4"/>
  <c r="P63" i="4"/>
  <c r="P62" i="4"/>
  <c r="P60" i="4"/>
  <c r="H63" i="4"/>
  <c r="H62" i="4"/>
  <c r="H61" i="4"/>
  <c r="H60" i="4"/>
  <c r="H59" i="4"/>
  <c r="H58" i="4"/>
  <c r="H57" i="4"/>
  <c r="H56" i="4"/>
  <c r="H55" i="4"/>
  <c r="H54" i="4"/>
  <c r="P47" i="4"/>
  <c r="P46" i="4"/>
  <c r="P45" i="4"/>
  <c r="P44" i="4"/>
  <c r="H28" i="4"/>
  <c r="P15" i="4"/>
  <c r="P14" i="4"/>
  <c r="P13" i="4"/>
  <c r="P12" i="4"/>
  <c r="P11" i="4"/>
  <c r="P10" i="4"/>
  <c r="P9" i="4"/>
  <c r="P8" i="4"/>
  <c r="P7" i="4"/>
  <c r="P6" i="4"/>
  <c r="P5" i="4"/>
  <c r="P4" i="4"/>
  <c r="H78" i="3"/>
  <c r="H77" i="3"/>
  <c r="H63" i="3"/>
  <c r="H62" i="3"/>
  <c r="H61" i="3"/>
  <c r="H60" i="3"/>
  <c r="P15" i="3"/>
  <c r="P14" i="3"/>
  <c r="P13" i="3"/>
  <c r="P12" i="3"/>
  <c r="P11" i="3"/>
  <c r="P10" i="3"/>
  <c r="P9" i="3"/>
  <c r="P8" i="3"/>
  <c r="P7" i="3"/>
  <c r="P6" i="3"/>
  <c r="P5" i="3"/>
  <c r="P4" i="3"/>
  <c r="AI147" i="11" l="1"/>
  <c r="AH147" i="11"/>
  <c r="AH143" i="11"/>
  <c r="AI143" i="11"/>
  <c r="AH142" i="11"/>
  <c r="AI142" i="11"/>
  <c r="AI148" i="11"/>
  <c r="AH148" i="11"/>
  <c r="AI140" i="11"/>
  <c r="AH140" i="11"/>
  <c r="AH144" i="11"/>
  <c r="AI144" i="11"/>
  <c r="AH137" i="11"/>
  <c r="AI137" i="11"/>
  <c r="AH139" i="11"/>
  <c r="AI139" i="11"/>
  <c r="AH141" i="11"/>
  <c r="AI141" i="11"/>
  <c r="AI145" i="11"/>
  <c r="AH145" i="11"/>
  <c r="AH138" i="11"/>
  <c r="AI138" i="11"/>
  <c r="AH146" i="11"/>
  <c r="AI146" i="11"/>
  <c r="Z140" i="11"/>
  <c r="AA140" i="11"/>
  <c r="Z144" i="11"/>
  <c r="AA144" i="11"/>
  <c r="AA148" i="11"/>
  <c r="Z148" i="11"/>
  <c r="Z139" i="11"/>
  <c r="AA139" i="11"/>
  <c r="Z137" i="11"/>
  <c r="AA137" i="11"/>
  <c r="Z143" i="11"/>
  <c r="AA143" i="11"/>
  <c r="Z138" i="11"/>
  <c r="AA138" i="11"/>
  <c r="AA146" i="11"/>
  <c r="Z146" i="11"/>
  <c r="AA145" i="11"/>
  <c r="Z145" i="11"/>
  <c r="AA142" i="11"/>
  <c r="Z142" i="11"/>
  <c r="AA147" i="11"/>
  <c r="Z147" i="11"/>
  <c r="Z141" i="11"/>
  <c r="AA141" i="11"/>
  <c r="U20" i="3"/>
  <c r="V20" i="3" s="1"/>
  <c r="U21" i="3" l="1"/>
  <c r="V21" i="3" s="1"/>
  <c r="U79" i="1"/>
  <c r="V79" i="1" s="1"/>
  <c r="U78" i="1"/>
  <c r="V78" i="1" s="1"/>
  <c r="U76" i="1"/>
  <c r="V76" i="1" s="1"/>
  <c r="U68" i="1"/>
  <c r="V68" i="1" s="1"/>
  <c r="U77" i="1" l="1"/>
  <c r="V77" i="1" s="1"/>
  <c r="U69" i="1"/>
  <c r="V69" i="1" s="1"/>
  <c r="U70" i="1"/>
  <c r="V70" i="1" s="1"/>
  <c r="U79" i="4"/>
  <c r="V79" i="4" s="1"/>
  <c r="S79" i="4"/>
  <c r="T79" i="4" s="1"/>
  <c r="U78" i="4"/>
  <c r="V78" i="4" s="1"/>
  <c r="S78" i="4"/>
  <c r="T78" i="4" s="1"/>
  <c r="S77" i="4"/>
  <c r="T77" i="4" s="1"/>
  <c r="U76" i="4"/>
  <c r="V76" i="4" s="1"/>
  <c r="S76" i="4"/>
  <c r="T76" i="4" s="1"/>
  <c r="U75" i="4"/>
  <c r="V75" i="4" s="1"/>
  <c r="U74" i="4"/>
  <c r="V74" i="4" s="1"/>
  <c r="U73" i="4"/>
  <c r="V73" i="4" s="1"/>
  <c r="U72" i="4"/>
  <c r="V72" i="4" s="1"/>
  <c r="U71" i="4"/>
  <c r="V71" i="4" s="1"/>
  <c r="S70" i="4"/>
  <c r="T70" i="4" s="1"/>
  <c r="S69" i="4"/>
  <c r="T69" i="4" s="1"/>
  <c r="U68" i="4"/>
  <c r="V68" i="4" s="1"/>
  <c r="S68" i="4"/>
  <c r="T68" i="4" s="1"/>
  <c r="S63" i="4"/>
  <c r="T63" i="4" s="1"/>
  <c r="S62" i="4"/>
  <c r="T62" i="4" s="1"/>
  <c r="S61" i="4"/>
  <c r="T61" i="4" s="1"/>
  <c r="S60" i="4"/>
  <c r="T60" i="4" s="1"/>
  <c r="S59" i="4"/>
  <c r="T59" i="4" s="1"/>
  <c r="S58" i="4"/>
  <c r="T58" i="4" s="1"/>
  <c r="S57" i="4"/>
  <c r="T57" i="4" s="1"/>
  <c r="S56" i="4"/>
  <c r="T56" i="4" s="1"/>
  <c r="S55" i="4"/>
  <c r="T55" i="4" s="1"/>
  <c r="S54" i="4"/>
  <c r="T54" i="4" s="1"/>
  <c r="S53" i="4"/>
  <c r="T53" i="4" s="1"/>
  <c r="U52" i="4"/>
  <c r="V52" i="4" s="1"/>
  <c r="S52" i="4"/>
  <c r="T52" i="4" s="1"/>
  <c r="U36" i="4"/>
  <c r="V36" i="4" s="1"/>
  <c r="S36" i="4"/>
  <c r="U20" i="4"/>
  <c r="V20" i="4" s="1"/>
  <c r="S20" i="4"/>
  <c r="U4" i="4"/>
  <c r="V4" i="4" s="1"/>
  <c r="U72" i="3"/>
  <c r="V72" i="3" s="1"/>
  <c r="U73" i="3"/>
  <c r="V73" i="3" s="1"/>
  <c r="U74" i="3"/>
  <c r="V74" i="3" s="1"/>
  <c r="U75" i="3"/>
  <c r="V75" i="3" s="1"/>
  <c r="U76" i="3"/>
  <c r="V76" i="3" s="1"/>
  <c r="U78" i="3"/>
  <c r="V78" i="3" s="1"/>
  <c r="U79" i="3"/>
  <c r="V79" i="3" s="1"/>
  <c r="U68" i="3"/>
  <c r="V68" i="3" s="1"/>
  <c r="S68" i="3"/>
  <c r="S69" i="3" s="1"/>
  <c r="T69" i="3" s="1"/>
  <c r="U52" i="3"/>
  <c r="V52" i="3" s="1"/>
  <c r="S52" i="3"/>
  <c r="U36" i="3"/>
  <c r="V36" i="3" s="1"/>
  <c r="S36" i="3"/>
  <c r="S37" i="3" s="1"/>
  <c r="S20" i="3"/>
  <c r="U77" i="4" l="1"/>
  <c r="V77" i="4" s="1"/>
  <c r="U77" i="3"/>
  <c r="V77" i="3" s="1"/>
  <c r="U69" i="4"/>
  <c r="V69" i="4" s="1"/>
  <c r="U71" i="1"/>
  <c r="U69" i="3"/>
  <c r="V69" i="3" s="1"/>
  <c r="U70" i="4"/>
  <c r="V70" i="4" s="1"/>
  <c r="S21" i="3"/>
  <c r="T21" i="3" s="1"/>
  <c r="S70" i="3"/>
  <c r="T70" i="3" s="1"/>
  <c r="U53" i="3"/>
  <c r="V53" i="3" s="1"/>
  <c r="S38" i="3"/>
  <c r="U37" i="3"/>
  <c r="S53" i="3"/>
  <c r="S21" i="4"/>
  <c r="S71" i="4"/>
  <c r="T71" i="4" s="1"/>
  <c r="T20" i="4"/>
  <c r="T36" i="4"/>
  <c r="S22" i="4"/>
  <c r="T22" i="4" s="1"/>
  <c r="S37" i="4"/>
  <c r="S38" i="4" s="1"/>
  <c r="T38" i="4" s="1"/>
  <c r="U5" i="4"/>
  <c r="V5" i="4" s="1"/>
  <c r="U21" i="4"/>
  <c r="V21" i="4" s="1"/>
  <c r="U37" i="4"/>
  <c r="V37" i="4" s="1"/>
  <c r="U53" i="4"/>
  <c r="V53" i="4" s="1"/>
  <c r="T68" i="3"/>
  <c r="T52" i="3"/>
  <c r="T36" i="3"/>
  <c r="T20" i="3"/>
  <c r="U54" i="3" l="1"/>
  <c r="U55" i="3" s="1"/>
  <c r="V55" i="3" s="1"/>
  <c r="V71" i="1"/>
  <c r="U72" i="1"/>
  <c r="U70" i="3"/>
  <c r="V70" i="3" s="1"/>
  <c r="V37" i="3"/>
  <c r="S22" i="3"/>
  <c r="S39" i="3"/>
  <c r="S71" i="3"/>
  <c r="S72" i="3" s="1"/>
  <c r="T72" i="3" s="1"/>
  <c r="U38" i="3"/>
  <c r="V38" i="3" s="1"/>
  <c r="U22" i="3"/>
  <c r="T37" i="4"/>
  <c r="S54" i="3"/>
  <c r="S72" i="4"/>
  <c r="T72" i="4" s="1"/>
  <c r="T21" i="4"/>
  <c r="T53" i="3"/>
  <c r="U38" i="4"/>
  <c r="U54" i="4"/>
  <c r="S23" i="4"/>
  <c r="U22" i="4"/>
  <c r="U6" i="4"/>
  <c r="S73" i="4"/>
  <c r="T73" i="4" s="1"/>
  <c r="S39" i="4"/>
  <c r="T39" i="4" s="1"/>
  <c r="T38" i="3"/>
  <c r="T37" i="3"/>
  <c r="U56" i="3" l="1"/>
  <c r="V56" i="3" s="1"/>
  <c r="V54" i="3"/>
  <c r="V72" i="1"/>
  <c r="U73" i="1"/>
  <c r="U71" i="3"/>
  <c r="V71" i="3" s="1"/>
  <c r="V22" i="4"/>
  <c r="V38" i="4"/>
  <c r="U39" i="4"/>
  <c r="V39" i="4" s="1"/>
  <c r="V22" i="3"/>
  <c r="S40" i="3"/>
  <c r="V54" i="4"/>
  <c r="T22" i="3"/>
  <c r="S23" i="3"/>
  <c r="S73" i="3"/>
  <c r="T71" i="3"/>
  <c r="U57" i="3"/>
  <c r="V57" i="3" s="1"/>
  <c r="U55" i="4"/>
  <c r="U39" i="3"/>
  <c r="U23" i="3"/>
  <c r="V23" i="3" s="1"/>
  <c r="U23" i="4"/>
  <c r="V23" i="4" s="1"/>
  <c r="S55" i="3"/>
  <c r="T54" i="3"/>
  <c r="S74" i="4"/>
  <c r="T74" i="4" s="1"/>
  <c r="V6" i="4"/>
  <c r="T23" i="4"/>
  <c r="S24" i="4"/>
  <c r="T24" i="4" s="1"/>
  <c r="U40" i="4"/>
  <c r="S40" i="4"/>
  <c r="T39" i="3"/>
  <c r="V73" i="1" l="1"/>
  <c r="U74" i="1"/>
  <c r="U40" i="3"/>
  <c r="V39" i="3"/>
  <c r="V55" i="4"/>
  <c r="S74" i="3"/>
  <c r="T74" i="3" s="1"/>
  <c r="T23" i="3"/>
  <c r="S24" i="3"/>
  <c r="U58" i="3"/>
  <c r="S41" i="3"/>
  <c r="T40" i="3"/>
  <c r="T73" i="3"/>
  <c r="S75" i="3"/>
  <c r="T75" i="3" s="1"/>
  <c r="S25" i="4"/>
  <c r="U56" i="4"/>
  <c r="V56" i="4" s="1"/>
  <c r="U24" i="3"/>
  <c r="U24" i="4"/>
  <c r="S75" i="4"/>
  <c r="T75" i="4" s="1"/>
  <c r="V40" i="4"/>
  <c r="T55" i="3"/>
  <c r="S56" i="3"/>
  <c r="T56" i="3" s="1"/>
  <c r="T40" i="4"/>
  <c r="S41" i="4"/>
  <c r="U41" i="4"/>
  <c r="V41" i="4" s="1"/>
  <c r="V74" i="1" l="1"/>
  <c r="U75" i="1"/>
  <c r="V75" i="1" s="1"/>
  <c r="S42" i="3"/>
  <c r="S25" i="3"/>
  <c r="T25" i="3" s="1"/>
  <c r="T24" i="3"/>
  <c r="S27" i="3"/>
  <c r="T27" i="3" s="1"/>
  <c r="V24" i="4"/>
  <c r="V24" i="3"/>
  <c r="T41" i="4"/>
  <c r="U25" i="3"/>
  <c r="U26" i="3" s="1"/>
  <c r="V26" i="3" s="1"/>
  <c r="V58" i="3"/>
  <c r="U59" i="3"/>
  <c r="T41" i="3"/>
  <c r="U25" i="4"/>
  <c r="V25" i="4" s="1"/>
  <c r="U41" i="3"/>
  <c r="V41" i="3" s="1"/>
  <c r="T25" i="4"/>
  <c r="S43" i="3"/>
  <c r="T43" i="3" s="1"/>
  <c r="S26" i="3"/>
  <c r="T26" i="3" s="1"/>
  <c r="S76" i="3"/>
  <c r="T76" i="3" s="1"/>
  <c r="S77" i="3"/>
  <c r="T77" i="3" s="1"/>
  <c r="S26" i="4"/>
  <c r="S27" i="4" s="1"/>
  <c r="T27" i="4" s="1"/>
  <c r="U57" i="4"/>
  <c r="U58" i="4" s="1"/>
  <c r="V58" i="4" s="1"/>
  <c r="S57" i="3"/>
  <c r="U42" i="4"/>
  <c r="V42" i="4" s="1"/>
  <c r="S42" i="4"/>
  <c r="T42" i="4" s="1"/>
  <c r="V40" i="3"/>
  <c r="V57" i="4" l="1"/>
  <c r="V59" i="3"/>
  <c r="U60" i="3"/>
  <c r="T57" i="3"/>
  <c r="S44" i="3"/>
  <c r="U29" i="3"/>
  <c r="V29" i="3" s="1"/>
  <c r="V25" i="3"/>
  <c r="U26" i="4"/>
  <c r="V26" i="4" s="1"/>
  <c r="T42" i="3"/>
  <c r="U27" i="3"/>
  <c r="V27" i="3" s="1"/>
  <c r="S28" i="3"/>
  <c r="T28" i="3" s="1"/>
  <c r="U42" i="3"/>
  <c r="U60" i="4"/>
  <c r="V60" i="4" s="1"/>
  <c r="S78" i="3"/>
  <c r="S28" i="4"/>
  <c r="T28" i="4" s="1"/>
  <c r="T26" i="4"/>
  <c r="U28" i="3"/>
  <c r="V28" i="3" s="1"/>
  <c r="S58" i="3"/>
  <c r="U43" i="4"/>
  <c r="S43" i="4"/>
  <c r="U59" i="4"/>
  <c r="V59" i="4" s="1"/>
  <c r="T43" i="4" l="1"/>
  <c r="S44" i="4"/>
  <c r="T44" i="4" s="1"/>
  <c r="V42" i="3"/>
  <c r="U61" i="4"/>
  <c r="V60" i="3"/>
  <c r="U61" i="3"/>
  <c r="T58" i="3"/>
  <c r="T78" i="3"/>
  <c r="S79" i="3"/>
  <c r="T79" i="3" s="1"/>
  <c r="S29" i="3"/>
  <c r="T29" i="3" s="1"/>
  <c r="U43" i="3"/>
  <c r="U30" i="3"/>
  <c r="V30" i="3" s="1"/>
  <c r="U62" i="3"/>
  <c r="V62" i="3" s="1"/>
  <c r="U27" i="4"/>
  <c r="U31" i="3"/>
  <c r="V31" i="3" s="1"/>
  <c r="T44" i="3"/>
  <c r="S45" i="3"/>
  <c r="S29" i="4"/>
  <c r="V43" i="4"/>
  <c r="U44" i="4"/>
  <c r="V44" i="4" s="1"/>
  <c r="S59" i="3"/>
  <c r="T59" i="3" l="1"/>
  <c r="S60" i="3"/>
  <c r="T45" i="3"/>
  <c r="S46" i="3"/>
  <c r="V27" i="4"/>
  <c r="U28" i="4"/>
  <c r="V43" i="3"/>
  <c r="U45" i="3"/>
  <c r="V61" i="4"/>
  <c r="U62" i="4"/>
  <c r="S45" i="4"/>
  <c r="U44" i="3"/>
  <c r="V44" i="3" s="1"/>
  <c r="T29" i="4"/>
  <c r="S30" i="4"/>
  <c r="S30" i="3"/>
  <c r="V61" i="3"/>
  <c r="U63" i="3"/>
  <c r="V63" i="3" s="1"/>
  <c r="U45" i="4"/>
  <c r="S4" i="4"/>
  <c r="T4" i="4" s="1"/>
  <c r="H79" i="5"/>
  <c r="H78" i="5"/>
  <c r="H77" i="5"/>
  <c r="H76" i="5"/>
  <c r="H75" i="5"/>
  <c r="H74" i="5"/>
  <c r="H73" i="5"/>
  <c r="H72" i="5"/>
  <c r="H71" i="5"/>
  <c r="H70" i="5"/>
  <c r="H69" i="5"/>
  <c r="H68" i="5"/>
  <c r="H79" i="6"/>
  <c r="H78" i="6"/>
  <c r="H77" i="6"/>
  <c r="H76" i="6"/>
  <c r="H75" i="6"/>
  <c r="H74" i="6"/>
  <c r="H73" i="6"/>
  <c r="H72" i="6"/>
  <c r="H71" i="6"/>
  <c r="H70" i="6"/>
  <c r="H69" i="6"/>
  <c r="H68" i="6"/>
  <c r="H79" i="7"/>
  <c r="H78" i="7"/>
  <c r="H77" i="7"/>
  <c r="H76" i="7"/>
  <c r="H75" i="7"/>
  <c r="H74" i="7"/>
  <c r="H73" i="7"/>
  <c r="H72" i="7"/>
  <c r="H71" i="7"/>
  <c r="H70" i="7"/>
  <c r="H69" i="7"/>
  <c r="H68" i="7"/>
  <c r="G79" i="8"/>
  <c r="F79" i="8"/>
  <c r="E79" i="8"/>
  <c r="D79" i="8"/>
  <c r="G78" i="8"/>
  <c r="F78" i="8"/>
  <c r="E78" i="8"/>
  <c r="D78" i="8"/>
  <c r="G77" i="8"/>
  <c r="F77" i="8"/>
  <c r="E77" i="8"/>
  <c r="D77" i="8"/>
  <c r="G76" i="8"/>
  <c r="F76" i="8"/>
  <c r="E76" i="8"/>
  <c r="D76" i="8"/>
  <c r="F75" i="8"/>
  <c r="E75" i="8"/>
  <c r="D75" i="8"/>
  <c r="F74" i="8"/>
  <c r="E74" i="8"/>
  <c r="D74" i="8"/>
  <c r="G73" i="8"/>
  <c r="F73" i="8"/>
  <c r="E73" i="8"/>
  <c r="D73" i="8"/>
  <c r="G72" i="8"/>
  <c r="F72" i="8"/>
  <c r="E72" i="8"/>
  <c r="D72" i="8"/>
  <c r="F71" i="8"/>
  <c r="D71" i="8"/>
  <c r="G70" i="8"/>
  <c r="F70" i="8"/>
  <c r="E70" i="8"/>
  <c r="D70" i="8"/>
  <c r="G69" i="8"/>
  <c r="F69" i="8"/>
  <c r="E69" i="8"/>
  <c r="D69" i="8"/>
  <c r="H69" i="1"/>
  <c r="S68" i="1"/>
  <c r="T68" i="1" s="1"/>
  <c r="E68" i="8"/>
  <c r="D68" i="8"/>
  <c r="C68" i="1"/>
  <c r="G80" i="4"/>
  <c r="F80" i="4"/>
  <c r="E80" i="4"/>
  <c r="D80" i="4"/>
  <c r="C80" i="4"/>
  <c r="G80" i="3"/>
  <c r="F80" i="3"/>
  <c r="E80" i="3"/>
  <c r="D80" i="3"/>
  <c r="C80" i="3"/>
  <c r="T30" i="3" l="1"/>
  <c r="S31" i="3"/>
  <c r="T31" i="3" s="1"/>
  <c r="T45" i="4"/>
  <c r="S46" i="4"/>
  <c r="V45" i="3"/>
  <c r="U46" i="3"/>
  <c r="T46" i="3"/>
  <c r="S47" i="3"/>
  <c r="T47" i="3" s="1"/>
  <c r="V45" i="4"/>
  <c r="U46" i="4"/>
  <c r="T30" i="4"/>
  <c r="S31" i="4"/>
  <c r="T31" i="4" s="1"/>
  <c r="V62" i="4"/>
  <c r="U63" i="4"/>
  <c r="V63" i="4" s="1"/>
  <c r="V28" i="4"/>
  <c r="U29" i="4"/>
  <c r="T60" i="3"/>
  <c r="S61" i="3"/>
  <c r="H73" i="1"/>
  <c r="S5" i="4"/>
  <c r="T5" i="4" s="1"/>
  <c r="H74" i="1"/>
  <c r="F80" i="1"/>
  <c r="F80" i="8" s="1"/>
  <c r="H71" i="1"/>
  <c r="H75" i="1"/>
  <c r="H70" i="1"/>
  <c r="H68" i="1"/>
  <c r="H72" i="1"/>
  <c r="H79" i="1"/>
  <c r="C78" i="8"/>
  <c r="H78" i="1"/>
  <c r="H77" i="1"/>
  <c r="C76" i="8"/>
  <c r="H76" i="1"/>
  <c r="S69" i="1"/>
  <c r="T69" i="1" s="1"/>
  <c r="C68" i="8"/>
  <c r="G68" i="8"/>
  <c r="U7" i="4"/>
  <c r="V7" i="4" s="1"/>
  <c r="C69" i="8"/>
  <c r="C79" i="8"/>
  <c r="U14" i="4"/>
  <c r="V14" i="4" s="1"/>
  <c r="U15" i="4"/>
  <c r="V15" i="4" s="1"/>
  <c r="U13" i="4"/>
  <c r="V13" i="4" s="1"/>
  <c r="U12" i="4"/>
  <c r="V12" i="4" s="1"/>
  <c r="U9" i="4"/>
  <c r="V9" i="4" s="1"/>
  <c r="C70" i="8"/>
  <c r="F68" i="8"/>
  <c r="E71" i="8"/>
  <c r="C77" i="8"/>
  <c r="U8" i="4"/>
  <c r="V8" i="4" s="1"/>
  <c r="G75" i="8"/>
  <c r="C75" i="8"/>
  <c r="G74" i="8"/>
  <c r="C74" i="8"/>
  <c r="C73" i="8"/>
  <c r="E80" i="1"/>
  <c r="E80" i="8" s="1"/>
  <c r="C72" i="8"/>
  <c r="H80" i="4"/>
  <c r="G71" i="8"/>
  <c r="G80" i="1"/>
  <c r="D80" i="1"/>
  <c r="D80" i="8" s="1"/>
  <c r="H80" i="3"/>
  <c r="C71" i="8"/>
  <c r="C80" i="1"/>
  <c r="V29" i="4" l="1"/>
  <c r="U30" i="4"/>
  <c r="T46" i="4"/>
  <c r="S47" i="4"/>
  <c r="T47" i="4" s="1"/>
  <c r="T61" i="3"/>
  <c r="S62" i="3"/>
  <c r="V46" i="4"/>
  <c r="U47" i="4"/>
  <c r="V47" i="4" s="1"/>
  <c r="V46" i="3"/>
  <c r="U47" i="3"/>
  <c r="V47" i="3" s="1"/>
  <c r="S70" i="1"/>
  <c r="T70" i="1" s="1"/>
  <c r="G80" i="8"/>
  <c r="S6" i="4"/>
  <c r="T6" i="4" s="1"/>
  <c r="U10" i="4"/>
  <c r="V10" i="4" s="1"/>
  <c r="U11" i="4"/>
  <c r="V11" i="4" s="1"/>
  <c r="H80" i="1"/>
  <c r="C80" i="8"/>
  <c r="G64" i="3"/>
  <c r="O64" i="3"/>
  <c r="O48" i="3"/>
  <c r="G48" i="3"/>
  <c r="G32" i="3"/>
  <c r="O32" i="3"/>
  <c r="O16" i="3"/>
  <c r="G64" i="4"/>
  <c r="O64" i="4"/>
  <c r="O48" i="4"/>
  <c r="G48" i="4"/>
  <c r="G32" i="4"/>
  <c r="O32" i="4"/>
  <c r="O16" i="4"/>
  <c r="T62" i="3" l="1"/>
  <c r="S63" i="3"/>
  <c r="T63" i="3" s="1"/>
  <c r="V30" i="4"/>
  <c r="U31" i="4"/>
  <c r="V31" i="4" s="1"/>
  <c r="S71" i="1"/>
  <c r="T71" i="1" s="1"/>
  <c r="S7" i="4"/>
  <c r="S8" i="4" s="1"/>
  <c r="T8" i="4" s="1"/>
  <c r="S82" i="3"/>
  <c r="T82" i="3" s="1"/>
  <c r="S81" i="3"/>
  <c r="T81" i="3" s="1"/>
  <c r="U82" i="3"/>
  <c r="V82" i="3" s="1"/>
  <c r="U81" i="3"/>
  <c r="V81" i="3" s="1"/>
  <c r="H63" i="8"/>
  <c r="A63" i="8"/>
  <c r="H62" i="8"/>
  <c r="A62" i="8"/>
  <c r="H61" i="8"/>
  <c r="A61" i="8"/>
  <c r="H60" i="8"/>
  <c r="A60" i="8"/>
  <c r="H59" i="8"/>
  <c r="A59" i="8"/>
  <c r="H58" i="8"/>
  <c r="A58" i="8"/>
  <c r="H57" i="8"/>
  <c r="A57" i="8"/>
  <c r="H56" i="8"/>
  <c r="A56" i="8"/>
  <c r="H55" i="8"/>
  <c r="A55" i="8"/>
  <c r="H54" i="8"/>
  <c r="A54" i="8"/>
  <c r="H53" i="8"/>
  <c r="A53" i="8"/>
  <c r="H52" i="8"/>
  <c r="A52" i="8"/>
  <c r="H47" i="8"/>
  <c r="A47" i="8"/>
  <c r="H46" i="8"/>
  <c r="A46" i="8"/>
  <c r="H45" i="8"/>
  <c r="A45" i="8"/>
  <c r="H44" i="8"/>
  <c r="A44" i="8"/>
  <c r="H43" i="8"/>
  <c r="A43" i="8"/>
  <c r="H42" i="8"/>
  <c r="A42" i="8"/>
  <c r="H41" i="8"/>
  <c r="A41" i="8"/>
  <c r="H40" i="8"/>
  <c r="A40" i="8"/>
  <c r="H39" i="8"/>
  <c r="A39" i="8"/>
  <c r="H38" i="8"/>
  <c r="A38" i="8"/>
  <c r="H37" i="8"/>
  <c r="A37" i="8"/>
  <c r="H36" i="8"/>
  <c r="A36" i="8"/>
  <c r="H31" i="8"/>
  <c r="A31" i="8"/>
  <c r="H30" i="8"/>
  <c r="A30" i="8"/>
  <c r="H29" i="8"/>
  <c r="A29" i="8"/>
  <c r="H28" i="8"/>
  <c r="A28" i="8"/>
  <c r="H27" i="8"/>
  <c r="A27" i="8"/>
  <c r="H26" i="8"/>
  <c r="A26" i="8"/>
  <c r="H25" i="8"/>
  <c r="A25" i="8"/>
  <c r="H24" i="8"/>
  <c r="A24" i="8"/>
  <c r="H23" i="8"/>
  <c r="A23" i="8"/>
  <c r="H22" i="8"/>
  <c r="A22" i="8"/>
  <c r="H21" i="8"/>
  <c r="A21" i="8"/>
  <c r="H20" i="8"/>
  <c r="A20" i="8"/>
  <c r="H15" i="8"/>
  <c r="A15" i="8"/>
  <c r="H14" i="8"/>
  <c r="A14" i="8"/>
  <c r="H13" i="8"/>
  <c r="A13" i="8"/>
  <c r="H12" i="8"/>
  <c r="A12" i="8"/>
  <c r="H11" i="8"/>
  <c r="A11" i="8"/>
  <c r="H10" i="8"/>
  <c r="A10" i="8"/>
  <c r="H9" i="8"/>
  <c r="A9" i="8"/>
  <c r="H8" i="8"/>
  <c r="A8" i="8"/>
  <c r="H7" i="8"/>
  <c r="A7" i="8"/>
  <c r="H6" i="8"/>
  <c r="A6" i="8"/>
  <c r="H5" i="8"/>
  <c r="A5" i="8"/>
  <c r="H4" i="8"/>
  <c r="A4" i="8"/>
  <c r="R63" i="7"/>
  <c r="K63" i="7"/>
  <c r="H63" i="7"/>
  <c r="A63" i="7"/>
  <c r="R62" i="7"/>
  <c r="K62" i="7"/>
  <c r="H62" i="7"/>
  <c r="A62" i="7"/>
  <c r="R61" i="7"/>
  <c r="K61" i="7"/>
  <c r="H61" i="7"/>
  <c r="A61" i="7"/>
  <c r="R60" i="7"/>
  <c r="K60" i="7"/>
  <c r="H60" i="7"/>
  <c r="A60" i="7"/>
  <c r="R59" i="7"/>
  <c r="K59" i="7"/>
  <c r="H59" i="7"/>
  <c r="A59" i="7"/>
  <c r="R58" i="7"/>
  <c r="K58" i="7"/>
  <c r="H58" i="7"/>
  <c r="A58" i="7"/>
  <c r="R57" i="7"/>
  <c r="K57" i="7"/>
  <c r="H57" i="7"/>
  <c r="A57" i="7"/>
  <c r="R56" i="7"/>
  <c r="K56" i="7"/>
  <c r="H56" i="7"/>
  <c r="A56" i="7"/>
  <c r="R55" i="7"/>
  <c r="K55" i="7"/>
  <c r="H55" i="7"/>
  <c r="A55" i="7"/>
  <c r="R54" i="7"/>
  <c r="K54" i="7"/>
  <c r="H54" i="7"/>
  <c r="A54" i="7"/>
  <c r="R53" i="7"/>
  <c r="K53" i="7"/>
  <c r="H53" i="7"/>
  <c r="A53" i="7"/>
  <c r="R52" i="7"/>
  <c r="K52" i="7"/>
  <c r="H52" i="7"/>
  <c r="A52" i="7"/>
  <c r="R47" i="7"/>
  <c r="K47" i="7"/>
  <c r="H47" i="7"/>
  <c r="A47" i="7"/>
  <c r="R46" i="7"/>
  <c r="K46" i="7"/>
  <c r="H46" i="7"/>
  <c r="A46" i="7"/>
  <c r="R45" i="7"/>
  <c r="K45" i="7"/>
  <c r="H45" i="7"/>
  <c r="A45" i="7"/>
  <c r="R44" i="7"/>
  <c r="K44" i="7"/>
  <c r="H44" i="7"/>
  <c r="A44" i="7"/>
  <c r="R43" i="7"/>
  <c r="K43" i="7"/>
  <c r="H43" i="7"/>
  <c r="A43" i="7"/>
  <c r="R42" i="7"/>
  <c r="K42" i="7"/>
  <c r="H42" i="7"/>
  <c r="A42" i="7"/>
  <c r="R41" i="7"/>
  <c r="K41" i="7"/>
  <c r="H41" i="7"/>
  <c r="A41" i="7"/>
  <c r="R40" i="7"/>
  <c r="K40" i="7"/>
  <c r="H40" i="7"/>
  <c r="A40" i="7"/>
  <c r="R39" i="7"/>
  <c r="K39" i="7"/>
  <c r="H39" i="7"/>
  <c r="A39" i="7"/>
  <c r="R38" i="7"/>
  <c r="K38" i="7"/>
  <c r="H38" i="7"/>
  <c r="A38" i="7"/>
  <c r="R37" i="7"/>
  <c r="K37" i="7"/>
  <c r="H37" i="7"/>
  <c r="A37" i="7"/>
  <c r="R36" i="7"/>
  <c r="K36" i="7"/>
  <c r="H36" i="7"/>
  <c r="A36" i="7"/>
  <c r="R31" i="7"/>
  <c r="K31" i="7"/>
  <c r="H31" i="7"/>
  <c r="A31" i="7"/>
  <c r="R30" i="7"/>
  <c r="K30" i="7"/>
  <c r="H30" i="7"/>
  <c r="A30" i="7"/>
  <c r="R29" i="7"/>
  <c r="K29" i="7"/>
  <c r="H29" i="7"/>
  <c r="A29" i="7"/>
  <c r="R28" i="7"/>
  <c r="K28" i="7"/>
  <c r="H28" i="7"/>
  <c r="A28" i="7"/>
  <c r="R27" i="7"/>
  <c r="K27" i="7"/>
  <c r="H27" i="7"/>
  <c r="A27" i="7"/>
  <c r="R26" i="7"/>
  <c r="K26" i="7"/>
  <c r="H26" i="7"/>
  <c r="A26" i="7"/>
  <c r="R25" i="7"/>
  <c r="K25" i="7"/>
  <c r="H25" i="7"/>
  <c r="A25" i="7"/>
  <c r="R24" i="7"/>
  <c r="K24" i="7"/>
  <c r="H24" i="7"/>
  <c r="A24" i="7"/>
  <c r="R23" i="7"/>
  <c r="K23" i="7"/>
  <c r="H23" i="7"/>
  <c r="A23" i="7"/>
  <c r="R22" i="7"/>
  <c r="K22" i="7"/>
  <c r="H22" i="7"/>
  <c r="A22" i="7"/>
  <c r="R21" i="7"/>
  <c r="K21" i="7"/>
  <c r="H21" i="7"/>
  <c r="A21" i="7"/>
  <c r="R20" i="7"/>
  <c r="K20" i="7"/>
  <c r="H20" i="7"/>
  <c r="A20" i="7"/>
  <c r="R15" i="7"/>
  <c r="K15" i="7"/>
  <c r="A15" i="7"/>
  <c r="R14" i="7"/>
  <c r="K14" i="7"/>
  <c r="A14" i="7"/>
  <c r="R13" i="7"/>
  <c r="K13" i="7"/>
  <c r="A13" i="7"/>
  <c r="R12" i="7"/>
  <c r="K12" i="7"/>
  <c r="H12" i="7"/>
  <c r="A12" i="7"/>
  <c r="R11" i="7"/>
  <c r="K11" i="7"/>
  <c r="A11" i="7"/>
  <c r="R10" i="7"/>
  <c r="K10" i="7"/>
  <c r="A10" i="7"/>
  <c r="R9" i="7"/>
  <c r="K9" i="7"/>
  <c r="A9" i="7"/>
  <c r="R8" i="7"/>
  <c r="K8" i="7"/>
  <c r="A8" i="7"/>
  <c r="R7" i="7"/>
  <c r="K7" i="7"/>
  <c r="A7" i="7"/>
  <c r="R6" i="7"/>
  <c r="K6" i="7"/>
  <c r="A6" i="7"/>
  <c r="R5" i="7"/>
  <c r="K5" i="7"/>
  <c r="A5" i="7"/>
  <c r="R4" i="7"/>
  <c r="K4" i="7"/>
  <c r="A4" i="7"/>
  <c r="R63" i="6"/>
  <c r="K63" i="6"/>
  <c r="H63" i="6"/>
  <c r="A63" i="6"/>
  <c r="R62" i="6"/>
  <c r="K62" i="6"/>
  <c r="H62" i="6"/>
  <c r="A62" i="6"/>
  <c r="R61" i="6"/>
  <c r="K61" i="6"/>
  <c r="H61" i="6"/>
  <c r="A61" i="6"/>
  <c r="R60" i="6"/>
  <c r="K60" i="6"/>
  <c r="H60" i="6"/>
  <c r="A60" i="6"/>
  <c r="R59" i="6"/>
  <c r="K59" i="6"/>
  <c r="H59" i="6"/>
  <c r="A59" i="6"/>
  <c r="R58" i="6"/>
  <c r="K58" i="6"/>
  <c r="H58" i="6"/>
  <c r="A58" i="6"/>
  <c r="R57" i="6"/>
  <c r="K57" i="6"/>
  <c r="H57" i="6"/>
  <c r="A57" i="6"/>
  <c r="R56" i="6"/>
  <c r="K56" i="6"/>
  <c r="H56" i="6"/>
  <c r="A56" i="6"/>
  <c r="R55" i="6"/>
  <c r="K55" i="6"/>
  <c r="H55" i="6"/>
  <c r="A55" i="6"/>
  <c r="R54" i="6"/>
  <c r="K54" i="6"/>
  <c r="H54" i="6"/>
  <c r="A54" i="6"/>
  <c r="R53" i="6"/>
  <c r="K53" i="6"/>
  <c r="H53" i="6"/>
  <c r="A53" i="6"/>
  <c r="R52" i="6"/>
  <c r="K52" i="6"/>
  <c r="H52" i="6"/>
  <c r="A52" i="6"/>
  <c r="R47" i="6"/>
  <c r="K47" i="6"/>
  <c r="H47" i="6"/>
  <c r="A47" i="6"/>
  <c r="R46" i="6"/>
  <c r="K46" i="6"/>
  <c r="H46" i="6"/>
  <c r="A46" i="6"/>
  <c r="R45" i="6"/>
  <c r="K45" i="6"/>
  <c r="H45" i="6"/>
  <c r="A45" i="6"/>
  <c r="R44" i="6"/>
  <c r="K44" i="6"/>
  <c r="H44" i="6"/>
  <c r="A44" i="6"/>
  <c r="R43" i="6"/>
  <c r="K43" i="6"/>
  <c r="H43" i="6"/>
  <c r="A43" i="6"/>
  <c r="R42" i="6"/>
  <c r="K42" i="6"/>
  <c r="H42" i="6"/>
  <c r="A42" i="6"/>
  <c r="R41" i="6"/>
  <c r="K41" i="6"/>
  <c r="H41" i="6"/>
  <c r="A41" i="6"/>
  <c r="R40" i="6"/>
  <c r="K40" i="6"/>
  <c r="H40" i="6"/>
  <c r="A40" i="6"/>
  <c r="R39" i="6"/>
  <c r="K39" i="6"/>
  <c r="H39" i="6"/>
  <c r="A39" i="6"/>
  <c r="R38" i="6"/>
  <c r="K38" i="6"/>
  <c r="H38" i="6"/>
  <c r="A38" i="6"/>
  <c r="R37" i="6"/>
  <c r="K37" i="6"/>
  <c r="A37" i="6"/>
  <c r="R36" i="6"/>
  <c r="K36" i="6"/>
  <c r="H36" i="6"/>
  <c r="A36" i="6"/>
  <c r="R31" i="6"/>
  <c r="K31" i="6"/>
  <c r="H31" i="6"/>
  <c r="A31" i="6"/>
  <c r="R30" i="6"/>
  <c r="K30" i="6"/>
  <c r="H30" i="6"/>
  <c r="A30" i="6"/>
  <c r="R29" i="6"/>
  <c r="K29" i="6"/>
  <c r="H29" i="6"/>
  <c r="A29" i="6"/>
  <c r="R28" i="6"/>
  <c r="K28" i="6"/>
  <c r="H28" i="6"/>
  <c r="A28" i="6"/>
  <c r="R27" i="6"/>
  <c r="K27" i="6"/>
  <c r="H27" i="6"/>
  <c r="A27" i="6"/>
  <c r="R26" i="6"/>
  <c r="K26" i="6"/>
  <c r="H26" i="6"/>
  <c r="A26" i="6"/>
  <c r="R25" i="6"/>
  <c r="K25" i="6"/>
  <c r="H25" i="6"/>
  <c r="A25" i="6"/>
  <c r="R24" i="6"/>
  <c r="K24" i="6"/>
  <c r="H24" i="6"/>
  <c r="A24" i="6"/>
  <c r="R23" i="6"/>
  <c r="K23" i="6"/>
  <c r="H23" i="6"/>
  <c r="A23" i="6"/>
  <c r="R22" i="6"/>
  <c r="K22" i="6"/>
  <c r="H22" i="6"/>
  <c r="A22" i="6"/>
  <c r="R21" i="6"/>
  <c r="K21" i="6"/>
  <c r="H21" i="6"/>
  <c r="A21" i="6"/>
  <c r="R20" i="6"/>
  <c r="K20" i="6"/>
  <c r="H20" i="6"/>
  <c r="A20" i="6"/>
  <c r="R15" i="6"/>
  <c r="K15" i="6"/>
  <c r="A15" i="6"/>
  <c r="R14" i="6"/>
  <c r="K14" i="6"/>
  <c r="A14" i="6"/>
  <c r="R13" i="6"/>
  <c r="K13" i="6"/>
  <c r="A13" i="6"/>
  <c r="R12" i="6"/>
  <c r="K12" i="6"/>
  <c r="A12" i="6"/>
  <c r="R11" i="6"/>
  <c r="K11" i="6"/>
  <c r="A11" i="6"/>
  <c r="R10" i="6"/>
  <c r="K10" i="6"/>
  <c r="A10" i="6"/>
  <c r="R9" i="6"/>
  <c r="K9" i="6"/>
  <c r="A9" i="6"/>
  <c r="R8" i="6"/>
  <c r="K8" i="6"/>
  <c r="A8" i="6"/>
  <c r="R7" i="6"/>
  <c r="K7" i="6"/>
  <c r="A7" i="6"/>
  <c r="R6" i="6"/>
  <c r="K6" i="6"/>
  <c r="A6" i="6"/>
  <c r="R5" i="6"/>
  <c r="K5" i="6"/>
  <c r="A5" i="6"/>
  <c r="R4" i="6"/>
  <c r="K4" i="6"/>
  <c r="A4" i="6"/>
  <c r="S72" i="1" l="1"/>
  <c r="I65" i="7"/>
  <c r="T7" i="4"/>
  <c r="S9" i="4"/>
  <c r="T9" i="4" s="1"/>
  <c r="T72" i="1"/>
  <c r="S73" i="1"/>
  <c r="I49" i="7"/>
  <c r="S33" i="7"/>
  <c r="I33" i="7"/>
  <c r="S65" i="6"/>
  <c r="S49" i="6"/>
  <c r="I65" i="6"/>
  <c r="I33" i="6"/>
  <c r="S17" i="6"/>
  <c r="S17" i="7"/>
  <c r="S33" i="6"/>
  <c r="S65" i="7"/>
  <c r="I49" i="6"/>
  <c r="S49" i="7"/>
  <c r="E16" i="7"/>
  <c r="F16" i="7"/>
  <c r="H15" i="7"/>
  <c r="H6" i="7"/>
  <c r="H9" i="7"/>
  <c r="H5" i="7"/>
  <c r="H4" i="7"/>
  <c r="H7" i="7"/>
  <c r="H10" i="7"/>
  <c r="H13" i="7"/>
  <c r="H8" i="7"/>
  <c r="H11" i="7"/>
  <c r="H14" i="7"/>
  <c r="C16" i="7"/>
  <c r="D16" i="7"/>
  <c r="S74" i="1" l="1"/>
  <c r="T74" i="1" s="1"/>
  <c r="S10" i="4"/>
  <c r="T10" i="4" s="1"/>
  <c r="T73" i="1"/>
  <c r="I17" i="6"/>
  <c r="I17" i="7"/>
  <c r="H16" i="7"/>
  <c r="S75" i="1" l="1"/>
  <c r="T75" i="1" s="1"/>
  <c r="S11" i="4"/>
  <c r="T11" i="4" s="1"/>
  <c r="S65" i="5"/>
  <c r="I65" i="5"/>
  <c r="I49" i="5"/>
  <c r="S49" i="5"/>
  <c r="S33" i="5"/>
  <c r="I33" i="5"/>
  <c r="I17" i="5"/>
  <c r="S17" i="5"/>
  <c r="K6" i="5"/>
  <c r="R63" i="5"/>
  <c r="K63" i="5"/>
  <c r="H63" i="5"/>
  <c r="A63" i="5"/>
  <c r="R62" i="5"/>
  <c r="K62" i="5"/>
  <c r="H62" i="5"/>
  <c r="A62" i="5"/>
  <c r="R61" i="5"/>
  <c r="K61" i="5"/>
  <c r="H61" i="5"/>
  <c r="A61" i="5"/>
  <c r="R60" i="5"/>
  <c r="K60" i="5"/>
  <c r="H60" i="5"/>
  <c r="A60" i="5"/>
  <c r="R59" i="5"/>
  <c r="K59" i="5"/>
  <c r="H59" i="5"/>
  <c r="A59" i="5"/>
  <c r="R58" i="5"/>
  <c r="K58" i="5"/>
  <c r="H58" i="5"/>
  <c r="A58" i="5"/>
  <c r="R57" i="5"/>
  <c r="K57" i="5"/>
  <c r="H57" i="5"/>
  <c r="A57" i="5"/>
  <c r="R56" i="5"/>
  <c r="K56" i="5"/>
  <c r="H56" i="5"/>
  <c r="A56" i="5"/>
  <c r="R55" i="5"/>
  <c r="K55" i="5"/>
  <c r="H55" i="5"/>
  <c r="A55" i="5"/>
  <c r="R54" i="5"/>
  <c r="K54" i="5"/>
  <c r="H54" i="5"/>
  <c r="A54" i="5"/>
  <c r="R53" i="5"/>
  <c r="K53" i="5"/>
  <c r="H53" i="5"/>
  <c r="A53" i="5"/>
  <c r="R52" i="5"/>
  <c r="K52" i="5"/>
  <c r="H52" i="5"/>
  <c r="A52" i="5"/>
  <c r="R47" i="5"/>
  <c r="K47" i="5"/>
  <c r="H47" i="5"/>
  <c r="A47" i="5"/>
  <c r="R46" i="5"/>
  <c r="K46" i="5"/>
  <c r="H46" i="5"/>
  <c r="A46" i="5"/>
  <c r="R45" i="5"/>
  <c r="K45" i="5"/>
  <c r="H45" i="5"/>
  <c r="A45" i="5"/>
  <c r="R44" i="5"/>
  <c r="K44" i="5"/>
  <c r="H44" i="5"/>
  <c r="A44" i="5"/>
  <c r="R43" i="5"/>
  <c r="K43" i="5"/>
  <c r="H43" i="5"/>
  <c r="A43" i="5"/>
  <c r="R42" i="5"/>
  <c r="K42" i="5"/>
  <c r="H42" i="5"/>
  <c r="A42" i="5"/>
  <c r="R41" i="5"/>
  <c r="K41" i="5"/>
  <c r="H41" i="5"/>
  <c r="A41" i="5"/>
  <c r="R40" i="5"/>
  <c r="K40" i="5"/>
  <c r="H40" i="5"/>
  <c r="A40" i="5"/>
  <c r="R39" i="5"/>
  <c r="K39" i="5"/>
  <c r="H39" i="5"/>
  <c r="A39" i="5"/>
  <c r="R38" i="5"/>
  <c r="K38" i="5"/>
  <c r="H38" i="5"/>
  <c r="A38" i="5"/>
  <c r="R37" i="5"/>
  <c r="K37" i="5"/>
  <c r="H37" i="5"/>
  <c r="A37" i="5"/>
  <c r="R36" i="5"/>
  <c r="K36" i="5"/>
  <c r="H36" i="5"/>
  <c r="A36" i="5"/>
  <c r="R31" i="5"/>
  <c r="K31" i="5"/>
  <c r="H31" i="5"/>
  <c r="A31" i="5"/>
  <c r="R30" i="5"/>
  <c r="K30" i="5"/>
  <c r="H30" i="5"/>
  <c r="A30" i="5"/>
  <c r="R29" i="5"/>
  <c r="K29" i="5"/>
  <c r="H29" i="5"/>
  <c r="A29" i="5"/>
  <c r="R28" i="5"/>
  <c r="K28" i="5"/>
  <c r="H28" i="5"/>
  <c r="A28" i="5"/>
  <c r="R27" i="5"/>
  <c r="K27" i="5"/>
  <c r="H27" i="5"/>
  <c r="A27" i="5"/>
  <c r="R26" i="5"/>
  <c r="K26" i="5"/>
  <c r="H26" i="5"/>
  <c r="A26" i="5"/>
  <c r="R25" i="5"/>
  <c r="K25" i="5"/>
  <c r="H25" i="5"/>
  <c r="A25" i="5"/>
  <c r="R24" i="5"/>
  <c r="K24" i="5"/>
  <c r="H24" i="5"/>
  <c r="A24" i="5"/>
  <c r="R23" i="5"/>
  <c r="K23" i="5"/>
  <c r="H23" i="5"/>
  <c r="A23" i="5"/>
  <c r="R22" i="5"/>
  <c r="K22" i="5"/>
  <c r="H22" i="5"/>
  <c r="A22" i="5"/>
  <c r="R21" i="5"/>
  <c r="K21" i="5"/>
  <c r="H21" i="5"/>
  <c r="A21" i="5"/>
  <c r="R20" i="5"/>
  <c r="K20" i="5"/>
  <c r="H20" i="5"/>
  <c r="A20" i="5"/>
  <c r="R15" i="5"/>
  <c r="K15" i="5"/>
  <c r="A15" i="5"/>
  <c r="R14" i="5"/>
  <c r="K14" i="5"/>
  <c r="A14" i="5"/>
  <c r="R13" i="5"/>
  <c r="K13" i="5"/>
  <c r="A13" i="5"/>
  <c r="R12" i="5"/>
  <c r="K12" i="5"/>
  <c r="A12" i="5"/>
  <c r="R11" i="5"/>
  <c r="K11" i="5"/>
  <c r="A11" i="5"/>
  <c r="R10" i="5"/>
  <c r="K10" i="5"/>
  <c r="A10" i="5"/>
  <c r="R9" i="5"/>
  <c r="K9" i="5"/>
  <c r="A9" i="5"/>
  <c r="R8" i="5"/>
  <c r="K8" i="5"/>
  <c r="A8" i="5"/>
  <c r="R7" i="5"/>
  <c r="K7" i="5"/>
  <c r="A7" i="5"/>
  <c r="R6" i="5"/>
  <c r="A6" i="5"/>
  <c r="R5" i="5"/>
  <c r="K5" i="5"/>
  <c r="A5" i="5"/>
  <c r="R4" i="5"/>
  <c r="K4" i="5"/>
  <c r="A4" i="5"/>
  <c r="S76" i="1" l="1"/>
  <c r="T76" i="1" s="1"/>
  <c r="S12" i="4"/>
  <c r="S13" i="4" s="1"/>
  <c r="A63" i="3"/>
  <c r="A62" i="3"/>
  <c r="A61" i="3"/>
  <c r="A60" i="3"/>
  <c r="A59" i="3"/>
  <c r="A58" i="3"/>
  <c r="A57" i="3"/>
  <c r="A56" i="3"/>
  <c r="A55" i="3"/>
  <c r="A54" i="3"/>
  <c r="A53" i="3"/>
  <c r="A52" i="3"/>
  <c r="A47" i="3"/>
  <c r="A46" i="3"/>
  <c r="A45" i="3"/>
  <c r="A44" i="3"/>
  <c r="A43" i="3"/>
  <c r="A42" i="3"/>
  <c r="A41" i="3"/>
  <c r="A40" i="3"/>
  <c r="A39" i="3"/>
  <c r="A38" i="3"/>
  <c r="A37" i="3"/>
  <c r="A36" i="3"/>
  <c r="A31" i="3"/>
  <c r="A30" i="3"/>
  <c r="A29" i="3"/>
  <c r="A28" i="3"/>
  <c r="A27" i="3"/>
  <c r="A26" i="3"/>
  <c r="A25" i="3"/>
  <c r="A24" i="3"/>
  <c r="A23" i="3"/>
  <c r="A22" i="3"/>
  <c r="A21" i="3"/>
  <c r="A20" i="3"/>
  <c r="A15" i="3"/>
  <c r="A14" i="3"/>
  <c r="A13" i="3"/>
  <c r="A12" i="3"/>
  <c r="A11" i="3"/>
  <c r="A10" i="3"/>
  <c r="A9" i="3"/>
  <c r="A8" i="3"/>
  <c r="A7" i="3"/>
  <c r="A6" i="3"/>
  <c r="A5" i="3"/>
  <c r="A63" i="4"/>
  <c r="A62" i="4"/>
  <c r="A61" i="4"/>
  <c r="A60" i="4"/>
  <c r="A59" i="4"/>
  <c r="A58" i="4"/>
  <c r="A57" i="4"/>
  <c r="A56" i="4"/>
  <c r="A55" i="4"/>
  <c r="A54" i="4"/>
  <c r="A53" i="4"/>
  <c r="A52" i="4"/>
  <c r="A47" i="4"/>
  <c r="A46" i="4"/>
  <c r="A45" i="4"/>
  <c r="A44" i="4"/>
  <c r="A43" i="4"/>
  <c r="A42" i="4"/>
  <c r="A41" i="4"/>
  <c r="A40" i="4"/>
  <c r="A39" i="4"/>
  <c r="A38" i="4"/>
  <c r="A37" i="4"/>
  <c r="A36" i="4"/>
  <c r="A31" i="4"/>
  <c r="A30" i="4"/>
  <c r="A29" i="4"/>
  <c r="A28" i="4"/>
  <c r="A27" i="4"/>
  <c r="A26" i="4"/>
  <c r="A25" i="4"/>
  <c r="A24" i="4"/>
  <c r="A23" i="4"/>
  <c r="A22" i="4"/>
  <c r="A21" i="4"/>
  <c r="A20" i="4"/>
  <c r="A15" i="4"/>
  <c r="A14" i="4"/>
  <c r="A13" i="4"/>
  <c r="A12" i="4"/>
  <c r="A11" i="4"/>
  <c r="A10" i="4"/>
  <c r="A9" i="4"/>
  <c r="A8" i="4"/>
  <c r="A7" i="4"/>
  <c r="A6" i="4"/>
  <c r="A5" i="4"/>
  <c r="A4" i="4"/>
  <c r="I63" i="4"/>
  <c r="I62" i="4"/>
  <c r="I61" i="4"/>
  <c r="I60" i="4"/>
  <c r="I59" i="4"/>
  <c r="I58" i="4"/>
  <c r="I57" i="4"/>
  <c r="I56" i="4"/>
  <c r="I55" i="4"/>
  <c r="I54" i="4"/>
  <c r="I53" i="4"/>
  <c r="I52" i="4"/>
  <c r="I47" i="4"/>
  <c r="I46" i="4"/>
  <c r="I45" i="4"/>
  <c r="I44" i="4"/>
  <c r="I43" i="4"/>
  <c r="I42" i="4"/>
  <c r="I41" i="4"/>
  <c r="I40" i="4"/>
  <c r="I39" i="4"/>
  <c r="I38" i="4"/>
  <c r="I37" i="4"/>
  <c r="I36" i="4"/>
  <c r="I31" i="4"/>
  <c r="I30" i="4"/>
  <c r="I29" i="4"/>
  <c r="I28" i="4"/>
  <c r="I27" i="4"/>
  <c r="I26" i="4"/>
  <c r="I25" i="4"/>
  <c r="I24" i="4"/>
  <c r="I23" i="4"/>
  <c r="I22" i="4"/>
  <c r="I21" i="4"/>
  <c r="I20" i="4"/>
  <c r="I15" i="4"/>
  <c r="I14" i="4"/>
  <c r="I13" i="4"/>
  <c r="I12" i="4"/>
  <c r="I11" i="4"/>
  <c r="I10" i="4"/>
  <c r="I9" i="4"/>
  <c r="I8" i="4"/>
  <c r="I7" i="4"/>
  <c r="I6" i="4"/>
  <c r="I5" i="4"/>
  <c r="I4" i="4"/>
  <c r="I63" i="3"/>
  <c r="I62" i="3"/>
  <c r="I61" i="3"/>
  <c r="I60" i="3"/>
  <c r="I59" i="3"/>
  <c r="I58" i="3"/>
  <c r="I57" i="3"/>
  <c r="I56" i="3"/>
  <c r="I55" i="3"/>
  <c r="I54" i="3"/>
  <c r="I53" i="3"/>
  <c r="I52" i="3"/>
  <c r="I47" i="3"/>
  <c r="I46" i="3"/>
  <c r="I45" i="3"/>
  <c r="I44" i="3"/>
  <c r="I43" i="3"/>
  <c r="I42" i="3"/>
  <c r="I41" i="3"/>
  <c r="I40" i="3"/>
  <c r="I39" i="3"/>
  <c r="I38" i="3"/>
  <c r="I37" i="3"/>
  <c r="I36" i="3"/>
  <c r="I31" i="3"/>
  <c r="I30" i="3"/>
  <c r="I29" i="3"/>
  <c r="I28" i="3"/>
  <c r="I27" i="3"/>
  <c r="I26" i="3"/>
  <c r="I25" i="3"/>
  <c r="I24" i="3"/>
  <c r="I23" i="3"/>
  <c r="I22" i="3"/>
  <c r="I21" i="3"/>
  <c r="I15" i="3"/>
  <c r="I14" i="3"/>
  <c r="I13" i="3"/>
  <c r="I12" i="3"/>
  <c r="I11" i="3"/>
  <c r="I10" i="3"/>
  <c r="I9" i="3"/>
  <c r="I8" i="3"/>
  <c r="I7" i="3"/>
  <c r="I6" i="3"/>
  <c r="I5" i="3"/>
  <c r="D18" i="9" l="1"/>
  <c r="S77" i="1"/>
  <c r="P19" i="9"/>
  <c r="D19" i="9"/>
  <c r="L19" i="9"/>
  <c r="H19" i="9"/>
  <c r="H31" i="9"/>
  <c r="D31" i="9"/>
  <c r="L31" i="9"/>
  <c r="P31" i="9"/>
  <c r="P43" i="9"/>
  <c r="H43" i="9"/>
  <c r="D43" i="9"/>
  <c r="L43" i="9"/>
  <c r="P55" i="9"/>
  <c r="H55" i="9"/>
  <c r="D55" i="9"/>
  <c r="L55" i="9"/>
  <c r="H67" i="9"/>
  <c r="D67" i="9"/>
  <c r="L67" i="9"/>
  <c r="P67" i="9"/>
  <c r="D79" i="9"/>
  <c r="L79" i="9"/>
  <c r="P79" i="9"/>
  <c r="H79" i="9"/>
  <c r="L91" i="9"/>
  <c r="P91" i="9"/>
  <c r="H91" i="9"/>
  <c r="D91" i="9"/>
  <c r="D103" i="9"/>
  <c r="L103" i="9"/>
  <c r="P103" i="9"/>
  <c r="H103" i="9"/>
  <c r="D115" i="9"/>
  <c r="L115" i="9"/>
  <c r="P115" i="9"/>
  <c r="H115" i="9"/>
  <c r="D127" i="9"/>
  <c r="L127" i="9"/>
  <c r="P127" i="9"/>
  <c r="H127" i="9"/>
  <c r="P23" i="9"/>
  <c r="H23" i="9"/>
  <c r="L23" i="9"/>
  <c r="D23" i="9"/>
  <c r="P35" i="9"/>
  <c r="H35" i="9"/>
  <c r="D35" i="9"/>
  <c r="L35" i="9"/>
  <c r="L47" i="9"/>
  <c r="P47" i="9"/>
  <c r="H47" i="9"/>
  <c r="D47" i="9"/>
  <c r="L59" i="9"/>
  <c r="P59" i="9"/>
  <c r="H59" i="9"/>
  <c r="D59" i="9"/>
  <c r="L71" i="9"/>
  <c r="P71" i="9"/>
  <c r="H71" i="9"/>
  <c r="D71" i="9"/>
  <c r="L83" i="9"/>
  <c r="P83" i="9"/>
  <c r="H83" i="9"/>
  <c r="D83" i="9"/>
  <c r="L95" i="9"/>
  <c r="P95" i="9"/>
  <c r="H95" i="9"/>
  <c r="D95" i="9"/>
  <c r="L107" i="9"/>
  <c r="P107" i="9"/>
  <c r="H107" i="9"/>
  <c r="D107" i="9"/>
  <c r="D119" i="9"/>
  <c r="L119" i="9"/>
  <c r="P119" i="9"/>
  <c r="H119" i="9"/>
  <c r="D131" i="9"/>
  <c r="L131" i="9"/>
  <c r="P131" i="9"/>
  <c r="H131" i="9"/>
  <c r="P27" i="9"/>
  <c r="H27" i="9"/>
  <c r="L27" i="9"/>
  <c r="D27" i="9"/>
  <c r="H39" i="9"/>
  <c r="D39" i="9"/>
  <c r="L39" i="9"/>
  <c r="P39" i="9"/>
  <c r="P51" i="9"/>
  <c r="H51" i="9"/>
  <c r="D51" i="9"/>
  <c r="L51" i="9"/>
  <c r="L63" i="9"/>
  <c r="P63" i="9"/>
  <c r="H63" i="9"/>
  <c r="D63" i="9"/>
  <c r="H75" i="9"/>
  <c r="D75" i="9"/>
  <c r="L75" i="9"/>
  <c r="P75" i="9"/>
  <c r="H87" i="9"/>
  <c r="D87" i="9"/>
  <c r="L87" i="9"/>
  <c r="P87" i="9"/>
  <c r="L99" i="9"/>
  <c r="P99" i="9"/>
  <c r="H99" i="9"/>
  <c r="D99" i="9"/>
  <c r="H111" i="9"/>
  <c r="D111" i="9"/>
  <c r="L111" i="9"/>
  <c r="P111" i="9"/>
  <c r="P123" i="9"/>
  <c r="H123" i="9"/>
  <c r="D123" i="9"/>
  <c r="L123" i="9"/>
  <c r="H135" i="9"/>
  <c r="D135" i="9"/>
  <c r="L135" i="9"/>
  <c r="P135" i="9"/>
  <c r="D19" i="10"/>
  <c r="P19" i="10"/>
  <c r="L19" i="10"/>
  <c r="H19" i="10"/>
  <c r="D31" i="10"/>
  <c r="P31" i="10"/>
  <c r="L31" i="10"/>
  <c r="H31" i="10"/>
  <c r="D43" i="10"/>
  <c r="P43" i="10"/>
  <c r="L43" i="10"/>
  <c r="H43" i="10"/>
  <c r="D55" i="10"/>
  <c r="P55" i="10"/>
  <c r="L55" i="10"/>
  <c r="H55" i="10"/>
  <c r="L67" i="10"/>
  <c r="H67" i="10"/>
  <c r="D67" i="10"/>
  <c r="P67" i="10"/>
  <c r="H79" i="10"/>
  <c r="D79" i="10"/>
  <c r="L79" i="10"/>
  <c r="P79" i="10"/>
  <c r="L91" i="10"/>
  <c r="H91" i="10"/>
  <c r="D91" i="10"/>
  <c r="P91" i="10"/>
  <c r="L103" i="10"/>
  <c r="H103" i="10"/>
  <c r="D103" i="10"/>
  <c r="P103" i="10"/>
  <c r="H115" i="10"/>
  <c r="D115" i="10"/>
  <c r="P115" i="10"/>
  <c r="L115" i="10"/>
  <c r="D127" i="10"/>
  <c r="P127" i="10"/>
  <c r="L127" i="10"/>
  <c r="H127" i="10"/>
  <c r="D23" i="10"/>
  <c r="P23" i="10"/>
  <c r="L23" i="10"/>
  <c r="H23" i="10"/>
  <c r="D35" i="10"/>
  <c r="P35" i="10"/>
  <c r="L35" i="10"/>
  <c r="H35" i="10"/>
  <c r="D47" i="10"/>
  <c r="P47" i="10"/>
  <c r="L47" i="10"/>
  <c r="H47" i="10"/>
  <c r="D59" i="10"/>
  <c r="P59" i="10"/>
  <c r="L59" i="10"/>
  <c r="H59" i="10"/>
  <c r="L71" i="10"/>
  <c r="H71" i="10"/>
  <c r="P71" i="10"/>
  <c r="D71" i="10"/>
  <c r="H83" i="10"/>
  <c r="D83" i="10"/>
  <c r="P83" i="10"/>
  <c r="L83" i="10"/>
  <c r="L95" i="10"/>
  <c r="H95" i="10"/>
  <c r="D95" i="10"/>
  <c r="P95" i="10"/>
  <c r="L107" i="10"/>
  <c r="H107" i="10"/>
  <c r="D107" i="10"/>
  <c r="P107" i="10"/>
  <c r="H119" i="10"/>
  <c r="D119" i="10"/>
  <c r="P119" i="10"/>
  <c r="L119" i="10"/>
  <c r="D131" i="10"/>
  <c r="P131" i="10"/>
  <c r="L131" i="10"/>
  <c r="H131" i="10"/>
  <c r="L27" i="10"/>
  <c r="H27" i="10"/>
  <c r="D27" i="10"/>
  <c r="P27" i="10"/>
  <c r="D39" i="10"/>
  <c r="P39" i="10"/>
  <c r="L39" i="10"/>
  <c r="H39" i="10"/>
  <c r="D51" i="10"/>
  <c r="P51" i="10"/>
  <c r="L51" i="10"/>
  <c r="H51" i="10"/>
  <c r="P63" i="10"/>
  <c r="L63" i="10"/>
  <c r="H63" i="10"/>
  <c r="D63" i="10"/>
  <c r="D75" i="10"/>
  <c r="P75" i="10"/>
  <c r="L75" i="10"/>
  <c r="H75" i="10"/>
  <c r="H87" i="10"/>
  <c r="D87" i="10"/>
  <c r="P87" i="10"/>
  <c r="L87" i="10"/>
  <c r="D99" i="10"/>
  <c r="P99" i="10"/>
  <c r="L99" i="10"/>
  <c r="H99" i="10"/>
  <c r="L111" i="10"/>
  <c r="H111" i="10"/>
  <c r="D111" i="10"/>
  <c r="P111" i="10"/>
  <c r="H123" i="10"/>
  <c r="D123" i="10"/>
  <c r="P123" i="10"/>
  <c r="L123" i="10"/>
  <c r="H135" i="10"/>
  <c r="D135" i="10"/>
  <c r="P135" i="10"/>
  <c r="L135" i="10"/>
  <c r="H20" i="9"/>
  <c r="P20" i="9"/>
  <c r="D20" i="9"/>
  <c r="L20" i="9"/>
  <c r="H32" i="9"/>
  <c r="D32" i="9"/>
  <c r="L32" i="9"/>
  <c r="P32" i="9"/>
  <c r="P44" i="9"/>
  <c r="L44" i="9"/>
  <c r="H44" i="9"/>
  <c r="D44" i="9"/>
  <c r="D56" i="9"/>
  <c r="L56" i="9"/>
  <c r="H56" i="9"/>
  <c r="P56" i="9"/>
  <c r="L68" i="9"/>
  <c r="D68" i="9"/>
  <c r="P68" i="9"/>
  <c r="H68" i="9"/>
  <c r="P80" i="9"/>
  <c r="H80" i="9"/>
  <c r="D80" i="9"/>
  <c r="L80" i="9"/>
  <c r="H92" i="9"/>
  <c r="D92" i="9"/>
  <c r="L92" i="9"/>
  <c r="P92" i="9"/>
  <c r="D104" i="9"/>
  <c r="L104" i="9"/>
  <c r="P104" i="9"/>
  <c r="H104" i="9"/>
  <c r="P116" i="9"/>
  <c r="H116" i="9"/>
  <c r="D116" i="9"/>
  <c r="L116" i="9"/>
  <c r="H128" i="9"/>
  <c r="D128" i="9"/>
  <c r="L128" i="9"/>
  <c r="P128" i="9"/>
  <c r="L24" i="9"/>
  <c r="H24" i="9"/>
  <c r="P24" i="9"/>
  <c r="D24" i="9"/>
  <c r="L36" i="9"/>
  <c r="H36" i="9"/>
  <c r="D36" i="9"/>
  <c r="P36" i="9"/>
  <c r="D48" i="9"/>
  <c r="L48" i="9"/>
  <c r="H48" i="9"/>
  <c r="P48" i="9"/>
  <c r="P60" i="9"/>
  <c r="L60" i="9"/>
  <c r="H60" i="9"/>
  <c r="D60" i="9"/>
  <c r="D72" i="9"/>
  <c r="L72" i="9"/>
  <c r="P72" i="9"/>
  <c r="H72" i="9"/>
  <c r="L84" i="9"/>
  <c r="P84" i="9"/>
  <c r="H84" i="9"/>
  <c r="D84" i="9"/>
  <c r="H96" i="9"/>
  <c r="D96" i="9"/>
  <c r="L96" i="9"/>
  <c r="P96" i="9"/>
  <c r="H108" i="9"/>
  <c r="D108" i="9"/>
  <c r="L108" i="9"/>
  <c r="P108" i="9"/>
  <c r="H120" i="9"/>
  <c r="D120" i="9"/>
  <c r="L120" i="9"/>
  <c r="P120" i="9"/>
  <c r="H132" i="9"/>
  <c r="D132" i="9"/>
  <c r="L132" i="9"/>
  <c r="P132" i="9"/>
  <c r="D28" i="9"/>
  <c r="P28" i="9"/>
  <c r="L28" i="9"/>
  <c r="H28" i="9"/>
  <c r="D40" i="9"/>
  <c r="P40" i="9"/>
  <c r="L40" i="9"/>
  <c r="H40" i="9"/>
  <c r="P52" i="9"/>
  <c r="H52" i="9"/>
  <c r="D52" i="9"/>
  <c r="L52" i="9"/>
  <c r="P64" i="9"/>
  <c r="D64" i="9"/>
  <c r="L64" i="9"/>
  <c r="H64" i="9"/>
  <c r="P76" i="9"/>
  <c r="H76" i="9"/>
  <c r="D76" i="9"/>
  <c r="L76" i="9"/>
  <c r="L88" i="9"/>
  <c r="P88" i="9"/>
  <c r="H88" i="9"/>
  <c r="D88" i="9"/>
  <c r="P100" i="9"/>
  <c r="H100" i="9"/>
  <c r="D100" i="9"/>
  <c r="L100" i="9"/>
  <c r="D112" i="9"/>
  <c r="L112" i="9"/>
  <c r="P112" i="9"/>
  <c r="H112" i="9"/>
  <c r="L124" i="9"/>
  <c r="P124" i="9"/>
  <c r="H124" i="9"/>
  <c r="D124" i="9"/>
  <c r="D136" i="9"/>
  <c r="L136" i="9"/>
  <c r="P136" i="9"/>
  <c r="H136" i="9"/>
  <c r="D20" i="10"/>
  <c r="P20" i="10"/>
  <c r="L20" i="10"/>
  <c r="H20" i="10"/>
  <c r="D32" i="10"/>
  <c r="P32" i="10"/>
  <c r="L32" i="10"/>
  <c r="H32" i="10"/>
  <c r="D44" i="10"/>
  <c r="P44" i="10"/>
  <c r="L44" i="10"/>
  <c r="H44" i="10"/>
  <c r="D56" i="10"/>
  <c r="P56" i="10"/>
  <c r="L56" i="10"/>
  <c r="H56" i="10"/>
  <c r="L68" i="10"/>
  <c r="P68" i="10"/>
  <c r="H68" i="10"/>
  <c r="D68" i="10"/>
  <c r="H80" i="10"/>
  <c r="D80" i="10"/>
  <c r="L80" i="10"/>
  <c r="P80" i="10"/>
  <c r="L92" i="10"/>
  <c r="H92" i="10"/>
  <c r="D92" i="10"/>
  <c r="P92" i="10"/>
  <c r="H104" i="10"/>
  <c r="D104" i="10"/>
  <c r="P104" i="10"/>
  <c r="L104" i="10"/>
  <c r="H116" i="10"/>
  <c r="D116" i="10"/>
  <c r="P116" i="10"/>
  <c r="L116" i="10"/>
  <c r="H128" i="10"/>
  <c r="D128" i="10"/>
  <c r="P128" i="10"/>
  <c r="L128" i="10"/>
  <c r="D24" i="10"/>
  <c r="L24" i="10"/>
  <c r="H24" i="10"/>
  <c r="P24" i="10"/>
  <c r="D36" i="10"/>
  <c r="P36" i="10"/>
  <c r="L36" i="10"/>
  <c r="H36" i="10"/>
  <c r="D48" i="10"/>
  <c r="P48" i="10"/>
  <c r="L48" i="10"/>
  <c r="H48" i="10"/>
  <c r="P60" i="10"/>
  <c r="L60" i="10"/>
  <c r="H60" i="10"/>
  <c r="D60" i="10"/>
  <c r="D72" i="10"/>
  <c r="P72" i="10"/>
  <c r="L72" i="10"/>
  <c r="H72" i="10"/>
  <c r="P84" i="10"/>
  <c r="D84" i="10"/>
  <c r="L84" i="10"/>
  <c r="H84" i="10"/>
  <c r="H96" i="10"/>
  <c r="D96" i="10"/>
  <c r="P96" i="10"/>
  <c r="L96" i="10"/>
  <c r="H108" i="10"/>
  <c r="D108" i="10"/>
  <c r="P108" i="10"/>
  <c r="L108" i="10"/>
  <c r="L120" i="10"/>
  <c r="H120" i="10"/>
  <c r="D120" i="10"/>
  <c r="P120" i="10"/>
  <c r="H132" i="10"/>
  <c r="D132" i="10"/>
  <c r="P132" i="10"/>
  <c r="L132" i="10"/>
  <c r="D28" i="10"/>
  <c r="L28" i="10"/>
  <c r="H28" i="10"/>
  <c r="P28" i="10"/>
  <c r="D40" i="10"/>
  <c r="P40" i="10"/>
  <c r="L40" i="10"/>
  <c r="H40" i="10"/>
  <c r="P52" i="10"/>
  <c r="L52" i="10"/>
  <c r="H52" i="10"/>
  <c r="D52" i="10"/>
  <c r="P64" i="10"/>
  <c r="L64" i="10"/>
  <c r="H64" i="10"/>
  <c r="D64" i="10"/>
  <c r="D76" i="10"/>
  <c r="P76" i="10"/>
  <c r="L76" i="10"/>
  <c r="H76" i="10"/>
  <c r="H88" i="10"/>
  <c r="L88" i="10"/>
  <c r="D88" i="10"/>
  <c r="P88" i="10"/>
  <c r="H100" i="10"/>
  <c r="D100" i="10"/>
  <c r="P100" i="10"/>
  <c r="L100" i="10"/>
  <c r="L112" i="10"/>
  <c r="H112" i="10"/>
  <c r="D112" i="10"/>
  <c r="P112" i="10"/>
  <c r="D124" i="10"/>
  <c r="P124" i="10"/>
  <c r="L124" i="10"/>
  <c r="H124" i="10"/>
  <c r="H136" i="10"/>
  <c r="D136" i="10"/>
  <c r="P136" i="10"/>
  <c r="L136" i="10"/>
  <c r="P21" i="9"/>
  <c r="H21" i="9"/>
  <c r="D21" i="9"/>
  <c r="L21" i="9"/>
  <c r="L33" i="9"/>
  <c r="P33" i="9"/>
  <c r="H33" i="9"/>
  <c r="D33" i="9"/>
  <c r="D45" i="9"/>
  <c r="L45" i="9"/>
  <c r="P45" i="9"/>
  <c r="H45" i="9"/>
  <c r="D57" i="9"/>
  <c r="L57" i="9"/>
  <c r="P57" i="9"/>
  <c r="H57" i="9"/>
  <c r="P69" i="9"/>
  <c r="H69" i="9"/>
  <c r="D69" i="9"/>
  <c r="L69" i="9"/>
  <c r="D81" i="9"/>
  <c r="L81" i="9"/>
  <c r="P81" i="9"/>
  <c r="H81" i="9"/>
  <c r="D93" i="9"/>
  <c r="L93" i="9"/>
  <c r="P93" i="9"/>
  <c r="H93" i="9"/>
  <c r="H105" i="9"/>
  <c r="D105" i="9"/>
  <c r="L105" i="9"/>
  <c r="P105" i="9"/>
  <c r="D117" i="9"/>
  <c r="L117" i="9"/>
  <c r="P117" i="9"/>
  <c r="H117" i="9"/>
  <c r="D129" i="9"/>
  <c r="L129" i="9"/>
  <c r="P129" i="9"/>
  <c r="H129" i="9"/>
  <c r="P25" i="9"/>
  <c r="L25" i="9"/>
  <c r="H25" i="9"/>
  <c r="D25" i="9"/>
  <c r="D37" i="9"/>
  <c r="L37" i="9"/>
  <c r="P37" i="9"/>
  <c r="H37" i="9"/>
  <c r="D49" i="9"/>
  <c r="L49" i="9"/>
  <c r="P49" i="9"/>
  <c r="H49" i="9"/>
  <c r="L61" i="9"/>
  <c r="P61" i="9"/>
  <c r="H61" i="9"/>
  <c r="D61" i="9"/>
  <c r="D73" i="9"/>
  <c r="L73" i="9"/>
  <c r="P73" i="9"/>
  <c r="H73" i="9"/>
  <c r="P85" i="9"/>
  <c r="H85" i="9"/>
  <c r="D85" i="9"/>
  <c r="L85" i="9"/>
  <c r="H97" i="9"/>
  <c r="D97" i="9"/>
  <c r="L97" i="9"/>
  <c r="P97" i="9"/>
  <c r="P109" i="9"/>
  <c r="H109" i="9"/>
  <c r="D109" i="9"/>
  <c r="L109" i="9"/>
  <c r="H121" i="9"/>
  <c r="D121" i="9"/>
  <c r="L121" i="9"/>
  <c r="P121" i="9"/>
  <c r="D133" i="9"/>
  <c r="L133" i="9"/>
  <c r="P133" i="9"/>
  <c r="H133" i="9"/>
  <c r="D17" i="9"/>
  <c r="L17" i="9"/>
  <c r="H17" i="9"/>
  <c r="P17" i="9"/>
  <c r="L29" i="9"/>
  <c r="P29" i="9"/>
  <c r="H29" i="9"/>
  <c r="D29" i="9"/>
  <c r="H41" i="9"/>
  <c r="D41" i="9"/>
  <c r="L41" i="9"/>
  <c r="P41" i="9"/>
  <c r="D53" i="9"/>
  <c r="L53" i="9"/>
  <c r="P53" i="9"/>
  <c r="H53" i="9"/>
  <c r="D65" i="9"/>
  <c r="L65" i="9"/>
  <c r="P65" i="9"/>
  <c r="H65" i="9"/>
  <c r="P77" i="9"/>
  <c r="H77" i="9"/>
  <c r="D77" i="9"/>
  <c r="L77" i="9"/>
  <c r="P89" i="9"/>
  <c r="H89" i="9"/>
  <c r="D89" i="9"/>
  <c r="L89" i="9"/>
  <c r="H101" i="9"/>
  <c r="D101" i="9"/>
  <c r="L101" i="9"/>
  <c r="P101" i="9"/>
  <c r="H113" i="9"/>
  <c r="D113" i="9"/>
  <c r="L113" i="9"/>
  <c r="P113" i="9"/>
  <c r="D125" i="9"/>
  <c r="L125" i="9"/>
  <c r="P125" i="9"/>
  <c r="H125" i="9"/>
  <c r="D17" i="10"/>
  <c r="L17" i="10"/>
  <c r="H17" i="10"/>
  <c r="P17" i="10"/>
  <c r="D29" i="10"/>
  <c r="P29" i="10"/>
  <c r="L29" i="10"/>
  <c r="H29" i="10"/>
  <c r="D41" i="10"/>
  <c r="P41" i="10"/>
  <c r="L41" i="10"/>
  <c r="H41" i="10"/>
  <c r="P53" i="10"/>
  <c r="L53" i="10"/>
  <c r="H53" i="10"/>
  <c r="D53" i="10"/>
  <c r="D65" i="10"/>
  <c r="P65" i="10"/>
  <c r="L65" i="10"/>
  <c r="H65" i="10"/>
  <c r="H77" i="10"/>
  <c r="D77" i="10"/>
  <c r="P77" i="10"/>
  <c r="L77" i="10"/>
  <c r="P89" i="10"/>
  <c r="L89" i="10"/>
  <c r="H89" i="10"/>
  <c r="D89" i="10"/>
  <c r="H101" i="10"/>
  <c r="D101" i="10"/>
  <c r="P101" i="10"/>
  <c r="L101" i="10"/>
  <c r="D113" i="10"/>
  <c r="P113" i="10"/>
  <c r="L113" i="10"/>
  <c r="H113" i="10"/>
  <c r="H125" i="10"/>
  <c r="D125" i="10"/>
  <c r="P125" i="10"/>
  <c r="L125" i="10"/>
  <c r="H21" i="10"/>
  <c r="P21" i="10"/>
  <c r="D21" i="10"/>
  <c r="L21" i="10"/>
  <c r="D33" i="10"/>
  <c r="P33" i="10"/>
  <c r="L33" i="10"/>
  <c r="H33" i="10"/>
  <c r="D45" i="10"/>
  <c r="P45" i="10"/>
  <c r="L45" i="10"/>
  <c r="H45" i="10"/>
  <c r="P57" i="10"/>
  <c r="L57" i="10"/>
  <c r="H57" i="10"/>
  <c r="D57" i="10"/>
  <c r="D69" i="10"/>
  <c r="P69" i="10"/>
  <c r="L69" i="10"/>
  <c r="H69" i="10"/>
  <c r="D81" i="10"/>
  <c r="H81" i="10"/>
  <c r="P81" i="10"/>
  <c r="L81" i="10"/>
  <c r="H93" i="10"/>
  <c r="D93" i="10"/>
  <c r="P93" i="10"/>
  <c r="L93" i="10"/>
  <c r="H105" i="10"/>
  <c r="D105" i="10"/>
  <c r="P105" i="10"/>
  <c r="L105" i="10"/>
  <c r="P117" i="10"/>
  <c r="L117" i="10"/>
  <c r="H117" i="10"/>
  <c r="D117" i="10"/>
  <c r="H129" i="10"/>
  <c r="D129" i="10"/>
  <c r="P129" i="10"/>
  <c r="L129" i="10"/>
  <c r="D25" i="10"/>
  <c r="P25" i="10"/>
  <c r="L25" i="10"/>
  <c r="H25" i="10"/>
  <c r="D37" i="10"/>
  <c r="P37" i="10"/>
  <c r="L37" i="10"/>
  <c r="H37" i="10"/>
  <c r="D49" i="10"/>
  <c r="P49" i="10"/>
  <c r="L49" i="10"/>
  <c r="H49" i="10"/>
  <c r="D61" i="10"/>
  <c r="P61" i="10"/>
  <c r="L61" i="10"/>
  <c r="H61" i="10"/>
  <c r="P73" i="10"/>
  <c r="L73" i="10"/>
  <c r="H73" i="10"/>
  <c r="D73" i="10"/>
  <c r="P85" i="10"/>
  <c r="L85" i="10"/>
  <c r="H85" i="10"/>
  <c r="D85" i="10"/>
  <c r="L97" i="10"/>
  <c r="H97" i="10"/>
  <c r="D97" i="10"/>
  <c r="P97" i="10"/>
  <c r="L109" i="10"/>
  <c r="H109" i="10"/>
  <c r="D109" i="10"/>
  <c r="P109" i="10"/>
  <c r="H121" i="10"/>
  <c r="D121" i="10"/>
  <c r="P121" i="10"/>
  <c r="L121" i="10"/>
  <c r="H133" i="10"/>
  <c r="D133" i="10"/>
  <c r="P133" i="10"/>
  <c r="L133" i="10"/>
  <c r="L18" i="9"/>
  <c r="H18" i="9"/>
  <c r="P18" i="9"/>
  <c r="P30" i="9"/>
  <c r="D30" i="9"/>
  <c r="H30" i="9"/>
  <c r="L30" i="9"/>
  <c r="H42" i="9"/>
  <c r="L42" i="9"/>
  <c r="P42" i="9"/>
  <c r="D42" i="9"/>
  <c r="P54" i="9"/>
  <c r="D54" i="9"/>
  <c r="H54" i="9"/>
  <c r="L54" i="9"/>
  <c r="P66" i="9"/>
  <c r="D66" i="9"/>
  <c r="H66" i="9"/>
  <c r="L66" i="9"/>
  <c r="H78" i="9"/>
  <c r="L78" i="9"/>
  <c r="P78" i="9"/>
  <c r="D78" i="9"/>
  <c r="L90" i="9"/>
  <c r="P90" i="9"/>
  <c r="D90" i="9"/>
  <c r="H90" i="9"/>
  <c r="L102" i="9"/>
  <c r="P102" i="9"/>
  <c r="D102" i="9"/>
  <c r="H102" i="9"/>
  <c r="L114" i="9"/>
  <c r="P114" i="9"/>
  <c r="D114" i="9"/>
  <c r="H114" i="9"/>
  <c r="P126" i="9"/>
  <c r="D126" i="9"/>
  <c r="H126" i="9"/>
  <c r="L126" i="9"/>
  <c r="L22" i="9"/>
  <c r="P22" i="9"/>
  <c r="H22" i="9"/>
  <c r="D22" i="9"/>
  <c r="L34" i="9"/>
  <c r="P34" i="9"/>
  <c r="D34" i="9"/>
  <c r="H34" i="9"/>
  <c r="P46" i="9"/>
  <c r="D46" i="9"/>
  <c r="H46" i="9"/>
  <c r="L46" i="9"/>
  <c r="D58" i="9"/>
  <c r="H58" i="9"/>
  <c r="L58" i="9"/>
  <c r="P58" i="9"/>
  <c r="P70" i="9"/>
  <c r="D70" i="9"/>
  <c r="H70" i="9"/>
  <c r="L70" i="9"/>
  <c r="L82" i="9"/>
  <c r="P82" i="9"/>
  <c r="D82" i="9"/>
  <c r="H82" i="9"/>
  <c r="H94" i="9"/>
  <c r="L94" i="9"/>
  <c r="P94" i="9"/>
  <c r="D94" i="9"/>
  <c r="L106" i="9"/>
  <c r="P106" i="9"/>
  <c r="D106" i="9"/>
  <c r="H106" i="9"/>
  <c r="H118" i="9"/>
  <c r="L118" i="9"/>
  <c r="P118" i="9"/>
  <c r="D118" i="9"/>
  <c r="P130" i="9"/>
  <c r="D130" i="9"/>
  <c r="H130" i="9"/>
  <c r="L130" i="9"/>
  <c r="D26" i="9"/>
  <c r="H26" i="9"/>
  <c r="L26" i="9"/>
  <c r="P26" i="9"/>
  <c r="L38" i="9"/>
  <c r="P38" i="9"/>
  <c r="D38" i="9"/>
  <c r="H38" i="9"/>
  <c r="H50" i="9"/>
  <c r="L50" i="9"/>
  <c r="P50" i="9"/>
  <c r="D50" i="9"/>
  <c r="P62" i="9"/>
  <c r="D62" i="9"/>
  <c r="H62" i="9"/>
  <c r="L62" i="9"/>
  <c r="D74" i="9"/>
  <c r="H74" i="9"/>
  <c r="L74" i="9"/>
  <c r="P74" i="9"/>
  <c r="P86" i="9"/>
  <c r="D86" i="9"/>
  <c r="H86" i="9"/>
  <c r="L86" i="9"/>
  <c r="L98" i="9"/>
  <c r="P98" i="9"/>
  <c r="D98" i="9"/>
  <c r="H98" i="9"/>
  <c r="D110" i="9"/>
  <c r="H110" i="9"/>
  <c r="L110" i="9"/>
  <c r="P110" i="9"/>
  <c r="H122" i="9"/>
  <c r="L122" i="9"/>
  <c r="P122" i="9"/>
  <c r="D122" i="9"/>
  <c r="P134" i="9"/>
  <c r="D134" i="9"/>
  <c r="H134" i="9"/>
  <c r="L134" i="9"/>
  <c r="L18" i="10"/>
  <c r="D18" i="10"/>
  <c r="H18" i="10"/>
  <c r="P18" i="10"/>
  <c r="D30" i="10"/>
  <c r="P30" i="10"/>
  <c r="L30" i="10"/>
  <c r="H30" i="10"/>
  <c r="D42" i="10"/>
  <c r="P42" i="10"/>
  <c r="L42" i="10"/>
  <c r="H42" i="10"/>
  <c r="P54" i="10"/>
  <c r="L54" i="10"/>
  <c r="H54" i="10"/>
  <c r="D54" i="10"/>
  <c r="D66" i="10"/>
  <c r="P66" i="10"/>
  <c r="L66" i="10"/>
  <c r="H66" i="10"/>
  <c r="P78" i="10"/>
  <c r="L78" i="10"/>
  <c r="D78" i="10"/>
  <c r="H78" i="10"/>
  <c r="P90" i="10"/>
  <c r="L90" i="10"/>
  <c r="H90" i="10"/>
  <c r="D90" i="10"/>
  <c r="H102" i="10"/>
  <c r="D102" i="10"/>
  <c r="P102" i="10"/>
  <c r="L102" i="10"/>
  <c r="H114" i="10"/>
  <c r="D114" i="10"/>
  <c r="P114" i="10"/>
  <c r="L114" i="10"/>
  <c r="H126" i="10"/>
  <c r="D126" i="10"/>
  <c r="P126" i="10"/>
  <c r="L126" i="10"/>
  <c r="H22" i="10"/>
  <c r="P22" i="10"/>
  <c r="D22" i="10"/>
  <c r="L22" i="10"/>
  <c r="D34" i="10"/>
  <c r="P34" i="10"/>
  <c r="L34" i="10"/>
  <c r="H34" i="10"/>
  <c r="D46" i="10"/>
  <c r="P46" i="10"/>
  <c r="L46" i="10"/>
  <c r="H46" i="10"/>
  <c r="P58" i="10"/>
  <c r="L58" i="10"/>
  <c r="H58" i="10"/>
  <c r="D58" i="10"/>
  <c r="D70" i="10"/>
  <c r="P70" i="10"/>
  <c r="L70" i="10"/>
  <c r="H70" i="10"/>
  <c r="H82" i="10"/>
  <c r="D82" i="10"/>
  <c r="L82" i="10"/>
  <c r="P82" i="10"/>
  <c r="P94" i="10"/>
  <c r="L94" i="10"/>
  <c r="H94" i="10"/>
  <c r="D94" i="10"/>
  <c r="H106" i="10"/>
  <c r="D106" i="10"/>
  <c r="P106" i="10"/>
  <c r="L106" i="10"/>
  <c r="L118" i="10"/>
  <c r="H118" i="10"/>
  <c r="D118" i="10"/>
  <c r="P118" i="10"/>
  <c r="H130" i="10"/>
  <c r="D130" i="10"/>
  <c r="P130" i="10"/>
  <c r="L130" i="10"/>
  <c r="D26" i="10"/>
  <c r="P26" i="10"/>
  <c r="L26" i="10"/>
  <c r="H26" i="10"/>
  <c r="D38" i="10"/>
  <c r="P38" i="10"/>
  <c r="L38" i="10"/>
  <c r="H38" i="10"/>
  <c r="D50" i="10"/>
  <c r="P50" i="10"/>
  <c r="L50" i="10"/>
  <c r="H50" i="10"/>
  <c r="D62" i="10"/>
  <c r="P62" i="10"/>
  <c r="L62" i="10"/>
  <c r="H62" i="10"/>
  <c r="P74" i="10"/>
  <c r="L74" i="10"/>
  <c r="H74" i="10"/>
  <c r="D74" i="10"/>
  <c r="P86" i="10"/>
  <c r="L86" i="10"/>
  <c r="H86" i="10"/>
  <c r="D86" i="10"/>
  <c r="L98" i="10"/>
  <c r="H98" i="10"/>
  <c r="D98" i="10"/>
  <c r="P98" i="10"/>
  <c r="L110" i="10"/>
  <c r="H110" i="10"/>
  <c r="D110" i="10"/>
  <c r="P110" i="10"/>
  <c r="H122" i="10"/>
  <c r="D122" i="10"/>
  <c r="P122" i="10"/>
  <c r="L122" i="10"/>
  <c r="D134" i="10"/>
  <c r="P134" i="10"/>
  <c r="L134" i="10"/>
  <c r="H134" i="10"/>
  <c r="T13" i="4"/>
  <c r="S14" i="4"/>
  <c r="T14" i="4" s="1"/>
  <c r="T12" i="4"/>
  <c r="D5" i="9" l="1"/>
  <c r="AF123" i="10"/>
  <c r="AF124" i="10"/>
  <c r="T123" i="10"/>
  <c r="T124" i="10"/>
  <c r="AB111" i="10"/>
  <c r="AB112" i="10"/>
  <c r="X75" i="10"/>
  <c r="X76" i="10"/>
  <c r="X39" i="10"/>
  <c r="X40" i="10"/>
  <c r="AF51" i="10"/>
  <c r="AF52" i="10"/>
  <c r="X87" i="10"/>
  <c r="X88" i="10"/>
  <c r="AF111" i="10"/>
  <c r="AF112" i="10"/>
  <c r="AB76" i="10"/>
  <c r="AB75" i="10"/>
  <c r="AB39" i="10"/>
  <c r="AB40" i="10"/>
  <c r="T111" i="10"/>
  <c r="T112" i="10"/>
  <c r="AF76" i="10"/>
  <c r="AF75" i="10"/>
  <c r="AF39" i="10"/>
  <c r="AF40" i="10"/>
  <c r="X111" i="10"/>
  <c r="X112" i="10"/>
  <c r="T76" i="10"/>
  <c r="T75" i="10"/>
  <c r="T39" i="10"/>
  <c r="T40" i="10"/>
  <c r="AB136" i="10"/>
  <c r="AB135" i="10"/>
  <c r="T99" i="10"/>
  <c r="T100" i="10"/>
  <c r="T63" i="10"/>
  <c r="T64" i="10"/>
  <c r="AF27" i="10"/>
  <c r="AF28" i="10"/>
  <c r="AF136" i="10"/>
  <c r="AF135" i="10"/>
  <c r="X99" i="10"/>
  <c r="X100" i="10"/>
  <c r="X63" i="10"/>
  <c r="X64" i="10"/>
  <c r="X27" i="10"/>
  <c r="X28" i="10"/>
  <c r="T87" i="10"/>
  <c r="T88" i="10"/>
  <c r="T51" i="10"/>
  <c r="T52" i="10"/>
  <c r="T135" i="10"/>
  <c r="T136" i="10"/>
  <c r="AB100" i="10"/>
  <c r="AB99" i="10"/>
  <c r="AB63" i="10"/>
  <c r="AB64" i="10"/>
  <c r="AB27" i="10"/>
  <c r="AB28" i="10"/>
  <c r="X135" i="10"/>
  <c r="X136" i="10"/>
  <c r="AF100" i="10"/>
  <c r="AF99" i="10"/>
  <c r="AF63" i="10"/>
  <c r="AF64" i="10"/>
  <c r="T27" i="10"/>
  <c r="T28" i="10"/>
  <c r="X123" i="10"/>
  <c r="X124" i="10"/>
  <c r="AB88" i="10"/>
  <c r="AB87" i="10"/>
  <c r="X52" i="10"/>
  <c r="X51" i="10"/>
  <c r="AB123" i="10"/>
  <c r="AB124" i="10"/>
  <c r="AF87" i="10"/>
  <c r="AF88" i="10"/>
  <c r="AB51" i="10"/>
  <c r="AB52" i="10"/>
  <c r="X99" i="9"/>
  <c r="X100" i="9"/>
  <c r="T135" i="9"/>
  <c r="T136" i="9"/>
  <c r="AF123" i="9"/>
  <c r="AH123" i="9" s="1"/>
  <c r="AF124" i="9"/>
  <c r="AB88" i="9"/>
  <c r="AB87" i="9"/>
  <c r="AF52" i="9"/>
  <c r="AF51" i="9"/>
  <c r="AB63" i="9"/>
  <c r="AB64" i="9"/>
  <c r="T27" i="9"/>
  <c r="T28" i="9"/>
  <c r="AB123" i="9"/>
  <c r="AB124" i="9"/>
  <c r="T88" i="9"/>
  <c r="T87" i="9"/>
  <c r="AB52" i="9"/>
  <c r="AB51" i="9"/>
  <c r="T123" i="9"/>
  <c r="T124" i="9"/>
  <c r="X88" i="9"/>
  <c r="X87" i="9"/>
  <c r="T51" i="9"/>
  <c r="T52" i="9"/>
  <c r="X123" i="9"/>
  <c r="X124" i="9"/>
  <c r="AF87" i="9"/>
  <c r="AF88" i="9"/>
  <c r="X52" i="9"/>
  <c r="X51" i="9"/>
  <c r="AB136" i="9"/>
  <c r="AB135" i="9"/>
  <c r="AD135" i="9" s="1"/>
  <c r="AF112" i="9"/>
  <c r="AF111" i="9"/>
  <c r="X75" i="9"/>
  <c r="X76" i="9"/>
  <c r="T39" i="9"/>
  <c r="T40" i="9"/>
  <c r="AB111" i="9"/>
  <c r="AB112" i="9"/>
  <c r="AF75" i="9"/>
  <c r="AF76" i="9"/>
  <c r="X39" i="9"/>
  <c r="X40" i="9"/>
  <c r="AB27" i="9"/>
  <c r="AB28" i="9"/>
  <c r="T112" i="9"/>
  <c r="T111" i="9"/>
  <c r="AB75" i="9"/>
  <c r="AB76" i="9"/>
  <c r="AF39" i="9"/>
  <c r="AH39" i="9" s="1"/>
  <c r="AF40" i="9"/>
  <c r="T64" i="9"/>
  <c r="T63" i="9"/>
  <c r="X111" i="9"/>
  <c r="X112" i="9"/>
  <c r="T75" i="9"/>
  <c r="T76" i="9"/>
  <c r="AB39" i="9"/>
  <c r="AB40" i="9"/>
  <c r="X135" i="9"/>
  <c r="X136" i="9"/>
  <c r="AB100" i="9"/>
  <c r="AB99" i="9"/>
  <c r="X64" i="9"/>
  <c r="X63" i="9"/>
  <c r="AF27" i="9"/>
  <c r="AF28" i="9"/>
  <c r="AF99" i="9"/>
  <c r="AF100" i="9"/>
  <c r="AF135" i="9"/>
  <c r="AH135" i="9" s="1"/>
  <c r="AF136" i="9"/>
  <c r="T100" i="9"/>
  <c r="T99" i="9"/>
  <c r="AF63" i="9"/>
  <c r="AF64" i="9"/>
  <c r="X27" i="9"/>
  <c r="X28" i="9"/>
  <c r="T77" i="1"/>
  <c r="S78" i="1"/>
  <c r="AB122" i="10"/>
  <c r="AB74" i="10"/>
  <c r="AB50" i="10"/>
  <c r="AB38" i="10"/>
  <c r="AB98" i="10"/>
  <c r="AB62" i="10"/>
  <c r="AB26" i="10"/>
  <c r="AB134" i="10"/>
  <c r="AB110" i="10"/>
  <c r="AB86" i="10"/>
  <c r="AB122" i="9"/>
  <c r="AE122" i="9" s="1"/>
  <c r="X26" i="9"/>
  <c r="Z26" i="9" s="1"/>
  <c r="AF110" i="10"/>
  <c r="AF50" i="10"/>
  <c r="AF98" i="10"/>
  <c r="AF62" i="10"/>
  <c r="AF134" i="10"/>
  <c r="AF86" i="10"/>
  <c r="AF122" i="10"/>
  <c r="AF74" i="10"/>
  <c r="AF38" i="10"/>
  <c r="AF26" i="10"/>
  <c r="X86" i="9"/>
  <c r="Z86" i="9" s="1"/>
  <c r="X62" i="10"/>
  <c r="X26" i="10"/>
  <c r="X98" i="10"/>
  <c r="X134" i="10"/>
  <c r="X110" i="10"/>
  <c r="X86" i="10"/>
  <c r="X122" i="10"/>
  <c r="X74" i="10"/>
  <c r="X50" i="10"/>
  <c r="X38" i="10"/>
  <c r="T134" i="10"/>
  <c r="T50" i="10"/>
  <c r="T110" i="10"/>
  <c r="T86" i="10"/>
  <c r="T122" i="10"/>
  <c r="T26" i="10"/>
  <c r="T74" i="10"/>
  <c r="T38" i="10"/>
  <c r="T98" i="10"/>
  <c r="T62" i="10"/>
  <c r="AB110" i="9"/>
  <c r="AB50" i="9"/>
  <c r="AB74" i="9"/>
  <c r="AB26" i="9"/>
  <c r="AB62" i="9"/>
  <c r="AB38" i="9"/>
  <c r="AB134" i="9"/>
  <c r="AB98" i="9"/>
  <c r="AB86" i="9"/>
  <c r="X38" i="9"/>
  <c r="X122" i="9"/>
  <c r="X50" i="9"/>
  <c r="X98" i="9"/>
  <c r="X110" i="9"/>
  <c r="X134" i="9"/>
  <c r="X74" i="9"/>
  <c r="X62" i="9"/>
  <c r="T98" i="9"/>
  <c r="T50" i="9"/>
  <c r="T86" i="9"/>
  <c r="T122" i="9"/>
  <c r="T110" i="9"/>
  <c r="T134" i="9"/>
  <c r="T74" i="9"/>
  <c r="T62" i="9"/>
  <c r="T26" i="9"/>
  <c r="T38" i="9"/>
  <c r="AF74" i="9"/>
  <c r="AF62" i="9"/>
  <c r="AF134" i="9"/>
  <c r="AF38" i="9"/>
  <c r="AF98" i="9"/>
  <c r="AF86" i="9"/>
  <c r="AF122" i="9"/>
  <c r="AF110" i="9"/>
  <c r="AF50" i="9"/>
  <c r="AF26" i="9"/>
  <c r="AB133" i="10"/>
  <c r="AB109" i="10"/>
  <c r="AB85" i="10"/>
  <c r="AB121" i="10"/>
  <c r="AB73" i="10"/>
  <c r="AB49" i="10"/>
  <c r="AB37" i="10"/>
  <c r="AB97" i="10"/>
  <c r="AB61" i="10"/>
  <c r="AB25" i="10"/>
  <c r="AB97" i="9"/>
  <c r="AB85" i="9"/>
  <c r="AB121" i="9"/>
  <c r="AB109" i="9"/>
  <c r="AB49" i="9"/>
  <c r="AB133" i="9"/>
  <c r="AB73" i="9"/>
  <c r="AB61" i="9"/>
  <c r="AB25" i="9"/>
  <c r="AB37" i="9"/>
  <c r="T25" i="9"/>
  <c r="V25" i="9" s="1"/>
  <c r="AF73" i="10"/>
  <c r="AF25" i="10"/>
  <c r="AF133" i="10"/>
  <c r="AF109" i="10"/>
  <c r="AF85" i="10"/>
  <c r="AF49" i="10"/>
  <c r="AF121" i="10"/>
  <c r="AF37" i="10"/>
  <c r="AF97" i="10"/>
  <c r="AF61" i="10"/>
  <c r="X25" i="9"/>
  <c r="Z25" i="9" s="1"/>
  <c r="X73" i="10"/>
  <c r="X49" i="10"/>
  <c r="X97" i="10"/>
  <c r="X61" i="10"/>
  <c r="X25" i="10"/>
  <c r="X121" i="10"/>
  <c r="X37" i="10"/>
  <c r="X133" i="10"/>
  <c r="X109" i="10"/>
  <c r="X85" i="10"/>
  <c r="T121" i="10"/>
  <c r="T37" i="10"/>
  <c r="T97" i="10"/>
  <c r="T61" i="10"/>
  <c r="T73" i="10"/>
  <c r="T25" i="10"/>
  <c r="T133" i="10"/>
  <c r="T109" i="10"/>
  <c r="T85" i="10"/>
  <c r="T49" i="10"/>
  <c r="AF121" i="9"/>
  <c r="AF109" i="9"/>
  <c r="AF49" i="9"/>
  <c r="AF25" i="9"/>
  <c r="AF73" i="9"/>
  <c r="AF61" i="9"/>
  <c r="AF133" i="9"/>
  <c r="AF37" i="9"/>
  <c r="AF97" i="9"/>
  <c r="AF85" i="9"/>
  <c r="X133" i="9"/>
  <c r="X73" i="9"/>
  <c r="X61" i="9"/>
  <c r="X37" i="9"/>
  <c r="X97" i="9"/>
  <c r="X85" i="9"/>
  <c r="X121" i="9"/>
  <c r="X109" i="9"/>
  <c r="X49" i="9"/>
  <c r="T37" i="9"/>
  <c r="T61" i="9"/>
  <c r="T97" i="9"/>
  <c r="T85" i="9"/>
  <c r="T133" i="9"/>
  <c r="T121" i="9"/>
  <c r="T109" i="9"/>
  <c r="T49" i="9"/>
  <c r="T73" i="9"/>
  <c r="AB132" i="10"/>
  <c r="T95" i="10"/>
  <c r="V95" i="10" s="1"/>
  <c r="T60" i="10"/>
  <c r="X48" i="10"/>
  <c r="AF23" i="10"/>
  <c r="AH23" i="10" s="1"/>
  <c r="AF24" i="10"/>
  <c r="X132" i="9"/>
  <c r="AF120" i="9"/>
  <c r="AF108" i="9"/>
  <c r="AB96" i="9"/>
  <c r="AB84" i="9"/>
  <c r="X60" i="9"/>
  <c r="T36" i="9"/>
  <c r="AF24" i="9"/>
  <c r="AB120" i="10"/>
  <c r="AB48" i="10"/>
  <c r="AB108" i="10"/>
  <c r="AB84" i="10"/>
  <c r="AB60" i="10"/>
  <c r="AB72" i="10"/>
  <c r="X36" i="9"/>
  <c r="X120" i="9"/>
  <c r="X72" i="9"/>
  <c r="AF108" i="10"/>
  <c r="AB36" i="10"/>
  <c r="X24" i="10"/>
  <c r="AB120" i="9"/>
  <c r="T96" i="9"/>
  <c r="AF60" i="9"/>
  <c r="AB48" i="9"/>
  <c r="X24" i="9"/>
  <c r="AF132" i="10"/>
  <c r="AF72" i="10"/>
  <c r="AF48" i="10"/>
  <c r="AF36" i="10"/>
  <c r="AF84" i="10"/>
  <c r="AF132" i="9"/>
  <c r="AF48" i="9"/>
  <c r="AF72" i="9"/>
  <c r="T132" i="10"/>
  <c r="AF120" i="10"/>
  <c r="AB96" i="10"/>
  <c r="T84" i="10"/>
  <c r="AB24" i="10"/>
  <c r="AB132" i="9"/>
  <c r="T120" i="9"/>
  <c r="X96" i="9"/>
  <c r="X84" i="9"/>
  <c r="AB72" i="9"/>
  <c r="AB60" i="9"/>
  <c r="T48" i="9"/>
  <c r="AF36" i="9"/>
  <c r="AB24" i="9"/>
  <c r="T96" i="10"/>
  <c r="T36" i="10"/>
  <c r="T108" i="10"/>
  <c r="AB108" i="9"/>
  <c r="T120" i="10"/>
  <c r="X108" i="10"/>
  <c r="AF96" i="10"/>
  <c r="X84" i="10"/>
  <c r="T72" i="10"/>
  <c r="AF60" i="10"/>
  <c r="T48" i="10"/>
  <c r="T24" i="10"/>
  <c r="T132" i="9"/>
  <c r="X108" i="9"/>
  <c r="AF96" i="9"/>
  <c r="AF84" i="9"/>
  <c r="T60" i="9"/>
  <c r="X48" i="9"/>
  <c r="AB36" i="9"/>
  <c r="T24" i="9"/>
  <c r="X72" i="10"/>
  <c r="X120" i="10"/>
  <c r="X60" i="10"/>
  <c r="X36" i="10"/>
  <c r="X132" i="10"/>
  <c r="X96" i="10"/>
  <c r="T72" i="9"/>
  <c r="T84" i="9"/>
  <c r="T108" i="9"/>
  <c r="AF131" i="10"/>
  <c r="AF107" i="10"/>
  <c r="AF83" i="10"/>
  <c r="AF119" i="10"/>
  <c r="AF47" i="10"/>
  <c r="AF35" i="10"/>
  <c r="AF71" i="10"/>
  <c r="AF95" i="10"/>
  <c r="AF59" i="10"/>
  <c r="AB131" i="10"/>
  <c r="AB119" i="10"/>
  <c r="AB35" i="10"/>
  <c r="AB83" i="10"/>
  <c r="AB47" i="10"/>
  <c r="AB95" i="10"/>
  <c r="AB59" i="10"/>
  <c r="AB23" i="10"/>
  <c r="AB107" i="10"/>
  <c r="AB71" i="10"/>
  <c r="X47" i="10"/>
  <c r="X71" i="10"/>
  <c r="X95" i="10"/>
  <c r="X59" i="10"/>
  <c r="X23" i="10"/>
  <c r="X119" i="10"/>
  <c r="X35" i="10"/>
  <c r="X131" i="10"/>
  <c r="X107" i="10"/>
  <c r="X83" i="10"/>
  <c r="T59" i="10"/>
  <c r="T131" i="10"/>
  <c r="T107" i="10"/>
  <c r="T83" i="10"/>
  <c r="T119" i="10"/>
  <c r="T71" i="10"/>
  <c r="T47" i="10"/>
  <c r="T35" i="10"/>
  <c r="T23" i="10"/>
  <c r="AB95" i="9"/>
  <c r="X59" i="9"/>
  <c r="AF47" i="9"/>
  <c r="T35" i="9"/>
  <c r="AF23" i="9"/>
  <c r="X131" i="9"/>
  <c r="X95" i="9"/>
  <c r="X83" i="9"/>
  <c r="X71" i="9"/>
  <c r="X47" i="9"/>
  <c r="AF131" i="9"/>
  <c r="T83" i="9"/>
  <c r="X35" i="9"/>
  <c r="X23" i="9"/>
  <c r="AF35" i="9"/>
  <c r="AF59" i="9"/>
  <c r="AF119" i="9"/>
  <c r="AF107" i="9"/>
  <c r="AF71" i="9"/>
  <c r="AF83" i="9"/>
  <c r="AB131" i="9"/>
  <c r="AB71" i="9"/>
  <c r="T47" i="9"/>
  <c r="AB23" i="9"/>
  <c r="AB107" i="9"/>
  <c r="AB47" i="9"/>
  <c r="AB119" i="9"/>
  <c r="AB83" i="9"/>
  <c r="AB59" i="9"/>
  <c r="T131" i="9"/>
  <c r="X119" i="9"/>
  <c r="X107" i="9"/>
  <c r="AF95" i="9"/>
  <c r="T59" i="9"/>
  <c r="AB35" i="9"/>
  <c r="T23" i="9"/>
  <c r="T95" i="9"/>
  <c r="T107" i="9"/>
  <c r="T119" i="9"/>
  <c r="T71" i="9"/>
  <c r="AB127" i="10"/>
  <c r="AB125" i="10"/>
  <c r="AB128" i="10"/>
  <c r="AB126" i="10"/>
  <c r="AB129" i="10"/>
  <c r="X113" i="10"/>
  <c r="X117" i="10"/>
  <c r="X114" i="10"/>
  <c r="X116" i="10"/>
  <c r="X115" i="10"/>
  <c r="X118" i="10"/>
  <c r="AB104" i="10"/>
  <c r="AB105" i="10"/>
  <c r="AB102" i="10"/>
  <c r="AB106" i="10"/>
  <c r="AB101" i="10"/>
  <c r="AB103" i="10"/>
  <c r="T91" i="10"/>
  <c r="T92" i="10"/>
  <c r="T94" i="10"/>
  <c r="T89" i="10"/>
  <c r="T90" i="10"/>
  <c r="T93" i="10"/>
  <c r="AB80" i="10"/>
  <c r="AB78" i="10"/>
  <c r="AB79" i="10"/>
  <c r="AB82" i="10"/>
  <c r="AB77" i="10"/>
  <c r="X65" i="10"/>
  <c r="X67" i="10"/>
  <c r="X66" i="10"/>
  <c r="X68" i="10"/>
  <c r="X69" i="10"/>
  <c r="X70" i="10"/>
  <c r="T57" i="10"/>
  <c r="T56" i="10"/>
  <c r="T55" i="10"/>
  <c r="T54" i="10"/>
  <c r="T58" i="10"/>
  <c r="T53" i="10"/>
  <c r="X44" i="10"/>
  <c r="X42" i="10"/>
  <c r="X43" i="10"/>
  <c r="X46" i="10"/>
  <c r="X41" i="10"/>
  <c r="X31" i="10"/>
  <c r="X32" i="10"/>
  <c r="X29" i="10"/>
  <c r="X30" i="10"/>
  <c r="X34" i="10"/>
  <c r="AF17" i="10"/>
  <c r="AF18" i="10"/>
  <c r="AF19" i="10"/>
  <c r="AF20" i="10"/>
  <c r="AF21" i="10"/>
  <c r="AF22" i="10"/>
  <c r="X125" i="9"/>
  <c r="X128" i="9"/>
  <c r="X126" i="9"/>
  <c r="X129" i="9"/>
  <c r="X130" i="9"/>
  <c r="X127" i="9"/>
  <c r="AF113" i="9"/>
  <c r="AF114" i="9"/>
  <c r="AF117" i="9"/>
  <c r="AF115" i="9"/>
  <c r="AF116" i="9"/>
  <c r="AF118" i="9"/>
  <c r="AF101" i="9"/>
  <c r="AF103" i="9"/>
  <c r="AF102" i="9"/>
  <c r="AF105" i="9"/>
  <c r="AF104" i="9"/>
  <c r="AB92" i="9"/>
  <c r="AB91" i="9"/>
  <c r="AB89" i="9"/>
  <c r="AB90" i="9"/>
  <c r="AB93" i="9"/>
  <c r="AB77" i="9"/>
  <c r="AB79" i="9"/>
  <c r="AB80" i="9"/>
  <c r="AB78" i="9"/>
  <c r="X69" i="9"/>
  <c r="X67" i="9"/>
  <c r="X66" i="9"/>
  <c r="X68" i="9"/>
  <c r="X65" i="9"/>
  <c r="X53" i="9"/>
  <c r="X57" i="9"/>
  <c r="X56" i="9"/>
  <c r="X58" i="9"/>
  <c r="X54" i="9"/>
  <c r="X55" i="9"/>
  <c r="AF45" i="9"/>
  <c r="AF46" i="9"/>
  <c r="AF44" i="9"/>
  <c r="AF42" i="9"/>
  <c r="AF41" i="9"/>
  <c r="AF43" i="9"/>
  <c r="T29" i="9"/>
  <c r="T30" i="9"/>
  <c r="T31" i="9"/>
  <c r="AF17" i="9"/>
  <c r="AF18" i="9"/>
  <c r="AF19" i="9"/>
  <c r="AF20" i="9"/>
  <c r="AF21" i="9"/>
  <c r="AF22" i="9"/>
  <c r="AB81" i="10"/>
  <c r="AB33" i="10"/>
  <c r="AB46" i="10"/>
  <c r="AB45" i="10"/>
  <c r="AB130" i="10"/>
  <c r="AB70" i="10"/>
  <c r="X32" i="9"/>
  <c r="X33" i="9"/>
  <c r="X82" i="9"/>
  <c r="X34" i="9"/>
  <c r="X94" i="9"/>
  <c r="X70" i="9"/>
  <c r="AF129" i="10"/>
  <c r="AF127" i="10"/>
  <c r="AF126" i="10"/>
  <c r="AF128" i="10"/>
  <c r="AF130" i="10"/>
  <c r="AF125" i="10"/>
  <c r="AB117" i="10"/>
  <c r="AB114" i="10"/>
  <c r="AB113" i="10"/>
  <c r="AB118" i="10"/>
  <c r="AB116" i="10"/>
  <c r="AB115" i="10"/>
  <c r="AF104" i="10"/>
  <c r="AF105" i="10"/>
  <c r="AF102" i="10"/>
  <c r="AF101" i="10"/>
  <c r="AF103" i="10"/>
  <c r="AF106" i="10"/>
  <c r="X93" i="10"/>
  <c r="X92" i="10"/>
  <c r="X91" i="10"/>
  <c r="X94" i="10"/>
  <c r="X90" i="10"/>
  <c r="X89" i="10"/>
  <c r="AF77" i="10"/>
  <c r="AF79" i="10"/>
  <c r="AF78" i="10"/>
  <c r="AF82" i="10"/>
  <c r="AF80" i="10"/>
  <c r="AF81" i="10"/>
  <c r="AB65" i="10"/>
  <c r="AB66" i="10"/>
  <c r="AB67" i="10"/>
  <c r="AB68" i="10"/>
  <c r="AB69" i="10"/>
  <c r="X58" i="10"/>
  <c r="X54" i="10"/>
  <c r="X56" i="10"/>
  <c r="X55" i="10"/>
  <c r="X53" i="10"/>
  <c r="X57" i="10"/>
  <c r="AB42" i="10"/>
  <c r="AB43" i="10"/>
  <c r="AB41" i="10"/>
  <c r="AB44" i="10"/>
  <c r="AB31" i="10"/>
  <c r="AB34" i="10"/>
  <c r="AB30" i="10"/>
  <c r="AB29" i="10"/>
  <c r="AB32" i="10"/>
  <c r="X17" i="10"/>
  <c r="X18" i="10"/>
  <c r="X19" i="10"/>
  <c r="X20" i="10"/>
  <c r="X21" i="10"/>
  <c r="X22" i="10"/>
  <c r="AF127" i="9"/>
  <c r="AF129" i="9"/>
  <c r="AF128" i="9"/>
  <c r="AF130" i="9"/>
  <c r="AF125" i="9"/>
  <c r="AF126" i="9"/>
  <c r="AB118" i="9"/>
  <c r="AB113" i="9"/>
  <c r="AB115" i="9"/>
  <c r="AB114" i="9"/>
  <c r="AB116" i="9"/>
  <c r="AD116" i="9" s="1"/>
  <c r="AB117" i="9"/>
  <c r="AB101" i="9"/>
  <c r="AB105" i="9"/>
  <c r="AB104" i="9"/>
  <c r="AB103" i="9"/>
  <c r="AB102" i="9"/>
  <c r="T92" i="9"/>
  <c r="T93" i="9"/>
  <c r="T89" i="9"/>
  <c r="T90" i="9"/>
  <c r="T91" i="9"/>
  <c r="T79" i="9"/>
  <c r="T78" i="9"/>
  <c r="T77" i="9"/>
  <c r="T80" i="9"/>
  <c r="AF68" i="9"/>
  <c r="AF66" i="9"/>
  <c r="AF65" i="9"/>
  <c r="AF67" i="9"/>
  <c r="AF69" i="9"/>
  <c r="AF55" i="9"/>
  <c r="AF56" i="9"/>
  <c r="AF58" i="9"/>
  <c r="AF57" i="9"/>
  <c r="AF54" i="9"/>
  <c r="AF53" i="9"/>
  <c r="AB46" i="9"/>
  <c r="AB43" i="9"/>
  <c r="AB42" i="9"/>
  <c r="AB45" i="9"/>
  <c r="AB44" i="9"/>
  <c r="AB41" i="9"/>
  <c r="X29" i="9"/>
  <c r="X31" i="9"/>
  <c r="X30" i="9"/>
  <c r="X17" i="9"/>
  <c r="X19" i="9"/>
  <c r="X18" i="9"/>
  <c r="X20" i="9"/>
  <c r="X21" i="9"/>
  <c r="X22" i="9"/>
  <c r="AF45" i="10"/>
  <c r="AF93" i="10"/>
  <c r="AF70" i="10"/>
  <c r="AF32" i="9"/>
  <c r="AF81" i="9"/>
  <c r="AF33" i="9"/>
  <c r="AF106" i="9"/>
  <c r="AF82" i="9"/>
  <c r="AF70" i="9"/>
  <c r="T128" i="10"/>
  <c r="T125" i="10"/>
  <c r="T126" i="10"/>
  <c r="T130" i="10"/>
  <c r="T127" i="10"/>
  <c r="AF115" i="10"/>
  <c r="AF118" i="10"/>
  <c r="AF114" i="10"/>
  <c r="AF117" i="10"/>
  <c r="AF116" i="10"/>
  <c r="AF113" i="10"/>
  <c r="T103" i="10"/>
  <c r="T105" i="10"/>
  <c r="T101" i="10"/>
  <c r="T104" i="10"/>
  <c r="T102" i="10"/>
  <c r="AB91" i="10"/>
  <c r="AB89" i="10"/>
  <c r="AB90" i="10"/>
  <c r="AB93" i="10"/>
  <c r="AB92" i="10"/>
  <c r="AB94" i="10"/>
  <c r="T77" i="10"/>
  <c r="T79" i="10"/>
  <c r="T81" i="10"/>
  <c r="T78" i="10"/>
  <c r="AF66" i="10"/>
  <c r="AF65" i="10"/>
  <c r="AF68" i="10"/>
  <c r="AF67" i="10"/>
  <c r="AF69" i="10"/>
  <c r="AB58" i="10"/>
  <c r="AB55" i="10"/>
  <c r="AB56" i="10"/>
  <c r="AB53" i="10"/>
  <c r="AB54" i="10"/>
  <c r="AB57" i="10"/>
  <c r="AF41" i="10"/>
  <c r="AF43" i="10"/>
  <c r="AF42" i="10"/>
  <c r="AF44" i="10"/>
  <c r="AF46" i="10"/>
  <c r="AF32" i="10"/>
  <c r="AF34" i="10"/>
  <c r="AF29" i="10"/>
  <c r="AF33" i="10"/>
  <c r="AF31" i="10"/>
  <c r="AF30" i="10"/>
  <c r="AB17" i="10"/>
  <c r="AB18" i="10"/>
  <c r="AB19" i="10"/>
  <c r="AB20" i="10"/>
  <c r="AB21" i="10"/>
  <c r="AB22" i="10"/>
  <c r="AB130" i="9"/>
  <c r="AB125" i="9"/>
  <c r="AB128" i="9"/>
  <c r="AB126" i="9"/>
  <c r="AB127" i="9"/>
  <c r="AB129" i="9"/>
  <c r="T114" i="9"/>
  <c r="T113" i="9"/>
  <c r="T115" i="9"/>
  <c r="T117" i="9"/>
  <c r="T116" i="9"/>
  <c r="T118" i="9"/>
  <c r="T101" i="9"/>
  <c r="T102" i="9"/>
  <c r="T103" i="9"/>
  <c r="T105" i="9"/>
  <c r="X92" i="9"/>
  <c r="X91" i="9"/>
  <c r="X93" i="9"/>
  <c r="X89" i="9"/>
  <c r="X90" i="9"/>
  <c r="X78" i="9"/>
  <c r="X79" i="9"/>
  <c r="X81" i="9"/>
  <c r="X77" i="9"/>
  <c r="X80" i="9"/>
  <c r="AB66" i="9"/>
  <c r="AB67" i="9"/>
  <c r="AB65" i="9"/>
  <c r="AB69" i="9"/>
  <c r="AB70" i="9"/>
  <c r="AB68" i="9"/>
  <c r="AB54" i="9"/>
  <c r="AB55" i="9"/>
  <c r="AB53" i="9"/>
  <c r="AB57" i="9"/>
  <c r="AB56" i="9"/>
  <c r="AB58" i="9"/>
  <c r="T42" i="9"/>
  <c r="T41" i="9"/>
  <c r="T45" i="9"/>
  <c r="T46" i="9"/>
  <c r="T43" i="9"/>
  <c r="T44" i="9"/>
  <c r="AF34" i="9"/>
  <c r="AF31" i="9"/>
  <c r="AF30" i="9"/>
  <c r="AF29" i="9"/>
  <c r="AB17" i="9"/>
  <c r="AB19" i="9"/>
  <c r="AB18" i="9"/>
  <c r="AB20" i="9"/>
  <c r="AB21" i="9"/>
  <c r="AB22" i="9"/>
  <c r="T33" i="10"/>
  <c r="T45" i="10"/>
  <c r="T80" i="10"/>
  <c r="T129" i="10"/>
  <c r="T106" i="10"/>
  <c r="T70" i="10"/>
  <c r="T82" i="10"/>
  <c r="AB32" i="9"/>
  <c r="AB81" i="9"/>
  <c r="AB33" i="9"/>
  <c r="AB82" i="9"/>
  <c r="AB106" i="9"/>
  <c r="AB94" i="9"/>
  <c r="X130" i="10"/>
  <c r="X125" i="10"/>
  <c r="X126" i="10"/>
  <c r="X128" i="10"/>
  <c r="X127" i="10"/>
  <c r="T117" i="10"/>
  <c r="T113" i="10"/>
  <c r="T115" i="10"/>
  <c r="T116" i="10"/>
  <c r="T118" i="10"/>
  <c r="T114" i="10"/>
  <c r="X102" i="10"/>
  <c r="X104" i="10"/>
  <c r="X103" i="10"/>
  <c r="X101" i="10"/>
  <c r="X105" i="10"/>
  <c r="X106" i="10"/>
  <c r="AF90" i="10"/>
  <c r="AF92" i="10"/>
  <c r="AF89" i="10"/>
  <c r="AF94" i="10"/>
  <c r="AF91" i="10"/>
  <c r="X82" i="10"/>
  <c r="X80" i="10"/>
  <c r="X77" i="10"/>
  <c r="X79" i="10"/>
  <c r="X78" i="10"/>
  <c r="X81" i="10"/>
  <c r="T65" i="10"/>
  <c r="T69" i="10"/>
  <c r="T66" i="10"/>
  <c r="T67" i="10"/>
  <c r="T68" i="10"/>
  <c r="AF53" i="10"/>
  <c r="AF55" i="10"/>
  <c r="AF54" i="10"/>
  <c r="AF57" i="10"/>
  <c r="AF56" i="10"/>
  <c r="AF58" i="10"/>
  <c r="T46" i="10"/>
  <c r="T41" i="10"/>
  <c r="T42" i="10"/>
  <c r="T44" i="10"/>
  <c r="T43" i="10"/>
  <c r="T30" i="10"/>
  <c r="T34" i="10"/>
  <c r="T29" i="10"/>
  <c r="T31" i="10"/>
  <c r="T32" i="10"/>
  <c r="T17" i="10"/>
  <c r="T18" i="10"/>
  <c r="T19" i="10"/>
  <c r="T20" i="10"/>
  <c r="T21" i="10"/>
  <c r="T22" i="10"/>
  <c r="T129" i="9"/>
  <c r="T130" i="9"/>
  <c r="T125" i="9"/>
  <c r="T128" i="9"/>
  <c r="T126" i="9"/>
  <c r="T127" i="9"/>
  <c r="X118" i="9"/>
  <c r="X114" i="9"/>
  <c r="X113" i="9"/>
  <c r="X115" i="9"/>
  <c r="X116" i="9"/>
  <c r="X117" i="9"/>
  <c r="X104" i="9"/>
  <c r="X106" i="9"/>
  <c r="X101" i="9"/>
  <c r="X102" i="9"/>
  <c r="X103" i="9"/>
  <c r="X105" i="9"/>
  <c r="AF90" i="9"/>
  <c r="AF92" i="9"/>
  <c r="AF93" i="9"/>
  <c r="AF94" i="9"/>
  <c r="AF89" i="9"/>
  <c r="AF91" i="9"/>
  <c r="AF78" i="9"/>
  <c r="AF77" i="9"/>
  <c r="AF79" i="9"/>
  <c r="AF80" i="9"/>
  <c r="T66" i="9"/>
  <c r="T67" i="9"/>
  <c r="T68" i="9"/>
  <c r="T65" i="9"/>
  <c r="T70" i="9"/>
  <c r="T55" i="9"/>
  <c r="T53" i="9"/>
  <c r="T56" i="9"/>
  <c r="T54" i="9"/>
  <c r="T57" i="9"/>
  <c r="X46" i="9"/>
  <c r="X41" i="9"/>
  <c r="X42" i="9"/>
  <c r="X43" i="9"/>
  <c r="X45" i="9"/>
  <c r="X44" i="9"/>
  <c r="AB34" i="9"/>
  <c r="AB30" i="9"/>
  <c r="AB31" i="9"/>
  <c r="AB29" i="9"/>
  <c r="T17" i="9"/>
  <c r="T18" i="9"/>
  <c r="T19" i="9"/>
  <c r="T20" i="9"/>
  <c r="T21" i="9"/>
  <c r="T22" i="9"/>
  <c r="X33" i="10"/>
  <c r="X45" i="10"/>
  <c r="X129" i="10"/>
  <c r="T33" i="9"/>
  <c r="T32" i="9"/>
  <c r="T34" i="9"/>
  <c r="T69" i="9"/>
  <c r="T58" i="9"/>
  <c r="T82" i="9"/>
  <c r="T104" i="9"/>
  <c r="T81" i="9"/>
  <c r="T94" i="9"/>
  <c r="T106" i="9"/>
  <c r="S106" i="10"/>
  <c r="S102" i="10"/>
  <c r="P13" i="10"/>
  <c r="S37" i="10"/>
  <c r="S45" i="10"/>
  <c r="S113" i="10"/>
  <c r="P5" i="10"/>
  <c r="S29" i="10"/>
  <c r="P16" i="10"/>
  <c r="S40" i="10"/>
  <c r="S48" i="10"/>
  <c r="S44" i="10"/>
  <c r="S86" i="10"/>
  <c r="S74" i="10"/>
  <c r="S94" i="10"/>
  <c r="S58" i="10"/>
  <c r="S90" i="10"/>
  <c r="S78" i="10"/>
  <c r="S54" i="10"/>
  <c r="S109" i="10"/>
  <c r="S97" i="10"/>
  <c r="S17" i="10"/>
  <c r="S112" i="10"/>
  <c r="S88" i="10"/>
  <c r="S28" i="10"/>
  <c r="S120" i="10"/>
  <c r="S24" i="10"/>
  <c r="S92" i="10"/>
  <c r="S80" i="10"/>
  <c r="S111" i="10"/>
  <c r="S27" i="10"/>
  <c r="S107" i="10"/>
  <c r="S95" i="10"/>
  <c r="S103" i="10"/>
  <c r="S91" i="10"/>
  <c r="S79" i="10"/>
  <c r="S67" i="10"/>
  <c r="S122" i="10"/>
  <c r="S126" i="10"/>
  <c r="S61" i="10"/>
  <c r="S25" i="10"/>
  <c r="P9" i="10"/>
  <c r="S33" i="10"/>
  <c r="S65" i="10"/>
  <c r="S124" i="10"/>
  <c r="S72" i="10"/>
  <c r="S68" i="10"/>
  <c r="P8" i="10"/>
  <c r="S32" i="10"/>
  <c r="S110" i="10"/>
  <c r="S98" i="10"/>
  <c r="S118" i="10"/>
  <c r="S82" i="10"/>
  <c r="S18" i="10"/>
  <c r="S133" i="10"/>
  <c r="S121" i="10"/>
  <c r="S129" i="10"/>
  <c r="S105" i="10"/>
  <c r="S93" i="10"/>
  <c r="S81" i="10"/>
  <c r="S125" i="10"/>
  <c r="S101" i="10"/>
  <c r="S77" i="10"/>
  <c r="S136" i="10"/>
  <c r="S100" i="10"/>
  <c r="S132" i="10"/>
  <c r="S108" i="10"/>
  <c r="S96" i="10"/>
  <c r="S128" i="10"/>
  <c r="S116" i="10"/>
  <c r="S104" i="10"/>
  <c r="S135" i="10"/>
  <c r="S123" i="10"/>
  <c r="S87" i="10"/>
  <c r="S119" i="10"/>
  <c r="S83" i="10"/>
  <c r="S71" i="10"/>
  <c r="S115" i="10"/>
  <c r="S47" i="10"/>
  <c r="P11" i="10"/>
  <c r="S35" i="10"/>
  <c r="S23" i="10"/>
  <c r="S127" i="10"/>
  <c r="S55" i="10"/>
  <c r="S43" i="10"/>
  <c r="P7" i="10"/>
  <c r="S31" i="10"/>
  <c r="S19" i="10"/>
  <c r="S130" i="10"/>
  <c r="S114" i="10"/>
  <c r="S49" i="10"/>
  <c r="S69" i="10"/>
  <c r="S21" i="10"/>
  <c r="S41" i="10"/>
  <c r="S76" i="10"/>
  <c r="P12" i="10"/>
  <c r="S36" i="10"/>
  <c r="S56" i="10"/>
  <c r="S20" i="10"/>
  <c r="S99" i="10"/>
  <c r="S75" i="10"/>
  <c r="S51" i="10"/>
  <c r="P15" i="10"/>
  <c r="S39" i="10"/>
  <c r="S131" i="10"/>
  <c r="S59" i="10"/>
  <c r="S134" i="10"/>
  <c r="S62" i="10"/>
  <c r="S50" i="10"/>
  <c r="P14" i="10"/>
  <c r="S38" i="10"/>
  <c r="S26" i="10"/>
  <c r="S70" i="10"/>
  <c r="S46" i="10"/>
  <c r="P10" i="10"/>
  <c r="S34" i="10"/>
  <c r="S22" i="10"/>
  <c r="S66" i="10"/>
  <c r="S42" i="10"/>
  <c r="P6" i="10"/>
  <c r="S30" i="10"/>
  <c r="S85" i="10"/>
  <c r="S73" i="10"/>
  <c r="S117" i="10"/>
  <c r="S57" i="10"/>
  <c r="S89" i="10"/>
  <c r="S53" i="10"/>
  <c r="S64" i="10"/>
  <c r="S52" i="10"/>
  <c r="S84" i="10"/>
  <c r="S60" i="10"/>
  <c r="S63" i="10"/>
  <c r="O98" i="10"/>
  <c r="O118" i="10"/>
  <c r="O133" i="10"/>
  <c r="O105" i="10"/>
  <c r="O21" i="10"/>
  <c r="O77" i="10"/>
  <c r="O136" i="10"/>
  <c r="O100" i="10"/>
  <c r="O132" i="10"/>
  <c r="O108" i="10"/>
  <c r="O96" i="10"/>
  <c r="O128" i="10"/>
  <c r="O116" i="10"/>
  <c r="O104" i="10"/>
  <c r="O135" i="10"/>
  <c r="O123" i="10"/>
  <c r="O87" i="10"/>
  <c r="O119" i="10"/>
  <c r="O83" i="10"/>
  <c r="O115" i="10"/>
  <c r="O110" i="10"/>
  <c r="O121" i="10"/>
  <c r="O93" i="10"/>
  <c r="O125" i="10"/>
  <c r="O122" i="10"/>
  <c r="O106" i="10"/>
  <c r="O126" i="10"/>
  <c r="O102" i="10"/>
  <c r="O49" i="10"/>
  <c r="O25" i="10"/>
  <c r="O45" i="10"/>
  <c r="O113" i="10"/>
  <c r="O41" i="10"/>
  <c r="L16" i="10"/>
  <c r="O40" i="10"/>
  <c r="O72" i="10"/>
  <c r="O48" i="10"/>
  <c r="L12" i="10"/>
  <c r="O36" i="10"/>
  <c r="O80" i="10"/>
  <c r="O56" i="10"/>
  <c r="O44" i="10"/>
  <c r="L8" i="10"/>
  <c r="O32" i="10"/>
  <c r="O20" i="10"/>
  <c r="O99" i="10"/>
  <c r="O75" i="10"/>
  <c r="O51" i="10"/>
  <c r="O39" i="10"/>
  <c r="L15" i="10"/>
  <c r="O131" i="10"/>
  <c r="O59" i="10"/>
  <c r="O47" i="10"/>
  <c r="O35" i="10"/>
  <c r="L11" i="10"/>
  <c r="O23" i="10"/>
  <c r="O127" i="10"/>
  <c r="O79" i="10"/>
  <c r="O55" i="10"/>
  <c r="O43" i="10"/>
  <c r="O31" i="10"/>
  <c r="L7" i="10"/>
  <c r="O19" i="10"/>
  <c r="O18" i="10"/>
  <c r="O129" i="10"/>
  <c r="O81" i="10"/>
  <c r="O101" i="10"/>
  <c r="O130" i="10"/>
  <c r="O22" i="10"/>
  <c r="O114" i="10"/>
  <c r="O61" i="10"/>
  <c r="L13" i="10"/>
  <c r="O37" i="10"/>
  <c r="O69" i="10"/>
  <c r="L9" i="10"/>
  <c r="O33" i="10"/>
  <c r="O65" i="10"/>
  <c r="L5" i="10"/>
  <c r="O29" i="10"/>
  <c r="O124" i="10"/>
  <c r="O76" i="10"/>
  <c r="O84" i="10"/>
  <c r="O134" i="10"/>
  <c r="O62" i="10"/>
  <c r="O50" i="10"/>
  <c r="O26" i="10"/>
  <c r="O70" i="10"/>
  <c r="O46" i="10"/>
  <c r="L10" i="10"/>
  <c r="O34" i="10"/>
  <c r="O66" i="10"/>
  <c r="O42" i="10"/>
  <c r="L6" i="10"/>
  <c r="O30" i="10"/>
  <c r="O85" i="10"/>
  <c r="O73" i="10"/>
  <c r="O117" i="10"/>
  <c r="O57" i="10"/>
  <c r="O89" i="10"/>
  <c r="O53" i="10"/>
  <c r="O17" i="10"/>
  <c r="O88" i="10"/>
  <c r="O64" i="10"/>
  <c r="O52" i="10"/>
  <c r="O28" i="10"/>
  <c r="O60" i="10"/>
  <c r="O24" i="10"/>
  <c r="O63" i="10"/>
  <c r="L14" i="10"/>
  <c r="O38" i="10"/>
  <c r="O82" i="10"/>
  <c r="O86" i="10"/>
  <c r="O74" i="10"/>
  <c r="O94" i="10"/>
  <c r="O58" i="10"/>
  <c r="O90" i="10"/>
  <c r="O78" i="10"/>
  <c r="O54" i="10"/>
  <c r="O109" i="10"/>
  <c r="O97" i="10"/>
  <c r="O112" i="10"/>
  <c r="O120" i="10"/>
  <c r="O92" i="10"/>
  <c r="O68" i="10"/>
  <c r="O111" i="10"/>
  <c r="O27" i="10"/>
  <c r="O107" i="10"/>
  <c r="O95" i="10"/>
  <c r="O71" i="10"/>
  <c r="O103" i="10"/>
  <c r="O91" i="10"/>
  <c r="O67" i="10"/>
  <c r="K130" i="10"/>
  <c r="K82" i="10"/>
  <c r="K126" i="10"/>
  <c r="K102" i="10"/>
  <c r="K37" i="10"/>
  <c r="H13" i="10"/>
  <c r="K45" i="10"/>
  <c r="K65" i="10"/>
  <c r="K124" i="10"/>
  <c r="K84" i="10"/>
  <c r="K48" i="10"/>
  <c r="K56" i="10"/>
  <c r="K44" i="10"/>
  <c r="K20" i="10"/>
  <c r="K99" i="10"/>
  <c r="H15" i="10"/>
  <c r="K39" i="10"/>
  <c r="K47" i="10"/>
  <c r="K127" i="10"/>
  <c r="H7" i="10"/>
  <c r="K31" i="10"/>
  <c r="K134" i="10"/>
  <c r="K50" i="10"/>
  <c r="K38" i="10"/>
  <c r="H14" i="10"/>
  <c r="K26" i="10"/>
  <c r="K70" i="10"/>
  <c r="K46" i="10"/>
  <c r="K78" i="10"/>
  <c r="K66" i="10"/>
  <c r="K42" i="10"/>
  <c r="K30" i="10"/>
  <c r="H6" i="10"/>
  <c r="K85" i="10"/>
  <c r="K73" i="10"/>
  <c r="K117" i="10"/>
  <c r="K57" i="10"/>
  <c r="K89" i="10"/>
  <c r="K53" i="10"/>
  <c r="K17" i="10"/>
  <c r="K64" i="10"/>
  <c r="K52" i="10"/>
  <c r="K28" i="10"/>
  <c r="K60" i="10"/>
  <c r="K24" i="10"/>
  <c r="K68" i="10"/>
  <c r="K63" i="10"/>
  <c r="K122" i="10"/>
  <c r="K22" i="10"/>
  <c r="K114" i="10"/>
  <c r="K61" i="10"/>
  <c r="K25" i="10"/>
  <c r="K33" i="10"/>
  <c r="H9" i="10"/>
  <c r="K29" i="10"/>
  <c r="H5" i="10"/>
  <c r="H16" i="10"/>
  <c r="K40" i="10"/>
  <c r="K75" i="10"/>
  <c r="K131" i="10"/>
  <c r="H11" i="10"/>
  <c r="K35" i="10"/>
  <c r="K55" i="10"/>
  <c r="K19" i="10"/>
  <c r="K62" i="10"/>
  <c r="K34" i="10"/>
  <c r="H10" i="10"/>
  <c r="K86" i="10"/>
  <c r="K74" i="10"/>
  <c r="K94" i="10"/>
  <c r="K58" i="10"/>
  <c r="K90" i="10"/>
  <c r="K54" i="10"/>
  <c r="K18" i="10"/>
  <c r="K109" i="10"/>
  <c r="K97" i="10"/>
  <c r="K81" i="10"/>
  <c r="K112" i="10"/>
  <c r="K120" i="10"/>
  <c r="K92" i="10"/>
  <c r="K111" i="10"/>
  <c r="K27" i="10"/>
  <c r="K107" i="10"/>
  <c r="K95" i="10"/>
  <c r="K71" i="10"/>
  <c r="K103" i="10"/>
  <c r="K91" i="10"/>
  <c r="K67" i="10"/>
  <c r="K106" i="10"/>
  <c r="K49" i="10"/>
  <c r="K69" i="10"/>
  <c r="K113" i="10"/>
  <c r="K41" i="10"/>
  <c r="K76" i="10"/>
  <c r="K72" i="10"/>
  <c r="H12" i="10"/>
  <c r="K36" i="10"/>
  <c r="H8" i="10"/>
  <c r="K32" i="10"/>
  <c r="K51" i="10"/>
  <c r="K59" i="10"/>
  <c r="K23" i="10"/>
  <c r="K43" i="10"/>
  <c r="K110" i="10"/>
  <c r="K98" i="10"/>
  <c r="K118" i="10"/>
  <c r="K133" i="10"/>
  <c r="K121" i="10"/>
  <c r="K129" i="10"/>
  <c r="K105" i="10"/>
  <c r="K93" i="10"/>
  <c r="K21" i="10"/>
  <c r="K125" i="10"/>
  <c r="K101" i="10"/>
  <c r="K77" i="10"/>
  <c r="K136" i="10"/>
  <c r="K100" i="10"/>
  <c r="K88" i="10"/>
  <c r="K132" i="10"/>
  <c r="K108" i="10"/>
  <c r="K96" i="10"/>
  <c r="K128" i="10"/>
  <c r="K116" i="10"/>
  <c r="K104" i="10"/>
  <c r="K80" i="10"/>
  <c r="K135" i="10"/>
  <c r="K123" i="10"/>
  <c r="K87" i="10"/>
  <c r="K119" i="10"/>
  <c r="K83" i="10"/>
  <c r="K115" i="10"/>
  <c r="K79" i="10"/>
  <c r="G70" i="10"/>
  <c r="D10" i="10"/>
  <c r="G34" i="10"/>
  <c r="G66" i="10"/>
  <c r="D6" i="10"/>
  <c r="G30" i="10"/>
  <c r="G85" i="10"/>
  <c r="G117" i="10"/>
  <c r="G53" i="10"/>
  <c r="G64" i="10"/>
  <c r="G52" i="10"/>
  <c r="G68" i="10"/>
  <c r="G63" i="10"/>
  <c r="G71" i="10"/>
  <c r="G86" i="10"/>
  <c r="G74" i="10"/>
  <c r="G94" i="10"/>
  <c r="G58" i="10"/>
  <c r="G90" i="10"/>
  <c r="G54" i="10"/>
  <c r="G109" i="10"/>
  <c r="G97" i="10"/>
  <c r="G21" i="10"/>
  <c r="G112" i="10"/>
  <c r="G88" i="10"/>
  <c r="G120" i="10"/>
  <c r="G92" i="10"/>
  <c r="G111" i="10"/>
  <c r="G27" i="10"/>
  <c r="G107" i="10"/>
  <c r="G95" i="10"/>
  <c r="G103" i="10"/>
  <c r="G91" i="10"/>
  <c r="G67" i="10"/>
  <c r="G50" i="10"/>
  <c r="D14" i="10"/>
  <c r="G38" i="10"/>
  <c r="G26" i="10"/>
  <c r="G46" i="10"/>
  <c r="G42" i="10"/>
  <c r="G73" i="10"/>
  <c r="G57" i="10"/>
  <c r="G89" i="10"/>
  <c r="G60" i="10"/>
  <c r="G110" i="10"/>
  <c r="G98" i="10"/>
  <c r="G118" i="10"/>
  <c r="G22" i="10"/>
  <c r="G78" i="10"/>
  <c r="G133" i="10"/>
  <c r="G121" i="10"/>
  <c r="G129" i="10"/>
  <c r="G105" i="10"/>
  <c r="G93" i="10"/>
  <c r="G125" i="10"/>
  <c r="G101" i="10"/>
  <c r="G77" i="10"/>
  <c r="G136" i="10"/>
  <c r="G100" i="10"/>
  <c r="G132" i="10"/>
  <c r="G108" i="10"/>
  <c r="G96" i="10"/>
  <c r="G84" i="10"/>
  <c r="G128" i="10"/>
  <c r="G116" i="10"/>
  <c r="G104" i="10"/>
  <c r="G80" i="10"/>
  <c r="G135" i="10"/>
  <c r="G123" i="10"/>
  <c r="G87" i="10"/>
  <c r="G119" i="10"/>
  <c r="G83" i="10"/>
  <c r="G115" i="10"/>
  <c r="G79" i="10"/>
  <c r="G134" i="10"/>
  <c r="G62" i="10"/>
  <c r="G122" i="10"/>
  <c r="G130" i="10"/>
  <c r="G106" i="10"/>
  <c r="G82" i="10"/>
  <c r="G126" i="10"/>
  <c r="G114" i="10"/>
  <c r="G102" i="10"/>
  <c r="G18" i="10"/>
  <c r="D18" i="11"/>
  <c r="F18" i="11" s="1"/>
  <c r="G61" i="10"/>
  <c r="G49" i="10"/>
  <c r="G37" i="10"/>
  <c r="D13" i="10"/>
  <c r="G25" i="10"/>
  <c r="G81" i="10"/>
  <c r="G69" i="10"/>
  <c r="G45" i="10"/>
  <c r="D9" i="10"/>
  <c r="G33" i="10"/>
  <c r="G113" i="10"/>
  <c r="G65" i="10"/>
  <c r="G41" i="10"/>
  <c r="D5" i="10"/>
  <c r="G29" i="10"/>
  <c r="G17" i="10"/>
  <c r="G124" i="10"/>
  <c r="G76" i="10"/>
  <c r="D16" i="10"/>
  <c r="G40" i="10"/>
  <c r="G28" i="10"/>
  <c r="G72" i="10"/>
  <c r="G48" i="10"/>
  <c r="D12" i="10"/>
  <c r="G36" i="10"/>
  <c r="G24" i="10"/>
  <c r="G56" i="10"/>
  <c r="G44" i="10"/>
  <c r="G32" i="10"/>
  <c r="D8" i="10"/>
  <c r="G20" i="10"/>
  <c r="G99" i="10"/>
  <c r="G75" i="10"/>
  <c r="G51" i="10"/>
  <c r="G39" i="10"/>
  <c r="D15" i="10"/>
  <c r="G131" i="10"/>
  <c r="G59" i="10"/>
  <c r="G47" i="10"/>
  <c r="D11" i="10"/>
  <c r="G35" i="10"/>
  <c r="G23" i="10"/>
  <c r="G127" i="10"/>
  <c r="G55" i="10"/>
  <c r="G43" i="10"/>
  <c r="G31" i="10"/>
  <c r="D7" i="10"/>
  <c r="G19" i="10"/>
  <c r="P134" i="11"/>
  <c r="S134" i="9"/>
  <c r="P70" i="11"/>
  <c r="S70" i="9"/>
  <c r="P54" i="11"/>
  <c r="S54" i="9"/>
  <c r="P105" i="11"/>
  <c r="S105" i="9"/>
  <c r="P62" i="11"/>
  <c r="S62" i="9"/>
  <c r="P126" i="11"/>
  <c r="S126" i="9"/>
  <c r="P113" i="11"/>
  <c r="S113" i="9"/>
  <c r="P17" i="11"/>
  <c r="S17" i="9"/>
  <c r="P132" i="11"/>
  <c r="S132" i="9"/>
  <c r="P108" i="11"/>
  <c r="S108" i="9"/>
  <c r="P48" i="11"/>
  <c r="S48" i="9"/>
  <c r="P92" i="11"/>
  <c r="S92" i="9"/>
  <c r="R32" i="9"/>
  <c r="P8" i="9"/>
  <c r="P32" i="11"/>
  <c r="S32" i="9"/>
  <c r="P87" i="11"/>
  <c r="S87" i="9"/>
  <c r="R39" i="9"/>
  <c r="P15" i="9"/>
  <c r="P39" i="11"/>
  <c r="S39" i="9"/>
  <c r="P74" i="11"/>
  <c r="S74" i="9"/>
  <c r="P58" i="11"/>
  <c r="S58" i="9"/>
  <c r="P125" i="11"/>
  <c r="S125" i="9"/>
  <c r="P65" i="11"/>
  <c r="S65" i="9"/>
  <c r="P53" i="11"/>
  <c r="S53" i="9"/>
  <c r="P133" i="11"/>
  <c r="S133" i="9"/>
  <c r="P73" i="11"/>
  <c r="S73" i="9"/>
  <c r="P49" i="11"/>
  <c r="S49" i="9"/>
  <c r="R37" i="9"/>
  <c r="P13" i="9"/>
  <c r="P37" i="11"/>
  <c r="S37" i="9"/>
  <c r="P129" i="11"/>
  <c r="S129" i="9"/>
  <c r="P117" i="11"/>
  <c r="S117" i="9"/>
  <c r="P93" i="11"/>
  <c r="S93" i="9"/>
  <c r="P81" i="11"/>
  <c r="S81" i="9"/>
  <c r="P57" i="11"/>
  <c r="S57" i="9"/>
  <c r="P45" i="11"/>
  <c r="S45" i="9"/>
  <c r="P136" i="11"/>
  <c r="S136" i="9"/>
  <c r="P112" i="11"/>
  <c r="S112" i="9"/>
  <c r="P72" i="11"/>
  <c r="S72" i="9"/>
  <c r="P24" i="11"/>
  <c r="S24" i="9"/>
  <c r="P104" i="11"/>
  <c r="S104" i="9"/>
  <c r="P68" i="11"/>
  <c r="S68" i="9"/>
  <c r="P131" i="11"/>
  <c r="S131" i="9"/>
  <c r="P119" i="11"/>
  <c r="S119" i="9"/>
  <c r="P127" i="11"/>
  <c r="S127" i="9"/>
  <c r="P115" i="11"/>
  <c r="S115" i="9"/>
  <c r="P103" i="11"/>
  <c r="S103" i="9"/>
  <c r="P79" i="11"/>
  <c r="S79" i="9"/>
  <c r="P86" i="11"/>
  <c r="S86" i="9"/>
  <c r="P46" i="11"/>
  <c r="S46" i="9"/>
  <c r="R30" i="9"/>
  <c r="P6" i="9"/>
  <c r="P30" i="11"/>
  <c r="S30" i="9"/>
  <c r="P41" i="11"/>
  <c r="S41" i="9"/>
  <c r="P97" i="11"/>
  <c r="S97" i="9"/>
  <c r="P120" i="11"/>
  <c r="S120" i="9"/>
  <c r="P96" i="11"/>
  <c r="S96" i="9"/>
  <c r="R36" i="9"/>
  <c r="P12" i="9"/>
  <c r="P36" i="11"/>
  <c r="S36" i="9"/>
  <c r="P56" i="11"/>
  <c r="S56" i="9"/>
  <c r="P135" i="11"/>
  <c r="S135" i="9"/>
  <c r="P75" i="11"/>
  <c r="S75" i="9"/>
  <c r="P67" i="11"/>
  <c r="S67" i="9"/>
  <c r="R31" i="9"/>
  <c r="P7" i="9"/>
  <c r="P31" i="11"/>
  <c r="S31" i="9"/>
  <c r="P110" i="11"/>
  <c r="S110" i="9"/>
  <c r="P26" i="11"/>
  <c r="S26" i="9"/>
  <c r="P18" i="11"/>
  <c r="S18" i="9"/>
  <c r="P122" i="11"/>
  <c r="S122" i="9"/>
  <c r="P50" i="11"/>
  <c r="S50" i="9"/>
  <c r="P118" i="11"/>
  <c r="S118" i="9"/>
  <c r="P94" i="11"/>
  <c r="S94" i="9"/>
  <c r="P78" i="11"/>
  <c r="S78" i="9"/>
  <c r="P42" i="11"/>
  <c r="S42" i="9"/>
  <c r="R29" i="9"/>
  <c r="P5" i="9"/>
  <c r="P29" i="11"/>
  <c r="S29" i="9"/>
  <c r="P61" i="11"/>
  <c r="S61" i="9"/>
  <c r="R33" i="9"/>
  <c r="P9" i="9"/>
  <c r="P33" i="11"/>
  <c r="S33" i="9"/>
  <c r="P124" i="11"/>
  <c r="S124" i="9"/>
  <c r="P88" i="11"/>
  <c r="S88" i="9"/>
  <c r="R40" i="9"/>
  <c r="P16" i="9"/>
  <c r="P40" i="11"/>
  <c r="S40" i="9"/>
  <c r="P28" i="11"/>
  <c r="S28" i="9"/>
  <c r="P84" i="11"/>
  <c r="S84" i="9"/>
  <c r="P20" i="11"/>
  <c r="S20" i="9"/>
  <c r="P99" i="11"/>
  <c r="S99" i="9"/>
  <c r="P63" i="11"/>
  <c r="S63" i="9"/>
  <c r="P107" i="11"/>
  <c r="S107" i="9"/>
  <c r="P95" i="11"/>
  <c r="S95" i="9"/>
  <c r="P83" i="11"/>
  <c r="S83" i="9"/>
  <c r="P71" i="11"/>
  <c r="S71" i="9"/>
  <c r="P59" i="11"/>
  <c r="S59" i="9"/>
  <c r="P47" i="11"/>
  <c r="S47" i="9"/>
  <c r="P91" i="11"/>
  <c r="S91" i="9"/>
  <c r="P130" i="11"/>
  <c r="S130" i="9"/>
  <c r="P66" i="11"/>
  <c r="S66" i="9"/>
  <c r="P101" i="11"/>
  <c r="S101" i="9"/>
  <c r="P121" i="11"/>
  <c r="S121" i="9"/>
  <c r="P128" i="11"/>
  <c r="S128" i="9"/>
  <c r="P111" i="11"/>
  <c r="S111" i="9"/>
  <c r="P98" i="11"/>
  <c r="S98" i="9"/>
  <c r="R38" i="9"/>
  <c r="P14" i="9"/>
  <c r="P38" i="11"/>
  <c r="S38" i="9"/>
  <c r="P106" i="11"/>
  <c r="S106" i="9"/>
  <c r="P82" i="11"/>
  <c r="S82" i="9"/>
  <c r="R34" i="9"/>
  <c r="P10" i="9"/>
  <c r="P34" i="11"/>
  <c r="S34" i="9"/>
  <c r="P22" i="11"/>
  <c r="S22" i="9"/>
  <c r="P114" i="11"/>
  <c r="S114" i="9"/>
  <c r="P102" i="11"/>
  <c r="S102" i="9"/>
  <c r="P90" i="11"/>
  <c r="S90" i="9"/>
  <c r="P89" i="11"/>
  <c r="S89" i="9"/>
  <c r="P77" i="11"/>
  <c r="S77" i="9"/>
  <c r="P109" i="11"/>
  <c r="S109" i="9"/>
  <c r="P85" i="11"/>
  <c r="S85" i="9"/>
  <c r="P25" i="11"/>
  <c r="S25" i="9"/>
  <c r="P69" i="11"/>
  <c r="S69" i="9"/>
  <c r="P21" i="11"/>
  <c r="S21" i="9"/>
  <c r="P100" i="11"/>
  <c r="S100" i="9"/>
  <c r="P76" i="11"/>
  <c r="S76" i="9"/>
  <c r="P64" i="11"/>
  <c r="S64" i="9"/>
  <c r="P52" i="11"/>
  <c r="S52" i="9"/>
  <c r="P60" i="11"/>
  <c r="S60" i="9"/>
  <c r="P116" i="11"/>
  <c r="S116" i="9"/>
  <c r="P80" i="11"/>
  <c r="S80" i="9"/>
  <c r="P44" i="11"/>
  <c r="S44" i="9"/>
  <c r="P123" i="11"/>
  <c r="S123" i="9"/>
  <c r="P51" i="11"/>
  <c r="S51" i="9"/>
  <c r="P27" i="11"/>
  <c r="S27" i="9"/>
  <c r="R35" i="9"/>
  <c r="P11" i="9"/>
  <c r="P35" i="11"/>
  <c r="S35" i="9"/>
  <c r="P23" i="11"/>
  <c r="S23" i="9"/>
  <c r="P55" i="11"/>
  <c r="S55" i="9"/>
  <c r="P43" i="11"/>
  <c r="S43" i="9"/>
  <c r="P19" i="11"/>
  <c r="S19" i="9"/>
  <c r="L106" i="11"/>
  <c r="O106" i="9"/>
  <c r="L22" i="11"/>
  <c r="O22" i="9"/>
  <c r="L89" i="11"/>
  <c r="O89" i="9"/>
  <c r="L69" i="11"/>
  <c r="O69" i="9"/>
  <c r="L20" i="11"/>
  <c r="O20" i="9"/>
  <c r="L55" i="11"/>
  <c r="O55" i="9"/>
  <c r="L82" i="11"/>
  <c r="O82" i="9"/>
  <c r="L114" i="11"/>
  <c r="O114" i="9"/>
  <c r="L77" i="11"/>
  <c r="O77" i="9"/>
  <c r="L21" i="11"/>
  <c r="O21" i="9"/>
  <c r="L52" i="11"/>
  <c r="O52" i="9"/>
  <c r="L123" i="11"/>
  <c r="O123" i="9"/>
  <c r="L43" i="11"/>
  <c r="O43" i="9"/>
  <c r="L62" i="11"/>
  <c r="O62" i="9"/>
  <c r="L126" i="11"/>
  <c r="O126" i="9"/>
  <c r="L54" i="11"/>
  <c r="O54" i="9"/>
  <c r="N30" i="9"/>
  <c r="L6" i="9"/>
  <c r="L30" i="11"/>
  <c r="O30" i="9"/>
  <c r="L113" i="11"/>
  <c r="O113" i="9"/>
  <c r="L101" i="11"/>
  <c r="O101" i="9"/>
  <c r="L41" i="11"/>
  <c r="O41" i="9"/>
  <c r="L121" i="11"/>
  <c r="O121" i="9"/>
  <c r="L97" i="11"/>
  <c r="O97" i="9"/>
  <c r="L105" i="11"/>
  <c r="O105" i="9"/>
  <c r="O64" i="9"/>
  <c r="L64" i="11"/>
  <c r="N40" i="9"/>
  <c r="O40" i="9"/>
  <c r="L16" i="9"/>
  <c r="L40" i="11"/>
  <c r="L28" i="11"/>
  <c r="O28" i="9"/>
  <c r="L132" i="11"/>
  <c r="O132" i="9"/>
  <c r="O120" i="9"/>
  <c r="L120" i="11"/>
  <c r="L108" i="11"/>
  <c r="O108" i="9"/>
  <c r="O96" i="9"/>
  <c r="L96" i="11"/>
  <c r="O128" i="9"/>
  <c r="L128" i="11"/>
  <c r="L92" i="11"/>
  <c r="O92" i="9"/>
  <c r="N32" i="9"/>
  <c r="L8" i="9"/>
  <c r="O32" i="9"/>
  <c r="L32" i="11"/>
  <c r="L135" i="11"/>
  <c r="O135" i="9"/>
  <c r="L111" i="11"/>
  <c r="O111" i="9"/>
  <c r="L87" i="11"/>
  <c r="O87" i="9"/>
  <c r="L75" i="11"/>
  <c r="O75" i="9"/>
  <c r="N39" i="9"/>
  <c r="L15" i="9"/>
  <c r="L39" i="11"/>
  <c r="O39" i="9"/>
  <c r="L27" i="11"/>
  <c r="O27" i="9"/>
  <c r="L23" i="11"/>
  <c r="O23" i="9"/>
  <c r="L67" i="11"/>
  <c r="O67" i="9"/>
  <c r="N31" i="9"/>
  <c r="L7" i="9"/>
  <c r="L31" i="11"/>
  <c r="O31" i="9"/>
  <c r="L19" i="11"/>
  <c r="O19" i="9"/>
  <c r="N38" i="9"/>
  <c r="L14" i="9"/>
  <c r="L38" i="11"/>
  <c r="O38" i="9"/>
  <c r="L102" i="11"/>
  <c r="O102" i="9"/>
  <c r="L109" i="11"/>
  <c r="O109" i="9"/>
  <c r="L100" i="11"/>
  <c r="O100" i="9"/>
  <c r="L116" i="11"/>
  <c r="O116" i="9"/>
  <c r="L51" i="11"/>
  <c r="O51" i="9"/>
  <c r="L134" i="11"/>
  <c r="O134" i="9"/>
  <c r="L130" i="11"/>
  <c r="O130" i="9"/>
  <c r="L46" i="11"/>
  <c r="O46" i="9"/>
  <c r="L66" i="11"/>
  <c r="O66" i="9"/>
  <c r="L110" i="11"/>
  <c r="O110" i="9"/>
  <c r="L74" i="11"/>
  <c r="O74" i="9"/>
  <c r="L26" i="11"/>
  <c r="O26" i="9"/>
  <c r="L58" i="11"/>
  <c r="O58" i="9"/>
  <c r="L125" i="11"/>
  <c r="O125" i="9"/>
  <c r="L65" i="11"/>
  <c r="O65" i="9"/>
  <c r="L53" i="11"/>
  <c r="O53" i="9"/>
  <c r="L17" i="11"/>
  <c r="O17" i="9"/>
  <c r="L133" i="11"/>
  <c r="O133" i="9"/>
  <c r="L73" i="11"/>
  <c r="O73" i="9"/>
  <c r="L49" i="11"/>
  <c r="O49" i="9"/>
  <c r="N37" i="9"/>
  <c r="L13" i="9"/>
  <c r="L37" i="11"/>
  <c r="O37" i="9"/>
  <c r="L25" i="11"/>
  <c r="O25" i="9"/>
  <c r="L129" i="11"/>
  <c r="O129" i="9"/>
  <c r="L117" i="11"/>
  <c r="O117" i="9"/>
  <c r="L93" i="11"/>
  <c r="O93" i="9"/>
  <c r="L81" i="11"/>
  <c r="O81" i="9"/>
  <c r="L57" i="11"/>
  <c r="O57" i="9"/>
  <c r="L45" i="11"/>
  <c r="O45" i="9"/>
  <c r="O136" i="9"/>
  <c r="L136" i="11"/>
  <c r="O112" i="9"/>
  <c r="L112" i="11"/>
  <c r="O72" i="9"/>
  <c r="L72" i="11"/>
  <c r="L60" i="11"/>
  <c r="O60" i="9"/>
  <c r="O48" i="9"/>
  <c r="L48" i="11"/>
  <c r="O104" i="9"/>
  <c r="L104" i="11"/>
  <c r="O56" i="9"/>
  <c r="L56" i="11"/>
  <c r="L44" i="11"/>
  <c r="O44" i="9"/>
  <c r="L131" i="11"/>
  <c r="O131" i="9"/>
  <c r="L119" i="11"/>
  <c r="O119" i="9"/>
  <c r="L127" i="11"/>
  <c r="O127" i="9"/>
  <c r="L115" i="11"/>
  <c r="O115" i="9"/>
  <c r="L103" i="11"/>
  <c r="O103" i="9"/>
  <c r="L79" i="11"/>
  <c r="O79" i="9"/>
  <c r="L98" i="11"/>
  <c r="O98" i="9"/>
  <c r="N34" i="9"/>
  <c r="L34" i="11"/>
  <c r="L10" i="9"/>
  <c r="O34" i="9"/>
  <c r="L90" i="11"/>
  <c r="O90" i="9"/>
  <c r="L85" i="11"/>
  <c r="O85" i="9"/>
  <c r="L76" i="11"/>
  <c r="O76" i="9"/>
  <c r="O80" i="9"/>
  <c r="L80" i="11"/>
  <c r="N35" i="9"/>
  <c r="L11" i="9"/>
  <c r="L35" i="11"/>
  <c r="O35" i="9"/>
  <c r="L86" i="11"/>
  <c r="O86" i="9"/>
  <c r="L70" i="11"/>
  <c r="O70" i="9"/>
  <c r="L122" i="11"/>
  <c r="O122" i="9"/>
  <c r="L50" i="11"/>
  <c r="O50" i="9"/>
  <c r="L118" i="11"/>
  <c r="O118" i="9"/>
  <c r="L94" i="11"/>
  <c r="O94" i="9"/>
  <c r="L78" i="11"/>
  <c r="O78" i="9"/>
  <c r="L42" i="11"/>
  <c r="O42" i="9"/>
  <c r="L18" i="11"/>
  <c r="O18" i="9"/>
  <c r="N29" i="9"/>
  <c r="L29" i="11"/>
  <c r="O29" i="9"/>
  <c r="L5" i="9"/>
  <c r="L61" i="11"/>
  <c r="O61" i="9"/>
  <c r="N33" i="9"/>
  <c r="L9" i="9"/>
  <c r="L33" i="11"/>
  <c r="O33" i="9"/>
  <c r="L124" i="11"/>
  <c r="O124" i="9"/>
  <c r="O88" i="9"/>
  <c r="L88" i="11"/>
  <c r="L84" i="11"/>
  <c r="O84" i="9"/>
  <c r="N36" i="9"/>
  <c r="L12" i="9"/>
  <c r="L36" i="11"/>
  <c r="O36" i="9"/>
  <c r="O24" i="9"/>
  <c r="L24" i="11"/>
  <c r="L68" i="11"/>
  <c r="O68" i="9"/>
  <c r="L99" i="11"/>
  <c r="O99" i="9"/>
  <c r="L63" i="11"/>
  <c r="O63" i="9"/>
  <c r="L107" i="11"/>
  <c r="O107" i="9"/>
  <c r="L95" i="11"/>
  <c r="O95" i="9"/>
  <c r="L83" i="11"/>
  <c r="O83" i="9"/>
  <c r="L71" i="11"/>
  <c r="O71" i="9"/>
  <c r="L59" i="11"/>
  <c r="O59" i="9"/>
  <c r="L47" i="11"/>
  <c r="O47" i="9"/>
  <c r="L91" i="11"/>
  <c r="O91" i="9"/>
  <c r="H50" i="11"/>
  <c r="K50" i="9"/>
  <c r="H42" i="11"/>
  <c r="K42" i="9"/>
  <c r="H53" i="11"/>
  <c r="K53" i="9"/>
  <c r="H129" i="11"/>
  <c r="K129" i="9"/>
  <c r="H81" i="11"/>
  <c r="K81" i="9"/>
  <c r="H118" i="11"/>
  <c r="K118" i="9"/>
  <c r="H78" i="11"/>
  <c r="K78" i="9"/>
  <c r="H133" i="11"/>
  <c r="K133" i="9"/>
  <c r="H13" i="9"/>
  <c r="H37" i="11"/>
  <c r="K37" i="9"/>
  <c r="H136" i="11"/>
  <c r="K136" i="9"/>
  <c r="H112" i="11"/>
  <c r="K112" i="9"/>
  <c r="H16" i="9"/>
  <c r="H40" i="11"/>
  <c r="K40" i="9"/>
  <c r="H72" i="11"/>
  <c r="K72" i="9"/>
  <c r="H119" i="11"/>
  <c r="K119" i="9"/>
  <c r="H103" i="11"/>
  <c r="K103" i="9"/>
  <c r="H19" i="11"/>
  <c r="K19" i="9"/>
  <c r="H98" i="11"/>
  <c r="K98" i="9"/>
  <c r="H14" i="9"/>
  <c r="H38" i="11"/>
  <c r="K38" i="9"/>
  <c r="H106" i="11"/>
  <c r="K106" i="9"/>
  <c r="H82" i="11"/>
  <c r="K82" i="9"/>
  <c r="H10" i="9"/>
  <c r="H34" i="11"/>
  <c r="K34" i="9"/>
  <c r="H114" i="11"/>
  <c r="K114" i="9"/>
  <c r="H102" i="11"/>
  <c r="K102" i="9"/>
  <c r="H90" i="11"/>
  <c r="K90" i="9"/>
  <c r="H29" i="11"/>
  <c r="H5" i="9"/>
  <c r="K29" i="9"/>
  <c r="H17" i="11"/>
  <c r="K17" i="9"/>
  <c r="H61" i="11"/>
  <c r="K61" i="9"/>
  <c r="H25" i="11"/>
  <c r="K25" i="9"/>
  <c r="H9" i="9"/>
  <c r="H33" i="11"/>
  <c r="K33" i="9"/>
  <c r="H124" i="11"/>
  <c r="K124" i="9"/>
  <c r="H88" i="11"/>
  <c r="K88" i="9"/>
  <c r="H84" i="11"/>
  <c r="K84" i="9"/>
  <c r="H60" i="11"/>
  <c r="K60" i="9"/>
  <c r="H48" i="11"/>
  <c r="K48" i="9"/>
  <c r="H56" i="11"/>
  <c r="K56" i="9"/>
  <c r="H44" i="11"/>
  <c r="K44" i="9"/>
  <c r="H99" i="11"/>
  <c r="K99" i="9"/>
  <c r="H63" i="11"/>
  <c r="K63" i="9"/>
  <c r="H107" i="11"/>
  <c r="K107" i="9"/>
  <c r="H95" i="11"/>
  <c r="K95" i="9"/>
  <c r="H83" i="11"/>
  <c r="K83" i="9"/>
  <c r="H71" i="11"/>
  <c r="K71" i="9"/>
  <c r="H59" i="11"/>
  <c r="K59" i="9"/>
  <c r="H47" i="11"/>
  <c r="K47" i="9"/>
  <c r="H91" i="11"/>
  <c r="K91" i="9"/>
  <c r="H125" i="11"/>
  <c r="K125" i="9"/>
  <c r="H73" i="11"/>
  <c r="K73" i="9"/>
  <c r="H117" i="11"/>
  <c r="K117" i="9"/>
  <c r="H57" i="11"/>
  <c r="K57" i="9"/>
  <c r="H68" i="11"/>
  <c r="K68" i="9"/>
  <c r="H127" i="11"/>
  <c r="K127" i="9"/>
  <c r="H79" i="11"/>
  <c r="K79" i="9"/>
  <c r="H86" i="11"/>
  <c r="K86" i="9"/>
  <c r="H62" i="11"/>
  <c r="K62" i="9"/>
  <c r="H130" i="11"/>
  <c r="K130" i="9"/>
  <c r="H70" i="11"/>
  <c r="K70" i="9"/>
  <c r="H46" i="11"/>
  <c r="K46" i="9"/>
  <c r="H22" i="11"/>
  <c r="K22" i="9"/>
  <c r="H126" i="11"/>
  <c r="K126" i="9"/>
  <c r="H66" i="11"/>
  <c r="K66" i="9"/>
  <c r="H54" i="11"/>
  <c r="K54" i="9"/>
  <c r="H6" i="9"/>
  <c r="H30" i="11"/>
  <c r="K30" i="9"/>
  <c r="H18" i="11"/>
  <c r="K18" i="9"/>
  <c r="H89" i="11"/>
  <c r="K89" i="9"/>
  <c r="H77" i="11"/>
  <c r="K77" i="9"/>
  <c r="H109" i="11"/>
  <c r="K109" i="9"/>
  <c r="H85" i="11"/>
  <c r="K85" i="9"/>
  <c r="H69" i="11"/>
  <c r="K69" i="9"/>
  <c r="H21" i="11"/>
  <c r="K21" i="9"/>
  <c r="H100" i="11"/>
  <c r="K100" i="9"/>
  <c r="H76" i="11"/>
  <c r="K76" i="9"/>
  <c r="H52" i="11"/>
  <c r="K52" i="9"/>
  <c r="H12" i="9"/>
  <c r="H36" i="11"/>
  <c r="K36" i="9"/>
  <c r="H24" i="11"/>
  <c r="K24" i="9"/>
  <c r="H116" i="11"/>
  <c r="K116" i="9"/>
  <c r="H80" i="11"/>
  <c r="K80" i="9"/>
  <c r="H123" i="11"/>
  <c r="K123" i="9"/>
  <c r="H51" i="11"/>
  <c r="K51" i="9"/>
  <c r="H27" i="11"/>
  <c r="K27" i="9"/>
  <c r="H11" i="9"/>
  <c r="H35" i="11"/>
  <c r="K35" i="9"/>
  <c r="H23" i="11"/>
  <c r="K23" i="9"/>
  <c r="H55" i="11"/>
  <c r="K55" i="9"/>
  <c r="H43" i="11"/>
  <c r="K43" i="9"/>
  <c r="H122" i="11"/>
  <c r="K122" i="9"/>
  <c r="H94" i="11"/>
  <c r="K94" i="9"/>
  <c r="H65" i="11"/>
  <c r="K65" i="9"/>
  <c r="H49" i="11"/>
  <c r="K49" i="9"/>
  <c r="H93" i="11"/>
  <c r="K93" i="9"/>
  <c r="H45" i="11"/>
  <c r="K45" i="9"/>
  <c r="H64" i="11"/>
  <c r="K64" i="9"/>
  <c r="H28" i="11"/>
  <c r="K28" i="9"/>
  <c r="H104" i="11"/>
  <c r="K104" i="9"/>
  <c r="H131" i="11"/>
  <c r="K131" i="9"/>
  <c r="H115" i="11"/>
  <c r="K115" i="9"/>
  <c r="H134" i="11"/>
  <c r="K134" i="9"/>
  <c r="H110" i="11"/>
  <c r="K110" i="9"/>
  <c r="H74" i="11"/>
  <c r="K74" i="9"/>
  <c r="H26" i="11"/>
  <c r="K26" i="9"/>
  <c r="H58" i="11"/>
  <c r="K58" i="9"/>
  <c r="H113" i="11"/>
  <c r="K113" i="9"/>
  <c r="H101" i="11"/>
  <c r="K101" i="9"/>
  <c r="H41" i="11"/>
  <c r="K41" i="9"/>
  <c r="H121" i="11"/>
  <c r="K121" i="9"/>
  <c r="H97" i="11"/>
  <c r="K97" i="9"/>
  <c r="H105" i="11"/>
  <c r="K105" i="9"/>
  <c r="H132" i="11"/>
  <c r="K132" i="9"/>
  <c r="H120" i="11"/>
  <c r="K120" i="9"/>
  <c r="H108" i="11"/>
  <c r="K108" i="9"/>
  <c r="H96" i="11"/>
  <c r="K96" i="9"/>
  <c r="H128" i="11"/>
  <c r="K128" i="9"/>
  <c r="H92" i="11"/>
  <c r="K92" i="9"/>
  <c r="H8" i="9"/>
  <c r="H32" i="11"/>
  <c r="K32" i="9"/>
  <c r="H20" i="11"/>
  <c r="K20" i="9"/>
  <c r="H135" i="11"/>
  <c r="K135" i="9"/>
  <c r="H111" i="11"/>
  <c r="K111" i="9"/>
  <c r="H87" i="11"/>
  <c r="K87" i="9"/>
  <c r="H75" i="11"/>
  <c r="K75" i="9"/>
  <c r="H15" i="9"/>
  <c r="H39" i="11"/>
  <c r="K39" i="9"/>
  <c r="H67" i="11"/>
  <c r="K67" i="9"/>
  <c r="H7" i="9"/>
  <c r="H31" i="11"/>
  <c r="K31" i="9"/>
  <c r="D74" i="11"/>
  <c r="G74" i="9"/>
  <c r="D29" i="11"/>
  <c r="G29" i="9"/>
  <c r="D33" i="11"/>
  <c r="D9" i="9"/>
  <c r="G33" i="9"/>
  <c r="D60" i="11"/>
  <c r="G60" i="9"/>
  <c r="D63" i="11"/>
  <c r="G63" i="9"/>
  <c r="D95" i="11"/>
  <c r="G95" i="9"/>
  <c r="D83" i="11"/>
  <c r="G83" i="9"/>
  <c r="D71" i="11"/>
  <c r="G71" i="9"/>
  <c r="D59" i="11"/>
  <c r="G59" i="9"/>
  <c r="D47" i="11"/>
  <c r="G47" i="9"/>
  <c r="D23" i="11"/>
  <c r="G23" i="9"/>
  <c r="D91" i="11"/>
  <c r="G91" i="9"/>
  <c r="D26" i="11"/>
  <c r="G26" i="9"/>
  <c r="D124" i="11"/>
  <c r="G124" i="9"/>
  <c r="D84" i="11"/>
  <c r="G84" i="9"/>
  <c r="D99" i="11"/>
  <c r="G99" i="9"/>
  <c r="D107" i="11"/>
  <c r="G107" i="9"/>
  <c r="D50" i="11"/>
  <c r="G50" i="9"/>
  <c r="D118" i="11"/>
  <c r="G118" i="9"/>
  <c r="D94" i="11"/>
  <c r="G94" i="9"/>
  <c r="D22" i="11"/>
  <c r="G22" i="9"/>
  <c r="D78" i="11"/>
  <c r="G78" i="9"/>
  <c r="D42" i="11"/>
  <c r="G42" i="9"/>
  <c r="D89" i="11"/>
  <c r="G89" i="9"/>
  <c r="D77" i="11"/>
  <c r="G77" i="9"/>
  <c r="D109" i="11"/>
  <c r="G109" i="9"/>
  <c r="D85" i="11"/>
  <c r="G85" i="9"/>
  <c r="D69" i="11"/>
  <c r="G69" i="9"/>
  <c r="D21" i="11"/>
  <c r="G21" i="9"/>
  <c r="D100" i="11"/>
  <c r="G100" i="9"/>
  <c r="D76" i="11"/>
  <c r="G76" i="9"/>
  <c r="D52" i="11"/>
  <c r="G52" i="9"/>
  <c r="D36" i="11"/>
  <c r="D12" i="9"/>
  <c r="G36" i="9"/>
  <c r="D116" i="11"/>
  <c r="G116" i="9"/>
  <c r="D80" i="11"/>
  <c r="G80" i="9"/>
  <c r="D20" i="11"/>
  <c r="G20" i="9"/>
  <c r="D123" i="11"/>
  <c r="G123" i="9"/>
  <c r="D51" i="11"/>
  <c r="G51" i="9"/>
  <c r="D35" i="11"/>
  <c r="D11" i="9"/>
  <c r="G35" i="9"/>
  <c r="D55" i="11"/>
  <c r="G55" i="9"/>
  <c r="D43" i="11"/>
  <c r="G43" i="9"/>
  <c r="D61" i="11"/>
  <c r="G61" i="9"/>
  <c r="D88" i="11"/>
  <c r="G88" i="9"/>
  <c r="D24" i="11"/>
  <c r="G24" i="9"/>
  <c r="D44" i="11"/>
  <c r="G44" i="9"/>
  <c r="D27" i="11"/>
  <c r="G27" i="9"/>
  <c r="D122" i="11"/>
  <c r="G122" i="9"/>
  <c r="D98" i="11"/>
  <c r="G98" i="9"/>
  <c r="D38" i="11"/>
  <c r="D14" i="9"/>
  <c r="G38" i="9"/>
  <c r="D106" i="11"/>
  <c r="G106" i="9"/>
  <c r="D82" i="11"/>
  <c r="G82" i="9"/>
  <c r="D34" i="11"/>
  <c r="D10" i="9"/>
  <c r="G34" i="9"/>
  <c r="D114" i="11"/>
  <c r="G114" i="9"/>
  <c r="D102" i="11"/>
  <c r="G102" i="9"/>
  <c r="D90" i="11"/>
  <c r="G90" i="9"/>
  <c r="D113" i="11"/>
  <c r="G113" i="9"/>
  <c r="D101" i="11"/>
  <c r="G101" i="9"/>
  <c r="D41" i="11"/>
  <c r="G41" i="9"/>
  <c r="D121" i="11"/>
  <c r="G121" i="9"/>
  <c r="D97" i="11"/>
  <c r="G97" i="9"/>
  <c r="D105" i="11"/>
  <c r="G105" i="9"/>
  <c r="D64" i="11"/>
  <c r="G64" i="9"/>
  <c r="D132" i="11"/>
  <c r="G132" i="9"/>
  <c r="D120" i="11"/>
  <c r="G120" i="9"/>
  <c r="D108" i="11"/>
  <c r="G108" i="9"/>
  <c r="D96" i="11"/>
  <c r="G96" i="9"/>
  <c r="D128" i="11"/>
  <c r="G128" i="9"/>
  <c r="D92" i="11"/>
  <c r="G92" i="9"/>
  <c r="D68" i="11"/>
  <c r="G68" i="9"/>
  <c r="D32" i="11"/>
  <c r="D8" i="9"/>
  <c r="G32" i="9"/>
  <c r="D135" i="11"/>
  <c r="G135" i="9"/>
  <c r="D111" i="11"/>
  <c r="G111" i="9"/>
  <c r="D87" i="11"/>
  <c r="G87" i="9"/>
  <c r="D75" i="11"/>
  <c r="G75" i="9"/>
  <c r="D39" i="11"/>
  <c r="D15" i="9"/>
  <c r="G39" i="9"/>
  <c r="D67" i="11"/>
  <c r="G67" i="9"/>
  <c r="D31" i="11"/>
  <c r="D7" i="9"/>
  <c r="G31" i="9"/>
  <c r="D19" i="11"/>
  <c r="G19" i="9"/>
  <c r="G18" i="9"/>
  <c r="D110" i="11"/>
  <c r="G110" i="9"/>
  <c r="D58" i="11"/>
  <c r="G58" i="9"/>
  <c r="D25" i="11"/>
  <c r="G25" i="9"/>
  <c r="D134" i="11"/>
  <c r="G134" i="9"/>
  <c r="D86" i="11"/>
  <c r="G86" i="9"/>
  <c r="D62" i="11"/>
  <c r="G62" i="9"/>
  <c r="D130" i="11"/>
  <c r="G130" i="9"/>
  <c r="D70" i="11"/>
  <c r="G70" i="9"/>
  <c r="D46" i="11"/>
  <c r="G46" i="9"/>
  <c r="D126" i="11"/>
  <c r="G126" i="9"/>
  <c r="D66" i="11"/>
  <c r="G66" i="9"/>
  <c r="D54" i="11"/>
  <c r="G54" i="9"/>
  <c r="D30" i="11"/>
  <c r="D6" i="9"/>
  <c r="G30" i="9"/>
  <c r="D125" i="11"/>
  <c r="G125" i="9"/>
  <c r="D65" i="11"/>
  <c r="G65" i="9"/>
  <c r="D53" i="11"/>
  <c r="G53" i="9"/>
  <c r="G17" i="9"/>
  <c r="D17" i="11"/>
  <c r="D133" i="11"/>
  <c r="G133" i="9"/>
  <c r="D73" i="11"/>
  <c r="G73" i="9"/>
  <c r="D49" i="11"/>
  <c r="G49" i="9"/>
  <c r="D37" i="11"/>
  <c r="D13" i="9"/>
  <c r="G37" i="9"/>
  <c r="D129" i="11"/>
  <c r="G129" i="9"/>
  <c r="D117" i="11"/>
  <c r="G117" i="9"/>
  <c r="D93" i="11"/>
  <c r="G93" i="9"/>
  <c r="D81" i="11"/>
  <c r="G81" i="9"/>
  <c r="D57" i="11"/>
  <c r="G57" i="9"/>
  <c r="D45" i="11"/>
  <c r="G45" i="9"/>
  <c r="D136" i="11"/>
  <c r="G136" i="9"/>
  <c r="D112" i="11"/>
  <c r="G112" i="9"/>
  <c r="D40" i="11"/>
  <c r="D16" i="9"/>
  <c r="G40" i="9"/>
  <c r="D28" i="11"/>
  <c r="G28" i="9"/>
  <c r="D72" i="11"/>
  <c r="G72" i="9"/>
  <c r="D48" i="11"/>
  <c r="G48" i="9"/>
  <c r="D104" i="11"/>
  <c r="G104" i="9"/>
  <c r="D56" i="11"/>
  <c r="G56" i="9"/>
  <c r="D131" i="11"/>
  <c r="G131" i="9"/>
  <c r="D119" i="11"/>
  <c r="G119" i="9"/>
  <c r="D127" i="11"/>
  <c r="G127" i="9"/>
  <c r="D115" i="11"/>
  <c r="G115" i="9"/>
  <c r="D103" i="11"/>
  <c r="G103" i="9"/>
  <c r="D79" i="11"/>
  <c r="G79" i="9"/>
  <c r="J110" i="10"/>
  <c r="N74" i="10"/>
  <c r="R38" i="10"/>
  <c r="J118" i="10"/>
  <c r="N94" i="10"/>
  <c r="R46" i="10"/>
  <c r="F126" i="10"/>
  <c r="F102" i="10"/>
  <c r="J122" i="10"/>
  <c r="N98" i="10"/>
  <c r="R74" i="10"/>
  <c r="F50" i="10"/>
  <c r="F26" i="10"/>
  <c r="N118" i="10"/>
  <c r="R94" i="10"/>
  <c r="F70" i="10"/>
  <c r="F46" i="10"/>
  <c r="J22" i="10"/>
  <c r="J114" i="10"/>
  <c r="J134" i="10"/>
  <c r="N122" i="10"/>
  <c r="R110" i="10"/>
  <c r="R98" i="10"/>
  <c r="F86" i="10"/>
  <c r="F74" i="10"/>
  <c r="J62" i="10"/>
  <c r="J50" i="10"/>
  <c r="J38" i="10"/>
  <c r="J26" i="10"/>
  <c r="N130" i="10"/>
  <c r="R118" i="10"/>
  <c r="N106" i="10"/>
  <c r="F94" i="10"/>
  <c r="R82" i="10"/>
  <c r="J70" i="10"/>
  <c r="F58" i="10"/>
  <c r="J46" i="10"/>
  <c r="J34" i="10"/>
  <c r="N22" i="10"/>
  <c r="N126" i="10"/>
  <c r="N114" i="10"/>
  <c r="N102" i="10"/>
  <c r="F90" i="10"/>
  <c r="J78" i="10"/>
  <c r="J66" i="10"/>
  <c r="F54" i="10"/>
  <c r="J42" i="10"/>
  <c r="J30" i="10"/>
  <c r="R18" i="10"/>
  <c r="N134" i="9"/>
  <c r="F122" i="9"/>
  <c r="R110" i="9"/>
  <c r="J98" i="9"/>
  <c r="N86" i="9"/>
  <c r="R74" i="9"/>
  <c r="N62" i="9"/>
  <c r="F50" i="9"/>
  <c r="J38" i="9"/>
  <c r="R26" i="9"/>
  <c r="N130" i="9"/>
  <c r="F118" i="9"/>
  <c r="J106" i="9"/>
  <c r="F94" i="9"/>
  <c r="J82" i="9"/>
  <c r="N70" i="9"/>
  <c r="R58" i="9"/>
  <c r="N46" i="9"/>
  <c r="J34" i="9"/>
  <c r="F22" i="9"/>
  <c r="N126" i="9"/>
  <c r="J114" i="9"/>
  <c r="J102" i="9"/>
  <c r="J90" i="9"/>
  <c r="F78" i="9"/>
  <c r="N66" i="9"/>
  <c r="N54" i="9"/>
  <c r="F42" i="9"/>
  <c r="R18" i="9"/>
  <c r="N133" i="10"/>
  <c r="N121" i="10"/>
  <c r="R109" i="10"/>
  <c r="R97" i="10"/>
  <c r="F85" i="10"/>
  <c r="F73" i="10"/>
  <c r="J61" i="10"/>
  <c r="J49" i="10"/>
  <c r="J37" i="10"/>
  <c r="J25" i="10"/>
  <c r="N129" i="10"/>
  <c r="F117" i="10"/>
  <c r="N105" i="10"/>
  <c r="N93" i="10"/>
  <c r="N81" i="10"/>
  <c r="J69" i="10"/>
  <c r="F57" i="10"/>
  <c r="J45" i="10"/>
  <c r="J33" i="10"/>
  <c r="N21" i="10"/>
  <c r="N125" i="10"/>
  <c r="J113" i="10"/>
  <c r="N101" i="10"/>
  <c r="F89" i="10"/>
  <c r="N77" i="10"/>
  <c r="J65" i="10"/>
  <c r="F53" i="10"/>
  <c r="J41" i="10"/>
  <c r="J29" i="10"/>
  <c r="R17" i="10"/>
  <c r="J125" i="9"/>
  <c r="R113" i="9"/>
  <c r="R101" i="9"/>
  <c r="N89" i="9"/>
  <c r="N77" i="9"/>
  <c r="J65" i="9"/>
  <c r="J53" i="9"/>
  <c r="R41" i="9"/>
  <c r="F29" i="9"/>
  <c r="R17" i="9"/>
  <c r="J133" i="9"/>
  <c r="R121" i="9"/>
  <c r="N109" i="9"/>
  <c r="R97" i="9"/>
  <c r="N85" i="9"/>
  <c r="J73" i="9"/>
  <c r="F61" i="9"/>
  <c r="J49" i="9"/>
  <c r="J37" i="9"/>
  <c r="F25" i="9"/>
  <c r="J129" i="9"/>
  <c r="J117" i="9"/>
  <c r="R105" i="9"/>
  <c r="J93" i="9"/>
  <c r="J81" i="9"/>
  <c r="N69" i="9"/>
  <c r="J57" i="9"/>
  <c r="J45" i="9"/>
  <c r="F33" i="9"/>
  <c r="N21" i="9"/>
  <c r="N136" i="10"/>
  <c r="J124" i="10"/>
  <c r="R112" i="10"/>
  <c r="N100" i="10"/>
  <c r="R88" i="10"/>
  <c r="J76" i="10"/>
  <c r="F64" i="10"/>
  <c r="F52" i="10"/>
  <c r="J40" i="10"/>
  <c r="R28" i="10"/>
  <c r="N132" i="10"/>
  <c r="R120" i="10"/>
  <c r="N108" i="10"/>
  <c r="N96" i="10"/>
  <c r="J84" i="10"/>
  <c r="J72" i="10"/>
  <c r="F60" i="10"/>
  <c r="J48" i="10"/>
  <c r="J36" i="10"/>
  <c r="R24" i="10"/>
  <c r="N128" i="10"/>
  <c r="N116" i="10"/>
  <c r="N104" i="10"/>
  <c r="R92" i="10"/>
  <c r="R80" i="10"/>
  <c r="F68" i="10"/>
  <c r="J56" i="10"/>
  <c r="J44" i="10"/>
  <c r="J32" i="10"/>
  <c r="J20" i="10"/>
  <c r="J136" i="9"/>
  <c r="F124" i="9"/>
  <c r="J112" i="9"/>
  <c r="N100" i="9"/>
  <c r="F88" i="9"/>
  <c r="N76" i="9"/>
  <c r="J64" i="9"/>
  <c r="N52" i="9"/>
  <c r="J40" i="9"/>
  <c r="J28" i="9"/>
  <c r="R132" i="9"/>
  <c r="R120" i="9"/>
  <c r="R108" i="9"/>
  <c r="R96" i="9"/>
  <c r="F84" i="9"/>
  <c r="J72" i="9"/>
  <c r="F60" i="9"/>
  <c r="R48" i="9"/>
  <c r="F24" i="9"/>
  <c r="R128" i="9"/>
  <c r="N116" i="9"/>
  <c r="J104" i="9"/>
  <c r="R92" i="9"/>
  <c r="N80" i="9"/>
  <c r="J68" i="9"/>
  <c r="R56" i="9"/>
  <c r="F44" i="9"/>
  <c r="N20" i="9"/>
  <c r="N135" i="10"/>
  <c r="N123" i="10"/>
  <c r="R111" i="10"/>
  <c r="J99" i="10"/>
  <c r="N87" i="10"/>
  <c r="J75" i="10"/>
  <c r="F63" i="10"/>
  <c r="J51" i="10"/>
  <c r="J39" i="10"/>
  <c r="R27" i="10"/>
  <c r="J131" i="10"/>
  <c r="N119" i="10"/>
  <c r="R107" i="10"/>
  <c r="R95" i="10"/>
  <c r="N83" i="10"/>
  <c r="F71" i="10"/>
  <c r="J59" i="10"/>
  <c r="J47" i="10"/>
  <c r="J35" i="10"/>
  <c r="J23" i="10"/>
  <c r="J127" i="10"/>
  <c r="N115" i="10"/>
  <c r="R103" i="10"/>
  <c r="R91" i="10"/>
  <c r="R79" i="10"/>
  <c r="R67" i="10"/>
  <c r="J55" i="10"/>
  <c r="J43" i="10"/>
  <c r="J31" i="10"/>
  <c r="J19" i="10"/>
  <c r="R135" i="9"/>
  <c r="N123" i="9"/>
  <c r="R111" i="9"/>
  <c r="F99" i="9"/>
  <c r="R87" i="9"/>
  <c r="R75" i="9"/>
  <c r="F63" i="9"/>
  <c r="N51" i="9"/>
  <c r="F27" i="9"/>
  <c r="J131" i="9"/>
  <c r="J119" i="9"/>
  <c r="F107" i="9"/>
  <c r="F95" i="9"/>
  <c r="F83" i="9"/>
  <c r="F71" i="9"/>
  <c r="F59" i="9"/>
  <c r="F47" i="9"/>
  <c r="F23" i="9"/>
  <c r="J127" i="9"/>
  <c r="J115" i="9"/>
  <c r="J103" i="9"/>
  <c r="F91" i="9"/>
  <c r="J79" i="9"/>
  <c r="R67" i="9"/>
  <c r="N55" i="9"/>
  <c r="N43" i="9"/>
  <c r="J19" i="9"/>
  <c r="R134" i="10"/>
  <c r="J98" i="10"/>
  <c r="R62" i="10"/>
  <c r="R26" i="10"/>
  <c r="F106" i="10"/>
  <c r="R70" i="10"/>
  <c r="R34" i="10"/>
  <c r="F114" i="10"/>
  <c r="F134" i="10"/>
  <c r="N110" i="10"/>
  <c r="R86" i="10"/>
  <c r="F62" i="10"/>
  <c r="F38" i="10"/>
  <c r="J130" i="10"/>
  <c r="J106" i="10"/>
  <c r="J82" i="10"/>
  <c r="R58" i="10"/>
  <c r="F34" i="10"/>
  <c r="J126" i="10"/>
  <c r="J102" i="10"/>
  <c r="N134" i="10"/>
  <c r="R122" i="10"/>
  <c r="F110" i="10"/>
  <c r="F98" i="10"/>
  <c r="J86" i="10"/>
  <c r="J74" i="10"/>
  <c r="N62" i="10"/>
  <c r="N50" i="10"/>
  <c r="N38" i="10"/>
  <c r="N26" i="10"/>
  <c r="R130" i="10"/>
  <c r="F118" i="10"/>
  <c r="R106" i="10"/>
  <c r="J94" i="10"/>
  <c r="N82" i="10"/>
  <c r="N70" i="10"/>
  <c r="J58" i="10"/>
  <c r="N46" i="10"/>
  <c r="N34" i="10"/>
  <c r="F22" i="10"/>
  <c r="R126" i="10"/>
  <c r="R114" i="10"/>
  <c r="R102" i="10"/>
  <c r="J90" i="10"/>
  <c r="F78" i="10"/>
  <c r="N66" i="10"/>
  <c r="J54" i="10"/>
  <c r="N42" i="10"/>
  <c r="N30" i="10"/>
  <c r="J18" i="10"/>
  <c r="J134" i="9"/>
  <c r="R122" i="9"/>
  <c r="N110" i="9"/>
  <c r="F98" i="9"/>
  <c r="J86" i="9"/>
  <c r="N74" i="9"/>
  <c r="J62" i="9"/>
  <c r="R50" i="9"/>
  <c r="F38" i="9"/>
  <c r="N26" i="9"/>
  <c r="J130" i="9"/>
  <c r="R118" i="9"/>
  <c r="F106" i="9"/>
  <c r="R94" i="9"/>
  <c r="F82" i="9"/>
  <c r="J70" i="9"/>
  <c r="N58" i="9"/>
  <c r="J46" i="9"/>
  <c r="F34" i="9"/>
  <c r="J22" i="9"/>
  <c r="J126" i="9"/>
  <c r="F114" i="9"/>
  <c r="F102" i="9"/>
  <c r="F90" i="9"/>
  <c r="R78" i="9"/>
  <c r="J66" i="9"/>
  <c r="J54" i="9"/>
  <c r="R42" i="9"/>
  <c r="J30" i="9"/>
  <c r="J18" i="9"/>
  <c r="R133" i="10"/>
  <c r="R121" i="10"/>
  <c r="F109" i="10"/>
  <c r="F97" i="10"/>
  <c r="J85" i="10"/>
  <c r="J73" i="10"/>
  <c r="N61" i="10"/>
  <c r="N49" i="10"/>
  <c r="N37" i="10"/>
  <c r="N25" i="10"/>
  <c r="R129" i="10"/>
  <c r="J117" i="10"/>
  <c r="R105" i="10"/>
  <c r="R93" i="10"/>
  <c r="R81" i="10"/>
  <c r="N69" i="10"/>
  <c r="J57" i="10"/>
  <c r="N45" i="10"/>
  <c r="N33" i="10"/>
  <c r="F21" i="10"/>
  <c r="R125" i="10"/>
  <c r="N113" i="10"/>
  <c r="R101" i="10"/>
  <c r="J89" i="10"/>
  <c r="R77" i="10"/>
  <c r="N65" i="10"/>
  <c r="J53" i="10"/>
  <c r="N41" i="10"/>
  <c r="N29" i="10"/>
  <c r="J17" i="10"/>
  <c r="R125" i="9"/>
  <c r="N113" i="9"/>
  <c r="N101" i="9"/>
  <c r="F89" i="9"/>
  <c r="F77" i="9"/>
  <c r="R65" i="9"/>
  <c r="R53" i="9"/>
  <c r="N41" i="9"/>
  <c r="J29" i="9"/>
  <c r="J17" i="9"/>
  <c r="R133" i="9"/>
  <c r="N121" i="9"/>
  <c r="F109" i="9"/>
  <c r="N97" i="9"/>
  <c r="F85" i="9"/>
  <c r="R73" i="9"/>
  <c r="J61" i="9"/>
  <c r="R49" i="9"/>
  <c r="J25" i="9"/>
  <c r="R129" i="9"/>
  <c r="R117" i="9"/>
  <c r="N105" i="9"/>
  <c r="R93" i="9"/>
  <c r="R81" i="9"/>
  <c r="F69" i="9"/>
  <c r="R57" i="9"/>
  <c r="R45" i="9"/>
  <c r="J33" i="9"/>
  <c r="F21" i="9"/>
  <c r="R136" i="10"/>
  <c r="N124" i="10"/>
  <c r="F112" i="10"/>
  <c r="R100" i="10"/>
  <c r="F88" i="10"/>
  <c r="N76" i="10"/>
  <c r="J64" i="10"/>
  <c r="J52" i="10"/>
  <c r="N40" i="10"/>
  <c r="J28" i="10"/>
  <c r="R132" i="10"/>
  <c r="F120" i="10"/>
  <c r="R108" i="10"/>
  <c r="R96" i="10"/>
  <c r="N84" i="10"/>
  <c r="N72" i="10"/>
  <c r="J60" i="10"/>
  <c r="N48" i="10"/>
  <c r="N36" i="10"/>
  <c r="J24" i="10"/>
  <c r="R128" i="10"/>
  <c r="R116" i="10"/>
  <c r="R104" i="10"/>
  <c r="F92" i="10"/>
  <c r="N80" i="10"/>
  <c r="J68" i="10"/>
  <c r="N56" i="10"/>
  <c r="N44" i="10"/>
  <c r="N32" i="10"/>
  <c r="N20" i="10"/>
  <c r="R136" i="9"/>
  <c r="J124" i="9"/>
  <c r="R112" i="9"/>
  <c r="F100" i="9"/>
  <c r="J88" i="9"/>
  <c r="F76" i="9"/>
  <c r="N64" i="9"/>
  <c r="F52" i="9"/>
  <c r="N28" i="9"/>
  <c r="N132" i="9"/>
  <c r="N120" i="9"/>
  <c r="N108" i="9"/>
  <c r="N96" i="9"/>
  <c r="J84" i="9"/>
  <c r="R72" i="9"/>
  <c r="J60" i="9"/>
  <c r="J48" i="9"/>
  <c r="F36" i="9"/>
  <c r="R24" i="9"/>
  <c r="N128" i="9"/>
  <c r="F116" i="9"/>
  <c r="R104" i="9"/>
  <c r="N92" i="9"/>
  <c r="F80" i="9"/>
  <c r="R68" i="9"/>
  <c r="J56" i="9"/>
  <c r="J44" i="9"/>
  <c r="F20" i="9"/>
  <c r="R135" i="10"/>
  <c r="R123" i="10"/>
  <c r="F111" i="10"/>
  <c r="N99" i="10"/>
  <c r="R87" i="10"/>
  <c r="N75" i="10"/>
  <c r="J63" i="10"/>
  <c r="N51" i="10"/>
  <c r="N39" i="10"/>
  <c r="F27" i="10"/>
  <c r="N131" i="10"/>
  <c r="R119" i="10"/>
  <c r="F107" i="10"/>
  <c r="F95" i="10"/>
  <c r="R83" i="10"/>
  <c r="R71" i="10"/>
  <c r="N59" i="10"/>
  <c r="N47" i="10"/>
  <c r="N35" i="10"/>
  <c r="N23" i="10"/>
  <c r="N127" i="10"/>
  <c r="R115" i="10"/>
  <c r="F103" i="10"/>
  <c r="F91" i="10"/>
  <c r="N79" i="10"/>
  <c r="F67" i="10"/>
  <c r="N55" i="10"/>
  <c r="N43" i="10"/>
  <c r="N31" i="10"/>
  <c r="N19" i="10"/>
  <c r="N135" i="9"/>
  <c r="F123" i="9"/>
  <c r="N111" i="9"/>
  <c r="J99" i="9"/>
  <c r="N87" i="9"/>
  <c r="N75" i="9"/>
  <c r="J63" i="9"/>
  <c r="F51" i="9"/>
  <c r="N27" i="9"/>
  <c r="R131" i="9"/>
  <c r="R119" i="9"/>
  <c r="J107" i="9"/>
  <c r="J95" i="9"/>
  <c r="J83" i="9"/>
  <c r="J71" i="9"/>
  <c r="J59" i="9"/>
  <c r="J47" i="9"/>
  <c r="F35" i="9"/>
  <c r="N23" i="9"/>
  <c r="R127" i="9"/>
  <c r="R115" i="9"/>
  <c r="R103" i="9"/>
  <c r="J91" i="9"/>
  <c r="R79" i="9"/>
  <c r="N67" i="9"/>
  <c r="F55" i="9"/>
  <c r="F43" i="9"/>
  <c r="N19" i="9"/>
  <c r="F122" i="10"/>
  <c r="N86" i="10"/>
  <c r="R50" i="10"/>
  <c r="F130" i="10"/>
  <c r="F82" i="10"/>
  <c r="N58" i="10"/>
  <c r="R22" i="10"/>
  <c r="N90" i="10"/>
  <c r="N78" i="10"/>
  <c r="R66" i="10"/>
  <c r="N54" i="10"/>
  <c r="R42" i="10"/>
  <c r="R30" i="10"/>
  <c r="F18" i="10"/>
  <c r="F134" i="9"/>
  <c r="N122" i="9"/>
  <c r="J110" i="9"/>
  <c r="R98" i="9"/>
  <c r="F86" i="9"/>
  <c r="J74" i="9"/>
  <c r="F62" i="9"/>
  <c r="N50" i="9"/>
  <c r="J26" i="9"/>
  <c r="F130" i="9"/>
  <c r="N118" i="9"/>
  <c r="R106" i="9"/>
  <c r="N94" i="9"/>
  <c r="R82" i="9"/>
  <c r="F70" i="9"/>
  <c r="J58" i="9"/>
  <c r="F46" i="9"/>
  <c r="R22" i="9"/>
  <c r="F126" i="9"/>
  <c r="R114" i="9"/>
  <c r="R102" i="9"/>
  <c r="R90" i="9"/>
  <c r="N78" i="9"/>
  <c r="F66" i="9"/>
  <c r="F54" i="9"/>
  <c r="N42" i="9"/>
  <c r="F30" i="9"/>
  <c r="F18" i="9"/>
  <c r="F133" i="10"/>
  <c r="F121" i="10"/>
  <c r="J109" i="10"/>
  <c r="J97" i="10"/>
  <c r="N85" i="10"/>
  <c r="N73" i="10"/>
  <c r="R61" i="10"/>
  <c r="R49" i="10"/>
  <c r="R37" i="10"/>
  <c r="R25" i="10"/>
  <c r="F129" i="10"/>
  <c r="N117" i="10"/>
  <c r="F105" i="10"/>
  <c r="F93" i="10"/>
  <c r="J81" i="10"/>
  <c r="R69" i="10"/>
  <c r="N57" i="10"/>
  <c r="R45" i="10"/>
  <c r="R33" i="10"/>
  <c r="R21" i="10"/>
  <c r="F125" i="10"/>
  <c r="R113" i="10"/>
  <c r="F101" i="10"/>
  <c r="N89" i="10"/>
  <c r="F77" i="10"/>
  <c r="R65" i="10"/>
  <c r="N53" i="10"/>
  <c r="R41" i="10"/>
  <c r="R29" i="10"/>
  <c r="N17" i="10"/>
  <c r="N125" i="9"/>
  <c r="F113" i="9"/>
  <c r="F101" i="9"/>
  <c r="J89" i="9"/>
  <c r="J77" i="9"/>
  <c r="N65" i="9"/>
  <c r="N53" i="9"/>
  <c r="F41" i="9"/>
  <c r="N17" i="9"/>
  <c r="N133" i="9"/>
  <c r="F121" i="9"/>
  <c r="J109" i="9"/>
  <c r="F97" i="9"/>
  <c r="J85" i="9"/>
  <c r="N73" i="9"/>
  <c r="R61" i="9"/>
  <c r="N49" i="9"/>
  <c r="N25" i="9"/>
  <c r="N129" i="9"/>
  <c r="N117" i="9"/>
  <c r="F105" i="9"/>
  <c r="N93" i="9"/>
  <c r="N81" i="9"/>
  <c r="J69" i="9"/>
  <c r="N57" i="9"/>
  <c r="N45" i="9"/>
  <c r="J21" i="9"/>
  <c r="F136" i="10"/>
  <c r="R124" i="10"/>
  <c r="J112" i="10"/>
  <c r="F100" i="10"/>
  <c r="N88" i="10"/>
  <c r="R76" i="10"/>
  <c r="N64" i="10"/>
  <c r="N52" i="10"/>
  <c r="R40" i="10"/>
  <c r="N28" i="10"/>
  <c r="F132" i="10"/>
  <c r="J120" i="10"/>
  <c r="F108" i="10"/>
  <c r="F96" i="10"/>
  <c r="F84" i="10"/>
  <c r="R72" i="10"/>
  <c r="N60" i="10"/>
  <c r="R48" i="10"/>
  <c r="R36" i="10"/>
  <c r="N24" i="10"/>
  <c r="F128" i="10"/>
  <c r="F116" i="10"/>
  <c r="F104" i="10"/>
  <c r="J92" i="10"/>
  <c r="F80" i="10"/>
  <c r="R68" i="10"/>
  <c r="R56" i="10"/>
  <c r="R44" i="10"/>
  <c r="R32" i="10"/>
  <c r="R20" i="10"/>
  <c r="N136" i="9"/>
  <c r="R124" i="9"/>
  <c r="N112" i="9"/>
  <c r="J100" i="9"/>
  <c r="R88" i="9"/>
  <c r="J76" i="9"/>
  <c r="F64" i="9"/>
  <c r="J52" i="9"/>
  <c r="R28" i="9"/>
  <c r="F132" i="9"/>
  <c r="F120" i="9"/>
  <c r="F108" i="9"/>
  <c r="F96" i="9"/>
  <c r="R84" i="9"/>
  <c r="N72" i="9"/>
  <c r="N60" i="9"/>
  <c r="N48" i="9"/>
  <c r="J36" i="9"/>
  <c r="J24" i="9"/>
  <c r="F128" i="9"/>
  <c r="J116" i="9"/>
  <c r="N104" i="9"/>
  <c r="F92" i="9"/>
  <c r="J80" i="9"/>
  <c r="F68" i="9"/>
  <c r="N56" i="9"/>
  <c r="N44" i="9"/>
  <c r="F32" i="9"/>
  <c r="R20" i="9"/>
  <c r="F135" i="10"/>
  <c r="F123" i="10"/>
  <c r="J111" i="10"/>
  <c r="R99" i="10"/>
  <c r="F87" i="10"/>
  <c r="R75" i="10"/>
  <c r="N63" i="10"/>
  <c r="R51" i="10"/>
  <c r="R39" i="10"/>
  <c r="J27" i="10"/>
  <c r="R131" i="10"/>
  <c r="F119" i="10"/>
  <c r="J107" i="10"/>
  <c r="J95" i="10"/>
  <c r="F83" i="10"/>
  <c r="J71" i="10"/>
  <c r="R59" i="10"/>
  <c r="R47" i="10"/>
  <c r="R35" i="10"/>
  <c r="R23" i="10"/>
  <c r="R127" i="10"/>
  <c r="F115" i="10"/>
  <c r="J103" i="10"/>
  <c r="J91" i="10"/>
  <c r="F79" i="10"/>
  <c r="J67" i="10"/>
  <c r="R55" i="10"/>
  <c r="R43" i="10"/>
  <c r="R31" i="10"/>
  <c r="R19" i="10"/>
  <c r="F135" i="9"/>
  <c r="J123" i="9"/>
  <c r="F111" i="9"/>
  <c r="R99" i="9"/>
  <c r="F87" i="9"/>
  <c r="F75" i="9"/>
  <c r="R63" i="9"/>
  <c r="J51" i="9"/>
  <c r="F39" i="9"/>
  <c r="J27" i="9"/>
  <c r="N131" i="9"/>
  <c r="N119" i="9"/>
  <c r="R107" i="9"/>
  <c r="R95" i="9"/>
  <c r="R83" i="9"/>
  <c r="R71" i="9"/>
  <c r="R59" i="9"/>
  <c r="R47" i="9"/>
  <c r="J35" i="9"/>
  <c r="J23" i="9"/>
  <c r="N127" i="9"/>
  <c r="N115" i="9"/>
  <c r="N103" i="9"/>
  <c r="R91" i="9"/>
  <c r="N79" i="9"/>
  <c r="F67" i="9"/>
  <c r="J55" i="9"/>
  <c r="J43" i="9"/>
  <c r="F31" i="9"/>
  <c r="F19" i="9"/>
  <c r="R90" i="10"/>
  <c r="R78" i="10"/>
  <c r="F66" i="10"/>
  <c r="R54" i="10"/>
  <c r="F42" i="10"/>
  <c r="F30" i="10"/>
  <c r="N18" i="10"/>
  <c r="R134" i="9"/>
  <c r="J122" i="9"/>
  <c r="F110" i="9"/>
  <c r="N98" i="9"/>
  <c r="R86" i="9"/>
  <c r="F74" i="9"/>
  <c r="R62" i="9"/>
  <c r="J50" i="9"/>
  <c r="F26" i="9"/>
  <c r="R130" i="9"/>
  <c r="J118" i="9"/>
  <c r="N106" i="9"/>
  <c r="J94" i="9"/>
  <c r="N82" i="9"/>
  <c r="R70" i="9"/>
  <c r="F58" i="9"/>
  <c r="R46" i="9"/>
  <c r="N22" i="9"/>
  <c r="R126" i="9"/>
  <c r="N114" i="9"/>
  <c r="N102" i="9"/>
  <c r="N90" i="9"/>
  <c r="J78" i="9"/>
  <c r="R66" i="9"/>
  <c r="R54" i="9"/>
  <c r="J42" i="9"/>
  <c r="N18" i="9"/>
  <c r="J133" i="10"/>
  <c r="J121" i="10"/>
  <c r="N109" i="10"/>
  <c r="N97" i="10"/>
  <c r="R85" i="10"/>
  <c r="R73" i="10"/>
  <c r="F61" i="10"/>
  <c r="F49" i="10"/>
  <c r="F37" i="10"/>
  <c r="F25" i="10"/>
  <c r="J129" i="10"/>
  <c r="R117" i="10"/>
  <c r="J105" i="10"/>
  <c r="J93" i="10"/>
  <c r="F81" i="10"/>
  <c r="F69" i="10"/>
  <c r="R57" i="10"/>
  <c r="F45" i="10"/>
  <c r="F33" i="10"/>
  <c r="J21" i="10"/>
  <c r="J125" i="10"/>
  <c r="F113" i="10"/>
  <c r="J101" i="10"/>
  <c r="R89" i="10"/>
  <c r="J77" i="10"/>
  <c r="F65" i="10"/>
  <c r="R53" i="10"/>
  <c r="F41" i="10"/>
  <c r="F29" i="10"/>
  <c r="F17" i="10"/>
  <c r="F125" i="9"/>
  <c r="J113" i="9"/>
  <c r="J101" i="9"/>
  <c r="R89" i="9"/>
  <c r="R77" i="9"/>
  <c r="F65" i="9"/>
  <c r="F53" i="9"/>
  <c r="J41" i="9"/>
  <c r="F17" i="9"/>
  <c r="F133" i="9"/>
  <c r="J121" i="9"/>
  <c r="R109" i="9"/>
  <c r="J97" i="9"/>
  <c r="R85" i="9"/>
  <c r="F73" i="9"/>
  <c r="N61" i="9"/>
  <c r="F49" i="9"/>
  <c r="F37" i="9"/>
  <c r="R25" i="9"/>
  <c r="F129" i="9"/>
  <c r="F117" i="9"/>
  <c r="J105" i="9"/>
  <c r="F93" i="9"/>
  <c r="F81" i="9"/>
  <c r="R69" i="9"/>
  <c r="F57" i="9"/>
  <c r="F45" i="9"/>
  <c r="R21" i="9"/>
  <c r="J136" i="10"/>
  <c r="F124" i="10"/>
  <c r="N112" i="10"/>
  <c r="J100" i="10"/>
  <c r="J88" i="10"/>
  <c r="F76" i="10"/>
  <c r="R64" i="10"/>
  <c r="R52" i="10"/>
  <c r="F40" i="10"/>
  <c r="F28" i="10"/>
  <c r="J132" i="10"/>
  <c r="N120" i="10"/>
  <c r="J108" i="10"/>
  <c r="J96" i="10"/>
  <c r="R84" i="10"/>
  <c r="F72" i="10"/>
  <c r="R60" i="10"/>
  <c r="F48" i="10"/>
  <c r="F36" i="10"/>
  <c r="F24" i="10"/>
  <c r="J128" i="10"/>
  <c r="J116" i="10"/>
  <c r="J104" i="10"/>
  <c r="N92" i="10"/>
  <c r="J80" i="10"/>
  <c r="N68" i="10"/>
  <c r="F56" i="10"/>
  <c r="F44" i="10"/>
  <c r="F32" i="10"/>
  <c r="F20" i="10"/>
  <c r="F136" i="9"/>
  <c r="N124" i="9"/>
  <c r="F112" i="9"/>
  <c r="R100" i="9"/>
  <c r="N88" i="9"/>
  <c r="R76" i="9"/>
  <c r="R64" i="9"/>
  <c r="R52" i="9"/>
  <c r="F40" i="9"/>
  <c r="F28" i="9"/>
  <c r="J132" i="9"/>
  <c r="J120" i="9"/>
  <c r="J108" i="9"/>
  <c r="J96" i="9"/>
  <c r="N84" i="9"/>
  <c r="F72" i="9"/>
  <c r="R60" i="9"/>
  <c r="F48" i="9"/>
  <c r="N24" i="9"/>
  <c r="J128" i="9"/>
  <c r="R116" i="9"/>
  <c r="F104" i="9"/>
  <c r="J92" i="9"/>
  <c r="R80" i="9"/>
  <c r="N68" i="9"/>
  <c r="F56" i="9"/>
  <c r="R44" i="9"/>
  <c r="J32" i="9"/>
  <c r="J20" i="9"/>
  <c r="J135" i="10"/>
  <c r="J123" i="10"/>
  <c r="N111" i="10"/>
  <c r="F99" i="10"/>
  <c r="J87" i="10"/>
  <c r="F75" i="10"/>
  <c r="R63" i="10"/>
  <c r="F51" i="10"/>
  <c r="F39" i="10"/>
  <c r="N27" i="10"/>
  <c r="F131" i="10"/>
  <c r="J119" i="10"/>
  <c r="N107" i="10"/>
  <c r="N95" i="10"/>
  <c r="J83" i="10"/>
  <c r="N71" i="10"/>
  <c r="F59" i="10"/>
  <c r="F47" i="10"/>
  <c r="F35" i="10"/>
  <c r="F23" i="10"/>
  <c r="F127" i="10"/>
  <c r="J115" i="10"/>
  <c r="N103" i="10"/>
  <c r="N91" i="10"/>
  <c r="J79" i="10"/>
  <c r="N67" i="10"/>
  <c r="F55" i="10"/>
  <c r="F43" i="10"/>
  <c r="F31" i="10"/>
  <c r="F19" i="10"/>
  <c r="J135" i="9"/>
  <c r="R123" i="9"/>
  <c r="J111" i="9"/>
  <c r="N99" i="9"/>
  <c r="J87" i="9"/>
  <c r="J75" i="9"/>
  <c r="N63" i="9"/>
  <c r="R51" i="9"/>
  <c r="J39" i="9"/>
  <c r="R27" i="9"/>
  <c r="F131" i="9"/>
  <c r="F119" i="9"/>
  <c r="N107" i="9"/>
  <c r="N95" i="9"/>
  <c r="N83" i="9"/>
  <c r="N71" i="9"/>
  <c r="N59" i="9"/>
  <c r="N47" i="9"/>
  <c r="R23" i="9"/>
  <c r="F127" i="9"/>
  <c r="F115" i="9"/>
  <c r="F103" i="9"/>
  <c r="N91" i="9"/>
  <c r="F79" i="9"/>
  <c r="J67" i="9"/>
  <c r="R55" i="9"/>
  <c r="R43" i="9"/>
  <c r="J31" i="9"/>
  <c r="R19" i="9"/>
  <c r="S15" i="4"/>
  <c r="T15" i="4" s="1"/>
  <c r="U15" i="3"/>
  <c r="V15" i="3" s="1"/>
  <c r="U12" i="3"/>
  <c r="V12" i="3" s="1"/>
  <c r="U14" i="3"/>
  <c r="V14" i="3" s="1"/>
  <c r="U13" i="3"/>
  <c r="V13" i="3" s="1"/>
  <c r="U4" i="3"/>
  <c r="V4" i="3" s="1"/>
  <c r="G16" i="3"/>
  <c r="U5" i="3"/>
  <c r="V5" i="3" s="1"/>
  <c r="G16" i="4"/>
  <c r="N64" i="4"/>
  <c r="M64" i="4"/>
  <c r="L64" i="4"/>
  <c r="K64" i="4"/>
  <c r="F64" i="4"/>
  <c r="E64" i="4"/>
  <c r="D64" i="4"/>
  <c r="C64" i="4"/>
  <c r="N48" i="4"/>
  <c r="M48" i="4"/>
  <c r="L48" i="4"/>
  <c r="K48" i="4"/>
  <c r="F48" i="4"/>
  <c r="E48" i="4"/>
  <c r="D48" i="4"/>
  <c r="C48" i="4"/>
  <c r="F32" i="4"/>
  <c r="E32" i="4"/>
  <c r="D32" i="4"/>
  <c r="C32" i="4"/>
  <c r="N32" i="4"/>
  <c r="M32" i="4"/>
  <c r="L32" i="4"/>
  <c r="K32" i="4"/>
  <c r="N63" i="8"/>
  <c r="M63" i="8"/>
  <c r="L63" i="8"/>
  <c r="K63" i="8"/>
  <c r="N62" i="8"/>
  <c r="M62" i="8"/>
  <c r="L62" i="8"/>
  <c r="K62" i="8"/>
  <c r="N61" i="8"/>
  <c r="M61" i="8"/>
  <c r="L61" i="8"/>
  <c r="K61" i="8"/>
  <c r="N60" i="8"/>
  <c r="M60" i="8"/>
  <c r="L60" i="8"/>
  <c r="K60" i="8"/>
  <c r="M59" i="8"/>
  <c r="L59" i="8"/>
  <c r="K59" i="8"/>
  <c r="M58" i="8"/>
  <c r="L58" i="8"/>
  <c r="K58" i="8"/>
  <c r="N57" i="8"/>
  <c r="M57" i="8"/>
  <c r="L57" i="8"/>
  <c r="K57" i="8"/>
  <c r="N56" i="8"/>
  <c r="M56" i="8"/>
  <c r="L56" i="8"/>
  <c r="K56" i="8"/>
  <c r="P56" i="1"/>
  <c r="M55" i="8"/>
  <c r="L55" i="8"/>
  <c r="K55" i="8"/>
  <c r="N54" i="8"/>
  <c r="M54" i="8"/>
  <c r="L54" i="8"/>
  <c r="K54" i="8"/>
  <c r="N53" i="8"/>
  <c r="M53" i="8"/>
  <c r="L53" i="8"/>
  <c r="K53" i="8"/>
  <c r="M52" i="8"/>
  <c r="L52" i="8"/>
  <c r="K52" i="8"/>
  <c r="G63" i="8"/>
  <c r="F63" i="8"/>
  <c r="E63" i="8"/>
  <c r="D63" i="8"/>
  <c r="G62" i="8"/>
  <c r="F62" i="8"/>
  <c r="E62" i="8"/>
  <c r="D62" i="8"/>
  <c r="G61" i="8"/>
  <c r="F61" i="8"/>
  <c r="E61" i="8"/>
  <c r="D61" i="8"/>
  <c r="G60" i="8"/>
  <c r="F60" i="8"/>
  <c r="E60" i="8"/>
  <c r="D60" i="8"/>
  <c r="F59" i="8"/>
  <c r="E59" i="8"/>
  <c r="D59" i="8"/>
  <c r="F58" i="8"/>
  <c r="E58" i="8"/>
  <c r="D58" i="8"/>
  <c r="G57" i="8"/>
  <c r="F57" i="8"/>
  <c r="E57" i="8"/>
  <c r="D57" i="8"/>
  <c r="G56" i="8"/>
  <c r="F56" i="8"/>
  <c r="E56" i="8"/>
  <c r="D56" i="8"/>
  <c r="F55" i="8"/>
  <c r="E55" i="8"/>
  <c r="D55" i="8"/>
  <c r="G54" i="8"/>
  <c r="F54" i="8"/>
  <c r="E54" i="8"/>
  <c r="D54" i="8"/>
  <c r="G53" i="8"/>
  <c r="F53" i="8"/>
  <c r="E53" i="8"/>
  <c r="D53" i="8"/>
  <c r="S52" i="1"/>
  <c r="T52" i="1" s="1"/>
  <c r="F52" i="8"/>
  <c r="E52" i="8"/>
  <c r="D52" i="8"/>
  <c r="N47" i="8"/>
  <c r="M47" i="8"/>
  <c r="L47" i="8"/>
  <c r="K47" i="8"/>
  <c r="N46" i="8"/>
  <c r="M46" i="8"/>
  <c r="L46" i="8"/>
  <c r="K46" i="8"/>
  <c r="N45" i="8"/>
  <c r="M45" i="8"/>
  <c r="L45" i="8"/>
  <c r="K45" i="8"/>
  <c r="N44" i="8"/>
  <c r="M44" i="8"/>
  <c r="L44" i="8"/>
  <c r="K44" i="8"/>
  <c r="L43" i="8"/>
  <c r="L42" i="8"/>
  <c r="L41" i="8"/>
  <c r="L40" i="8"/>
  <c r="M39" i="8"/>
  <c r="L39" i="8"/>
  <c r="K39" i="8"/>
  <c r="N38" i="8"/>
  <c r="M38" i="8"/>
  <c r="L38" i="8"/>
  <c r="K38" i="8"/>
  <c r="L37" i="8"/>
  <c r="K37" i="8"/>
  <c r="M36" i="8"/>
  <c r="K36" i="8"/>
  <c r="G47" i="8"/>
  <c r="F47" i="8"/>
  <c r="E47" i="8"/>
  <c r="D47" i="8"/>
  <c r="G46" i="8"/>
  <c r="F46" i="8"/>
  <c r="E46" i="8"/>
  <c r="D46" i="8"/>
  <c r="G45" i="8"/>
  <c r="F45" i="8"/>
  <c r="E45" i="8"/>
  <c r="D45" i="8"/>
  <c r="G44" i="8"/>
  <c r="F44" i="8"/>
  <c r="E44" i="8"/>
  <c r="D44" i="8"/>
  <c r="F43" i="8"/>
  <c r="E43" i="8"/>
  <c r="D43" i="8"/>
  <c r="F42" i="8"/>
  <c r="E42" i="8"/>
  <c r="D42" i="8"/>
  <c r="G41" i="8"/>
  <c r="F41" i="8"/>
  <c r="D41" i="8"/>
  <c r="G40" i="8"/>
  <c r="F40" i="8"/>
  <c r="D40" i="8"/>
  <c r="F39" i="8"/>
  <c r="E39" i="8"/>
  <c r="D39" i="8"/>
  <c r="G38" i="8"/>
  <c r="F38" i="8"/>
  <c r="E38" i="8"/>
  <c r="D38" i="8"/>
  <c r="G37" i="8"/>
  <c r="F37" i="8"/>
  <c r="E37" i="8"/>
  <c r="D37" i="8"/>
  <c r="D36" i="8"/>
  <c r="N31" i="8"/>
  <c r="M31" i="8"/>
  <c r="L31" i="8"/>
  <c r="K31" i="8"/>
  <c r="N30" i="8"/>
  <c r="M30" i="8"/>
  <c r="L30" i="8"/>
  <c r="K30" i="8"/>
  <c r="N29" i="8"/>
  <c r="M29" i="8"/>
  <c r="L29" i="8"/>
  <c r="K29" i="8"/>
  <c r="N28" i="8"/>
  <c r="M28" i="8"/>
  <c r="L28" i="8"/>
  <c r="K28" i="8"/>
  <c r="M27" i="8"/>
  <c r="K27" i="8"/>
  <c r="M26" i="8"/>
  <c r="K26" i="8"/>
  <c r="N25" i="8"/>
  <c r="M25" i="8"/>
  <c r="L25" i="8"/>
  <c r="K25" i="8"/>
  <c r="N24" i="8"/>
  <c r="M24" i="8"/>
  <c r="L24" i="8"/>
  <c r="K24" i="8"/>
  <c r="M23" i="8"/>
  <c r="L23" i="8"/>
  <c r="K23" i="8"/>
  <c r="N22" i="8"/>
  <c r="M22" i="8"/>
  <c r="L22" i="8"/>
  <c r="K22" i="8"/>
  <c r="N21" i="8"/>
  <c r="K21" i="8"/>
  <c r="M20" i="8"/>
  <c r="L20" i="8"/>
  <c r="G31" i="8"/>
  <c r="F31" i="8"/>
  <c r="E31" i="8"/>
  <c r="D31" i="8"/>
  <c r="G30" i="8"/>
  <c r="F30" i="8"/>
  <c r="E30" i="8"/>
  <c r="D30" i="8"/>
  <c r="G29" i="8"/>
  <c r="F29" i="8"/>
  <c r="E29" i="8"/>
  <c r="D29" i="8"/>
  <c r="G28" i="8"/>
  <c r="F28" i="8"/>
  <c r="E28" i="8"/>
  <c r="D28" i="8"/>
  <c r="G27" i="8"/>
  <c r="F27" i="8"/>
  <c r="E27" i="8"/>
  <c r="D27" i="8"/>
  <c r="F26" i="8"/>
  <c r="E26" i="8"/>
  <c r="D26" i="8"/>
  <c r="G25" i="8"/>
  <c r="F25" i="8"/>
  <c r="E25" i="8"/>
  <c r="D25" i="8"/>
  <c r="G24" i="8"/>
  <c r="F24" i="8"/>
  <c r="E24" i="8"/>
  <c r="D24" i="8"/>
  <c r="F23" i="8"/>
  <c r="E23" i="8"/>
  <c r="D23" i="8"/>
  <c r="G22" i="8"/>
  <c r="F22" i="8"/>
  <c r="E22" i="8"/>
  <c r="D22" i="8"/>
  <c r="G21" i="8"/>
  <c r="F21" i="8"/>
  <c r="E21" i="8"/>
  <c r="D21" i="8"/>
  <c r="S20" i="1"/>
  <c r="T20" i="1" s="1"/>
  <c r="F20" i="8"/>
  <c r="E20" i="8"/>
  <c r="D20" i="8"/>
  <c r="M11" i="8"/>
  <c r="L11" i="8"/>
  <c r="K11" i="8"/>
  <c r="M10" i="8"/>
  <c r="L10" i="8"/>
  <c r="K10" i="8"/>
  <c r="N9" i="8"/>
  <c r="M9" i="8"/>
  <c r="L9" i="8"/>
  <c r="K9" i="8"/>
  <c r="N8" i="8"/>
  <c r="M8" i="8"/>
  <c r="L8" i="8"/>
  <c r="K8" i="8"/>
  <c r="N16" i="4"/>
  <c r="M16" i="4"/>
  <c r="L16" i="4"/>
  <c r="K16" i="4"/>
  <c r="N64" i="3"/>
  <c r="M64" i="3"/>
  <c r="L64" i="3"/>
  <c r="F64" i="3"/>
  <c r="E64" i="3"/>
  <c r="D64" i="3"/>
  <c r="C64" i="3"/>
  <c r="N48" i="3"/>
  <c r="M48" i="3"/>
  <c r="L48" i="3"/>
  <c r="K48" i="3"/>
  <c r="F48" i="3"/>
  <c r="E48" i="3"/>
  <c r="D48" i="3"/>
  <c r="C48" i="3"/>
  <c r="N32" i="3"/>
  <c r="M32" i="3"/>
  <c r="L32" i="3"/>
  <c r="K32" i="3"/>
  <c r="F32" i="3"/>
  <c r="E32" i="3"/>
  <c r="D32" i="3"/>
  <c r="C32" i="3"/>
  <c r="N16" i="3"/>
  <c r="M16" i="3"/>
  <c r="L16" i="3"/>
  <c r="K16" i="3"/>
  <c r="H13" i="3"/>
  <c r="H9" i="3"/>
  <c r="AI75" i="10" l="1"/>
  <c r="AH75" i="10"/>
  <c r="AH52" i="10"/>
  <c r="AI52" i="10"/>
  <c r="AE88" i="10"/>
  <c r="AD88" i="10"/>
  <c r="AE27" i="10"/>
  <c r="AD27" i="10"/>
  <c r="AA27" i="10"/>
  <c r="Z27" i="10"/>
  <c r="V99" i="10"/>
  <c r="W99" i="10"/>
  <c r="AI76" i="10"/>
  <c r="AH76" i="10"/>
  <c r="AH51" i="10"/>
  <c r="AI51" i="10"/>
  <c r="V100" i="10"/>
  <c r="W100" i="10"/>
  <c r="X15" i="10"/>
  <c r="X16" i="10"/>
  <c r="AA124" i="10"/>
  <c r="Z124" i="10"/>
  <c r="AE64" i="10"/>
  <c r="AD64" i="10"/>
  <c r="Z64" i="10"/>
  <c r="AA64" i="10"/>
  <c r="AE135" i="10"/>
  <c r="AD135" i="10"/>
  <c r="W112" i="10"/>
  <c r="V112" i="10"/>
  <c r="AA40" i="10"/>
  <c r="Z40" i="10"/>
  <c r="AA28" i="10"/>
  <c r="Z28" i="10"/>
  <c r="AF15" i="10"/>
  <c r="AF16" i="10"/>
  <c r="Z123" i="10"/>
  <c r="AA123" i="10"/>
  <c r="AE63" i="10"/>
  <c r="AD63" i="10"/>
  <c r="Z63" i="10"/>
  <c r="AA63" i="10"/>
  <c r="AE136" i="10"/>
  <c r="AD136" i="10"/>
  <c r="W111" i="10"/>
  <c r="V111" i="10"/>
  <c r="Z39" i="10"/>
  <c r="AA39" i="10"/>
  <c r="AE28" i="10"/>
  <c r="AD28" i="10"/>
  <c r="AB15" i="10"/>
  <c r="AB16" i="10"/>
  <c r="AE52" i="10"/>
  <c r="AD52" i="10"/>
  <c r="W28" i="10"/>
  <c r="V28" i="10"/>
  <c r="AE99" i="10"/>
  <c r="AD99" i="10"/>
  <c r="Z100" i="10"/>
  <c r="AA100" i="10"/>
  <c r="V40" i="10"/>
  <c r="W40" i="10"/>
  <c r="AE40" i="10"/>
  <c r="AD40" i="10"/>
  <c r="AA76" i="10"/>
  <c r="Z76" i="10"/>
  <c r="AE87" i="10"/>
  <c r="AD87" i="10"/>
  <c r="AE51" i="10"/>
  <c r="AD51" i="10"/>
  <c r="W27" i="10"/>
  <c r="V27" i="10"/>
  <c r="AE100" i="10"/>
  <c r="AD100" i="10"/>
  <c r="Z99" i="10"/>
  <c r="AA99" i="10"/>
  <c r="W39" i="10"/>
  <c r="V39" i="10"/>
  <c r="AE39" i="10"/>
  <c r="AD39" i="10"/>
  <c r="Z75" i="10"/>
  <c r="AA75" i="10"/>
  <c r="AI88" i="10"/>
  <c r="AH88" i="10"/>
  <c r="AH64" i="10"/>
  <c r="AI64" i="10"/>
  <c r="W136" i="10"/>
  <c r="V136" i="10"/>
  <c r="AI135" i="10"/>
  <c r="AH135" i="10"/>
  <c r="V75" i="10"/>
  <c r="W75" i="10"/>
  <c r="AE75" i="10"/>
  <c r="AD75" i="10"/>
  <c r="AE112" i="10"/>
  <c r="AD112" i="10"/>
  <c r="T15" i="10"/>
  <c r="T16" i="10"/>
  <c r="AI87" i="10"/>
  <c r="AH87" i="10"/>
  <c r="AH63" i="10"/>
  <c r="AI63" i="10"/>
  <c r="W135" i="10"/>
  <c r="V135" i="10"/>
  <c r="AI136" i="10"/>
  <c r="AH136" i="10"/>
  <c r="W76" i="10"/>
  <c r="V76" i="10"/>
  <c r="AE76" i="10"/>
  <c r="AD76" i="10"/>
  <c r="AE111" i="10"/>
  <c r="AD111" i="10"/>
  <c r="AE124" i="10"/>
  <c r="AD124" i="10"/>
  <c r="AI99" i="10"/>
  <c r="AH99" i="10"/>
  <c r="V52" i="10"/>
  <c r="W52" i="10"/>
  <c r="AI28" i="10"/>
  <c r="AH28" i="10"/>
  <c r="AA112" i="10"/>
  <c r="Z112" i="10"/>
  <c r="AI112" i="10"/>
  <c r="AH112" i="10"/>
  <c r="V124" i="10"/>
  <c r="W124" i="10"/>
  <c r="AE123" i="10"/>
  <c r="AD123" i="10"/>
  <c r="AI100" i="10"/>
  <c r="AH100" i="10"/>
  <c r="V51" i="10"/>
  <c r="W51" i="10"/>
  <c r="AI27" i="10"/>
  <c r="AH27" i="10"/>
  <c r="AA111" i="10"/>
  <c r="Z111" i="10"/>
  <c r="AI111" i="10"/>
  <c r="AH111" i="10"/>
  <c r="V123" i="10"/>
  <c r="W123" i="10"/>
  <c r="AA51" i="10"/>
  <c r="Z51" i="10"/>
  <c r="Z136" i="10"/>
  <c r="AA136" i="10"/>
  <c r="W88" i="10"/>
  <c r="V88" i="10"/>
  <c r="W64" i="10"/>
  <c r="V64" i="10"/>
  <c r="AI40" i="10"/>
  <c r="AH40" i="10"/>
  <c r="AA88" i="10"/>
  <c r="Z88" i="10"/>
  <c r="AI124" i="10"/>
  <c r="AH124" i="10"/>
  <c r="Z52" i="10"/>
  <c r="AA52" i="10"/>
  <c r="Z135" i="10"/>
  <c r="AA135" i="10"/>
  <c r="W87" i="10"/>
  <c r="V87" i="10"/>
  <c r="V63" i="10"/>
  <c r="W63" i="10"/>
  <c r="AI39" i="10"/>
  <c r="AH39" i="10"/>
  <c r="AA87" i="10"/>
  <c r="Z87" i="10"/>
  <c r="AI123" i="10"/>
  <c r="AH123" i="10"/>
  <c r="AE27" i="9"/>
  <c r="AD27" i="9"/>
  <c r="AI112" i="9"/>
  <c r="AH112" i="9"/>
  <c r="Z88" i="9"/>
  <c r="AA88" i="9"/>
  <c r="AE63" i="9"/>
  <c r="AD63" i="9"/>
  <c r="T87" i="11"/>
  <c r="T88" i="11"/>
  <c r="T39" i="11"/>
  <c r="T40" i="11"/>
  <c r="AB111" i="11"/>
  <c r="AB112" i="11"/>
  <c r="AF87" i="11"/>
  <c r="AH87" i="11" s="1"/>
  <c r="AF88" i="11"/>
  <c r="AF51" i="11"/>
  <c r="AF52" i="11"/>
  <c r="AF135" i="11"/>
  <c r="AF136" i="11"/>
  <c r="AF27" i="11"/>
  <c r="AF28" i="11"/>
  <c r="AI28" i="9"/>
  <c r="AH28" i="9"/>
  <c r="Z112" i="9"/>
  <c r="AA112" i="9"/>
  <c r="Z40" i="9"/>
  <c r="AA40" i="9"/>
  <c r="V124" i="9"/>
  <c r="W124" i="9"/>
  <c r="AI51" i="9"/>
  <c r="AH51" i="9"/>
  <c r="AH99" i="9"/>
  <c r="AI99" i="9"/>
  <c r="X99" i="11"/>
  <c r="X100" i="11"/>
  <c r="AI27" i="9"/>
  <c r="AH27" i="9"/>
  <c r="Z111" i="9"/>
  <c r="AA111" i="9"/>
  <c r="Z39" i="9"/>
  <c r="AA39" i="9"/>
  <c r="AE135" i="9"/>
  <c r="AE136" i="9"/>
  <c r="AD136" i="9"/>
  <c r="V123" i="9"/>
  <c r="W123" i="9"/>
  <c r="AI52" i="9"/>
  <c r="AH52" i="9"/>
  <c r="AI111" i="9"/>
  <c r="AH111" i="9"/>
  <c r="V75" i="9"/>
  <c r="W75" i="9"/>
  <c r="T135" i="11"/>
  <c r="T136" i="11"/>
  <c r="T51" i="11"/>
  <c r="T52" i="11"/>
  <c r="T99" i="11"/>
  <c r="T100" i="11"/>
  <c r="X135" i="11"/>
  <c r="X136" i="11"/>
  <c r="AB27" i="11"/>
  <c r="AB28" i="11"/>
  <c r="AB123" i="11"/>
  <c r="AD123" i="11" s="1"/>
  <c r="AB124" i="11"/>
  <c r="AF99" i="11"/>
  <c r="AF100" i="11"/>
  <c r="AF123" i="11"/>
  <c r="AF124" i="11"/>
  <c r="AA28" i="9"/>
  <c r="Z28" i="9"/>
  <c r="Z63" i="9"/>
  <c r="AA63" i="9"/>
  <c r="V63" i="9"/>
  <c r="W63" i="9"/>
  <c r="AH76" i="9"/>
  <c r="AI76" i="9"/>
  <c r="Z51" i="9"/>
  <c r="AA51" i="9"/>
  <c r="AE51" i="9"/>
  <c r="AD51" i="9"/>
  <c r="AD87" i="9"/>
  <c r="AE87" i="9"/>
  <c r="T15" i="9"/>
  <c r="T16" i="9"/>
  <c r="X75" i="11"/>
  <c r="X76" i="11"/>
  <c r="AA27" i="9"/>
  <c r="Z27" i="9"/>
  <c r="Z64" i="9"/>
  <c r="AA64" i="9"/>
  <c r="V64" i="9"/>
  <c r="W64" i="9"/>
  <c r="AH75" i="9"/>
  <c r="AI75" i="9"/>
  <c r="Z52" i="9"/>
  <c r="AA52" i="9"/>
  <c r="AE52" i="9"/>
  <c r="AD52" i="9"/>
  <c r="AD88" i="9"/>
  <c r="AE88" i="9"/>
  <c r="X39" i="11"/>
  <c r="X40" i="11"/>
  <c r="AH100" i="9"/>
  <c r="AI100" i="9"/>
  <c r="T111" i="11"/>
  <c r="T112" i="11"/>
  <c r="AB63" i="11"/>
  <c r="AD63" i="11" s="1"/>
  <c r="AB64" i="11"/>
  <c r="AF39" i="11"/>
  <c r="AF40" i="11"/>
  <c r="AH64" i="9"/>
  <c r="AI64" i="9"/>
  <c r="AD99" i="9"/>
  <c r="AE99" i="9"/>
  <c r="AI39" i="9"/>
  <c r="AI40" i="9"/>
  <c r="AH40" i="9"/>
  <c r="AD112" i="9"/>
  <c r="AE112" i="9"/>
  <c r="AI88" i="9"/>
  <c r="AH88" i="9"/>
  <c r="V87" i="9"/>
  <c r="W87" i="9"/>
  <c r="AI123" i="9"/>
  <c r="AI124" i="9"/>
  <c r="AH124" i="9"/>
  <c r="AE64" i="9"/>
  <c r="AD64" i="9"/>
  <c r="T75" i="11"/>
  <c r="T76" i="11"/>
  <c r="X123" i="11"/>
  <c r="X124" i="11"/>
  <c r="X87" i="11"/>
  <c r="X88" i="11"/>
  <c r="AF15" i="9"/>
  <c r="AF16" i="9"/>
  <c r="AH63" i="9"/>
  <c r="AI63" i="9"/>
  <c r="AD100" i="9"/>
  <c r="AE100" i="9"/>
  <c r="AD111" i="9"/>
  <c r="AE111" i="9"/>
  <c r="AI87" i="9"/>
  <c r="AH87" i="9"/>
  <c r="V88" i="9"/>
  <c r="W88" i="9"/>
  <c r="AB75" i="11"/>
  <c r="AD75" i="11" s="1"/>
  <c r="AB76" i="11"/>
  <c r="V99" i="9"/>
  <c r="W99" i="9"/>
  <c r="Z136" i="9"/>
  <c r="AA136" i="9"/>
  <c r="AE76" i="9"/>
  <c r="AD76" i="9"/>
  <c r="V40" i="9"/>
  <c r="W40" i="9"/>
  <c r="Z124" i="9"/>
  <c r="AA124" i="9"/>
  <c r="AE124" i="9"/>
  <c r="AD124" i="9"/>
  <c r="V136" i="9"/>
  <c r="W136" i="9"/>
  <c r="AB51" i="11"/>
  <c r="AB52" i="11"/>
  <c r="AB99" i="11"/>
  <c r="AB100" i="11"/>
  <c r="AF75" i="11"/>
  <c r="AF76" i="11"/>
  <c r="Z87" i="9"/>
  <c r="AA87" i="9"/>
  <c r="T27" i="11"/>
  <c r="T28" i="11"/>
  <c r="T123" i="11"/>
  <c r="T124" i="11"/>
  <c r="X51" i="11"/>
  <c r="X52" i="11"/>
  <c r="AB39" i="11"/>
  <c r="AB40" i="11"/>
  <c r="W100" i="9"/>
  <c r="V100" i="9"/>
  <c r="Z135" i="9"/>
  <c r="AA135" i="9"/>
  <c r="AE75" i="9"/>
  <c r="AD75" i="9"/>
  <c r="V39" i="9"/>
  <c r="W39" i="9"/>
  <c r="AA123" i="9"/>
  <c r="Z123" i="9"/>
  <c r="AE123" i="9"/>
  <c r="AD123" i="9"/>
  <c r="V135" i="9"/>
  <c r="W135" i="9"/>
  <c r="X63" i="11"/>
  <c r="X64" i="11"/>
  <c r="AB87" i="11"/>
  <c r="AB88" i="11"/>
  <c r="AE28" i="9"/>
  <c r="AD28" i="9"/>
  <c r="AB15" i="9"/>
  <c r="AB16" i="9"/>
  <c r="AB135" i="11"/>
  <c r="AB136" i="11"/>
  <c r="AF111" i="11"/>
  <c r="AF112" i="11"/>
  <c r="AF63" i="11"/>
  <c r="AF64" i="11"/>
  <c r="AI135" i="9"/>
  <c r="AI136" i="9"/>
  <c r="AH136" i="9"/>
  <c r="AD40" i="9"/>
  <c r="AE40" i="9"/>
  <c r="V111" i="9"/>
  <c r="W111" i="9"/>
  <c r="Z76" i="9"/>
  <c r="AA76" i="9"/>
  <c r="W52" i="9"/>
  <c r="V52" i="9"/>
  <c r="W28" i="9"/>
  <c r="V28" i="9"/>
  <c r="Z100" i="9"/>
  <c r="AA100" i="9"/>
  <c r="V76" i="9"/>
  <c r="W76" i="9"/>
  <c r="X27" i="11"/>
  <c r="Z27" i="11" s="1"/>
  <c r="X28" i="11"/>
  <c r="T63" i="11"/>
  <c r="T64" i="11"/>
  <c r="X111" i="11"/>
  <c r="X112" i="11"/>
  <c r="X15" i="9"/>
  <c r="X16" i="9"/>
  <c r="AD39" i="9"/>
  <c r="AE39" i="9"/>
  <c r="V112" i="9"/>
  <c r="W112" i="9"/>
  <c r="Z75" i="9"/>
  <c r="AA75" i="9"/>
  <c r="V51" i="9"/>
  <c r="W51" i="9"/>
  <c r="W27" i="9"/>
  <c r="V27" i="9"/>
  <c r="Z99" i="9"/>
  <c r="AA99" i="9"/>
  <c r="S79" i="1"/>
  <c r="T78" i="1"/>
  <c r="AE134" i="10"/>
  <c r="AD134" i="10"/>
  <c r="AD38" i="10"/>
  <c r="AE38" i="10"/>
  <c r="AB14" i="10"/>
  <c r="AE26" i="10"/>
  <c r="AD26" i="10"/>
  <c r="AE50" i="10"/>
  <c r="AD50" i="10"/>
  <c r="AE86" i="10"/>
  <c r="AD86" i="10"/>
  <c r="AE62" i="10"/>
  <c r="AD62" i="10"/>
  <c r="AE74" i="10"/>
  <c r="AD74" i="10"/>
  <c r="AE110" i="10"/>
  <c r="AD110" i="10"/>
  <c r="AE98" i="10"/>
  <c r="AD98" i="10"/>
  <c r="AE122" i="10"/>
  <c r="AD122" i="10"/>
  <c r="AF110" i="11"/>
  <c r="AA26" i="9"/>
  <c r="W95" i="10"/>
  <c r="AD122" i="9"/>
  <c r="AB134" i="11"/>
  <c r="AD134" i="11" s="1"/>
  <c r="AI74" i="10"/>
  <c r="AH74" i="10"/>
  <c r="AH62" i="10"/>
  <c r="AI62" i="10"/>
  <c r="AF14" i="10"/>
  <c r="AI122" i="10"/>
  <c r="AH122" i="10"/>
  <c r="AI98" i="10"/>
  <c r="AH98" i="10"/>
  <c r="AI26" i="10"/>
  <c r="AH26" i="10"/>
  <c r="AI86" i="10"/>
  <c r="AH86" i="10"/>
  <c r="AH50" i="10"/>
  <c r="AI50" i="10"/>
  <c r="AI38" i="10"/>
  <c r="AH38" i="10"/>
  <c r="AI134" i="10"/>
  <c r="AH134" i="10"/>
  <c r="AI110" i="10"/>
  <c r="AH110" i="10"/>
  <c r="AA86" i="9"/>
  <c r="X14" i="10"/>
  <c r="Z74" i="10"/>
  <c r="AA74" i="10"/>
  <c r="AA134" i="10"/>
  <c r="Z134" i="10"/>
  <c r="X110" i="11"/>
  <c r="Z110" i="11" s="1"/>
  <c r="X98" i="11"/>
  <c r="Z98" i="11" s="1"/>
  <c r="AA122" i="10"/>
  <c r="Z122" i="10"/>
  <c r="Z98" i="10"/>
  <c r="AA98" i="10"/>
  <c r="Z38" i="10"/>
  <c r="AA38" i="10"/>
  <c r="AA86" i="10"/>
  <c r="Z86" i="10"/>
  <c r="Z26" i="10"/>
  <c r="AA26" i="10"/>
  <c r="Z50" i="10"/>
  <c r="AA50" i="10"/>
  <c r="AA110" i="10"/>
  <c r="Z110" i="10"/>
  <c r="Z62" i="10"/>
  <c r="AA62" i="10"/>
  <c r="T26" i="11"/>
  <c r="V26" i="11" s="1"/>
  <c r="V38" i="10"/>
  <c r="W38" i="10"/>
  <c r="W86" i="10"/>
  <c r="V86" i="10"/>
  <c r="V74" i="10"/>
  <c r="W74" i="10"/>
  <c r="W110" i="10"/>
  <c r="V110" i="10"/>
  <c r="V62" i="10"/>
  <c r="W62" i="10"/>
  <c r="V26" i="10"/>
  <c r="W26" i="10"/>
  <c r="V50" i="10"/>
  <c r="W50" i="10"/>
  <c r="T14" i="10"/>
  <c r="V98" i="10"/>
  <c r="W98" i="10"/>
  <c r="W122" i="10"/>
  <c r="V122" i="10"/>
  <c r="W134" i="10"/>
  <c r="V134" i="10"/>
  <c r="AE38" i="9"/>
  <c r="AD38" i="9"/>
  <c r="AE50" i="9"/>
  <c r="AD50" i="9"/>
  <c r="AB110" i="11"/>
  <c r="AB14" i="9"/>
  <c r="AE86" i="9"/>
  <c r="AD86" i="9"/>
  <c r="AE62" i="9"/>
  <c r="AD62" i="9"/>
  <c r="AE110" i="9"/>
  <c r="AD110" i="9"/>
  <c r="AB26" i="11"/>
  <c r="AB74" i="11"/>
  <c r="AB50" i="11"/>
  <c r="AB122" i="11"/>
  <c r="AB86" i="11"/>
  <c r="AB98" i="11"/>
  <c r="AD98" i="9"/>
  <c r="AE98" i="9"/>
  <c r="AE26" i="9"/>
  <c r="AD26" i="9"/>
  <c r="AB62" i="11"/>
  <c r="AB38" i="11"/>
  <c r="AE134" i="9"/>
  <c r="AD134" i="9"/>
  <c r="AE74" i="9"/>
  <c r="AD74" i="9"/>
  <c r="Z62" i="9"/>
  <c r="AA62" i="9"/>
  <c r="AA98" i="9"/>
  <c r="Z98" i="9"/>
  <c r="X38" i="11"/>
  <c r="X62" i="11"/>
  <c r="Z74" i="9"/>
  <c r="AA74" i="9"/>
  <c r="Z50" i="9"/>
  <c r="AA50" i="9"/>
  <c r="X134" i="11"/>
  <c r="X122" i="11"/>
  <c r="X74" i="11"/>
  <c r="X86" i="11"/>
  <c r="X26" i="11"/>
  <c r="AA134" i="9"/>
  <c r="Z134" i="9"/>
  <c r="AA122" i="9"/>
  <c r="Z122" i="9"/>
  <c r="X14" i="9"/>
  <c r="X50" i="11"/>
  <c r="AA110" i="9"/>
  <c r="Z110" i="9"/>
  <c r="AA38" i="9"/>
  <c r="Z38" i="9"/>
  <c r="T62" i="11"/>
  <c r="T134" i="11"/>
  <c r="W62" i="9"/>
  <c r="V62" i="9"/>
  <c r="W122" i="9"/>
  <c r="V122" i="9"/>
  <c r="T50" i="11"/>
  <c r="T122" i="11"/>
  <c r="T98" i="11"/>
  <c r="V74" i="9"/>
  <c r="W74" i="9"/>
  <c r="V86" i="9"/>
  <c r="W86" i="9"/>
  <c r="T74" i="11"/>
  <c r="T14" i="9"/>
  <c r="W38" i="9"/>
  <c r="V38" i="9"/>
  <c r="W134" i="9"/>
  <c r="V134" i="9"/>
  <c r="V50" i="9"/>
  <c r="W50" i="9"/>
  <c r="T110" i="11"/>
  <c r="T86" i="11"/>
  <c r="T38" i="11"/>
  <c r="V26" i="9"/>
  <c r="W26" i="9"/>
  <c r="W110" i="9"/>
  <c r="V110" i="9"/>
  <c r="W98" i="9"/>
  <c r="V98" i="9"/>
  <c r="AI110" i="9"/>
  <c r="AH110" i="9"/>
  <c r="AI38" i="9"/>
  <c r="AH38" i="9"/>
  <c r="AF86" i="11"/>
  <c r="AF38" i="11"/>
  <c r="AF50" i="11"/>
  <c r="AF62" i="11"/>
  <c r="AF134" i="11"/>
  <c r="AF26" i="11"/>
  <c r="AI122" i="9"/>
  <c r="AH122" i="9"/>
  <c r="AI134" i="9"/>
  <c r="AH134" i="9"/>
  <c r="AF14" i="9"/>
  <c r="AI26" i="9"/>
  <c r="AH26" i="9"/>
  <c r="AI86" i="9"/>
  <c r="AH86" i="9"/>
  <c r="AH62" i="9"/>
  <c r="AI62" i="9"/>
  <c r="AF98" i="11"/>
  <c r="AF74" i="11"/>
  <c r="AF122" i="11"/>
  <c r="AH50" i="9"/>
  <c r="AI50" i="9"/>
  <c r="AH98" i="9"/>
  <c r="AI98" i="9"/>
  <c r="AH74" i="9"/>
  <c r="AI74" i="9"/>
  <c r="AI23" i="10"/>
  <c r="W25" i="9"/>
  <c r="AB13" i="10"/>
  <c r="AD13" i="10" s="1"/>
  <c r="AE97" i="10"/>
  <c r="AD97" i="10"/>
  <c r="AE121" i="10"/>
  <c r="AD121" i="10"/>
  <c r="AE37" i="10"/>
  <c r="AD37" i="10"/>
  <c r="AE85" i="10"/>
  <c r="AD85" i="10"/>
  <c r="AE25" i="10"/>
  <c r="AD25" i="10"/>
  <c r="AE49" i="10"/>
  <c r="AD49" i="10"/>
  <c r="AE109" i="10"/>
  <c r="AD109" i="10"/>
  <c r="AF109" i="11"/>
  <c r="AE61" i="10"/>
  <c r="AD61" i="10"/>
  <c r="AE73" i="10"/>
  <c r="AD73" i="10"/>
  <c r="AE133" i="10"/>
  <c r="AD133" i="10"/>
  <c r="AB13" i="9"/>
  <c r="AB37" i="11"/>
  <c r="AE61" i="9"/>
  <c r="AD61" i="9"/>
  <c r="AE109" i="9"/>
  <c r="AD109" i="9"/>
  <c r="AB61" i="11"/>
  <c r="AB133" i="11"/>
  <c r="AB109" i="11"/>
  <c r="AE73" i="9"/>
  <c r="AD73" i="9"/>
  <c r="AE121" i="9"/>
  <c r="AD121" i="9"/>
  <c r="AE37" i="9"/>
  <c r="AD37" i="9"/>
  <c r="AE133" i="9"/>
  <c r="AD133" i="9"/>
  <c r="AE85" i="9"/>
  <c r="AD85" i="9"/>
  <c r="AB25" i="11"/>
  <c r="AB73" i="11"/>
  <c r="AB49" i="11"/>
  <c r="AB121" i="11"/>
  <c r="AB85" i="11"/>
  <c r="AB97" i="11"/>
  <c r="AE25" i="9"/>
  <c r="AD25" i="9"/>
  <c r="AE49" i="9"/>
  <c r="AD49" i="9"/>
  <c r="AE97" i="9"/>
  <c r="AD97" i="9"/>
  <c r="AI37" i="10"/>
  <c r="AH37" i="10"/>
  <c r="AI109" i="10"/>
  <c r="AH109" i="10"/>
  <c r="AF13" i="10"/>
  <c r="AI121" i="10"/>
  <c r="AH121" i="10"/>
  <c r="AI133" i="10"/>
  <c r="AH133" i="10"/>
  <c r="AH61" i="10"/>
  <c r="AI61" i="10"/>
  <c r="AH49" i="10"/>
  <c r="AI49" i="10"/>
  <c r="AI25" i="10"/>
  <c r="AH25" i="10"/>
  <c r="AI97" i="10"/>
  <c r="AH97" i="10"/>
  <c r="AI85" i="10"/>
  <c r="AH85" i="10"/>
  <c r="AI73" i="10"/>
  <c r="AH73" i="10"/>
  <c r="X13" i="10"/>
  <c r="Z13" i="10" s="1"/>
  <c r="AA25" i="9"/>
  <c r="AA133" i="10"/>
  <c r="Z133" i="10"/>
  <c r="Z61" i="10"/>
  <c r="AA61" i="10"/>
  <c r="X109" i="11"/>
  <c r="Z37" i="10"/>
  <c r="AA37" i="10"/>
  <c r="Z97" i="10"/>
  <c r="AA97" i="10"/>
  <c r="AA85" i="10"/>
  <c r="Z85" i="10"/>
  <c r="AA121" i="10"/>
  <c r="Z121" i="10"/>
  <c r="Z49" i="10"/>
  <c r="AA49" i="10"/>
  <c r="AA109" i="10"/>
  <c r="Z109" i="10"/>
  <c r="Z25" i="10"/>
  <c r="AA25" i="10"/>
  <c r="Z73" i="10"/>
  <c r="AA73" i="10"/>
  <c r="T25" i="11"/>
  <c r="W109" i="10"/>
  <c r="V109" i="10"/>
  <c r="V61" i="10"/>
  <c r="W61" i="10"/>
  <c r="W133" i="10"/>
  <c r="V133" i="10"/>
  <c r="V97" i="10"/>
  <c r="W97" i="10"/>
  <c r="V49" i="10"/>
  <c r="W49" i="10"/>
  <c r="V25" i="10"/>
  <c r="W25" i="10"/>
  <c r="V37" i="10"/>
  <c r="W37" i="10"/>
  <c r="T13" i="10"/>
  <c r="W85" i="10"/>
  <c r="V85" i="10"/>
  <c r="V73" i="10"/>
  <c r="W73" i="10"/>
  <c r="W121" i="10"/>
  <c r="V121" i="10"/>
  <c r="AF85" i="11"/>
  <c r="AF37" i="11"/>
  <c r="AF49" i="11"/>
  <c r="AF61" i="11"/>
  <c r="AF133" i="11"/>
  <c r="AF25" i="11"/>
  <c r="AI37" i="9"/>
  <c r="AH37" i="9"/>
  <c r="AI25" i="9"/>
  <c r="AH25" i="9"/>
  <c r="AI133" i="9"/>
  <c r="AH133" i="9"/>
  <c r="AH49" i="9"/>
  <c r="AI49" i="9"/>
  <c r="AF13" i="9"/>
  <c r="AF97" i="11"/>
  <c r="AF73" i="11"/>
  <c r="AF121" i="11"/>
  <c r="AI85" i="9"/>
  <c r="AH85" i="9"/>
  <c r="AH61" i="9"/>
  <c r="AI61" i="9"/>
  <c r="AI109" i="9"/>
  <c r="AH109" i="9"/>
  <c r="AH97" i="9"/>
  <c r="AI97" i="9"/>
  <c r="AH73" i="9"/>
  <c r="AI73" i="9"/>
  <c r="AI121" i="9"/>
  <c r="AH121" i="9"/>
  <c r="X133" i="11"/>
  <c r="X37" i="11"/>
  <c r="X61" i="11"/>
  <c r="Z85" i="9"/>
  <c r="AA85" i="9"/>
  <c r="X121" i="11"/>
  <c r="X73" i="11"/>
  <c r="X85" i="11"/>
  <c r="X25" i="11"/>
  <c r="AA49" i="9"/>
  <c r="Z49" i="9"/>
  <c r="Z97" i="9"/>
  <c r="AA97" i="9"/>
  <c r="AA61" i="9"/>
  <c r="Z61" i="9"/>
  <c r="X49" i="11"/>
  <c r="AA109" i="9"/>
  <c r="Z109" i="9"/>
  <c r="Z37" i="9"/>
  <c r="AA37" i="9"/>
  <c r="AA73" i="9"/>
  <c r="Z73" i="9"/>
  <c r="X97" i="11"/>
  <c r="X13" i="9"/>
  <c r="AA121" i="9"/>
  <c r="Z121" i="9"/>
  <c r="AA133" i="9"/>
  <c r="Z133" i="9"/>
  <c r="T49" i="11"/>
  <c r="T73" i="11"/>
  <c r="T13" i="9"/>
  <c r="W121" i="9"/>
  <c r="V121" i="9"/>
  <c r="V61" i="9"/>
  <c r="W61" i="9"/>
  <c r="T109" i="11"/>
  <c r="T85" i="11"/>
  <c r="T37" i="11"/>
  <c r="V73" i="9"/>
  <c r="W73" i="9"/>
  <c r="W133" i="9"/>
  <c r="V133" i="9"/>
  <c r="W37" i="9"/>
  <c r="V37" i="9"/>
  <c r="T61" i="11"/>
  <c r="T133" i="11"/>
  <c r="W49" i="9"/>
  <c r="V49" i="9"/>
  <c r="V85" i="9"/>
  <c r="W85" i="9"/>
  <c r="T121" i="11"/>
  <c r="T97" i="11"/>
  <c r="W109" i="9"/>
  <c r="V109" i="9"/>
  <c r="W97" i="9"/>
  <c r="V97" i="9"/>
  <c r="AB24" i="11"/>
  <c r="AD24" i="11" s="1"/>
  <c r="X108" i="11"/>
  <c r="X96" i="11"/>
  <c r="Z96" i="11" s="1"/>
  <c r="AF120" i="11"/>
  <c r="AB12" i="9"/>
  <c r="AF12" i="10"/>
  <c r="T120" i="11"/>
  <c r="AB48" i="11"/>
  <c r="T72" i="11"/>
  <c r="X72" i="11"/>
  <c r="X24" i="11"/>
  <c r="X120" i="11"/>
  <c r="X132" i="11"/>
  <c r="X84" i="11"/>
  <c r="X36" i="11"/>
  <c r="T96" i="11"/>
  <c r="T48" i="11"/>
  <c r="T60" i="11"/>
  <c r="T132" i="11"/>
  <c r="T108" i="11"/>
  <c r="T84" i="11"/>
  <c r="T36" i="11"/>
  <c r="AB60" i="11"/>
  <c r="AB132" i="11"/>
  <c r="AF36" i="11"/>
  <c r="AF84" i="11"/>
  <c r="AF60" i="11"/>
  <c r="AF108" i="11"/>
  <c r="AF48" i="11"/>
  <c r="AF132" i="11"/>
  <c r="AF72" i="11"/>
  <c r="AF96" i="11"/>
  <c r="AF24" i="11"/>
  <c r="X12" i="10"/>
  <c r="V72" i="9"/>
  <c r="W72" i="9"/>
  <c r="Z60" i="10"/>
  <c r="AA60" i="10"/>
  <c r="AD36" i="9"/>
  <c r="AE36" i="9"/>
  <c r="AH96" i="9"/>
  <c r="AI96" i="9"/>
  <c r="W48" i="10"/>
  <c r="V48" i="10"/>
  <c r="AI96" i="10"/>
  <c r="AH96" i="10"/>
  <c r="W108" i="10"/>
  <c r="V108" i="10"/>
  <c r="AI36" i="9"/>
  <c r="AH36" i="9"/>
  <c r="Z84" i="9"/>
  <c r="AA84" i="9"/>
  <c r="AE24" i="10"/>
  <c r="AD24" i="10"/>
  <c r="W132" i="10"/>
  <c r="V132" i="10"/>
  <c r="AI84" i="10"/>
  <c r="AH84" i="10"/>
  <c r="AI132" i="10"/>
  <c r="AH132" i="10"/>
  <c r="W96" i="9"/>
  <c r="V96" i="9"/>
  <c r="AI108" i="10"/>
  <c r="AH108" i="10"/>
  <c r="AE72" i="10"/>
  <c r="AD72" i="10"/>
  <c r="AE48" i="10"/>
  <c r="AD48" i="10"/>
  <c r="AA60" i="9"/>
  <c r="Z60" i="9"/>
  <c r="AI120" i="9"/>
  <c r="AH120" i="9"/>
  <c r="AA48" i="10"/>
  <c r="Z48" i="10"/>
  <c r="Z96" i="10"/>
  <c r="AA96" i="10"/>
  <c r="AA120" i="10"/>
  <c r="Z120" i="10"/>
  <c r="AA48" i="9"/>
  <c r="Z48" i="9"/>
  <c r="AA108" i="9"/>
  <c r="Z108" i="9"/>
  <c r="AH60" i="10"/>
  <c r="AI60" i="10"/>
  <c r="AA108" i="10"/>
  <c r="Z108" i="10"/>
  <c r="V36" i="10"/>
  <c r="W36" i="10"/>
  <c r="W48" i="9"/>
  <c r="V48" i="9"/>
  <c r="AA96" i="9"/>
  <c r="Z96" i="9"/>
  <c r="W84" i="10"/>
  <c r="V84" i="10"/>
  <c r="AH72" i="9"/>
  <c r="AI72" i="9"/>
  <c r="AI36" i="10"/>
  <c r="AH36" i="10"/>
  <c r="Z24" i="9"/>
  <c r="AA24" i="9"/>
  <c r="AE120" i="9"/>
  <c r="AD120" i="9"/>
  <c r="Z72" i="9"/>
  <c r="AA72" i="9"/>
  <c r="AE60" i="10"/>
  <c r="AD60" i="10"/>
  <c r="AE120" i="10"/>
  <c r="AD120" i="10"/>
  <c r="AE84" i="9"/>
  <c r="AD84" i="9"/>
  <c r="AA132" i="9"/>
  <c r="Z132" i="9"/>
  <c r="V60" i="10"/>
  <c r="W60" i="10"/>
  <c r="AF12" i="9"/>
  <c r="T24" i="11"/>
  <c r="AB12" i="10"/>
  <c r="W108" i="9"/>
  <c r="V108" i="9"/>
  <c r="AA132" i="10"/>
  <c r="Z132" i="10"/>
  <c r="Z72" i="10"/>
  <c r="AA72" i="10"/>
  <c r="V60" i="9"/>
  <c r="W60" i="9"/>
  <c r="W132" i="9"/>
  <c r="V132" i="9"/>
  <c r="V72" i="10"/>
  <c r="W72" i="10"/>
  <c r="W120" i="10"/>
  <c r="V120" i="10"/>
  <c r="V96" i="10"/>
  <c r="W96" i="10"/>
  <c r="AE60" i="9"/>
  <c r="AD60" i="9"/>
  <c r="W120" i="9"/>
  <c r="V120" i="9"/>
  <c r="AE96" i="10"/>
  <c r="AD96" i="10"/>
  <c r="AH48" i="9"/>
  <c r="AI48" i="9"/>
  <c r="AH48" i="10"/>
  <c r="AI48" i="10"/>
  <c r="AE48" i="9"/>
  <c r="AD48" i="9"/>
  <c r="Z24" i="10"/>
  <c r="AA24" i="10"/>
  <c r="AA120" i="9"/>
  <c r="Z120" i="9"/>
  <c r="AE84" i="10"/>
  <c r="AD84" i="10"/>
  <c r="AI24" i="9"/>
  <c r="AH24" i="9"/>
  <c r="AE96" i="9"/>
  <c r="AD96" i="9"/>
  <c r="AI24" i="10"/>
  <c r="AH24" i="10"/>
  <c r="X12" i="9"/>
  <c r="T12" i="10"/>
  <c r="X60" i="11"/>
  <c r="T12" i="9"/>
  <c r="X48" i="11"/>
  <c r="AB72" i="11"/>
  <c r="AB36" i="11"/>
  <c r="AB84" i="11"/>
  <c r="AB108" i="11"/>
  <c r="AB120" i="11"/>
  <c r="AB96" i="11"/>
  <c r="W84" i="9"/>
  <c r="V84" i="9"/>
  <c r="Z36" i="10"/>
  <c r="AA36" i="10"/>
  <c r="W24" i="9"/>
  <c r="V24" i="9"/>
  <c r="AI84" i="9"/>
  <c r="AH84" i="9"/>
  <c r="V24" i="10"/>
  <c r="W24" i="10"/>
  <c r="AA84" i="10"/>
  <c r="Z84" i="10"/>
  <c r="AE108" i="9"/>
  <c r="AD108" i="9"/>
  <c r="AE24" i="9"/>
  <c r="AD24" i="9"/>
  <c r="AE72" i="9"/>
  <c r="AD72" i="9"/>
  <c r="AE132" i="9"/>
  <c r="AD132" i="9"/>
  <c r="AI120" i="10"/>
  <c r="AH120" i="10"/>
  <c r="AI132" i="9"/>
  <c r="AH132" i="9"/>
  <c r="AI72" i="10"/>
  <c r="AH72" i="10"/>
  <c r="AI60" i="9"/>
  <c r="AH60" i="9"/>
  <c r="AD36" i="10"/>
  <c r="AE36" i="10"/>
  <c r="AA36" i="9"/>
  <c r="Z36" i="9"/>
  <c r="AE108" i="10"/>
  <c r="AD108" i="10"/>
  <c r="V36" i="9"/>
  <c r="W36" i="9"/>
  <c r="AI108" i="9"/>
  <c r="AH108" i="9"/>
  <c r="AE132" i="10"/>
  <c r="AD132" i="10"/>
  <c r="AI35" i="10"/>
  <c r="AH35" i="10"/>
  <c r="AI107" i="10"/>
  <c r="AH107" i="10"/>
  <c r="AH59" i="10"/>
  <c r="AI59" i="10"/>
  <c r="AI47" i="10"/>
  <c r="AH47" i="10"/>
  <c r="AI131" i="10"/>
  <c r="AH131" i="10"/>
  <c r="AI95" i="10"/>
  <c r="AH95" i="10"/>
  <c r="AI119" i="10"/>
  <c r="AH119" i="10"/>
  <c r="AF11" i="10"/>
  <c r="AI71" i="10"/>
  <c r="AH71" i="10"/>
  <c r="AI83" i="10"/>
  <c r="AH83" i="10"/>
  <c r="AE23" i="10"/>
  <c r="AD23" i="10"/>
  <c r="AE83" i="10"/>
  <c r="AD83" i="10"/>
  <c r="AE59" i="10"/>
  <c r="AD59" i="10"/>
  <c r="AD35" i="10"/>
  <c r="AE35" i="10"/>
  <c r="AE71" i="10"/>
  <c r="AD71" i="10"/>
  <c r="AE95" i="10"/>
  <c r="AD95" i="10"/>
  <c r="AE119" i="10"/>
  <c r="AD119" i="10"/>
  <c r="AB11" i="10"/>
  <c r="AE107" i="10"/>
  <c r="AD107" i="10"/>
  <c r="AE47" i="10"/>
  <c r="AD47" i="10"/>
  <c r="AE131" i="10"/>
  <c r="AD131" i="10"/>
  <c r="AA131" i="10"/>
  <c r="Z131" i="10"/>
  <c r="Z59" i="10"/>
  <c r="AA59" i="10"/>
  <c r="Z35" i="10"/>
  <c r="AA35" i="10"/>
  <c r="Z95" i="10"/>
  <c r="AA95" i="10"/>
  <c r="AA83" i="10"/>
  <c r="Z83" i="10"/>
  <c r="AA119" i="10"/>
  <c r="Z119" i="10"/>
  <c r="Z71" i="10"/>
  <c r="AA71" i="10"/>
  <c r="X11" i="10"/>
  <c r="AA107" i="10"/>
  <c r="Z107" i="10"/>
  <c r="AA23" i="10"/>
  <c r="Z23" i="10"/>
  <c r="AA47" i="10"/>
  <c r="Z47" i="10"/>
  <c r="W71" i="10"/>
  <c r="V71" i="10"/>
  <c r="W131" i="10"/>
  <c r="V131" i="10"/>
  <c r="V23" i="10"/>
  <c r="W23" i="10"/>
  <c r="W119" i="10"/>
  <c r="V119" i="10"/>
  <c r="V59" i="10"/>
  <c r="W59" i="10"/>
  <c r="T131" i="11"/>
  <c r="T11" i="10"/>
  <c r="W35" i="10"/>
  <c r="V35" i="10"/>
  <c r="W83" i="10"/>
  <c r="V83" i="10"/>
  <c r="T59" i="11"/>
  <c r="V59" i="11" s="1"/>
  <c r="V47" i="10"/>
  <c r="W47" i="10"/>
  <c r="W107" i="10"/>
  <c r="V107" i="10"/>
  <c r="AF95" i="11"/>
  <c r="AH95" i="11" s="1"/>
  <c r="X107" i="11"/>
  <c r="X95" i="11"/>
  <c r="T119" i="11"/>
  <c r="T95" i="11"/>
  <c r="X35" i="11"/>
  <c r="X59" i="11"/>
  <c r="AB71" i="11"/>
  <c r="AB47" i="11"/>
  <c r="T71" i="11"/>
  <c r="T107" i="11"/>
  <c r="T83" i="11"/>
  <c r="T35" i="11"/>
  <c r="AB59" i="11"/>
  <c r="AB131" i="11"/>
  <c r="AB107" i="11"/>
  <c r="AF83" i="11"/>
  <c r="AF107" i="11"/>
  <c r="AF35" i="11"/>
  <c r="AF47" i="11"/>
  <c r="AF59" i="11"/>
  <c r="AF131" i="11"/>
  <c r="AF23" i="11"/>
  <c r="V71" i="9"/>
  <c r="W71" i="9"/>
  <c r="V23" i="9"/>
  <c r="W23" i="9"/>
  <c r="AA107" i="9"/>
  <c r="Z107" i="9"/>
  <c r="AE83" i="9"/>
  <c r="AD83" i="9"/>
  <c r="AE23" i="9"/>
  <c r="AD23" i="9"/>
  <c r="AI83" i="9"/>
  <c r="AH83" i="9"/>
  <c r="AI59" i="9"/>
  <c r="AH59" i="9"/>
  <c r="W83" i="9"/>
  <c r="V83" i="9"/>
  <c r="AA83" i="9"/>
  <c r="Z83" i="9"/>
  <c r="W35" i="9"/>
  <c r="V35" i="9"/>
  <c r="X11" i="9"/>
  <c r="AB11" i="9"/>
  <c r="AF11" i="9"/>
  <c r="W119" i="9"/>
  <c r="V119" i="9"/>
  <c r="AD35" i="9"/>
  <c r="AE35" i="9"/>
  <c r="AA119" i="9"/>
  <c r="Z119" i="9"/>
  <c r="AE119" i="9"/>
  <c r="AD119" i="9"/>
  <c r="W47" i="9"/>
  <c r="V47" i="9"/>
  <c r="AH71" i="9"/>
  <c r="AI71" i="9"/>
  <c r="AI35" i="9"/>
  <c r="AH35" i="9"/>
  <c r="AI131" i="9"/>
  <c r="AH131" i="9"/>
  <c r="AA95" i="9"/>
  <c r="Z95" i="9"/>
  <c r="AH47" i="9"/>
  <c r="AI47" i="9"/>
  <c r="X131" i="11"/>
  <c r="AB119" i="11"/>
  <c r="AB83" i="11"/>
  <c r="AB95" i="11"/>
  <c r="AF71" i="11"/>
  <c r="AF119" i="11"/>
  <c r="W107" i="9"/>
  <c r="V107" i="9"/>
  <c r="V59" i="9"/>
  <c r="W59" i="9"/>
  <c r="W131" i="9"/>
  <c r="V131" i="9"/>
  <c r="AE47" i="9"/>
  <c r="AD47" i="9"/>
  <c r="AE71" i="9"/>
  <c r="AD71" i="9"/>
  <c r="AI107" i="9"/>
  <c r="AH107" i="9"/>
  <c r="Z23" i="9"/>
  <c r="AA23" i="9"/>
  <c r="Z47" i="9"/>
  <c r="AA47" i="9"/>
  <c r="AA131" i="9"/>
  <c r="Z131" i="9"/>
  <c r="Z59" i="9"/>
  <c r="AA59" i="9"/>
  <c r="T23" i="11"/>
  <c r="T47" i="11"/>
  <c r="AB23" i="11"/>
  <c r="T11" i="9"/>
  <c r="X47" i="11"/>
  <c r="X119" i="11"/>
  <c r="X71" i="11"/>
  <c r="X83" i="11"/>
  <c r="X23" i="11"/>
  <c r="AB35" i="11"/>
  <c r="V95" i="9"/>
  <c r="W95" i="9"/>
  <c r="AH95" i="9"/>
  <c r="AI95" i="9"/>
  <c r="AE59" i="9"/>
  <c r="AD59" i="9"/>
  <c r="AE107" i="9"/>
  <c r="AD107" i="9"/>
  <c r="AE131" i="9"/>
  <c r="AD131" i="9"/>
  <c r="AI119" i="9"/>
  <c r="AH119" i="9"/>
  <c r="Z35" i="9"/>
  <c r="AA35" i="9"/>
  <c r="Z71" i="9"/>
  <c r="AA71" i="9"/>
  <c r="AI23" i="9"/>
  <c r="AH23" i="9"/>
  <c r="AE95" i="9"/>
  <c r="AD95" i="9"/>
  <c r="S14" i="10"/>
  <c r="T105" i="11"/>
  <c r="T104" i="11"/>
  <c r="T106" i="11"/>
  <c r="T101" i="11"/>
  <c r="T102" i="11"/>
  <c r="T103" i="11"/>
  <c r="T82" i="11"/>
  <c r="T80" i="11"/>
  <c r="T81" i="11"/>
  <c r="T77" i="11"/>
  <c r="T78" i="11"/>
  <c r="T79" i="11"/>
  <c r="T30" i="11"/>
  <c r="T34" i="11"/>
  <c r="T32" i="11"/>
  <c r="T33" i="11"/>
  <c r="T29" i="11"/>
  <c r="T31" i="11"/>
  <c r="AB58" i="11"/>
  <c r="AB55" i="11"/>
  <c r="AB54" i="11"/>
  <c r="AB56" i="11"/>
  <c r="AB57" i="11"/>
  <c r="AB53" i="11"/>
  <c r="AB130" i="11"/>
  <c r="AB125" i="11"/>
  <c r="AB127" i="11"/>
  <c r="AB126" i="11"/>
  <c r="AB129" i="11"/>
  <c r="AB128" i="11"/>
  <c r="AB104" i="11"/>
  <c r="AB101" i="11"/>
  <c r="AB105" i="11"/>
  <c r="AB103" i="11"/>
  <c r="AB106" i="11"/>
  <c r="AB102" i="11"/>
  <c r="AF79" i="11"/>
  <c r="AF80" i="11"/>
  <c r="AF81" i="11"/>
  <c r="AF82" i="11"/>
  <c r="AF77" i="11"/>
  <c r="AF78" i="11"/>
  <c r="AF106" i="11"/>
  <c r="AF105" i="11"/>
  <c r="AF101" i="11"/>
  <c r="AF103" i="11"/>
  <c r="AF104" i="11"/>
  <c r="AF102" i="11"/>
  <c r="P5" i="11"/>
  <c r="AF33" i="11"/>
  <c r="AF32" i="11"/>
  <c r="AF31" i="11"/>
  <c r="AF34" i="11"/>
  <c r="AF29" i="11"/>
  <c r="AF30" i="11"/>
  <c r="AF45" i="11"/>
  <c r="AF46" i="11"/>
  <c r="AF42" i="11"/>
  <c r="AF41" i="11"/>
  <c r="AF44" i="11"/>
  <c r="AF43" i="11"/>
  <c r="AF55" i="11"/>
  <c r="AF56" i="11"/>
  <c r="AF54" i="11"/>
  <c r="AF58" i="11"/>
  <c r="AF53" i="11"/>
  <c r="AF57" i="11"/>
  <c r="AF130" i="11"/>
  <c r="AF127" i="11"/>
  <c r="AF126" i="11"/>
  <c r="AF125" i="11"/>
  <c r="AF129" i="11"/>
  <c r="AF128" i="11"/>
  <c r="AF22" i="11"/>
  <c r="AF20" i="11"/>
  <c r="AF19" i="11"/>
  <c r="AF18" i="11"/>
  <c r="AF21" i="11"/>
  <c r="AF17" i="11"/>
  <c r="X8" i="10"/>
  <c r="X6" i="10"/>
  <c r="X9" i="10"/>
  <c r="X7" i="10"/>
  <c r="X5" i="10"/>
  <c r="X10" i="10"/>
  <c r="W106" i="9"/>
  <c r="V106" i="9"/>
  <c r="W82" i="9"/>
  <c r="V82" i="9"/>
  <c r="W32" i="9"/>
  <c r="V32" i="9"/>
  <c r="AA33" i="10"/>
  <c r="Z33" i="10"/>
  <c r="W19" i="9"/>
  <c r="V19" i="9"/>
  <c r="AE31" i="9"/>
  <c r="AD31" i="9"/>
  <c r="AA45" i="9"/>
  <c r="Z45" i="9"/>
  <c r="AA46" i="9"/>
  <c r="Z46" i="9"/>
  <c r="W53" i="9"/>
  <c r="V53" i="9"/>
  <c r="W68" i="9"/>
  <c r="V68" i="9"/>
  <c r="AI79" i="9"/>
  <c r="AH79" i="9"/>
  <c r="AI89" i="9"/>
  <c r="AH89" i="9"/>
  <c r="AI90" i="9"/>
  <c r="AH90" i="9"/>
  <c r="AA101" i="9"/>
  <c r="Z101" i="9"/>
  <c r="AA116" i="9"/>
  <c r="Z116" i="9"/>
  <c r="AA118" i="9"/>
  <c r="Z118" i="9"/>
  <c r="W125" i="9"/>
  <c r="V125" i="9"/>
  <c r="W21" i="10"/>
  <c r="V21" i="10"/>
  <c r="W17" i="10"/>
  <c r="V17" i="10"/>
  <c r="W34" i="10"/>
  <c r="V34" i="10"/>
  <c r="W42" i="10"/>
  <c r="V42" i="10"/>
  <c r="AI56" i="10"/>
  <c r="AH56" i="10"/>
  <c r="AI53" i="10"/>
  <c r="AH53" i="10"/>
  <c r="W69" i="10"/>
  <c r="V69" i="10"/>
  <c r="AA79" i="10"/>
  <c r="Z79" i="10"/>
  <c r="AI91" i="10"/>
  <c r="AH91" i="10"/>
  <c r="AI90" i="10"/>
  <c r="AH90" i="10"/>
  <c r="AA103" i="10"/>
  <c r="Z103" i="10"/>
  <c r="W118" i="10"/>
  <c r="V118" i="10"/>
  <c r="W117" i="10"/>
  <c r="V117" i="10"/>
  <c r="AA125" i="10"/>
  <c r="Z125" i="10"/>
  <c r="AE82" i="9"/>
  <c r="AD82" i="9"/>
  <c r="W82" i="10"/>
  <c r="V82" i="10"/>
  <c r="W80" i="10"/>
  <c r="V80" i="10"/>
  <c r="AE21" i="9"/>
  <c r="AD21" i="9"/>
  <c r="AE17" i="9"/>
  <c r="AD17" i="9"/>
  <c r="AI34" i="9"/>
  <c r="AH34" i="9"/>
  <c r="W45" i="9"/>
  <c r="V45" i="9"/>
  <c r="AE56" i="9"/>
  <c r="AD56" i="9"/>
  <c r="AE54" i="9"/>
  <c r="AD54" i="9"/>
  <c r="AE65" i="9"/>
  <c r="AD65" i="9"/>
  <c r="AA77" i="9"/>
  <c r="Z77" i="9"/>
  <c r="AA90" i="9"/>
  <c r="Z90" i="9"/>
  <c r="AA92" i="9"/>
  <c r="Z92" i="9"/>
  <c r="W101" i="9"/>
  <c r="V101" i="9"/>
  <c r="W115" i="9"/>
  <c r="V115" i="9"/>
  <c r="AE127" i="9"/>
  <c r="AD127" i="9"/>
  <c r="AE130" i="9"/>
  <c r="AD130" i="9"/>
  <c r="AE19" i="10"/>
  <c r="AD19" i="10"/>
  <c r="AI31" i="10"/>
  <c r="AH31" i="10"/>
  <c r="AI32" i="10"/>
  <c r="AH32" i="10"/>
  <c r="AI43" i="10"/>
  <c r="AH43" i="10"/>
  <c r="AE53" i="10"/>
  <c r="AD53" i="10"/>
  <c r="AI69" i="10"/>
  <c r="AH69" i="10"/>
  <c r="AI66" i="10"/>
  <c r="AH66" i="10"/>
  <c r="W77" i="10"/>
  <c r="V77" i="10"/>
  <c r="AE90" i="10"/>
  <c r="AD90" i="10"/>
  <c r="W104" i="10"/>
  <c r="V104" i="10"/>
  <c r="AI113" i="10"/>
  <c r="AH113" i="10"/>
  <c r="AI118" i="10"/>
  <c r="AH118" i="10"/>
  <c r="W126" i="10"/>
  <c r="V126" i="10"/>
  <c r="AI82" i="9"/>
  <c r="AH82" i="9"/>
  <c r="AI32" i="9"/>
  <c r="AH32" i="9"/>
  <c r="AA22" i="9"/>
  <c r="Z22" i="9"/>
  <c r="AA19" i="9"/>
  <c r="Z19" i="9"/>
  <c r="AA29" i="9"/>
  <c r="Z29" i="9"/>
  <c r="AE42" i="9"/>
  <c r="AD42" i="9"/>
  <c r="AI54" i="9"/>
  <c r="AH54" i="9"/>
  <c r="AI55" i="9"/>
  <c r="AH55" i="9"/>
  <c r="AI66" i="9"/>
  <c r="AH66" i="9"/>
  <c r="W78" i="9"/>
  <c r="V78" i="9"/>
  <c r="W89" i="9"/>
  <c r="V89" i="9"/>
  <c r="AE103" i="9"/>
  <c r="AD103" i="9"/>
  <c r="AE116" i="9"/>
  <c r="AE117" i="9"/>
  <c r="AD117" i="9"/>
  <c r="AE113" i="9"/>
  <c r="AD113" i="9"/>
  <c r="AI130" i="9"/>
  <c r="AH130" i="9"/>
  <c r="AA22" i="10"/>
  <c r="Z22" i="10"/>
  <c r="AA18" i="10"/>
  <c r="Z18" i="10"/>
  <c r="AE30" i="10"/>
  <c r="AD30" i="10"/>
  <c r="AE41" i="10"/>
  <c r="AD41" i="10"/>
  <c r="AA53" i="10"/>
  <c r="Z53" i="10"/>
  <c r="AA58" i="10"/>
  <c r="Z58" i="10"/>
  <c r="AE66" i="10"/>
  <c r="AD66" i="10"/>
  <c r="AI82" i="10"/>
  <c r="AH82" i="10"/>
  <c r="AA89" i="10"/>
  <c r="Z89" i="10"/>
  <c r="AA92" i="10"/>
  <c r="Z92" i="10"/>
  <c r="AI101" i="10"/>
  <c r="AH101" i="10"/>
  <c r="AE115" i="10"/>
  <c r="AD115" i="10"/>
  <c r="AE114" i="10"/>
  <c r="AD114" i="10"/>
  <c r="AI128" i="10"/>
  <c r="AH128" i="10"/>
  <c r="AA70" i="9"/>
  <c r="Z70" i="9"/>
  <c r="AA33" i="9"/>
  <c r="Z33" i="9"/>
  <c r="AE45" i="10"/>
  <c r="AD45" i="10"/>
  <c r="AI22" i="9"/>
  <c r="AH22" i="9"/>
  <c r="AI18" i="9"/>
  <c r="AH18" i="9"/>
  <c r="W29" i="9"/>
  <c r="V29" i="9"/>
  <c r="AI44" i="9"/>
  <c r="AH44" i="9"/>
  <c r="AA54" i="9"/>
  <c r="Z54" i="9"/>
  <c r="AA53" i="9"/>
  <c r="Z53" i="9"/>
  <c r="AA67" i="9"/>
  <c r="Z67" i="9"/>
  <c r="AE79" i="9"/>
  <c r="AD79" i="9"/>
  <c r="AE89" i="9"/>
  <c r="AD89" i="9"/>
  <c r="AI105" i="9"/>
  <c r="AH105" i="9"/>
  <c r="AI118" i="9"/>
  <c r="AH118" i="9"/>
  <c r="AI114" i="9"/>
  <c r="AH114" i="9"/>
  <c r="AA129" i="9"/>
  <c r="Z129" i="9"/>
  <c r="AI22" i="10"/>
  <c r="AH22" i="10"/>
  <c r="AI18" i="10"/>
  <c r="AH18" i="10"/>
  <c r="AA29" i="10"/>
  <c r="Z29" i="10"/>
  <c r="AA46" i="10"/>
  <c r="Z46" i="10"/>
  <c r="W53" i="10"/>
  <c r="V53" i="10"/>
  <c r="W56" i="10"/>
  <c r="V56" i="10"/>
  <c r="AA68" i="10"/>
  <c r="Z68" i="10"/>
  <c r="AE77" i="10"/>
  <c r="AD77" i="10"/>
  <c r="AE80" i="10"/>
  <c r="AD80" i="10"/>
  <c r="W94" i="10"/>
  <c r="V94" i="10"/>
  <c r="AE101" i="10"/>
  <c r="AD101" i="10"/>
  <c r="AE104" i="10"/>
  <c r="AD104" i="10"/>
  <c r="AA114" i="10"/>
  <c r="Z114" i="10"/>
  <c r="AE126" i="10"/>
  <c r="AD126" i="10"/>
  <c r="T57" i="11"/>
  <c r="T58" i="11"/>
  <c r="T53" i="11"/>
  <c r="T54" i="11"/>
  <c r="T56" i="11"/>
  <c r="T55" i="11"/>
  <c r="T130" i="11"/>
  <c r="T128" i="11"/>
  <c r="T126" i="11"/>
  <c r="T129" i="11"/>
  <c r="T127" i="11"/>
  <c r="T125" i="11"/>
  <c r="X105" i="11"/>
  <c r="X101" i="11"/>
  <c r="X103" i="11"/>
  <c r="X102" i="11"/>
  <c r="X106" i="11"/>
  <c r="X104" i="11"/>
  <c r="X92" i="11"/>
  <c r="X91" i="11"/>
  <c r="X94" i="11"/>
  <c r="X93" i="11"/>
  <c r="X89" i="11"/>
  <c r="X90" i="11"/>
  <c r="X5" i="9"/>
  <c r="X6" i="9"/>
  <c r="X7" i="9"/>
  <c r="X8" i="9"/>
  <c r="X9" i="9"/>
  <c r="X10" i="9"/>
  <c r="AB5" i="9"/>
  <c r="AB6" i="9"/>
  <c r="AB7" i="9"/>
  <c r="AB8" i="9"/>
  <c r="AB9" i="9"/>
  <c r="AB10" i="9"/>
  <c r="AF5" i="9"/>
  <c r="AF6" i="9"/>
  <c r="AF7" i="9"/>
  <c r="AF8" i="9"/>
  <c r="AF9" i="9"/>
  <c r="AF10" i="9"/>
  <c r="T8" i="10"/>
  <c r="T5" i="10"/>
  <c r="T7" i="10"/>
  <c r="T9" i="10"/>
  <c r="T6" i="10"/>
  <c r="T10" i="10"/>
  <c r="AF9" i="10"/>
  <c r="AF7" i="10"/>
  <c r="AF5" i="10"/>
  <c r="AF8" i="10"/>
  <c r="AF6" i="10"/>
  <c r="AF10" i="10"/>
  <c r="W94" i="9"/>
  <c r="V94" i="9"/>
  <c r="W58" i="9"/>
  <c r="V58" i="9"/>
  <c r="W33" i="9"/>
  <c r="V33" i="9"/>
  <c r="W22" i="9"/>
  <c r="V22" i="9"/>
  <c r="W18" i="9"/>
  <c r="V18" i="9"/>
  <c r="AE30" i="9"/>
  <c r="AD30" i="9"/>
  <c r="AA43" i="9"/>
  <c r="Z43" i="9"/>
  <c r="W57" i="9"/>
  <c r="V57" i="9"/>
  <c r="W55" i="9"/>
  <c r="V55" i="9"/>
  <c r="W67" i="9"/>
  <c r="V67" i="9"/>
  <c r="AI77" i="9"/>
  <c r="AH77" i="9"/>
  <c r="AI94" i="9"/>
  <c r="AH94" i="9"/>
  <c r="AA105" i="9"/>
  <c r="Z105" i="9"/>
  <c r="AA106" i="9"/>
  <c r="Z106" i="9"/>
  <c r="AA115" i="9"/>
  <c r="Z115" i="9"/>
  <c r="W127" i="9"/>
  <c r="V127" i="9"/>
  <c r="W130" i="9"/>
  <c r="V130" i="9"/>
  <c r="W20" i="10"/>
  <c r="V20" i="10"/>
  <c r="W32" i="10"/>
  <c r="V32" i="10"/>
  <c r="W30" i="10"/>
  <c r="V30" i="10"/>
  <c r="W41" i="10"/>
  <c r="V41" i="10"/>
  <c r="AI57" i="10"/>
  <c r="AH57" i="10"/>
  <c r="W68" i="10"/>
  <c r="V68" i="10"/>
  <c r="W65" i="10"/>
  <c r="V65" i="10"/>
  <c r="AA77" i="10"/>
  <c r="Z77" i="10"/>
  <c r="AI94" i="10"/>
  <c r="AH94" i="10"/>
  <c r="AA106" i="10"/>
  <c r="Z106" i="10"/>
  <c r="AA104" i="10"/>
  <c r="Z104" i="10"/>
  <c r="W116" i="10"/>
  <c r="V116" i="10"/>
  <c r="AA127" i="10"/>
  <c r="Z127" i="10"/>
  <c r="AA130" i="10"/>
  <c r="Z130" i="10"/>
  <c r="AE33" i="9"/>
  <c r="AD33" i="9"/>
  <c r="W70" i="10"/>
  <c r="V70" i="10"/>
  <c r="W45" i="10"/>
  <c r="V45" i="10"/>
  <c r="AE20" i="9"/>
  <c r="AD20" i="9"/>
  <c r="AI29" i="9"/>
  <c r="AH29" i="9"/>
  <c r="W44" i="9"/>
  <c r="V44" i="9"/>
  <c r="W41" i="9"/>
  <c r="V41" i="9"/>
  <c r="AE57" i="9"/>
  <c r="AD57" i="9"/>
  <c r="AE68" i="9"/>
  <c r="AD68" i="9"/>
  <c r="AE67" i="9"/>
  <c r="AD67" i="9"/>
  <c r="AA81" i="9"/>
  <c r="Z81" i="9"/>
  <c r="AA89" i="9"/>
  <c r="Z89" i="9"/>
  <c r="W105" i="9"/>
  <c r="V105" i="9"/>
  <c r="W118" i="9"/>
  <c r="V118" i="9"/>
  <c r="W113" i="9"/>
  <c r="V113" i="9"/>
  <c r="AE126" i="9"/>
  <c r="AD126" i="9"/>
  <c r="AE22" i="10"/>
  <c r="AD22" i="10"/>
  <c r="AE18" i="10"/>
  <c r="AD18" i="10"/>
  <c r="AI33" i="10"/>
  <c r="AH33" i="10"/>
  <c r="AI46" i="10"/>
  <c r="AH46" i="10"/>
  <c r="AI41" i="10"/>
  <c r="AH41" i="10"/>
  <c r="AE56" i="10"/>
  <c r="AD56" i="10"/>
  <c r="AI67" i="10"/>
  <c r="AH67" i="10"/>
  <c r="W78" i="10"/>
  <c r="V78" i="10"/>
  <c r="AE94" i="10"/>
  <c r="AD94" i="10"/>
  <c r="AE89" i="10"/>
  <c r="AD89" i="10"/>
  <c r="W101" i="10"/>
  <c r="V101" i="10"/>
  <c r="AI116" i="10"/>
  <c r="AH116" i="10"/>
  <c r="AI115" i="10"/>
  <c r="AH115" i="10"/>
  <c r="W125" i="10"/>
  <c r="V125" i="10"/>
  <c r="AI106" i="9"/>
  <c r="AH106" i="9"/>
  <c r="AI70" i="10"/>
  <c r="AH70" i="10"/>
  <c r="AA21" i="9"/>
  <c r="Z21" i="9"/>
  <c r="AA17" i="9"/>
  <c r="Z17" i="9"/>
  <c r="AE41" i="9"/>
  <c r="AD41" i="9"/>
  <c r="AE43" i="9"/>
  <c r="AD43" i="9"/>
  <c r="AI57" i="9"/>
  <c r="AH57" i="9"/>
  <c r="AI69" i="9"/>
  <c r="AH69" i="9"/>
  <c r="AI68" i="9"/>
  <c r="AH68" i="9"/>
  <c r="W79" i="9"/>
  <c r="V79" i="9"/>
  <c r="W93" i="9"/>
  <c r="V93" i="9"/>
  <c r="AE104" i="9"/>
  <c r="AD104" i="9"/>
  <c r="AE118" i="9"/>
  <c r="AD118" i="9"/>
  <c r="AI128" i="9"/>
  <c r="AH128" i="9"/>
  <c r="AA21" i="10"/>
  <c r="Z21" i="10"/>
  <c r="AA17" i="10"/>
  <c r="Z17" i="10"/>
  <c r="AE34" i="10"/>
  <c r="AD34" i="10"/>
  <c r="AE43" i="10"/>
  <c r="AD43" i="10"/>
  <c r="AA55" i="10"/>
  <c r="Z55" i="10"/>
  <c r="AE69" i="10"/>
  <c r="AD69" i="10"/>
  <c r="AE65" i="10"/>
  <c r="AD65" i="10"/>
  <c r="AI78" i="10"/>
  <c r="AH78" i="10"/>
  <c r="AA90" i="10"/>
  <c r="Z90" i="10"/>
  <c r="AA93" i="10"/>
  <c r="Z93" i="10"/>
  <c r="AI102" i="10"/>
  <c r="AH102" i="10"/>
  <c r="AE116" i="10"/>
  <c r="AD116" i="10"/>
  <c r="AE117" i="10"/>
  <c r="AD117" i="10"/>
  <c r="AI126" i="10"/>
  <c r="AH126" i="10"/>
  <c r="AA94" i="9"/>
  <c r="Z94" i="9"/>
  <c r="AA32" i="9"/>
  <c r="Z32" i="9"/>
  <c r="AE46" i="10"/>
  <c r="AD46" i="10"/>
  <c r="AI21" i="9"/>
  <c r="AH21" i="9"/>
  <c r="AI17" i="9"/>
  <c r="AH17" i="9"/>
  <c r="AI43" i="9"/>
  <c r="AH43" i="9"/>
  <c r="AI46" i="9"/>
  <c r="AH46" i="9"/>
  <c r="AA58" i="9"/>
  <c r="Z58" i="9"/>
  <c r="AA65" i="9"/>
  <c r="Z65" i="9"/>
  <c r="AA69" i="9"/>
  <c r="Z69" i="9"/>
  <c r="AE77" i="9"/>
  <c r="AD77" i="9"/>
  <c r="AE91" i="9"/>
  <c r="AD91" i="9"/>
  <c r="AI102" i="9"/>
  <c r="AH102" i="9"/>
  <c r="AI116" i="9"/>
  <c r="AH116" i="9"/>
  <c r="AI113" i="9"/>
  <c r="AH113" i="9"/>
  <c r="AA126" i="9"/>
  <c r="Z126" i="9"/>
  <c r="AI21" i="10"/>
  <c r="AH21" i="10"/>
  <c r="AI17" i="10"/>
  <c r="AH17" i="10"/>
  <c r="AA32" i="10"/>
  <c r="Z32" i="10"/>
  <c r="AA43" i="10"/>
  <c r="Z43" i="10"/>
  <c r="W58" i="10"/>
  <c r="V58" i="10"/>
  <c r="W57" i="10"/>
  <c r="V57" i="10"/>
  <c r="AA66" i="10"/>
  <c r="Z66" i="10"/>
  <c r="AE82" i="10"/>
  <c r="AD82" i="10"/>
  <c r="W93" i="10"/>
  <c r="V93" i="10"/>
  <c r="W92" i="10"/>
  <c r="V92" i="10"/>
  <c r="AE106" i="10"/>
  <c r="AD106" i="10"/>
  <c r="AA118" i="10"/>
  <c r="Z118" i="10"/>
  <c r="AA117" i="10"/>
  <c r="Z117" i="10"/>
  <c r="AE128" i="10"/>
  <c r="AD128" i="10"/>
  <c r="T18" i="11"/>
  <c r="T19" i="11"/>
  <c r="T20" i="11"/>
  <c r="T17" i="11"/>
  <c r="T21" i="11"/>
  <c r="T22" i="11"/>
  <c r="T45" i="11"/>
  <c r="T42" i="11"/>
  <c r="T46" i="11"/>
  <c r="T43" i="11"/>
  <c r="T41" i="11"/>
  <c r="T44" i="11"/>
  <c r="T116" i="11"/>
  <c r="T118" i="11"/>
  <c r="T113" i="11"/>
  <c r="T115" i="11"/>
  <c r="T117" i="11"/>
  <c r="T114" i="11"/>
  <c r="T91" i="11"/>
  <c r="T93" i="11"/>
  <c r="T92" i="11"/>
  <c r="T89" i="11"/>
  <c r="T94" i="11"/>
  <c r="T90" i="11"/>
  <c r="X130" i="11"/>
  <c r="X129" i="11"/>
  <c r="X125" i="11"/>
  <c r="X127" i="11"/>
  <c r="X128" i="11"/>
  <c r="X126" i="11"/>
  <c r="X34" i="11"/>
  <c r="X31" i="11"/>
  <c r="X33" i="11"/>
  <c r="X32" i="11"/>
  <c r="X29" i="11"/>
  <c r="X30" i="11"/>
  <c r="X57" i="11"/>
  <c r="X55" i="11"/>
  <c r="X53" i="11"/>
  <c r="X54" i="11"/>
  <c r="X56" i="11"/>
  <c r="X58" i="11"/>
  <c r="AB21" i="11"/>
  <c r="AB17" i="11"/>
  <c r="AB20" i="11"/>
  <c r="AB22" i="11"/>
  <c r="AB19" i="11"/>
  <c r="AB18" i="11"/>
  <c r="AB70" i="11"/>
  <c r="AB68" i="11"/>
  <c r="AB66" i="11"/>
  <c r="AB69" i="11"/>
  <c r="AB65" i="11"/>
  <c r="AB67" i="11"/>
  <c r="AB43" i="11"/>
  <c r="AB42" i="11"/>
  <c r="AB46" i="11"/>
  <c r="AB44" i="11"/>
  <c r="AB41" i="11"/>
  <c r="AB45" i="11"/>
  <c r="AB117" i="11"/>
  <c r="AB116" i="11"/>
  <c r="AB114" i="11"/>
  <c r="AB113" i="11"/>
  <c r="AB118" i="11"/>
  <c r="AB115" i="11"/>
  <c r="AB80" i="11"/>
  <c r="AB79" i="11"/>
  <c r="AB82" i="11"/>
  <c r="AB81" i="11"/>
  <c r="AB77" i="11"/>
  <c r="AB78" i="11"/>
  <c r="AB94" i="11"/>
  <c r="AB89" i="11"/>
  <c r="AB92" i="11"/>
  <c r="AB93" i="11"/>
  <c r="AB91" i="11"/>
  <c r="AB90" i="11"/>
  <c r="AF93" i="11"/>
  <c r="AF92" i="11"/>
  <c r="AF94" i="11"/>
  <c r="AF89" i="11"/>
  <c r="AF91" i="11"/>
  <c r="AF90" i="11"/>
  <c r="AF69" i="11"/>
  <c r="AF70" i="11"/>
  <c r="AF65" i="11"/>
  <c r="AF68" i="11"/>
  <c r="AF66" i="11"/>
  <c r="AF67" i="11"/>
  <c r="AF116" i="11"/>
  <c r="AF114" i="11"/>
  <c r="AF115" i="11"/>
  <c r="AF117" i="11"/>
  <c r="AF113" i="11"/>
  <c r="AF118" i="11"/>
  <c r="AB8" i="10"/>
  <c r="AB5" i="10"/>
  <c r="AB6" i="10"/>
  <c r="AB9" i="10"/>
  <c r="AB7" i="10"/>
  <c r="AB10" i="10"/>
  <c r="W81" i="9"/>
  <c r="V81" i="9"/>
  <c r="W69" i="9"/>
  <c r="V69" i="9"/>
  <c r="AA129" i="10"/>
  <c r="Z129" i="10"/>
  <c r="W21" i="9"/>
  <c r="V21" i="9"/>
  <c r="W17" i="9"/>
  <c r="V17" i="9"/>
  <c r="AE34" i="9"/>
  <c r="AD34" i="9"/>
  <c r="AA42" i="9"/>
  <c r="Z42" i="9"/>
  <c r="W54" i="9"/>
  <c r="V54" i="9"/>
  <c r="W70" i="9"/>
  <c r="V70" i="9"/>
  <c r="W66" i="9"/>
  <c r="V66" i="9"/>
  <c r="AI78" i="9"/>
  <c r="AH78" i="9"/>
  <c r="AI93" i="9"/>
  <c r="AH93" i="9"/>
  <c r="AA103" i="9"/>
  <c r="Z103" i="9"/>
  <c r="AA104" i="9"/>
  <c r="Z104" i="9"/>
  <c r="AA113" i="9"/>
  <c r="Z113" i="9"/>
  <c r="W126" i="9"/>
  <c r="V126" i="9"/>
  <c r="W129" i="9"/>
  <c r="V129" i="9"/>
  <c r="W19" i="10"/>
  <c r="V19" i="10"/>
  <c r="W31" i="10"/>
  <c r="V31" i="10"/>
  <c r="W43" i="10"/>
  <c r="V43" i="10"/>
  <c r="W46" i="10"/>
  <c r="V46" i="10"/>
  <c r="AI54" i="10"/>
  <c r="AH54" i="10"/>
  <c r="W67" i="10"/>
  <c r="V67" i="10"/>
  <c r="AA81" i="10"/>
  <c r="Z81" i="10"/>
  <c r="AA80" i="10"/>
  <c r="Z80" i="10"/>
  <c r="AI89" i="10"/>
  <c r="AH89" i="10"/>
  <c r="AA105" i="10"/>
  <c r="Z105" i="10"/>
  <c r="AA102" i="10"/>
  <c r="Z102" i="10"/>
  <c r="W115" i="10"/>
  <c r="V115" i="10"/>
  <c r="AA128" i="10"/>
  <c r="Z128" i="10"/>
  <c r="AE94" i="9"/>
  <c r="AD94" i="9"/>
  <c r="AE81" i="9"/>
  <c r="AD81" i="9"/>
  <c r="W106" i="10"/>
  <c r="V106" i="10"/>
  <c r="W33" i="10"/>
  <c r="V33" i="10"/>
  <c r="AE18" i="9"/>
  <c r="AD18" i="9"/>
  <c r="AI30" i="9"/>
  <c r="AH30" i="9"/>
  <c r="W43" i="9"/>
  <c r="V43" i="9"/>
  <c r="W42" i="9"/>
  <c r="V42" i="9"/>
  <c r="AE53" i="9"/>
  <c r="AD53" i="9"/>
  <c r="AE70" i="9"/>
  <c r="AD70" i="9"/>
  <c r="AE66" i="9"/>
  <c r="AD66" i="9"/>
  <c r="AA79" i="9"/>
  <c r="Z79" i="9"/>
  <c r="AA93" i="9"/>
  <c r="Z93" i="9"/>
  <c r="W103" i="9"/>
  <c r="V103" i="9"/>
  <c r="W116" i="9"/>
  <c r="V116" i="9"/>
  <c r="W114" i="9"/>
  <c r="V114" i="9"/>
  <c r="AE128" i="9"/>
  <c r="AD128" i="9"/>
  <c r="AE21" i="10"/>
  <c r="AD21" i="10"/>
  <c r="AE17" i="10"/>
  <c r="AD17" i="10"/>
  <c r="AI29" i="10"/>
  <c r="AH29" i="10"/>
  <c r="AI44" i="10"/>
  <c r="AH44" i="10"/>
  <c r="AE57" i="10"/>
  <c r="AD57" i="10"/>
  <c r="AE55" i="10"/>
  <c r="AD55" i="10"/>
  <c r="AI68" i="10"/>
  <c r="AH68" i="10"/>
  <c r="W81" i="10"/>
  <c r="V81" i="10"/>
  <c r="AE92" i="10"/>
  <c r="AD92" i="10"/>
  <c r="AE91" i="10"/>
  <c r="AD91" i="10"/>
  <c r="W105" i="10"/>
  <c r="V105" i="10"/>
  <c r="AI117" i="10"/>
  <c r="AH117" i="10"/>
  <c r="W127" i="10"/>
  <c r="V127" i="10"/>
  <c r="W128" i="10"/>
  <c r="V128" i="10"/>
  <c r="AI33" i="9"/>
  <c r="AH33" i="9"/>
  <c r="AI93" i="10"/>
  <c r="AH93" i="10"/>
  <c r="AA20" i="9"/>
  <c r="Z20" i="9"/>
  <c r="AA30" i="9"/>
  <c r="Z30" i="9"/>
  <c r="AE44" i="9"/>
  <c r="AD44" i="9"/>
  <c r="AE46" i="9"/>
  <c r="AD46" i="9"/>
  <c r="AI58" i="9"/>
  <c r="AH58" i="9"/>
  <c r="AI67" i="9"/>
  <c r="AH67" i="9"/>
  <c r="W80" i="9"/>
  <c r="V80" i="9"/>
  <c r="W91" i="9"/>
  <c r="V91" i="9"/>
  <c r="W92" i="9"/>
  <c r="V92" i="9"/>
  <c r="AE105" i="9"/>
  <c r="AD105" i="9"/>
  <c r="AE114" i="9"/>
  <c r="AD114" i="9"/>
  <c r="AI126" i="9"/>
  <c r="AH126" i="9"/>
  <c r="AI129" i="9"/>
  <c r="AH129" i="9"/>
  <c r="AA20" i="10"/>
  <c r="Z20" i="10"/>
  <c r="AE32" i="10"/>
  <c r="AD32" i="10"/>
  <c r="AE31" i="10"/>
  <c r="AD31" i="10"/>
  <c r="AE42" i="10"/>
  <c r="AD42" i="10"/>
  <c r="AA56" i="10"/>
  <c r="Z56" i="10"/>
  <c r="AE68" i="10"/>
  <c r="AD68" i="10"/>
  <c r="AI81" i="10"/>
  <c r="AH81" i="10"/>
  <c r="AI79" i="10"/>
  <c r="AH79" i="10"/>
  <c r="AA94" i="10"/>
  <c r="Z94" i="10"/>
  <c r="AI106" i="10"/>
  <c r="AH106" i="10"/>
  <c r="AI105" i="10"/>
  <c r="AH105" i="10"/>
  <c r="AE118" i="10"/>
  <c r="AD118" i="10"/>
  <c r="AI125" i="10"/>
  <c r="AH125" i="10"/>
  <c r="AI127" i="10"/>
  <c r="AH127" i="10"/>
  <c r="AA34" i="9"/>
  <c r="Z34" i="9"/>
  <c r="AE70" i="10"/>
  <c r="AD70" i="10"/>
  <c r="AE33" i="10"/>
  <c r="AD33" i="10"/>
  <c r="AI20" i="9"/>
  <c r="AH20" i="9"/>
  <c r="W31" i="9"/>
  <c r="V31" i="9"/>
  <c r="AI41" i="9"/>
  <c r="AH41" i="9"/>
  <c r="AI45" i="9"/>
  <c r="AH45" i="9"/>
  <c r="AA56" i="9"/>
  <c r="Z56" i="9"/>
  <c r="AA68" i="9"/>
  <c r="Z68" i="9"/>
  <c r="AE78" i="9"/>
  <c r="AD78" i="9"/>
  <c r="AE93" i="9"/>
  <c r="AD93" i="9"/>
  <c r="AE92" i="9"/>
  <c r="AD92" i="9"/>
  <c r="AI103" i="9"/>
  <c r="AH103" i="9"/>
  <c r="AI115" i="9"/>
  <c r="AH115" i="9"/>
  <c r="AA127" i="9"/>
  <c r="Z127" i="9"/>
  <c r="AA128" i="9"/>
  <c r="Z128" i="9"/>
  <c r="AI20" i="10"/>
  <c r="AH20" i="10"/>
  <c r="AA34" i="10"/>
  <c r="Z34" i="10"/>
  <c r="AA31" i="10"/>
  <c r="Z31" i="10"/>
  <c r="AA42" i="10"/>
  <c r="Z42" i="10"/>
  <c r="W54" i="10"/>
  <c r="V54" i="10"/>
  <c r="AA70" i="10"/>
  <c r="Z70" i="10"/>
  <c r="AA67" i="10"/>
  <c r="Z67" i="10"/>
  <c r="AE79" i="10"/>
  <c r="AD79" i="10"/>
  <c r="W90" i="10"/>
  <c r="V90" i="10"/>
  <c r="W91" i="10"/>
  <c r="V91" i="10"/>
  <c r="AE102" i="10"/>
  <c r="AD102" i="10"/>
  <c r="AA115" i="10"/>
  <c r="Z115" i="10"/>
  <c r="AA113" i="10"/>
  <c r="Z113" i="10"/>
  <c r="AE125" i="10"/>
  <c r="AD125" i="10"/>
  <c r="T69" i="11"/>
  <c r="T70" i="11"/>
  <c r="T68" i="11"/>
  <c r="T65" i="11"/>
  <c r="T66" i="11"/>
  <c r="T67" i="11"/>
  <c r="T5" i="9"/>
  <c r="T6" i="9"/>
  <c r="T7" i="9"/>
  <c r="T8" i="9"/>
  <c r="T9" i="9"/>
  <c r="T10" i="9"/>
  <c r="X43" i="11"/>
  <c r="X41" i="11"/>
  <c r="X45" i="11"/>
  <c r="X46" i="11"/>
  <c r="X44" i="11"/>
  <c r="X42" i="11"/>
  <c r="X118" i="11"/>
  <c r="X115" i="11"/>
  <c r="X117" i="11"/>
  <c r="X114" i="11"/>
  <c r="X113" i="11"/>
  <c r="X116" i="11"/>
  <c r="X69" i="11"/>
  <c r="X68" i="11"/>
  <c r="X66" i="11"/>
  <c r="X70" i="11"/>
  <c r="X67" i="11"/>
  <c r="X65" i="11"/>
  <c r="X81" i="11"/>
  <c r="X80" i="11"/>
  <c r="X78" i="11"/>
  <c r="X79" i="11"/>
  <c r="X82" i="11"/>
  <c r="X77" i="11"/>
  <c r="X19" i="11"/>
  <c r="X22" i="11"/>
  <c r="X17" i="11"/>
  <c r="X20" i="11"/>
  <c r="X21" i="11"/>
  <c r="X18" i="11"/>
  <c r="AB33" i="11"/>
  <c r="AB31" i="11"/>
  <c r="AB32" i="11"/>
  <c r="AB29" i="11"/>
  <c r="AB34" i="11"/>
  <c r="AB30" i="11"/>
  <c r="O10" i="10"/>
  <c r="W104" i="9"/>
  <c r="V104" i="9"/>
  <c r="W34" i="9"/>
  <c r="V34" i="9"/>
  <c r="AA45" i="10"/>
  <c r="Z45" i="10"/>
  <c r="W20" i="9"/>
  <c r="V20" i="9"/>
  <c r="AE29" i="9"/>
  <c r="AD29" i="9"/>
  <c r="AA44" i="9"/>
  <c r="Z44" i="9"/>
  <c r="AA41" i="9"/>
  <c r="Z41" i="9"/>
  <c r="W56" i="9"/>
  <c r="V56" i="9"/>
  <c r="W65" i="9"/>
  <c r="V65" i="9"/>
  <c r="AI80" i="9"/>
  <c r="AH80" i="9"/>
  <c r="AI91" i="9"/>
  <c r="AH91" i="9"/>
  <c r="AI92" i="9"/>
  <c r="AH92" i="9"/>
  <c r="AA102" i="9"/>
  <c r="Z102" i="9"/>
  <c r="AA117" i="9"/>
  <c r="Z117" i="9"/>
  <c r="AA114" i="9"/>
  <c r="Z114" i="9"/>
  <c r="W128" i="9"/>
  <c r="V128" i="9"/>
  <c r="W22" i="10"/>
  <c r="V22" i="10"/>
  <c r="W18" i="10"/>
  <c r="V18" i="10"/>
  <c r="W29" i="10"/>
  <c r="V29" i="10"/>
  <c r="W44" i="10"/>
  <c r="V44" i="10"/>
  <c r="AI58" i="10"/>
  <c r="AH58" i="10"/>
  <c r="AI55" i="10"/>
  <c r="AH55" i="10"/>
  <c r="W66" i="10"/>
  <c r="V66" i="10"/>
  <c r="AA78" i="10"/>
  <c r="Z78" i="10"/>
  <c r="AA82" i="10"/>
  <c r="Z82" i="10"/>
  <c r="AI92" i="10"/>
  <c r="AH92" i="10"/>
  <c r="AA101" i="10"/>
  <c r="Z101" i="10"/>
  <c r="W114" i="10"/>
  <c r="V114" i="10"/>
  <c r="W113" i="10"/>
  <c r="V113" i="10"/>
  <c r="AA126" i="10"/>
  <c r="Z126" i="10"/>
  <c r="AE106" i="9"/>
  <c r="AD106" i="9"/>
  <c r="AE32" i="9"/>
  <c r="AD32" i="9"/>
  <c r="W129" i="10"/>
  <c r="V129" i="10"/>
  <c r="AE22" i="9"/>
  <c r="AD22" i="9"/>
  <c r="AE19" i="9"/>
  <c r="AD19" i="9"/>
  <c r="AI31" i="9"/>
  <c r="AH31" i="9"/>
  <c r="W46" i="9"/>
  <c r="V46" i="9"/>
  <c r="AE58" i="9"/>
  <c r="AD58" i="9"/>
  <c r="AE55" i="9"/>
  <c r="AD55" i="9"/>
  <c r="AE69" i="9"/>
  <c r="AD69" i="9"/>
  <c r="AA80" i="9"/>
  <c r="Z80" i="9"/>
  <c r="AA78" i="9"/>
  <c r="Z78" i="9"/>
  <c r="AA91" i="9"/>
  <c r="Z91" i="9"/>
  <c r="W102" i="9"/>
  <c r="V102" i="9"/>
  <c r="W117" i="9"/>
  <c r="V117" i="9"/>
  <c r="AE129" i="9"/>
  <c r="AD129" i="9"/>
  <c r="AE125" i="9"/>
  <c r="AD125" i="9"/>
  <c r="AE20" i="10"/>
  <c r="AD20" i="10"/>
  <c r="AI30" i="10"/>
  <c r="AH30" i="10"/>
  <c r="AI34" i="10"/>
  <c r="AH34" i="10"/>
  <c r="AI42" i="10"/>
  <c r="AH42" i="10"/>
  <c r="AE54" i="10"/>
  <c r="AD54" i="10"/>
  <c r="AE58" i="10"/>
  <c r="AD58" i="10"/>
  <c r="AI65" i="10"/>
  <c r="AH65" i="10"/>
  <c r="W79" i="10"/>
  <c r="V79" i="10"/>
  <c r="AE93" i="10"/>
  <c r="AD93" i="10"/>
  <c r="W102" i="10"/>
  <c r="V102" i="10"/>
  <c r="W103" i="10"/>
  <c r="V103" i="10"/>
  <c r="AI114" i="10"/>
  <c r="AH114" i="10"/>
  <c r="W130" i="10"/>
  <c r="V130" i="10"/>
  <c r="AI70" i="9"/>
  <c r="AH70" i="9"/>
  <c r="AI81" i="9"/>
  <c r="AH81" i="9"/>
  <c r="AI45" i="10"/>
  <c r="AH45" i="10"/>
  <c r="AA18" i="9"/>
  <c r="Z18" i="9"/>
  <c r="AA31" i="9"/>
  <c r="Z31" i="9"/>
  <c r="AE45" i="9"/>
  <c r="AD45" i="9"/>
  <c r="AI53" i="9"/>
  <c r="AH53" i="9"/>
  <c r="AI56" i="9"/>
  <c r="AH56" i="9"/>
  <c r="AI65" i="9"/>
  <c r="AH65" i="9"/>
  <c r="W77" i="9"/>
  <c r="V77" i="9"/>
  <c r="W90" i="9"/>
  <c r="V90" i="9"/>
  <c r="AE102" i="9"/>
  <c r="AD102" i="9"/>
  <c r="AE101" i="9"/>
  <c r="AD101" i="9"/>
  <c r="AE115" i="9"/>
  <c r="AD115" i="9"/>
  <c r="AI125" i="9"/>
  <c r="AH125" i="9"/>
  <c r="AI127" i="9"/>
  <c r="AH127" i="9"/>
  <c r="AA19" i="10"/>
  <c r="Z19" i="10"/>
  <c r="AE29" i="10"/>
  <c r="AD29" i="10"/>
  <c r="AE44" i="10"/>
  <c r="AD44" i="10"/>
  <c r="AA57" i="10"/>
  <c r="Z57" i="10"/>
  <c r="AA54" i="10"/>
  <c r="Z54" i="10"/>
  <c r="AE67" i="10"/>
  <c r="AD67" i="10"/>
  <c r="AI80" i="10"/>
  <c r="AH80" i="10"/>
  <c r="AI77" i="10"/>
  <c r="AH77" i="10"/>
  <c r="AA91" i="10"/>
  <c r="Z91" i="10"/>
  <c r="AI103" i="10"/>
  <c r="AH103" i="10"/>
  <c r="AI104" i="10"/>
  <c r="AH104" i="10"/>
  <c r="AE113" i="10"/>
  <c r="AD113" i="10"/>
  <c r="AI130" i="10"/>
  <c r="AH130" i="10"/>
  <c r="AI129" i="10"/>
  <c r="AH129" i="10"/>
  <c r="AA82" i="9"/>
  <c r="Z82" i="9"/>
  <c r="AE130" i="10"/>
  <c r="AD130" i="10"/>
  <c r="AE81" i="10"/>
  <c r="AD81" i="10"/>
  <c r="AI19" i="9"/>
  <c r="AH19" i="9"/>
  <c r="W30" i="9"/>
  <c r="V30" i="9"/>
  <c r="AI42" i="9"/>
  <c r="AH42" i="9"/>
  <c r="AA55" i="9"/>
  <c r="Z55" i="9"/>
  <c r="AA57" i="9"/>
  <c r="Z57" i="9"/>
  <c r="AA66" i="9"/>
  <c r="Z66" i="9"/>
  <c r="AE80" i="9"/>
  <c r="AD80" i="9"/>
  <c r="AE90" i="9"/>
  <c r="AD90" i="9"/>
  <c r="AI104" i="9"/>
  <c r="AH104" i="9"/>
  <c r="AI101" i="9"/>
  <c r="AH101" i="9"/>
  <c r="AI117" i="9"/>
  <c r="AH117" i="9"/>
  <c r="AA130" i="9"/>
  <c r="Z130" i="9"/>
  <c r="AA125" i="9"/>
  <c r="Z125" i="9"/>
  <c r="AI19" i="10"/>
  <c r="AH19" i="10"/>
  <c r="AA30" i="10"/>
  <c r="Z30" i="10"/>
  <c r="AA41" i="10"/>
  <c r="Z41" i="10"/>
  <c r="AA44" i="10"/>
  <c r="Z44" i="10"/>
  <c r="W55" i="10"/>
  <c r="V55" i="10"/>
  <c r="AA69" i="10"/>
  <c r="Z69" i="10"/>
  <c r="AA65" i="10"/>
  <c r="Z65" i="10"/>
  <c r="AE78" i="10"/>
  <c r="AD78" i="10"/>
  <c r="W89" i="10"/>
  <c r="V89" i="10"/>
  <c r="AE103" i="10"/>
  <c r="AD103" i="10"/>
  <c r="AE105" i="10"/>
  <c r="AD105" i="10"/>
  <c r="AA116" i="10"/>
  <c r="Z116" i="10"/>
  <c r="AE129" i="10"/>
  <c r="AD129" i="10"/>
  <c r="AE127" i="10"/>
  <c r="AD127" i="10"/>
  <c r="O14" i="10"/>
  <c r="S12" i="10"/>
  <c r="S10" i="10"/>
  <c r="S11" i="10"/>
  <c r="S8" i="10"/>
  <c r="S16" i="10"/>
  <c r="S9" i="10"/>
  <c r="S15" i="10"/>
  <c r="S7" i="10"/>
  <c r="S6" i="10"/>
  <c r="S5" i="10"/>
  <c r="S13" i="10"/>
  <c r="O5" i="10"/>
  <c r="O11" i="10"/>
  <c r="N10" i="10"/>
  <c r="O6" i="10"/>
  <c r="O9" i="10"/>
  <c r="O15" i="10"/>
  <c r="O8" i="10"/>
  <c r="O16" i="10"/>
  <c r="O13" i="10"/>
  <c r="O12" i="10"/>
  <c r="O7" i="10"/>
  <c r="K6" i="10"/>
  <c r="K5" i="10"/>
  <c r="K10" i="10"/>
  <c r="K15" i="10"/>
  <c r="K8" i="10"/>
  <c r="K11" i="10"/>
  <c r="K16" i="10"/>
  <c r="K7" i="10"/>
  <c r="K13" i="10"/>
  <c r="K12" i="10"/>
  <c r="K9" i="10"/>
  <c r="K14" i="10"/>
  <c r="G16" i="10"/>
  <c r="G12" i="10"/>
  <c r="G13" i="10"/>
  <c r="G6" i="10"/>
  <c r="G7" i="10"/>
  <c r="G11" i="10"/>
  <c r="G15" i="10"/>
  <c r="G8" i="10"/>
  <c r="G5" i="10"/>
  <c r="G10" i="10"/>
  <c r="G9" i="10"/>
  <c r="G14" i="10"/>
  <c r="S51" i="11"/>
  <c r="R51" i="11"/>
  <c r="S25" i="11"/>
  <c r="R25" i="11"/>
  <c r="R89" i="11"/>
  <c r="S89" i="11"/>
  <c r="R114" i="11"/>
  <c r="S114" i="11"/>
  <c r="R130" i="11"/>
  <c r="S130" i="11"/>
  <c r="R55" i="11"/>
  <c r="S55" i="11"/>
  <c r="R44" i="11"/>
  <c r="S44" i="11"/>
  <c r="R52" i="11"/>
  <c r="S52" i="11"/>
  <c r="R21" i="11"/>
  <c r="S21" i="11"/>
  <c r="R109" i="11"/>
  <c r="S109" i="11"/>
  <c r="S90" i="11"/>
  <c r="R90" i="11"/>
  <c r="R106" i="11"/>
  <c r="S106" i="11"/>
  <c r="P14" i="11"/>
  <c r="S38" i="11"/>
  <c r="R38" i="11"/>
  <c r="R98" i="11"/>
  <c r="S98" i="11"/>
  <c r="S111" i="11"/>
  <c r="R111" i="11"/>
  <c r="R59" i="11"/>
  <c r="S59" i="11"/>
  <c r="R107" i="11"/>
  <c r="S107" i="11"/>
  <c r="R84" i="11"/>
  <c r="S84" i="11"/>
  <c r="R78" i="11"/>
  <c r="S78" i="11"/>
  <c r="R122" i="11"/>
  <c r="S122" i="11"/>
  <c r="S18" i="11"/>
  <c r="R18" i="11"/>
  <c r="S135" i="11"/>
  <c r="R135" i="11"/>
  <c r="S41" i="11"/>
  <c r="R41" i="11"/>
  <c r="S6" i="9"/>
  <c r="R46" i="11"/>
  <c r="S46" i="11"/>
  <c r="R115" i="11"/>
  <c r="S115" i="11"/>
  <c r="R68" i="11"/>
  <c r="S68" i="11"/>
  <c r="R112" i="11"/>
  <c r="S112" i="11"/>
  <c r="R81" i="11"/>
  <c r="S81" i="11"/>
  <c r="P13" i="11"/>
  <c r="R37" i="11"/>
  <c r="S37" i="11"/>
  <c r="S73" i="11"/>
  <c r="R73" i="11"/>
  <c r="R125" i="11"/>
  <c r="S125" i="11"/>
  <c r="R108" i="11"/>
  <c r="S108" i="11"/>
  <c r="R19" i="11"/>
  <c r="S19" i="11"/>
  <c r="P11" i="11"/>
  <c r="R35" i="11"/>
  <c r="S35" i="11"/>
  <c r="R116" i="11"/>
  <c r="S116" i="11"/>
  <c r="S76" i="11"/>
  <c r="R76" i="11"/>
  <c r="R22" i="11"/>
  <c r="S22" i="11"/>
  <c r="R43" i="11"/>
  <c r="S43" i="11"/>
  <c r="S123" i="11"/>
  <c r="R123" i="11"/>
  <c r="R60" i="11"/>
  <c r="S60" i="11"/>
  <c r="S100" i="11"/>
  <c r="R100" i="11"/>
  <c r="S85" i="11"/>
  <c r="R85" i="11"/>
  <c r="P10" i="11"/>
  <c r="R34" i="11"/>
  <c r="S34" i="11"/>
  <c r="R82" i="11"/>
  <c r="S82" i="11"/>
  <c r="S14" i="9"/>
  <c r="S101" i="11"/>
  <c r="R101" i="11"/>
  <c r="R47" i="11"/>
  <c r="S47" i="11"/>
  <c r="R95" i="11"/>
  <c r="S95" i="11"/>
  <c r="R20" i="11"/>
  <c r="S20" i="11"/>
  <c r="P9" i="11"/>
  <c r="R33" i="11"/>
  <c r="S33" i="11"/>
  <c r="R29" i="11"/>
  <c r="S29" i="11"/>
  <c r="S110" i="11"/>
  <c r="R110" i="11"/>
  <c r="P7" i="11"/>
  <c r="R31" i="11"/>
  <c r="S31" i="11"/>
  <c r="R75" i="11"/>
  <c r="S75" i="11"/>
  <c r="R97" i="11"/>
  <c r="S97" i="11"/>
  <c r="S103" i="11"/>
  <c r="R103" i="11"/>
  <c r="R131" i="11"/>
  <c r="S131" i="11"/>
  <c r="R72" i="11"/>
  <c r="S72" i="11"/>
  <c r="S57" i="11"/>
  <c r="R57" i="11"/>
  <c r="R129" i="11"/>
  <c r="S129" i="11"/>
  <c r="S12" i="9"/>
  <c r="S13" i="9"/>
  <c r="S49" i="11"/>
  <c r="R49" i="11"/>
  <c r="R65" i="11"/>
  <c r="S65" i="11"/>
  <c r="R74" i="11"/>
  <c r="S74" i="11"/>
  <c r="P15" i="11"/>
  <c r="S39" i="11"/>
  <c r="R39" i="11"/>
  <c r="P8" i="11"/>
  <c r="R32" i="11"/>
  <c r="S32" i="11"/>
  <c r="R48" i="11"/>
  <c r="S48" i="11"/>
  <c r="S113" i="11"/>
  <c r="R113" i="11"/>
  <c r="R54" i="11"/>
  <c r="S54" i="11"/>
  <c r="S8" i="9"/>
  <c r="S9" i="9"/>
  <c r="S5" i="9"/>
  <c r="R42" i="11"/>
  <c r="S42" i="11"/>
  <c r="R118" i="11"/>
  <c r="S118" i="11"/>
  <c r="R50" i="11"/>
  <c r="S50" i="11"/>
  <c r="S7" i="9"/>
  <c r="R67" i="11"/>
  <c r="S67" i="11"/>
  <c r="P12" i="11"/>
  <c r="R36" i="11"/>
  <c r="S36" i="11"/>
  <c r="R120" i="11"/>
  <c r="S120" i="11"/>
  <c r="S86" i="11"/>
  <c r="R86" i="11"/>
  <c r="R79" i="11"/>
  <c r="S79" i="11"/>
  <c r="R119" i="11"/>
  <c r="S119" i="11"/>
  <c r="R24" i="11"/>
  <c r="S24" i="11"/>
  <c r="R45" i="11"/>
  <c r="S45" i="11"/>
  <c r="R117" i="11"/>
  <c r="S117" i="11"/>
  <c r="R53" i="11"/>
  <c r="S53" i="11"/>
  <c r="S15" i="9"/>
  <c r="R87" i="11"/>
  <c r="S87" i="11"/>
  <c r="S92" i="11"/>
  <c r="R92" i="11"/>
  <c r="S17" i="11"/>
  <c r="R17" i="11"/>
  <c r="R62" i="11"/>
  <c r="S62" i="11"/>
  <c r="R105" i="11"/>
  <c r="S105" i="11"/>
  <c r="R134" i="11"/>
  <c r="S134" i="11"/>
  <c r="S10" i="9"/>
  <c r="S121" i="11"/>
  <c r="R121" i="11"/>
  <c r="R91" i="11"/>
  <c r="S91" i="11"/>
  <c r="S83" i="11"/>
  <c r="R83" i="11"/>
  <c r="S99" i="11"/>
  <c r="R99" i="11"/>
  <c r="P16" i="11"/>
  <c r="S40" i="11"/>
  <c r="R40" i="11"/>
  <c r="R124" i="11"/>
  <c r="S124" i="11"/>
  <c r="R61" i="11"/>
  <c r="S61" i="11"/>
  <c r="R23" i="11"/>
  <c r="S23" i="11"/>
  <c r="S11" i="9"/>
  <c r="R27" i="11"/>
  <c r="S27" i="11"/>
  <c r="R80" i="11"/>
  <c r="S80" i="11"/>
  <c r="R64" i="11"/>
  <c r="S64" i="11"/>
  <c r="R69" i="11"/>
  <c r="S69" i="11"/>
  <c r="S77" i="11"/>
  <c r="R77" i="11"/>
  <c r="R102" i="11"/>
  <c r="S102" i="11"/>
  <c r="S128" i="11"/>
  <c r="R128" i="11"/>
  <c r="R66" i="11"/>
  <c r="S66" i="11"/>
  <c r="R71" i="11"/>
  <c r="S71" i="11"/>
  <c r="S63" i="11"/>
  <c r="R63" i="11"/>
  <c r="S28" i="11"/>
  <c r="R28" i="11"/>
  <c r="AI16" i="9"/>
  <c r="S16" i="9"/>
  <c r="R88" i="11"/>
  <c r="S88" i="11"/>
  <c r="S94" i="11"/>
  <c r="R94" i="11"/>
  <c r="R26" i="11"/>
  <c r="S26" i="11"/>
  <c r="R56" i="11"/>
  <c r="S56" i="11"/>
  <c r="S96" i="11"/>
  <c r="R96" i="11"/>
  <c r="P6" i="11"/>
  <c r="S30" i="11"/>
  <c r="R30" i="11"/>
  <c r="S127" i="11"/>
  <c r="R127" i="11"/>
  <c r="R104" i="11"/>
  <c r="S104" i="11"/>
  <c r="S136" i="11"/>
  <c r="R136" i="11"/>
  <c r="S93" i="11"/>
  <c r="R93" i="11"/>
  <c r="S133" i="11"/>
  <c r="R133" i="11"/>
  <c r="R58" i="11"/>
  <c r="S58" i="11"/>
  <c r="S132" i="11"/>
  <c r="R132" i="11"/>
  <c r="S126" i="11"/>
  <c r="R126" i="11"/>
  <c r="R70" i="11"/>
  <c r="S70" i="11"/>
  <c r="O9" i="9"/>
  <c r="L5" i="11"/>
  <c r="N29" i="11"/>
  <c r="O29" i="11"/>
  <c r="O70" i="11"/>
  <c r="N70" i="11"/>
  <c r="N59" i="11"/>
  <c r="O59" i="11"/>
  <c r="N107" i="11"/>
  <c r="O107" i="11"/>
  <c r="N68" i="11"/>
  <c r="O68" i="11"/>
  <c r="O12" i="9"/>
  <c r="O78" i="11"/>
  <c r="N78" i="11"/>
  <c r="O122" i="11"/>
  <c r="N122" i="11"/>
  <c r="N80" i="11"/>
  <c r="O80" i="11"/>
  <c r="N76" i="11"/>
  <c r="O76" i="11"/>
  <c r="N85" i="11"/>
  <c r="O85" i="11"/>
  <c r="N115" i="11"/>
  <c r="O115" i="11"/>
  <c r="N44" i="11"/>
  <c r="O44" i="11"/>
  <c r="N104" i="11"/>
  <c r="O104" i="11"/>
  <c r="N112" i="11"/>
  <c r="O112" i="11"/>
  <c r="N45" i="11"/>
  <c r="O45" i="11"/>
  <c r="N117" i="11"/>
  <c r="O117" i="11"/>
  <c r="N133" i="11"/>
  <c r="O133" i="11"/>
  <c r="O125" i="11"/>
  <c r="N125" i="11"/>
  <c r="O110" i="11"/>
  <c r="N110" i="11"/>
  <c r="N134" i="11"/>
  <c r="O134" i="11"/>
  <c r="O100" i="11"/>
  <c r="N100" i="11"/>
  <c r="N109" i="11"/>
  <c r="O109" i="11"/>
  <c r="L15" i="11"/>
  <c r="N39" i="11"/>
  <c r="O39" i="11"/>
  <c r="O87" i="11"/>
  <c r="N87" i="11"/>
  <c r="O120" i="11"/>
  <c r="N120" i="11"/>
  <c r="O132" i="11"/>
  <c r="N132" i="11"/>
  <c r="O28" i="11"/>
  <c r="N28" i="11"/>
  <c r="N41" i="11"/>
  <c r="O41" i="11"/>
  <c r="O62" i="11"/>
  <c r="N62" i="11"/>
  <c r="N21" i="11"/>
  <c r="O21" i="11"/>
  <c r="N55" i="11"/>
  <c r="O55" i="11"/>
  <c r="O11" i="9"/>
  <c r="N47" i="11"/>
  <c r="O47" i="11"/>
  <c r="O95" i="11"/>
  <c r="N95" i="11"/>
  <c r="O88" i="11"/>
  <c r="N88" i="11"/>
  <c r="O124" i="11"/>
  <c r="N124" i="11"/>
  <c r="L9" i="11"/>
  <c r="N33" i="11"/>
  <c r="O33" i="11"/>
  <c r="N42" i="11"/>
  <c r="O42" i="11"/>
  <c r="N118" i="11"/>
  <c r="O118" i="11"/>
  <c r="O50" i="11"/>
  <c r="N50" i="11"/>
  <c r="O86" i="11"/>
  <c r="N86" i="11"/>
  <c r="L11" i="11"/>
  <c r="N35" i="11"/>
  <c r="O35" i="11"/>
  <c r="N103" i="11"/>
  <c r="O103" i="11"/>
  <c r="N131" i="11"/>
  <c r="O131" i="11"/>
  <c r="O56" i="11"/>
  <c r="N56" i="11"/>
  <c r="N72" i="11"/>
  <c r="O72" i="11"/>
  <c r="O93" i="11"/>
  <c r="N93" i="11"/>
  <c r="L13" i="11"/>
  <c r="O37" i="11"/>
  <c r="N37" i="11"/>
  <c r="N73" i="11"/>
  <c r="O73" i="11"/>
  <c r="O65" i="11"/>
  <c r="N65" i="11"/>
  <c r="O74" i="11"/>
  <c r="N74" i="11"/>
  <c r="O130" i="11"/>
  <c r="N130" i="11"/>
  <c r="N116" i="11"/>
  <c r="O116" i="11"/>
  <c r="L14" i="11"/>
  <c r="O38" i="11"/>
  <c r="N38" i="11"/>
  <c r="O27" i="11"/>
  <c r="N27" i="11"/>
  <c r="O15" i="9"/>
  <c r="N75" i="11"/>
  <c r="O75" i="11"/>
  <c r="N92" i="11"/>
  <c r="O92" i="11"/>
  <c r="L16" i="11"/>
  <c r="N40" i="11"/>
  <c r="O40" i="11"/>
  <c r="N121" i="11"/>
  <c r="O121" i="11"/>
  <c r="L6" i="11"/>
  <c r="N30" i="11"/>
  <c r="O30" i="11"/>
  <c r="O54" i="11"/>
  <c r="N54" i="11"/>
  <c r="N126" i="11"/>
  <c r="O126" i="11"/>
  <c r="O52" i="11"/>
  <c r="N52" i="11"/>
  <c r="N82" i="11"/>
  <c r="O82" i="11"/>
  <c r="O89" i="11"/>
  <c r="N89" i="11"/>
  <c r="N91" i="11"/>
  <c r="O91" i="11"/>
  <c r="O83" i="11"/>
  <c r="N83" i="11"/>
  <c r="O99" i="11"/>
  <c r="N99" i="11"/>
  <c r="O24" i="11"/>
  <c r="N24" i="11"/>
  <c r="N61" i="11"/>
  <c r="O61" i="11"/>
  <c r="N18" i="11"/>
  <c r="O18" i="11"/>
  <c r="O10" i="9"/>
  <c r="O79" i="11"/>
  <c r="N79" i="11"/>
  <c r="N119" i="11"/>
  <c r="O119" i="11"/>
  <c r="O81" i="11"/>
  <c r="N81" i="11"/>
  <c r="O25" i="11"/>
  <c r="N25" i="11"/>
  <c r="O13" i="9"/>
  <c r="N49" i="11"/>
  <c r="O49" i="11"/>
  <c r="N53" i="11"/>
  <c r="O53" i="11"/>
  <c r="N26" i="11"/>
  <c r="O26" i="11"/>
  <c r="N46" i="11"/>
  <c r="O46" i="11"/>
  <c r="N102" i="11"/>
  <c r="O102" i="11"/>
  <c r="L7" i="11"/>
  <c r="N31" i="11"/>
  <c r="O31" i="11"/>
  <c r="N23" i="11"/>
  <c r="O23" i="11"/>
  <c r="N135" i="11"/>
  <c r="O135" i="11"/>
  <c r="O8" i="9"/>
  <c r="O96" i="11"/>
  <c r="N96" i="11"/>
  <c r="N108" i="11"/>
  <c r="O108" i="11"/>
  <c r="AE16" i="9"/>
  <c r="O16" i="9"/>
  <c r="O64" i="11"/>
  <c r="N64" i="11"/>
  <c r="O97" i="11"/>
  <c r="N97" i="11"/>
  <c r="N113" i="11"/>
  <c r="O113" i="11"/>
  <c r="O6" i="9"/>
  <c r="N123" i="11"/>
  <c r="O123" i="11"/>
  <c r="N114" i="11"/>
  <c r="O114" i="11"/>
  <c r="O69" i="11"/>
  <c r="N69" i="11"/>
  <c r="N71" i="11"/>
  <c r="O71" i="11"/>
  <c r="N63" i="11"/>
  <c r="O63" i="11"/>
  <c r="L12" i="11"/>
  <c r="O36" i="11"/>
  <c r="N36" i="11"/>
  <c r="O84" i="11"/>
  <c r="N84" i="11"/>
  <c r="O5" i="9"/>
  <c r="O94" i="11"/>
  <c r="N94" i="11"/>
  <c r="N90" i="11"/>
  <c r="O90" i="11"/>
  <c r="L10" i="11"/>
  <c r="O34" i="11"/>
  <c r="N34" i="11"/>
  <c r="O98" i="11"/>
  <c r="N98" i="11"/>
  <c r="N127" i="11"/>
  <c r="O127" i="11"/>
  <c r="N48" i="11"/>
  <c r="O48" i="11"/>
  <c r="O60" i="11"/>
  <c r="N60" i="11"/>
  <c r="O136" i="11"/>
  <c r="N136" i="11"/>
  <c r="N57" i="11"/>
  <c r="O57" i="11"/>
  <c r="O129" i="11"/>
  <c r="N129" i="11"/>
  <c r="O17" i="11"/>
  <c r="N17" i="11"/>
  <c r="N58" i="11"/>
  <c r="O58" i="11"/>
  <c r="O66" i="11"/>
  <c r="N66" i="11"/>
  <c r="N51" i="11"/>
  <c r="O51" i="11"/>
  <c r="O14" i="9"/>
  <c r="O19" i="11"/>
  <c r="N19" i="11"/>
  <c r="O7" i="9"/>
  <c r="O67" i="11"/>
  <c r="N67" i="11"/>
  <c r="O111" i="11"/>
  <c r="N111" i="11"/>
  <c r="L8" i="11"/>
  <c r="N32" i="11"/>
  <c r="O32" i="11"/>
  <c r="O128" i="11"/>
  <c r="N128" i="11"/>
  <c r="N105" i="11"/>
  <c r="O105" i="11"/>
  <c r="N101" i="11"/>
  <c r="O101" i="11"/>
  <c r="N43" i="11"/>
  <c r="O43" i="11"/>
  <c r="O77" i="11"/>
  <c r="N77" i="11"/>
  <c r="N20" i="11"/>
  <c r="O20" i="11"/>
  <c r="O22" i="11"/>
  <c r="N22" i="11"/>
  <c r="N106" i="11"/>
  <c r="O106" i="11"/>
  <c r="H8" i="11"/>
  <c r="K32" i="11"/>
  <c r="J32" i="11"/>
  <c r="K51" i="11"/>
  <c r="J51" i="11"/>
  <c r="J24" i="11"/>
  <c r="K24" i="11"/>
  <c r="K12" i="9"/>
  <c r="J21" i="11"/>
  <c r="K21" i="11"/>
  <c r="J77" i="11"/>
  <c r="K77" i="11"/>
  <c r="J86" i="11"/>
  <c r="K86" i="11"/>
  <c r="K79" i="11"/>
  <c r="J79" i="11"/>
  <c r="J117" i="11"/>
  <c r="K117" i="11"/>
  <c r="J47" i="11"/>
  <c r="K47" i="11"/>
  <c r="J95" i="11"/>
  <c r="K95" i="11"/>
  <c r="J44" i="11"/>
  <c r="K44" i="11"/>
  <c r="K84" i="11"/>
  <c r="J84" i="11"/>
  <c r="K61" i="11"/>
  <c r="J61" i="11"/>
  <c r="J102" i="11"/>
  <c r="K102" i="11"/>
  <c r="K10" i="9"/>
  <c r="K98" i="11"/>
  <c r="J98" i="11"/>
  <c r="J19" i="11"/>
  <c r="K19" i="11"/>
  <c r="H16" i="11"/>
  <c r="J40" i="11"/>
  <c r="K40" i="11"/>
  <c r="J112" i="11"/>
  <c r="K112" i="11"/>
  <c r="J78" i="11"/>
  <c r="K78" i="11"/>
  <c r="J42" i="11"/>
  <c r="K42" i="11"/>
  <c r="J87" i="11"/>
  <c r="K87" i="11"/>
  <c r="J92" i="11"/>
  <c r="K92" i="11"/>
  <c r="J120" i="11"/>
  <c r="K120" i="11"/>
  <c r="J121" i="11"/>
  <c r="K121" i="11"/>
  <c r="J110" i="11"/>
  <c r="K110" i="11"/>
  <c r="J28" i="11"/>
  <c r="K28" i="11"/>
  <c r="K49" i="11"/>
  <c r="J49" i="11"/>
  <c r="J122" i="11"/>
  <c r="K122" i="11"/>
  <c r="J43" i="11"/>
  <c r="K43" i="11"/>
  <c r="H15" i="11"/>
  <c r="J39" i="11"/>
  <c r="K39" i="11"/>
  <c r="K75" i="11"/>
  <c r="J75" i="11"/>
  <c r="J20" i="11"/>
  <c r="K20" i="11"/>
  <c r="K8" i="9"/>
  <c r="J108" i="11"/>
  <c r="K108" i="11"/>
  <c r="K97" i="11"/>
  <c r="J97" i="11"/>
  <c r="K113" i="11"/>
  <c r="J113" i="11"/>
  <c r="K74" i="11"/>
  <c r="J74" i="11"/>
  <c r="K104" i="11"/>
  <c r="J104" i="11"/>
  <c r="J93" i="11"/>
  <c r="K93" i="11"/>
  <c r="J94" i="11"/>
  <c r="K94" i="11"/>
  <c r="H11" i="11"/>
  <c r="K35" i="11"/>
  <c r="J35" i="11"/>
  <c r="K27" i="11"/>
  <c r="J27" i="11"/>
  <c r="J116" i="11"/>
  <c r="K116" i="11"/>
  <c r="J100" i="11"/>
  <c r="K100" i="11"/>
  <c r="K109" i="11"/>
  <c r="J109" i="11"/>
  <c r="H6" i="11"/>
  <c r="K30" i="11"/>
  <c r="J30" i="11"/>
  <c r="J54" i="11"/>
  <c r="K54" i="11"/>
  <c r="J46" i="11"/>
  <c r="K46" i="11"/>
  <c r="K62" i="11"/>
  <c r="J62" i="11"/>
  <c r="K57" i="11"/>
  <c r="J57" i="11"/>
  <c r="J91" i="11"/>
  <c r="K91" i="11"/>
  <c r="J83" i="11"/>
  <c r="K83" i="11"/>
  <c r="J99" i="11"/>
  <c r="K99" i="11"/>
  <c r="J60" i="11"/>
  <c r="K60" i="11"/>
  <c r="H9" i="11"/>
  <c r="J33" i="11"/>
  <c r="K33" i="11"/>
  <c r="K25" i="11"/>
  <c r="J25" i="11"/>
  <c r="J90" i="11"/>
  <c r="K90" i="11"/>
  <c r="J106" i="11"/>
  <c r="K106" i="11"/>
  <c r="H14" i="11"/>
  <c r="J38" i="11"/>
  <c r="K38" i="11"/>
  <c r="K72" i="11"/>
  <c r="J72" i="11"/>
  <c r="K16" i="9"/>
  <c r="AA16" i="9"/>
  <c r="J53" i="11"/>
  <c r="K53" i="11"/>
  <c r="AA15" i="9"/>
  <c r="K15" i="9"/>
  <c r="J135" i="11"/>
  <c r="K135" i="11"/>
  <c r="J105" i="11"/>
  <c r="K105" i="11"/>
  <c r="K11" i="9"/>
  <c r="K80" i="11"/>
  <c r="J80" i="11"/>
  <c r="K76" i="11"/>
  <c r="J76" i="11"/>
  <c r="J85" i="11"/>
  <c r="K85" i="11"/>
  <c r="J18" i="11"/>
  <c r="K18" i="11"/>
  <c r="K6" i="9"/>
  <c r="J126" i="11"/>
  <c r="K126" i="11"/>
  <c r="J22" i="11"/>
  <c r="K22" i="11"/>
  <c r="J130" i="11"/>
  <c r="K130" i="11"/>
  <c r="K68" i="11"/>
  <c r="J68" i="11"/>
  <c r="K125" i="11"/>
  <c r="J125" i="11"/>
  <c r="K71" i="11"/>
  <c r="J71" i="11"/>
  <c r="J63" i="11"/>
  <c r="K63" i="11"/>
  <c r="J48" i="11"/>
  <c r="K48" i="11"/>
  <c r="K124" i="11"/>
  <c r="J124" i="11"/>
  <c r="K9" i="9"/>
  <c r="K5" i="9"/>
  <c r="J82" i="11"/>
  <c r="K82" i="11"/>
  <c r="K14" i="9"/>
  <c r="J119" i="11"/>
  <c r="K119" i="11"/>
  <c r="H13" i="11"/>
  <c r="K37" i="11"/>
  <c r="J37" i="11"/>
  <c r="K133" i="11"/>
  <c r="J133" i="11"/>
  <c r="J129" i="11"/>
  <c r="K129" i="11"/>
  <c r="H7" i="11"/>
  <c r="K31" i="11"/>
  <c r="J31" i="11"/>
  <c r="J67" i="11"/>
  <c r="K67" i="11"/>
  <c r="J96" i="11"/>
  <c r="K96" i="11"/>
  <c r="J101" i="11"/>
  <c r="K101" i="11"/>
  <c r="K131" i="11"/>
  <c r="J131" i="11"/>
  <c r="J45" i="11"/>
  <c r="K45" i="11"/>
  <c r="J23" i="11"/>
  <c r="K23" i="11"/>
  <c r="K7" i="9"/>
  <c r="J111" i="11"/>
  <c r="K111" i="11"/>
  <c r="J128" i="11"/>
  <c r="K128" i="11"/>
  <c r="J132" i="11"/>
  <c r="K132" i="11"/>
  <c r="J41" i="11"/>
  <c r="K41" i="11"/>
  <c r="J58" i="11"/>
  <c r="K58" i="11"/>
  <c r="J26" i="11"/>
  <c r="K26" i="11"/>
  <c r="J134" i="11"/>
  <c r="K134" i="11"/>
  <c r="J115" i="11"/>
  <c r="K115" i="11"/>
  <c r="J64" i="11"/>
  <c r="K64" i="11"/>
  <c r="K65" i="11"/>
  <c r="J65" i="11"/>
  <c r="J55" i="11"/>
  <c r="K55" i="11"/>
  <c r="J123" i="11"/>
  <c r="K123" i="11"/>
  <c r="H12" i="11"/>
  <c r="J36" i="11"/>
  <c r="K36" i="11"/>
  <c r="J52" i="11"/>
  <c r="K52" i="11"/>
  <c r="J69" i="11"/>
  <c r="K69" i="11"/>
  <c r="J89" i="11"/>
  <c r="K89" i="11"/>
  <c r="J66" i="11"/>
  <c r="K66" i="11"/>
  <c r="J70" i="11"/>
  <c r="K70" i="11"/>
  <c r="J127" i="11"/>
  <c r="K127" i="11"/>
  <c r="J73" i="11"/>
  <c r="K73" i="11"/>
  <c r="J59" i="11"/>
  <c r="K59" i="11"/>
  <c r="J107" i="11"/>
  <c r="K107" i="11"/>
  <c r="J56" i="11"/>
  <c r="K56" i="11"/>
  <c r="J88" i="11"/>
  <c r="K88" i="11"/>
  <c r="K17" i="11"/>
  <c r="J17" i="11"/>
  <c r="H5" i="11"/>
  <c r="J29" i="11"/>
  <c r="K29" i="11"/>
  <c r="K114" i="11"/>
  <c r="J114" i="11"/>
  <c r="H10" i="11"/>
  <c r="K34" i="11"/>
  <c r="J34" i="11"/>
  <c r="J103" i="11"/>
  <c r="K103" i="11"/>
  <c r="K136" i="11"/>
  <c r="J136" i="11"/>
  <c r="K13" i="9"/>
  <c r="J118" i="11"/>
  <c r="K118" i="11"/>
  <c r="K81" i="11"/>
  <c r="J81" i="11"/>
  <c r="J50" i="11"/>
  <c r="K50" i="11"/>
  <c r="G49" i="11"/>
  <c r="F49" i="11"/>
  <c r="G17" i="11"/>
  <c r="F17" i="11"/>
  <c r="G53" i="11"/>
  <c r="F53" i="11"/>
  <c r="F66" i="11"/>
  <c r="G66" i="11"/>
  <c r="F130" i="11"/>
  <c r="G130" i="11"/>
  <c r="F25" i="11"/>
  <c r="G25" i="11"/>
  <c r="G87" i="11"/>
  <c r="F87" i="11"/>
  <c r="F92" i="11"/>
  <c r="G92" i="11"/>
  <c r="F120" i="11"/>
  <c r="G120" i="11"/>
  <c r="G97" i="11"/>
  <c r="F97" i="11"/>
  <c r="G113" i="11"/>
  <c r="F113" i="11"/>
  <c r="F82" i="11"/>
  <c r="G82" i="11"/>
  <c r="G27" i="11"/>
  <c r="F27" i="11"/>
  <c r="G61" i="11"/>
  <c r="F61" i="11"/>
  <c r="F123" i="11"/>
  <c r="G123" i="11"/>
  <c r="F52" i="11"/>
  <c r="G52" i="11"/>
  <c r="F69" i="11"/>
  <c r="G69" i="11"/>
  <c r="G89" i="11"/>
  <c r="F89" i="11"/>
  <c r="F94" i="11"/>
  <c r="G94" i="11"/>
  <c r="F99" i="11"/>
  <c r="G99" i="11"/>
  <c r="F91" i="11"/>
  <c r="G91" i="11"/>
  <c r="F71" i="11"/>
  <c r="G71" i="11"/>
  <c r="F60" i="11"/>
  <c r="G60" i="11"/>
  <c r="D9" i="11"/>
  <c r="F33" i="11"/>
  <c r="G33" i="11"/>
  <c r="D5" i="11"/>
  <c r="F29" i="11"/>
  <c r="G29" i="11"/>
  <c r="F54" i="11"/>
  <c r="G54" i="11"/>
  <c r="G70" i="11"/>
  <c r="F70" i="11"/>
  <c r="F134" i="11"/>
  <c r="G134" i="11"/>
  <c r="F75" i="11"/>
  <c r="G75" i="11"/>
  <c r="F68" i="11"/>
  <c r="G68" i="11"/>
  <c r="F108" i="11"/>
  <c r="G108" i="11"/>
  <c r="F105" i="11"/>
  <c r="G105" i="11"/>
  <c r="F101" i="11"/>
  <c r="G101" i="11"/>
  <c r="F114" i="11"/>
  <c r="G114" i="11"/>
  <c r="D10" i="11"/>
  <c r="F34" i="11"/>
  <c r="G34" i="11"/>
  <c r="F122" i="11"/>
  <c r="G122" i="11"/>
  <c r="G88" i="11"/>
  <c r="F88" i="11"/>
  <c r="F51" i="11"/>
  <c r="G51" i="11"/>
  <c r="F116" i="11"/>
  <c r="G116" i="11"/>
  <c r="D12" i="11"/>
  <c r="G36" i="11"/>
  <c r="F36" i="11"/>
  <c r="F21" i="11"/>
  <c r="G21" i="11"/>
  <c r="G77" i="11"/>
  <c r="F77" i="11"/>
  <c r="F22" i="11"/>
  <c r="G22" i="11"/>
  <c r="G107" i="11"/>
  <c r="F107" i="11"/>
  <c r="F26" i="11"/>
  <c r="G26" i="11"/>
  <c r="F59" i="11"/>
  <c r="G59" i="11"/>
  <c r="G63" i="11"/>
  <c r="F63" i="11"/>
  <c r="F127" i="11"/>
  <c r="G127" i="11"/>
  <c r="G104" i="11"/>
  <c r="F104" i="11"/>
  <c r="G115" i="11"/>
  <c r="F115" i="11"/>
  <c r="D16" i="11"/>
  <c r="G40" i="11"/>
  <c r="F40" i="11"/>
  <c r="F129" i="11"/>
  <c r="G129" i="11"/>
  <c r="G103" i="11"/>
  <c r="F103" i="11"/>
  <c r="G131" i="11"/>
  <c r="F131" i="11"/>
  <c r="G72" i="11"/>
  <c r="F72" i="11"/>
  <c r="F45" i="11"/>
  <c r="G45" i="11"/>
  <c r="F117" i="11"/>
  <c r="G117" i="11"/>
  <c r="G133" i="11"/>
  <c r="F133" i="11"/>
  <c r="G125" i="11"/>
  <c r="F125" i="11"/>
  <c r="D6" i="11"/>
  <c r="G30" i="11"/>
  <c r="F30" i="11"/>
  <c r="F46" i="11"/>
  <c r="G46" i="11"/>
  <c r="G86" i="11"/>
  <c r="F86" i="11"/>
  <c r="F110" i="11"/>
  <c r="G110" i="11"/>
  <c r="F67" i="11"/>
  <c r="G67" i="11"/>
  <c r="D15" i="11"/>
  <c r="G39" i="11"/>
  <c r="F39" i="11"/>
  <c r="F135" i="11"/>
  <c r="G135" i="11"/>
  <c r="D8" i="11"/>
  <c r="F32" i="11"/>
  <c r="G32" i="11"/>
  <c r="G96" i="11"/>
  <c r="F96" i="11"/>
  <c r="G64" i="11"/>
  <c r="F64" i="11"/>
  <c r="F41" i="11"/>
  <c r="G41" i="11"/>
  <c r="F102" i="11"/>
  <c r="G102" i="11"/>
  <c r="F98" i="11"/>
  <c r="G98" i="11"/>
  <c r="F24" i="11"/>
  <c r="G24" i="11"/>
  <c r="G55" i="11"/>
  <c r="F55" i="11"/>
  <c r="D11" i="11"/>
  <c r="F35" i="11"/>
  <c r="G35" i="11"/>
  <c r="G80" i="11"/>
  <c r="F80" i="11"/>
  <c r="G100" i="11"/>
  <c r="F100" i="11"/>
  <c r="F109" i="11"/>
  <c r="G109" i="11"/>
  <c r="F78" i="11"/>
  <c r="G78" i="11"/>
  <c r="G50" i="11"/>
  <c r="F50" i="11"/>
  <c r="F124" i="11"/>
  <c r="G124" i="11"/>
  <c r="F47" i="11"/>
  <c r="G47" i="11"/>
  <c r="F95" i="11"/>
  <c r="G95" i="11"/>
  <c r="G112" i="11"/>
  <c r="F112" i="11"/>
  <c r="F81" i="11"/>
  <c r="G81" i="11"/>
  <c r="F56" i="11"/>
  <c r="G56" i="11"/>
  <c r="F28" i="11"/>
  <c r="G28" i="11"/>
  <c r="G57" i="11"/>
  <c r="F57" i="11"/>
  <c r="D13" i="11"/>
  <c r="F37" i="11"/>
  <c r="G37" i="11"/>
  <c r="G79" i="11"/>
  <c r="F79" i="11"/>
  <c r="G119" i="11"/>
  <c r="F119" i="11"/>
  <c r="F48" i="11"/>
  <c r="G48" i="11"/>
  <c r="G136" i="11"/>
  <c r="F136" i="11"/>
  <c r="F93" i="11"/>
  <c r="G93" i="11"/>
  <c r="G73" i="11"/>
  <c r="F73" i="11"/>
  <c r="G65" i="11"/>
  <c r="F65" i="11"/>
  <c r="G126" i="11"/>
  <c r="F126" i="11"/>
  <c r="F62" i="11"/>
  <c r="G62" i="11"/>
  <c r="F58" i="11"/>
  <c r="G58" i="11"/>
  <c r="F19" i="11"/>
  <c r="G19" i="11"/>
  <c r="G18" i="11"/>
  <c r="D7" i="11"/>
  <c r="F31" i="11"/>
  <c r="G31" i="11"/>
  <c r="G111" i="11"/>
  <c r="F111" i="11"/>
  <c r="G128" i="11"/>
  <c r="F128" i="11"/>
  <c r="G132" i="11"/>
  <c r="F132" i="11"/>
  <c r="F121" i="11"/>
  <c r="G121" i="11"/>
  <c r="G90" i="11"/>
  <c r="F90" i="11"/>
  <c r="F106" i="11"/>
  <c r="G106" i="11"/>
  <c r="D14" i="11"/>
  <c r="F38" i="11"/>
  <c r="G38" i="11"/>
  <c r="F44" i="11"/>
  <c r="G44" i="11"/>
  <c r="F43" i="11"/>
  <c r="G43" i="11"/>
  <c r="F20" i="11"/>
  <c r="G20" i="11"/>
  <c r="F76" i="11"/>
  <c r="G76" i="11"/>
  <c r="F85" i="11"/>
  <c r="G85" i="11"/>
  <c r="F42" i="11"/>
  <c r="G42" i="11"/>
  <c r="F118" i="11"/>
  <c r="G118" i="11"/>
  <c r="F84" i="11"/>
  <c r="G84" i="11"/>
  <c r="F23" i="11"/>
  <c r="G23" i="11"/>
  <c r="F83" i="11"/>
  <c r="G83" i="11"/>
  <c r="F74" i="11"/>
  <c r="G74" i="11"/>
  <c r="G10" i="9"/>
  <c r="G14" i="9"/>
  <c r="G15" i="9"/>
  <c r="W16" i="9"/>
  <c r="G16" i="9"/>
  <c r="G8" i="9"/>
  <c r="G9" i="9"/>
  <c r="G12" i="9"/>
  <c r="G7" i="9"/>
  <c r="G6" i="9"/>
  <c r="G5" i="9"/>
  <c r="G11" i="9"/>
  <c r="G13" i="9"/>
  <c r="R10" i="10"/>
  <c r="J10" i="10"/>
  <c r="F10" i="10"/>
  <c r="F5" i="10"/>
  <c r="J12" i="9"/>
  <c r="F16" i="10"/>
  <c r="R7" i="10"/>
  <c r="N7" i="9"/>
  <c r="F9" i="9"/>
  <c r="J7" i="9"/>
  <c r="N9" i="9"/>
  <c r="R7" i="9"/>
  <c r="F11" i="10"/>
  <c r="F16" i="9"/>
  <c r="R9" i="9"/>
  <c r="J9" i="10"/>
  <c r="F14" i="9"/>
  <c r="F7" i="9"/>
  <c r="R11" i="10"/>
  <c r="R16" i="9"/>
  <c r="J9" i="9"/>
  <c r="R9" i="10"/>
  <c r="J14" i="9"/>
  <c r="N11" i="9"/>
  <c r="F15" i="10"/>
  <c r="N8" i="10"/>
  <c r="J13" i="9"/>
  <c r="N13" i="10"/>
  <c r="J6" i="10"/>
  <c r="F11" i="9"/>
  <c r="R15" i="10"/>
  <c r="J8" i="10"/>
  <c r="F13" i="9"/>
  <c r="J13" i="10"/>
  <c r="R6" i="10"/>
  <c r="F14" i="10"/>
  <c r="F7" i="10"/>
  <c r="N10" i="9"/>
  <c r="N5" i="10"/>
  <c r="N11" i="10"/>
  <c r="F9" i="10"/>
  <c r="J11" i="10"/>
  <c r="N9" i="10"/>
  <c r="R11" i="9"/>
  <c r="N15" i="10"/>
  <c r="F8" i="10"/>
  <c r="R13" i="9"/>
  <c r="F13" i="10"/>
  <c r="N6" i="10"/>
  <c r="J11" i="9"/>
  <c r="J15" i="10"/>
  <c r="R8" i="10"/>
  <c r="N13" i="9"/>
  <c r="R13" i="10"/>
  <c r="F6" i="10"/>
  <c r="N15" i="9"/>
  <c r="F8" i="9"/>
  <c r="J12" i="10"/>
  <c r="J5" i="9"/>
  <c r="J6" i="9"/>
  <c r="N14" i="10"/>
  <c r="F15" i="9"/>
  <c r="N8" i="9"/>
  <c r="R12" i="10"/>
  <c r="R5" i="9"/>
  <c r="R6" i="9"/>
  <c r="N12" i="9"/>
  <c r="N16" i="10"/>
  <c r="R10" i="9"/>
  <c r="N16" i="9"/>
  <c r="N14" i="9"/>
  <c r="J16" i="9"/>
  <c r="R14" i="9"/>
  <c r="R15" i="9"/>
  <c r="J8" i="9"/>
  <c r="F12" i="10"/>
  <c r="F5" i="9"/>
  <c r="N6" i="9"/>
  <c r="J15" i="9"/>
  <c r="R8" i="9"/>
  <c r="N12" i="10"/>
  <c r="N5" i="9"/>
  <c r="F6" i="9"/>
  <c r="N7" i="10"/>
  <c r="R12" i="9"/>
  <c r="J16" i="10"/>
  <c r="J5" i="10"/>
  <c r="J10" i="9"/>
  <c r="R14" i="10"/>
  <c r="J7" i="10"/>
  <c r="F12" i="9"/>
  <c r="R16" i="10"/>
  <c r="R5" i="10"/>
  <c r="F10" i="9"/>
  <c r="J14" i="10"/>
  <c r="H52" i="1"/>
  <c r="P40" i="1"/>
  <c r="H20" i="1"/>
  <c r="P24" i="1"/>
  <c r="H24" i="1"/>
  <c r="H40" i="1"/>
  <c r="H56" i="1"/>
  <c r="P6" i="1"/>
  <c r="P10" i="1"/>
  <c r="C60" i="8"/>
  <c r="H60" i="1"/>
  <c r="H53" i="1"/>
  <c r="H57" i="1"/>
  <c r="H54" i="1"/>
  <c r="H58" i="1"/>
  <c r="H55" i="1"/>
  <c r="H59" i="1"/>
  <c r="J60" i="8"/>
  <c r="P60" i="1"/>
  <c r="P53" i="1"/>
  <c r="P57" i="1"/>
  <c r="P54" i="1"/>
  <c r="P58" i="1"/>
  <c r="J52" i="8"/>
  <c r="P52" i="1"/>
  <c r="P55" i="1"/>
  <c r="P59" i="1"/>
  <c r="P37" i="1"/>
  <c r="P41" i="1"/>
  <c r="P38" i="1"/>
  <c r="P42" i="1"/>
  <c r="J36" i="8"/>
  <c r="P36" i="1"/>
  <c r="J44" i="8"/>
  <c r="P44" i="1"/>
  <c r="P39" i="1"/>
  <c r="P43" i="1"/>
  <c r="C44" i="8"/>
  <c r="H44" i="1"/>
  <c r="H37" i="1"/>
  <c r="H41" i="1"/>
  <c r="C36" i="8"/>
  <c r="H36" i="1"/>
  <c r="H38" i="1"/>
  <c r="H42" i="1"/>
  <c r="H39" i="1"/>
  <c r="H43" i="1"/>
  <c r="H21" i="1"/>
  <c r="H25" i="1"/>
  <c r="C28" i="8"/>
  <c r="H28" i="1"/>
  <c r="H22" i="1"/>
  <c r="H26" i="1"/>
  <c r="H23" i="1"/>
  <c r="C27" i="8"/>
  <c r="H27" i="1"/>
  <c r="J28" i="8"/>
  <c r="P28" i="1"/>
  <c r="P21" i="1"/>
  <c r="P25" i="1"/>
  <c r="J20" i="8"/>
  <c r="P20" i="1"/>
  <c r="P22" i="1"/>
  <c r="P26" i="1"/>
  <c r="P23" i="1"/>
  <c r="P27" i="1"/>
  <c r="C4" i="8"/>
  <c r="P4" i="1"/>
  <c r="P8" i="1"/>
  <c r="P12" i="1"/>
  <c r="P5" i="1"/>
  <c r="P9" i="1"/>
  <c r="P13" i="1"/>
  <c r="P7" i="1"/>
  <c r="P11" i="1"/>
  <c r="J47" i="8"/>
  <c r="P47" i="1"/>
  <c r="C47" i="8"/>
  <c r="H47" i="1"/>
  <c r="J63" i="8"/>
  <c r="P63" i="1"/>
  <c r="C63" i="8"/>
  <c r="H63" i="1"/>
  <c r="C31" i="8"/>
  <c r="H31" i="1"/>
  <c r="P15" i="1"/>
  <c r="J31" i="8"/>
  <c r="P31" i="1"/>
  <c r="C62" i="8"/>
  <c r="H62" i="1"/>
  <c r="C46" i="8"/>
  <c r="H46" i="1"/>
  <c r="J62" i="8"/>
  <c r="P62" i="1"/>
  <c r="J46" i="8"/>
  <c r="P46" i="1"/>
  <c r="C30" i="8"/>
  <c r="H30" i="1"/>
  <c r="P14" i="1"/>
  <c r="J30" i="8"/>
  <c r="P30" i="1"/>
  <c r="C61" i="8"/>
  <c r="H61" i="1"/>
  <c r="C29" i="8"/>
  <c r="H29" i="1"/>
  <c r="C45" i="8"/>
  <c r="H45" i="1"/>
  <c r="J61" i="8"/>
  <c r="P61" i="1"/>
  <c r="J29" i="8"/>
  <c r="P29" i="1"/>
  <c r="J45" i="8"/>
  <c r="P45" i="1"/>
  <c r="K4" i="8"/>
  <c r="D4" i="8"/>
  <c r="J5" i="8"/>
  <c r="C5" i="8"/>
  <c r="N5" i="8"/>
  <c r="G5" i="8"/>
  <c r="M6" i="8"/>
  <c r="F6" i="8"/>
  <c r="L7" i="8"/>
  <c r="E7" i="8"/>
  <c r="J9" i="8"/>
  <c r="K12" i="8"/>
  <c r="D12" i="8"/>
  <c r="J13" i="8"/>
  <c r="C13" i="8"/>
  <c r="N13" i="8"/>
  <c r="G13" i="8"/>
  <c r="M14" i="8"/>
  <c r="F14" i="8"/>
  <c r="L15" i="8"/>
  <c r="E15" i="8"/>
  <c r="C21" i="8"/>
  <c r="S21" i="1"/>
  <c r="T21" i="1" s="1"/>
  <c r="C25" i="8"/>
  <c r="J21" i="8"/>
  <c r="J25" i="8"/>
  <c r="C41" i="8"/>
  <c r="J37" i="8"/>
  <c r="C53" i="8"/>
  <c r="S53" i="1"/>
  <c r="T53" i="1" s="1"/>
  <c r="C57" i="8"/>
  <c r="J53" i="8"/>
  <c r="J57" i="8"/>
  <c r="N6" i="8"/>
  <c r="G6" i="8"/>
  <c r="M7" i="8"/>
  <c r="F7" i="8"/>
  <c r="J14" i="8"/>
  <c r="C14" i="8"/>
  <c r="J22" i="8"/>
  <c r="C38" i="8"/>
  <c r="C54" i="8"/>
  <c r="C58" i="8"/>
  <c r="J54" i="8"/>
  <c r="J58" i="8"/>
  <c r="U6" i="3"/>
  <c r="L4" i="8"/>
  <c r="E4" i="8"/>
  <c r="J6" i="8"/>
  <c r="C6" i="8"/>
  <c r="K13" i="8"/>
  <c r="D13" i="8"/>
  <c r="N14" i="8"/>
  <c r="G14" i="8"/>
  <c r="M15" i="8"/>
  <c r="F15" i="8"/>
  <c r="C42" i="8"/>
  <c r="J38" i="8"/>
  <c r="M4" i="8"/>
  <c r="F4" i="8"/>
  <c r="L5" i="8"/>
  <c r="E5" i="8"/>
  <c r="K6" i="8"/>
  <c r="D6" i="8"/>
  <c r="M12" i="8"/>
  <c r="F12" i="8"/>
  <c r="L13" i="8"/>
  <c r="E13" i="8"/>
  <c r="K14" i="8"/>
  <c r="D14" i="8"/>
  <c r="J15" i="8"/>
  <c r="C15" i="8"/>
  <c r="N15" i="8"/>
  <c r="G15" i="8"/>
  <c r="C23" i="8"/>
  <c r="J23" i="8"/>
  <c r="C39" i="8"/>
  <c r="J39" i="8"/>
  <c r="C55" i="8"/>
  <c r="J55" i="8"/>
  <c r="S4" i="3"/>
  <c r="T4" i="3" s="1"/>
  <c r="K5" i="8"/>
  <c r="D5" i="8"/>
  <c r="J10" i="8"/>
  <c r="L12" i="8"/>
  <c r="E12" i="8"/>
  <c r="C22" i="8"/>
  <c r="J26" i="8"/>
  <c r="U4" i="1"/>
  <c r="V4" i="1" s="1"/>
  <c r="S4" i="1"/>
  <c r="T4" i="1" s="1"/>
  <c r="M5" i="8"/>
  <c r="F5" i="8"/>
  <c r="L6" i="8"/>
  <c r="E6" i="8"/>
  <c r="J8" i="8"/>
  <c r="J12" i="8"/>
  <c r="N12" i="8"/>
  <c r="G12" i="8"/>
  <c r="M13" i="8"/>
  <c r="L14" i="8"/>
  <c r="K15" i="8"/>
  <c r="C24" i="8"/>
  <c r="N20" i="8"/>
  <c r="U20" i="1"/>
  <c r="V20" i="1" s="1"/>
  <c r="J24" i="8"/>
  <c r="G36" i="8"/>
  <c r="S36" i="1"/>
  <c r="T36" i="1" s="1"/>
  <c r="C40" i="8"/>
  <c r="N36" i="8"/>
  <c r="U36" i="1"/>
  <c r="V36" i="1" s="1"/>
  <c r="C56" i="8"/>
  <c r="N52" i="8"/>
  <c r="U52" i="1"/>
  <c r="V52" i="1" s="1"/>
  <c r="J56" i="8"/>
  <c r="G59" i="8"/>
  <c r="C59" i="8"/>
  <c r="G43" i="8"/>
  <c r="C43" i="8"/>
  <c r="N11" i="8"/>
  <c r="J11" i="8"/>
  <c r="N27" i="8"/>
  <c r="L27" i="8"/>
  <c r="E11" i="8"/>
  <c r="J27" i="8"/>
  <c r="N59" i="8"/>
  <c r="J59" i="8"/>
  <c r="N43" i="8"/>
  <c r="G11" i="8"/>
  <c r="M43" i="8"/>
  <c r="F11" i="8"/>
  <c r="K43" i="8"/>
  <c r="J43" i="8"/>
  <c r="C11" i="8"/>
  <c r="G26" i="8"/>
  <c r="C26" i="8"/>
  <c r="G58" i="8"/>
  <c r="G42" i="8"/>
  <c r="N10" i="8"/>
  <c r="N26" i="8"/>
  <c r="L26" i="8"/>
  <c r="N58" i="8"/>
  <c r="N42" i="8"/>
  <c r="M42" i="8"/>
  <c r="F10" i="8"/>
  <c r="K42" i="8"/>
  <c r="D10" i="8"/>
  <c r="J42" i="8"/>
  <c r="K7" i="8"/>
  <c r="D7" i="8"/>
  <c r="J7" i="8"/>
  <c r="C7" i="8"/>
  <c r="E41" i="8"/>
  <c r="E9" i="8"/>
  <c r="N41" i="8"/>
  <c r="G9" i="8"/>
  <c r="M41" i="8"/>
  <c r="K41" i="8"/>
  <c r="D9" i="8"/>
  <c r="J41" i="8"/>
  <c r="E40" i="8"/>
  <c r="E8" i="8"/>
  <c r="N40" i="8"/>
  <c r="G8" i="8"/>
  <c r="M40" i="8"/>
  <c r="F8" i="8"/>
  <c r="K40" i="8"/>
  <c r="D8" i="8"/>
  <c r="J40" i="8"/>
  <c r="G23" i="8"/>
  <c r="G32" i="1"/>
  <c r="G32" i="8" s="1"/>
  <c r="N23" i="8"/>
  <c r="O32" i="1"/>
  <c r="N32" i="8" s="1"/>
  <c r="N7" i="8"/>
  <c r="O16" i="1"/>
  <c r="N16" i="8" s="1"/>
  <c r="G55" i="8"/>
  <c r="G64" i="1"/>
  <c r="G64" i="8" s="1"/>
  <c r="N55" i="8"/>
  <c r="O64" i="1"/>
  <c r="N64" i="8" s="1"/>
  <c r="G39" i="8"/>
  <c r="G48" i="1"/>
  <c r="G48" i="8" s="1"/>
  <c r="N39" i="8"/>
  <c r="O48" i="1"/>
  <c r="N48" i="8" s="1"/>
  <c r="E48" i="1"/>
  <c r="E48" i="8" s="1"/>
  <c r="E36" i="8"/>
  <c r="N16" i="1"/>
  <c r="M16" i="8" s="1"/>
  <c r="H6" i="3"/>
  <c r="H8" i="3"/>
  <c r="H10" i="3"/>
  <c r="H12" i="3"/>
  <c r="H14" i="3"/>
  <c r="H9" i="4"/>
  <c r="H11" i="4"/>
  <c r="H13" i="4"/>
  <c r="H15" i="4"/>
  <c r="M32" i="1"/>
  <c r="L32" i="8" s="1"/>
  <c r="L21" i="8"/>
  <c r="F48" i="1"/>
  <c r="F48" i="8" s="1"/>
  <c r="F36" i="8"/>
  <c r="H64" i="4"/>
  <c r="M48" i="1"/>
  <c r="L48" i="8" s="1"/>
  <c r="L36" i="8"/>
  <c r="F16" i="4"/>
  <c r="H7" i="4"/>
  <c r="H8" i="4"/>
  <c r="H10" i="4"/>
  <c r="H12" i="4"/>
  <c r="H14" i="4"/>
  <c r="P16" i="4"/>
  <c r="K16" i="1"/>
  <c r="J16" i="8" s="1"/>
  <c r="J4" i="8"/>
  <c r="N4" i="8"/>
  <c r="C32" i="1"/>
  <c r="C32" i="8" s="1"/>
  <c r="C20" i="8"/>
  <c r="G20" i="8"/>
  <c r="N32" i="1"/>
  <c r="M32" i="8" s="1"/>
  <c r="M21" i="8"/>
  <c r="N48" i="1"/>
  <c r="M48" i="8" s="1"/>
  <c r="M37" i="8"/>
  <c r="C64" i="1"/>
  <c r="C64" i="8" s="1"/>
  <c r="C52" i="8"/>
  <c r="G52" i="8"/>
  <c r="E64" i="1"/>
  <c r="E64" i="8" s="1"/>
  <c r="F32" i="1"/>
  <c r="F32" i="8" s="1"/>
  <c r="H7" i="3"/>
  <c r="H11" i="3"/>
  <c r="H15" i="3"/>
  <c r="H6" i="4"/>
  <c r="L32" i="1"/>
  <c r="K32" i="8" s="1"/>
  <c r="K20" i="8"/>
  <c r="C48" i="1"/>
  <c r="C48" i="8" s="1"/>
  <c r="C37" i="8"/>
  <c r="N37" i="8"/>
  <c r="F64" i="1"/>
  <c r="F64" i="8" s="1"/>
  <c r="M16" i="1"/>
  <c r="L16" i="8" s="1"/>
  <c r="D48" i="1"/>
  <c r="D48" i="8" s="1"/>
  <c r="D64" i="1"/>
  <c r="D16" i="3"/>
  <c r="E16" i="4"/>
  <c r="E16" i="3"/>
  <c r="E32" i="1"/>
  <c r="E32" i="8" s="1"/>
  <c r="D32" i="1"/>
  <c r="D32" i="8" s="1"/>
  <c r="L16" i="1"/>
  <c r="C16" i="4"/>
  <c r="K32" i="1"/>
  <c r="D16" i="4"/>
  <c r="P48" i="4"/>
  <c r="H5" i="4"/>
  <c r="F16" i="3"/>
  <c r="L48" i="1"/>
  <c r="K48" i="8" s="1"/>
  <c r="K48" i="1"/>
  <c r="J48" i="8" s="1"/>
  <c r="H5" i="3"/>
  <c r="P64" i="4"/>
  <c r="P64" i="3"/>
  <c r="H64" i="3"/>
  <c r="H48" i="4"/>
  <c r="H48" i="3"/>
  <c r="P32" i="4"/>
  <c r="P32" i="3"/>
  <c r="H32" i="4"/>
  <c r="H32" i="3"/>
  <c r="P16" i="3"/>
  <c r="H4" i="3"/>
  <c r="P48" i="3"/>
  <c r="H4" i="4"/>
  <c r="C16" i="3"/>
  <c r="N64" i="1"/>
  <c r="M64" i="8" s="1"/>
  <c r="M64" i="1"/>
  <c r="L64" i="8" s="1"/>
  <c r="L64" i="1"/>
  <c r="K64" i="8" s="1"/>
  <c r="K64" i="1"/>
  <c r="J64" i="8" s="1"/>
  <c r="AI15" i="10" l="1"/>
  <c r="AH15" i="10"/>
  <c r="AH16" i="10"/>
  <c r="AI16" i="10"/>
  <c r="AA16" i="10"/>
  <c r="Z16" i="10"/>
  <c r="Z15" i="10"/>
  <c r="AA15" i="10"/>
  <c r="AD16" i="10"/>
  <c r="AE16" i="10"/>
  <c r="AD15" i="10"/>
  <c r="AE15" i="10"/>
  <c r="V16" i="10"/>
  <c r="W16" i="10"/>
  <c r="V15" i="10"/>
  <c r="W15" i="10"/>
  <c r="V40" i="11"/>
  <c r="W40" i="11"/>
  <c r="W112" i="11"/>
  <c r="V112" i="11"/>
  <c r="T15" i="11"/>
  <c r="T16" i="11"/>
  <c r="AA27" i="11"/>
  <c r="AA28" i="11"/>
  <c r="Z28" i="11"/>
  <c r="AE135" i="11"/>
  <c r="AD135" i="11"/>
  <c r="AD39" i="11"/>
  <c r="AE39" i="11"/>
  <c r="AD99" i="11"/>
  <c r="AE99" i="11"/>
  <c r="V75" i="11"/>
  <c r="W75" i="11"/>
  <c r="V111" i="11"/>
  <c r="W111" i="11"/>
  <c r="V99" i="11"/>
  <c r="W99" i="11"/>
  <c r="AI28" i="11"/>
  <c r="AH28" i="11"/>
  <c r="V88" i="11"/>
  <c r="W88" i="11"/>
  <c r="AH75" i="11"/>
  <c r="AI75" i="11"/>
  <c r="V100" i="11"/>
  <c r="W100" i="11"/>
  <c r="Z52" i="11"/>
  <c r="AA52" i="11"/>
  <c r="AE52" i="11"/>
  <c r="AD52" i="11"/>
  <c r="AI124" i="11"/>
  <c r="AH124" i="11"/>
  <c r="V52" i="11"/>
  <c r="W52" i="11"/>
  <c r="AI27" i="11"/>
  <c r="AH27" i="11"/>
  <c r="W87" i="11"/>
  <c r="V87" i="11"/>
  <c r="W76" i="11"/>
  <c r="V76" i="11"/>
  <c r="AA51" i="11"/>
  <c r="Z51" i="11"/>
  <c r="AE51" i="11"/>
  <c r="AD51" i="11"/>
  <c r="AI123" i="11"/>
  <c r="AH123" i="11"/>
  <c r="V51" i="11"/>
  <c r="W51" i="11"/>
  <c r="AI136" i="11"/>
  <c r="AH136" i="11"/>
  <c r="Z123" i="11"/>
  <c r="AA123" i="11"/>
  <c r="V39" i="11"/>
  <c r="W39" i="11"/>
  <c r="AB15" i="11"/>
  <c r="AB16" i="11"/>
  <c r="V124" i="11"/>
  <c r="W124" i="11"/>
  <c r="Z40" i="11"/>
  <c r="AA40" i="11"/>
  <c r="AH100" i="11"/>
  <c r="AI100" i="11"/>
  <c r="V136" i="11"/>
  <c r="W136" i="11"/>
  <c r="AI135" i="11"/>
  <c r="AH135" i="11"/>
  <c r="Z99" i="11"/>
  <c r="AA99" i="11"/>
  <c r="AF15" i="11"/>
  <c r="AF16" i="11"/>
  <c r="V123" i="11"/>
  <c r="W123" i="11"/>
  <c r="Z39" i="11"/>
  <c r="AA39" i="11"/>
  <c r="AH99" i="11"/>
  <c r="AI99" i="11"/>
  <c r="V135" i="11"/>
  <c r="W135" i="11"/>
  <c r="AH52" i="11"/>
  <c r="AI52" i="11"/>
  <c r="AD100" i="11"/>
  <c r="AE100" i="11"/>
  <c r="AD88" i="11"/>
  <c r="AE88" i="11"/>
  <c r="W28" i="11"/>
  <c r="V28" i="11"/>
  <c r="AE75" i="11"/>
  <c r="AE76" i="11"/>
  <c r="AD76" i="11"/>
  <c r="AE123" i="11"/>
  <c r="AE124" i="11"/>
  <c r="AD124" i="11"/>
  <c r="AH51" i="11"/>
  <c r="AI51" i="11"/>
  <c r="AI111" i="11"/>
  <c r="AH111" i="11"/>
  <c r="AE136" i="11"/>
  <c r="AD136" i="11"/>
  <c r="AE134" i="11"/>
  <c r="AI110" i="11"/>
  <c r="AD87" i="11"/>
  <c r="AE87" i="11"/>
  <c r="W27" i="11"/>
  <c r="V27" i="11"/>
  <c r="AI87" i="11"/>
  <c r="AI88" i="11"/>
  <c r="AH88" i="11"/>
  <c r="V64" i="11"/>
  <c r="W64" i="11"/>
  <c r="V63" i="11"/>
  <c r="W63" i="11"/>
  <c r="AH64" i="11"/>
  <c r="AI64" i="11"/>
  <c r="Z64" i="11"/>
  <c r="AA64" i="11"/>
  <c r="Z88" i="11"/>
  <c r="AA88" i="11"/>
  <c r="AI40" i="11"/>
  <c r="AH40" i="11"/>
  <c r="Z76" i="11"/>
  <c r="AA76" i="11"/>
  <c r="AE28" i="11"/>
  <c r="AD28" i="11"/>
  <c r="AA100" i="11"/>
  <c r="Z100" i="11"/>
  <c r="AD40" i="11"/>
  <c r="AE40" i="11"/>
  <c r="X15" i="11"/>
  <c r="X16" i="11"/>
  <c r="Z112" i="11"/>
  <c r="AA112" i="11"/>
  <c r="AH63" i="11"/>
  <c r="AI63" i="11"/>
  <c r="AA63" i="11"/>
  <c r="Z63" i="11"/>
  <c r="Z87" i="11"/>
  <c r="AA87" i="11"/>
  <c r="AI39" i="11"/>
  <c r="AH39" i="11"/>
  <c r="AA75" i="11"/>
  <c r="Z75" i="11"/>
  <c r="AE27" i="11"/>
  <c r="AD27" i="11"/>
  <c r="AE112" i="11"/>
  <c r="AD112" i="11"/>
  <c r="Z135" i="11"/>
  <c r="AA135" i="11"/>
  <c r="Z111" i="11"/>
  <c r="AA111" i="11"/>
  <c r="AI112" i="11"/>
  <c r="AH112" i="11"/>
  <c r="AH76" i="11"/>
  <c r="AI76" i="11"/>
  <c r="Z124" i="11"/>
  <c r="AA124" i="11"/>
  <c r="AE63" i="11"/>
  <c r="AE64" i="11"/>
  <c r="AD64" i="11"/>
  <c r="Z136" i="11"/>
  <c r="AA136" i="11"/>
  <c r="AD111" i="11"/>
  <c r="AE111" i="11"/>
  <c r="AA96" i="11"/>
  <c r="AI109" i="11"/>
  <c r="S54" i="1"/>
  <c r="T79" i="1"/>
  <c r="AD14" i="10"/>
  <c r="AE14" i="10"/>
  <c r="AI120" i="11"/>
  <c r="AH110" i="11"/>
  <c r="AA108" i="11"/>
  <c r="AA109" i="11"/>
  <c r="AH14" i="10"/>
  <c r="AI14" i="10"/>
  <c r="W26" i="11"/>
  <c r="AA98" i="11"/>
  <c r="W25" i="11"/>
  <c r="AA110" i="11"/>
  <c r="AA107" i="11"/>
  <c r="Z14" i="10"/>
  <c r="AA14" i="10"/>
  <c r="V14" i="10"/>
  <c r="W14" i="10"/>
  <c r="AE74" i="11"/>
  <c r="AD74" i="11"/>
  <c r="AB14" i="11"/>
  <c r="AE86" i="11"/>
  <c r="AD86" i="11"/>
  <c r="AE26" i="11"/>
  <c r="AD26" i="11"/>
  <c r="AE98" i="11"/>
  <c r="AD98" i="11"/>
  <c r="AD38" i="11"/>
  <c r="AE38" i="11"/>
  <c r="AE122" i="11"/>
  <c r="AD122" i="11"/>
  <c r="AE62" i="11"/>
  <c r="AD62" i="11"/>
  <c r="AE50" i="11"/>
  <c r="AD50" i="11"/>
  <c r="AE110" i="11"/>
  <c r="AD110" i="11"/>
  <c r="X14" i="11"/>
  <c r="AA122" i="11"/>
  <c r="Z122" i="11"/>
  <c r="Z26" i="11"/>
  <c r="AA26" i="11"/>
  <c r="AA134" i="11"/>
  <c r="Z134" i="11"/>
  <c r="Z86" i="11"/>
  <c r="AA86" i="11"/>
  <c r="Z62" i="11"/>
  <c r="AA62" i="11"/>
  <c r="Z50" i="11"/>
  <c r="AA50" i="11"/>
  <c r="Z74" i="11"/>
  <c r="AA74" i="11"/>
  <c r="Z38" i="11"/>
  <c r="AA38" i="11"/>
  <c r="W110" i="11"/>
  <c r="V110" i="11"/>
  <c r="V74" i="11"/>
  <c r="W74" i="11"/>
  <c r="T14" i="11"/>
  <c r="W50" i="11"/>
  <c r="V50" i="11"/>
  <c r="W122" i="11"/>
  <c r="V122" i="11"/>
  <c r="W38" i="11"/>
  <c r="V38" i="11"/>
  <c r="W134" i="11"/>
  <c r="V134" i="11"/>
  <c r="V86" i="11"/>
  <c r="W86" i="11"/>
  <c r="V98" i="11"/>
  <c r="W98" i="11"/>
  <c r="W62" i="11"/>
  <c r="V62" i="11"/>
  <c r="AI98" i="11"/>
  <c r="AH98" i="11"/>
  <c r="AI26" i="11"/>
  <c r="AH26" i="11"/>
  <c r="AI38" i="11"/>
  <c r="AH38" i="11"/>
  <c r="AF14" i="11"/>
  <c r="AI134" i="11"/>
  <c r="AH134" i="11"/>
  <c r="AI122" i="11"/>
  <c r="AH122" i="11"/>
  <c r="AH62" i="11"/>
  <c r="AI62" i="11"/>
  <c r="AH74" i="11"/>
  <c r="AI74" i="11"/>
  <c r="AH50" i="11"/>
  <c r="AI50" i="11"/>
  <c r="AI86" i="11"/>
  <c r="AH86" i="11"/>
  <c r="AH120" i="11"/>
  <c r="AE24" i="11"/>
  <c r="AH109" i="11"/>
  <c r="AA95" i="11"/>
  <c r="AE13" i="10"/>
  <c r="AE85" i="11"/>
  <c r="AD85" i="11"/>
  <c r="AE25" i="11"/>
  <c r="AD25" i="11"/>
  <c r="AE133" i="11"/>
  <c r="AD133" i="11"/>
  <c r="AE121" i="11"/>
  <c r="AD121" i="11"/>
  <c r="AE61" i="11"/>
  <c r="AD61" i="11"/>
  <c r="AB13" i="11"/>
  <c r="AE49" i="11"/>
  <c r="AD49" i="11"/>
  <c r="AD37" i="11"/>
  <c r="AE37" i="11"/>
  <c r="AE97" i="11"/>
  <c r="AD97" i="11"/>
  <c r="AE73" i="11"/>
  <c r="AD73" i="11"/>
  <c r="AE109" i="11"/>
  <c r="AD109" i="11"/>
  <c r="AH13" i="10"/>
  <c r="AI13" i="10"/>
  <c r="AA13" i="10"/>
  <c r="V25" i="11"/>
  <c r="Z109" i="11"/>
  <c r="V13" i="10"/>
  <c r="W13" i="10"/>
  <c r="W59" i="11"/>
  <c r="AI121" i="11"/>
  <c r="AH121" i="11"/>
  <c r="AI25" i="11"/>
  <c r="AH25" i="11"/>
  <c r="AI37" i="11"/>
  <c r="AH37" i="11"/>
  <c r="AH73" i="11"/>
  <c r="AI73" i="11"/>
  <c r="AI133" i="11"/>
  <c r="AH133" i="11"/>
  <c r="AH97" i="11"/>
  <c r="AI97" i="11"/>
  <c r="AH61" i="11"/>
  <c r="AI61" i="11"/>
  <c r="AF13" i="11"/>
  <c r="AH49" i="11"/>
  <c r="AI49" i="11"/>
  <c r="AI85" i="11"/>
  <c r="AH85" i="11"/>
  <c r="Z49" i="11"/>
  <c r="AA49" i="11"/>
  <c r="Z85" i="11"/>
  <c r="AA85" i="11"/>
  <c r="Z73" i="11"/>
  <c r="AA73" i="11"/>
  <c r="AA61" i="11"/>
  <c r="Z61" i="11"/>
  <c r="AA121" i="11"/>
  <c r="Z121" i="11"/>
  <c r="AA37" i="11"/>
  <c r="Z37" i="11"/>
  <c r="X13" i="11"/>
  <c r="AA97" i="11"/>
  <c r="Z97" i="11"/>
  <c r="Z25" i="11"/>
  <c r="AA25" i="11"/>
  <c r="AA133" i="11"/>
  <c r="Z133" i="11"/>
  <c r="W133" i="11"/>
  <c r="V133" i="11"/>
  <c r="W37" i="11"/>
  <c r="V37" i="11"/>
  <c r="V73" i="11"/>
  <c r="W73" i="11"/>
  <c r="T13" i="11"/>
  <c r="W61" i="11"/>
  <c r="V61" i="11"/>
  <c r="V85" i="11"/>
  <c r="W85" i="11"/>
  <c r="W49" i="11"/>
  <c r="V49" i="11"/>
  <c r="W97" i="11"/>
  <c r="V97" i="11"/>
  <c r="W109" i="11"/>
  <c r="V109" i="11"/>
  <c r="W121" i="11"/>
  <c r="V121" i="11"/>
  <c r="W131" i="11"/>
  <c r="Z108" i="11"/>
  <c r="T12" i="11"/>
  <c r="X12" i="11"/>
  <c r="AF12" i="11"/>
  <c r="AE96" i="11"/>
  <c r="AD96" i="11"/>
  <c r="AE36" i="11"/>
  <c r="AD36" i="11"/>
  <c r="AA60" i="11"/>
  <c r="Z60" i="11"/>
  <c r="W24" i="11"/>
  <c r="V24" i="11"/>
  <c r="Z12" i="10"/>
  <c r="AA12" i="10"/>
  <c r="AI132" i="11"/>
  <c r="AH132" i="11"/>
  <c r="AI84" i="11"/>
  <c r="AH84" i="11"/>
  <c r="V36" i="11"/>
  <c r="W36" i="11"/>
  <c r="W60" i="11"/>
  <c r="V60" i="11"/>
  <c r="AA84" i="11"/>
  <c r="Z84" i="11"/>
  <c r="Z72" i="11"/>
  <c r="AA72" i="11"/>
  <c r="AH12" i="10"/>
  <c r="AI12" i="10"/>
  <c r="AE72" i="11"/>
  <c r="AD72" i="11"/>
  <c r="AI48" i="11"/>
  <c r="AH48" i="11"/>
  <c r="V84" i="11"/>
  <c r="W84" i="11"/>
  <c r="AA132" i="11"/>
  <c r="Z132" i="11"/>
  <c r="AE108" i="11"/>
  <c r="AD108" i="11"/>
  <c r="Z48" i="11"/>
  <c r="AA48" i="11"/>
  <c r="AI96" i="11"/>
  <c r="AH96" i="11"/>
  <c r="AI108" i="11"/>
  <c r="AH108" i="11"/>
  <c r="AE132" i="11"/>
  <c r="AD132" i="11"/>
  <c r="W108" i="11"/>
  <c r="V108" i="11"/>
  <c r="V96" i="11"/>
  <c r="W96" i="11"/>
  <c r="AA120" i="11"/>
  <c r="Z120" i="11"/>
  <c r="AE48" i="11"/>
  <c r="AD48" i="11"/>
  <c r="AE120" i="11"/>
  <c r="AD120" i="11"/>
  <c r="V12" i="10"/>
  <c r="W12" i="10"/>
  <c r="AI24" i="11"/>
  <c r="AH24" i="11"/>
  <c r="AI36" i="11"/>
  <c r="AH36" i="11"/>
  <c r="W48" i="11"/>
  <c r="V48" i="11"/>
  <c r="V72" i="11"/>
  <c r="W72" i="11"/>
  <c r="AB12" i="11"/>
  <c r="AE84" i="11"/>
  <c r="AD84" i="11"/>
  <c r="AD12" i="10"/>
  <c r="AE12" i="10"/>
  <c r="AH72" i="11"/>
  <c r="AI72" i="11"/>
  <c r="AH60" i="11"/>
  <c r="AI60" i="11"/>
  <c r="AE60" i="11"/>
  <c r="AD60" i="11"/>
  <c r="W132" i="11"/>
  <c r="V132" i="11"/>
  <c r="Z36" i="11"/>
  <c r="AA36" i="11"/>
  <c r="AA24" i="11"/>
  <c r="Z24" i="11"/>
  <c r="W120" i="11"/>
  <c r="V120" i="11"/>
  <c r="V131" i="11"/>
  <c r="Z95" i="11"/>
  <c r="AH11" i="10"/>
  <c r="AI11" i="10"/>
  <c r="AI95" i="11"/>
  <c r="AE11" i="10"/>
  <c r="AD11" i="10"/>
  <c r="Z11" i="10"/>
  <c r="AA11" i="10"/>
  <c r="V11" i="10"/>
  <c r="W11" i="10"/>
  <c r="Z107" i="11"/>
  <c r="Z23" i="11"/>
  <c r="AA23" i="11"/>
  <c r="AA47" i="11"/>
  <c r="Z47" i="11"/>
  <c r="V23" i="11"/>
  <c r="W23" i="11"/>
  <c r="AH71" i="11"/>
  <c r="AI71" i="11"/>
  <c r="AE83" i="11"/>
  <c r="AD83" i="11"/>
  <c r="AH59" i="11"/>
  <c r="AI59" i="11"/>
  <c r="AI83" i="11"/>
  <c r="AH83" i="11"/>
  <c r="W35" i="11"/>
  <c r="V35" i="11"/>
  <c r="AE47" i="11"/>
  <c r="AD47" i="11"/>
  <c r="V95" i="11"/>
  <c r="W95" i="11"/>
  <c r="T11" i="11"/>
  <c r="X11" i="11"/>
  <c r="AF11" i="11"/>
  <c r="Z83" i="11"/>
  <c r="AA83" i="11"/>
  <c r="AE119" i="11"/>
  <c r="AD119" i="11"/>
  <c r="AH47" i="11"/>
  <c r="AI47" i="11"/>
  <c r="AE107" i="11"/>
  <c r="AD107" i="11"/>
  <c r="V83" i="11"/>
  <c r="W83" i="11"/>
  <c r="AE71" i="11"/>
  <c r="AD71" i="11"/>
  <c r="W119" i="11"/>
  <c r="V119" i="11"/>
  <c r="AB11" i="11"/>
  <c r="Z71" i="11"/>
  <c r="AA71" i="11"/>
  <c r="AE23" i="11"/>
  <c r="AD23" i="11"/>
  <c r="AA131" i="11"/>
  <c r="Z131" i="11"/>
  <c r="AI23" i="11"/>
  <c r="AH23" i="11"/>
  <c r="AI35" i="11"/>
  <c r="AH35" i="11"/>
  <c r="AE131" i="11"/>
  <c r="AD131" i="11"/>
  <c r="W107" i="11"/>
  <c r="V107" i="11"/>
  <c r="Z59" i="11"/>
  <c r="AA59" i="11"/>
  <c r="AE35" i="11"/>
  <c r="AD35" i="11"/>
  <c r="AA119" i="11"/>
  <c r="Z119" i="11"/>
  <c r="W47" i="11"/>
  <c r="V47" i="11"/>
  <c r="AI119" i="11"/>
  <c r="AH119" i="11"/>
  <c r="AE95" i="11"/>
  <c r="AD95" i="11"/>
  <c r="AI131" i="11"/>
  <c r="AH131" i="11"/>
  <c r="AI107" i="11"/>
  <c r="AH107" i="11"/>
  <c r="AE59" i="11"/>
  <c r="AD59" i="11"/>
  <c r="V71" i="11"/>
  <c r="W71" i="11"/>
  <c r="AA35" i="11"/>
  <c r="Z35" i="11"/>
  <c r="AE31" i="11"/>
  <c r="AD31" i="11"/>
  <c r="AA70" i="11"/>
  <c r="Z70" i="11"/>
  <c r="Z46" i="11"/>
  <c r="AA46" i="11"/>
  <c r="AE5" i="10"/>
  <c r="AD5" i="10"/>
  <c r="AH89" i="11"/>
  <c r="AI89" i="11"/>
  <c r="AE115" i="11"/>
  <c r="AD115" i="11"/>
  <c r="AE68" i="11"/>
  <c r="AD68" i="11"/>
  <c r="AA32" i="11"/>
  <c r="Z32" i="11"/>
  <c r="W114" i="11"/>
  <c r="V114" i="11"/>
  <c r="W19" i="11"/>
  <c r="V19" i="11"/>
  <c r="AA104" i="11"/>
  <c r="Z104" i="11"/>
  <c r="W55" i="11"/>
  <c r="V55" i="11"/>
  <c r="W58" i="11"/>
  <c r="V58" i="11"/>
  <c r="AA5" i="10"/>
  <c r="Z5" i="10"/>
  <c r="AA8" i="10"/>
  <c r="Z8" i="10"/>
  <c r="AI19" i="11"/>
  <c r="AH19" i="11"/>
  <c r="AI129" i="11"/>
  <c r="AH129" i="11"/>
  <c r="AI130" i="11"/>
  <c r="AH130" i="11"/>
  <c r="AH54" i="11"/>
  <c r="AI54" i="11"/>
  <c r="AH44" i="11"/>
  <c r="AI44" i="11"/>
  <c r="AI45" i="11"/>
  <c r="AH45" i="11"/>
  <c r="AI31" i="11"/>
  <c r="AH31" i="11"/>
  <c r="AI102" i="11"/>
  <c r="AH102" i="11"/>
  <c r="AI105" i="11"/>
  <c r="AH105" i="11"/>
  <c r="AI82" i="11"/>
  <c r="AH82" i="11"/>
  <c r="AE102" i="11"/>
  <c r="AD102" i="11"/>
  <c r="AE101" i="11"/>
  <c r="AD101" i="11"/>
  <c r="AE126" i="11"/>
  <c r="AD126" i="11"/>
  <c r="AE53" i="11"/>
  <c r="AD53" i="11"/>
  <c r="AE55" i="11"/>
  <c r="AD55" i="11"/>
  <c r="V33" i="11"/>
  <c r="W33" i="11"/>
  <c r="V79" i="11"/>
  <c r="W79" i="11"/>
  <c r="W80" i="11"/>
  <c r="V80" i="11"/>
  <c r="V101" i="11"/>
  <c r="W101" i="11"/>
  <c r="AA20" i="11"/>
  <c r="Z20" i="11"/>
  <c r="AA115" i="11"/>
  <c r="Z115" i="11"/>
  <c r="V65" i="11"/>
  <c r="W65" i="11"/>
  <c r="AI67" i="11"/>
  <c r="AH67" i="11"/>
  <c r="AE89" i="11"/>
  <c r="AD89" i="11"/>
  <c r="AD44" i="11"/>
  <c r="AE44" i="11"/>
  <c r="Z58" i="11"/>
  <c r="AA58" i="11"/>
  <c r="AA129" i="11"/>
  <c r="Z129" i="11"/>
  <c r="V22" i="11"/>
  <c r="W22" i="11"/>
  <c r="W9" i="10"/>
  <c r="V9" i="10"/>
  <c r="W129" i="11"/>
  <c r="V129" i="11"/>
  <c r="AE34" i="11"/>
  <c r="AD34" i="11"/>
  <c r="AD33" i="11"/>
  <c r="AE33" i="11"/>
  <c r="AA17" i="11"/>
  <c r="Z17" i="11"/>
  <c r="AA82" i="11"/>
  <c r="Z82" i="11"/>
  <c r="AA81" i="11"/>
  <c r="Z81" i="11"/>
  <c r="Z66" i="11"/>
  <c r="AA66" i="11"/>
  <c r="AA113" i="11"/>
  <c r="Z113" i="11"/>
  <c r="AA118" i="11"/>
  <c r="Z118" i="11"/>
  <c r="AA45" i="11"/>
  <c r="Z45" i="11"/>
  <c r="W68" i="11"/>
  <c r="V68" i="11"/>
  <c r="AE7" i="10"/>
  <c r="AD7" i="10"/>
  <c r="AE8" i="10"/>
  <c r="AD8" i="10"/>
  <c r="AI115" i="11"/>
  <c r="AH115" i="11"/>
  <c r="AI66" i="11"/>
  <c r="AH66" i="11"/>
  <c r="AI69" i="11"/>
  <c r="AH69" i="11"/>
  <c r="AI94" i="11"/>
  <c r="AH94" i="11"/>
  <c r="AE91" i="11"/>
  <c r="AD91" i="11"/>
  <c r="AE94" i="11"/>
  <c r="AD94" i="11"/>
  <c r="AE82" i="11"/>
  <c r="AD82" i="11"/>
  <c r="AE118" i="11"/>
  <c r="AD118" i="11"/>
  <c r="AE117" i="11"/>
  <c r="AD117" i="11"/>
  <c r="AE46" i="11"/>
  <c r="AD46" i="11"/>
  <c r="AE65" i="11"/>
  <c r="AD65" i="11"/>
  <c r="AE70" i="11"/>
  <c r="AD70" i="11"/>
  <c r="AE20" i="11"/>
  <c r="AD20" i="11"/>
  <c r="AA56" i="11"/>
  <c r="Z56" i="11"/>
  <c r="AA57" i="11"/>
  <c r="Z57" i="11"/>
  <c r="Z33" i="11"/>
  <c r="AA33" i="11"/>
  <c r="AA128" i="11"/>
  <c r="Z128" i="11"/>
  <c r="AA130" i="11"/>
  <c r="Z130" i="11"/>
  <c r="W92" i="11"/>
  <c r="V92" i="11"/>
  <c r="V117" i="11"/>
  <c r="W117" i="11"/>
  <c r="V116" i="11"/>
  <c r="W116" i="11"/>
  <c r="W46" i="11"/>
  <c r="V46" i="11"/>
  <c r="W21" i="11"/>
  <c r="V21" i="11"/>
  <c r="V18" i="11"/>
  <c r="W18" i="11"/>
  <c r="AI6" i="10"/>
  <c r="AH6" i="10"/>
  <c r="AI9" i="10"/>
  <c r="AH9" i="10"/>
  <c r="W7" i="10"/>
  <c r="V7" i="10"/>
  <c r="Z94" i="11"/>
  <c r="AA94" i="11"/>
  <c r="AA106" i="11"/>
  <c r="Z106" i="11"/>
  <c r="Z105" i="11"/>
  <c r="AA105" i="11"/>
  <c r="W126" i="11"/>
  <c r="V126" i="11"/>
  <c r="V56" i="11"/>
  <c r="W56" i="11"/>
  <c r="W57" i="11"/>
  <c r="V57" i="11"/>
  <c r="AA7" i="10"/>
  <c r="Z7" i="10"/>
  <c r="AH17" i="11"/>
  <c r="AI17" i="11"/>
  <c r="AI20" i="11"/>
  <c r="AH20" i="11"/>
  <c r="AI125" i="11"/>
  <c r="AH125" i="11"/>
  <c r="AI57" i="11"/>
  <c r="AH57" i="11"/>
  <c r="AI56" i="11"/>
  <c r="AH56" i="11"/>
  <c r="AI41" i="11"/>
  <c r="AH41" i="11"/>
  <c r="AH30" i="11"/>
  <c r="AI30" i="11"/>
  <c r="AI32" i="11"/>
  <c r="AH32" i="11"/>
  <c r="AI104" i="11"/>
  <c r="AH104" i="11"/>
  <c r="AI106" i="11"/>
  <c r="AH106" i="11"/>
  <c r="AH81" i="11"/>
  <c r="AI81" i="11"/>
  <c r="AE106" i="11"/>
  <c r="AD106" i="11"/>
  <c r="AD104" i="11"/>
  <c r="AE104" i="11"/>
  <c r="AE127" i="11"/>
  <c r="AD127" i="11"/>
  <c r="AE57" i="11"/>
  <c r="AD57" i="11"/>
  <c r="AE58" i="11"/>
  <c r="AD58" i="11"/>
  <c r="W32" i="11"/>
  <c r="V32" i="11"/>
  <c r="V78" i="11"/>
  <c r="W78" i="11"/>
  <c r="W82" i="11"/>
  <c r="V82" i="11"/>
  <c r="W106" i="11"/>
  <c r="V106" i="11"/>
  <c r="AE30" i="11"/>
  <c r="AD30" i="11"/>
  <c r="Z80" i="11"/>
  <c r="AA80" i="11"/>
  <c r="AE10" i="10"/>
  <c r="AD10" i="10"/>
  <c r="AI70" i="11"/>
  <c r="AH70" i="11"/>
  <c r="AE81" i="11"/>
  <c r="AD81" i="11"/>
  <c r="AE67" i="11"/>
  <c r="AD67" i="11"/>
  <c r="AA55" i="11"/>
  <c r="Z55" i="11"/>
  <c r="W89" i="11"/>
  <c r="V89" i="11"/>
  <c r="V43" i="11"/>
  <c r="W43" i="11"/>
  <c r="AI7" i="10"/>
  <c r="AH7" i="10"/>
  <c r="Z101" i="11"/>
  <c r="AA101" i="11"/>
  <c r="S56" i="1"/>
  <c r="T56" i="1" s="1"/>
  <c r="S55" i="1"/>
  <c r="T55" i="1" s="1"/>
  <c r="AB10" i="11"/>
  <c r="AB7" i="11"/>
  <c r="AB9" i="11"/>
  <c r="AB8" i="11"/>
  <c r="AB5" i="11"/>
  <c r="AB6" i="11"/>
  <c r="AD29" i="11"/>
  <c r="AE29" i="11"/>
  <c r="Z18" i="11"/>
  <c r="AA18" i="11"/>
  <c r="AA22" i="11"/>
  <c r="Z22" i="11"/>
  <c r="Z79" i="11"/>
  <c r="AA79" i="11"/>
  <c r="Z65" i="11"/>
  <c r="AA65" i="11"/>
  <c r="AA68" i="11"/>
  <c r="Z68" i="11"/>
  <c r="AA114" i="11"/>
  <c r="Z114" i="11"/>
  <c r="AA42" i="11"/>
  <c r="Z42" i="11"/>
  <c r="AA41" i="11"/>
  <c r="Z41" i="11"/>
  <c r="W67" i="11"/>
  <c r="V67" i="11"/>
  <c r="W70" i="11"/>
  <c r="V70" i="11"/>
  <c r="AE9" i="10"/>
  <c r="AD9" i="10"/>
  <c r="AI118" i="11"/>
  <c r="AH118" i="11"/>
  <c r="AI114" i="11"/>
  <c r="AH114" i="11"/>
  <c r="AH68" i="11"/>
  <c r="AI68" i="11"/>
  <c r="AH90" i="11"/>
  <c r="AI90" i="11"/>
  <c r="AI92" i="11"/>
  <c r="AH92" i="11"/>
  <c r="AE93" i="11"/>
  <c r="AD93" i="11"/>
  <c r="AE78" i="11"/>
  <c r="AD78" i="11"/>
  <c r="AE79" i="11"/>
  <c r="AD79" i="11"/>
  <c r="AD113" i="11"/>
  <c r="AE113" i="11"/>
  <c r="AE45" i="11"/>
  <c r="AD45" i="11"/>
  <c r="AE42" i="11"/>
  <c r="AD42" i="11"/>
  <c r="AE69" i="11"/>
  <c r="AD69" i="11"/>
  <c r="AE18" i="11"/>
  <c r="AD18" i="11"/>
  <c r="AE17" i="11"/>
  <c r="AD17" i="11"/>
  <c r="Z54" i="11"/>
  <c r="AA54" i="11"/>
  <c r="AA30" i="11"/>
  <c r="Z30" i="11"/>
  <c r="Z31" i="11"/>
  <c r="AA31" i="11"/>
  <c r="AA127" i="11"/>
  <c r="Z127" i="11"/>
  <c r="V90" i="11"/>
  <c r="W90" i="11"/>
  <c r="V93" i="11"/>
  <c r="W93" i="11"/>
  <c r="W115" i="11"/>
  <c r="V115" i="11"/>
  <c r="W44" i="11"/>
  <c r="V44" i="11"/>
  <c r="W42" i="11"/>
  <c r="V42" i="11"/>
  <c r="W17" i="11"/>
  <c r="V17" i="11"/>
  <c r="AI8" i="10"/>
  <c r="AH8" i="10"/>
  <c r="W10" i="10"/>
  <c r="V10" i="10"/>
  <c r="W5" i="10"/>
  <c r="V5" i="10"/>
  <c r="AA90" i="11"/>
  <c r="Z90" i="11"/>
  <c r="AA91" i="11"/>
  <c r="Z91" i="11"/>
  <c r="AA102" i="11"/>
  <c r="Z102" i="11"/>
  <c r="W125" i="11"/>
  <c r="V125" i="11"/>
  <c r="W128" i="11"/>
  <c r="V128" i="11"/>
  <c r="V54" i="11"/>
  <c r="W54" i="11"/>
  <c r="AA9" i="10"/>
  <c r="Z9" i="10"/>
  <c r="AH21" i="11"/>
  <c r="AI21" i="11"/>
  <c r="AI22" i="11"/>
  <c r="AH22" i="11"/>
  <c r="AI126" i="11"/>
  <c r="AH126" i="11"/>
  <c r="AI53" i="11"/>
  <c r="AH53" i="11"/>
  <c r="AH55" i="11"/>
  <c r="AI55" i="11"/>
  <c r="AI42" i="11"/>
  <c r="AH42" i="11"/>
  <c r="AH29" i="11"/>
  <c r="AI29" i="11"/>
  <c r="AH33" i="11"/>
  <c r="AI33" i="11"/>
  <c r="AI103" i="11"/>
  <c r="AH103" i="11"/>
  <c r="AI78" i="11"/>
  <c r="AH78" i="11"/>
  <c r="AI80" i="11"/>
  <c r="AH80" i="11"/>
  <c r="AE103" i="11"/>
  <c r="AD103" i="11"/>
  <c r="AE128" i="11"/>
  <c r="AD128" i="11"/>
  <c r="AE125" i="11"/>
  <c r="AD125" i="11"/>
  <c r="AE56" i="11"/>
  <c r="AD56" i="11"/>
  <c r="W31" i="11"/>
  <c r="V31" i="11"/>
  <c r="W34" i="11"/>
  <c r="V34" i="11"/>
  <c r="W77" i="11"/>
  <c r="V77" i="11"/>
  <c r="W103" i="11"/>
  <c r="V103" i="11"/>
  <c r="W104" i="11"/>
  <c r="V104" i="11"/>
  <c r="AA77" i="11"/>
  <c r="Z77" i="11"/>
  <c r="AA116" i="11"/>
  <c r="Z116" i="11"/>
  <c r="AH117" i="11"/>
  <c r="AI117" i="11"/>
  <c r="AE90" i="11"/>
  <c r="AD90" i="11"/>
  <c r="AE116" i="11"/>
  <c r="AD116" i="11"/>
  <c r="AE22" i="11"/>
  <c r="AD22" i="11"/>
  <c r="AA126" i="11"/>
  <c r="Z126" i="11"/>
  <c r="W118" i="11"/>
  <c r="V118" i="11"/>
  <c r="AI10" i="10"/>
  <c r="AH10" i="10"/>
  <c r="Z93" i="11"/>
  <c r="AA93" i="11"/>
  <c r="T6" i="11"/>
  <c r="T10" i="11"/>
  <c r="T9" i="11"/>
  <c r="T5" i="11"/>
  <c r="T7" i="11"/>
  <c r="T8" i="11"/>
  <c r="K5" i="11"/>
  <c r="X6" i="11"/>
  <c r="X10" i="11"/>
  <c r="X5" i="11"/>
  <c r="X7" i="11"/>
  <c r="X8" i="11"/>
  <c r="X9" i="11"/>
  <c r="AE32" i="11"/>
  <c r="AD32" i="11"/>
  <c r="Z21" i="11"/>
  <c r="AA21" i="11"/>
  <c r="Z19" i="11"/>
  <c r="AA19" i="11"/>
  <c r="AA78" i="11"/>
  <c r="Z78" i="11"/>
  <c r="AA67" i="11"/>
  <c r="Z67" i="11"/>
  <c r="Z69" i="11"/>
  <c r="AA69" i="11"/>
  <c r="AA117" i="11"/>
  <c r="Z117" i="11"/>
  <c r="Z44" i="11"/>
  <c r="AA44" i="11"/>
  <c r="AA43" i="11"/>
  <c r="Z43" i="11"/>
  <c r="W66" i="11"/>
  <c r="V66" i="11"/>
  <c r="V69" i="11"/>
  <c r="W69" i="11"/>
  <c r="AE6" i="10"/>
  <c r="AD6" i="10"/>
  <c r="AI113" i="11"/>
  <c r="AH113" i="11"/>
  <c r="AH116" i="11"/>
  <c r="AI116" i="11"/>
  <c r="AI65" i="11"/>
  <c r="AH65" i="11"/>
  <c r="AI91" i="11"/>
  <c r="AH91" i="11"/>
  <c r="AH93" i="11"/>
  <c r="AI93" i="11"/>
  <c r="AE92" i="11"/>
  <c r="AD92" i="11"/>
  <c r="AE77" i="11"/>
  <c r="AD77" i="11"/>
  <c r="AE80" i="11"/>
  <c r="AD80" i="11"/>
  <c r="AE114" i="11"/>
  <c r="AD114" i="11"/>
  <c r="AD41" i="11"/>
  <c r="AE41" i="11"/>
  <c r="AE43" i="11"/>
  <c r="AD43" i="11"/>
  <c r="AD66" i="11"/>
  <c r="AE66" i="11"/>
  <c r="AE19" i="11"/>
  <c r="AD19" i="11"/>
  <c r="AD21" i="11"/>
  <c r="AE21" i="11"/>
  <c r="Z53" i="11"/>
  <c r="AA53" i="11"/>
  <c r="AA29" i="11"/>
  <c r="Z29" i="11"/>
  <c r="AA34" i="11"/>
  <c r="Z34" i="11"/>
  <c r="Z125" i="11"/>
  <c r="AA125" i="11"/>
  <c r="W94" i="11"/>
  <c r="V94" i="11"/>
  <c r="W91" i="11"/>
  <c r="V91" i="11"/>
  <c r="V113" i="11"/>
  <c r="W113" i="11"/>
  <c r="W41" i="11"/>
  <c r="V41" i="11"/>
  <c r="W45" i="11"/>
  <c r="V45" i="11"/>
  <c r="W20" i="11"/>
  <c r="V20" i="11"/>
  <c r="AI5" i="10"/>
  <c r="AH5" i="10"/>
  <c r="W6" i="10"/>
  <c r="V6" i="10"/>
  <c r="W8" i="10"/>
  <c r="V8" i="10"/>
  <c r="AA89" i="11"/>
  <c r="Z89" i="11"/>
  <c r="AA92" i="11"/>
  <c r="Z92" i="11"/>
  <c r="AA103" i="11"/>
  <c r="Z103" i="11"/>
  <c r="W127" i="11"/>
  <c r="V127" i="11"/>
  <c r="W130" i="11"/>
  <c r="V130" i="11"/>
  <c r="V53" i="11"/>
  <c r="W53" i="11"/>
  <c r="AA10" i="10"/>
  <c r="Z10" i="10"/>
  <c r="AA6" i="10"/>
  <c r="Z6" i="10"/>
  <c r="AI18" i="11"/>
  <c r="AH18" i="11"/>
  <c r="AI128" i="11"/>
  <c r="AH128" i="11"/>
  <c r="AI127" i="11"/>
  <c r="AH127" i="11"/>
  <c r="AI58" i="11"/>
  <c r="AH58" i="11"/>
  <c r="AH43" i="11"/>
  <c r="AI43" i="11"/>
  <c r="AI46" i="11"/>
  <c r="AH46" i="11"/>
  <c r="AI34" i="11"/>
  <c r="AH34" i="11"/>
  <c r="AF6" i="11"/>
  <c r="AF5" i="11"/>
  <c r="AF7" i="11"/>
  <c r="AF10" i="11"/>
  <c r="AF8" i="11"/>
  <c r="AF9" i="11"/>
  <c r="AH101" i="11"/>
  <c r="AI101" i="11"/>
  <c r="AI77" i="11"/>
  <c r="AH77" i="11"/>
  <c r="AH79" i="11"/>
  <c r="AI79" i="11"/>
  <c r="AD105" i="11"/>
  <c r="AE105" i="11"/>
  <c r="AE129" i="11"/>
  <c r="AD129" i="11"/>
  <c r="AE130" i="11"/>
  <c r="AD130" i="11"/>
  <c r="AD54" i="11"/>
  <c r="AE54" i="11"/>
  <c r="V29" i="11"/>
  <c r="W29" i="11"/>
  <c r="W30" i="11"/>
  <c r="V30" i="11"/>
  <c r="V81" i="11"/>
  <c r="W81" i="11"/>
  <c r="V102" i="11"/>
  <c r="W102" i="11"/>
  <c r="W105" i="11"/>
  <c r="V105" i="11"/>
  <c r="AE14" i="9"/>
  <c r="AA14" i="9"/>
  <c r="AI12" i="9"/>
  <c r="S6" i="11"/>
  <c r="R6" i="11"/>
  <c r="R16" i="11"/>
  <c r="S16" i="11"/>
  <c r="AI5" i="9"/>
  <c r="S14" i="11"/>
  <c r="R14" i="11"/>
  <c r="AI8" i="9"/>
  <c r="S12" i="11"/>
  <c r="R12" i="11"/>
  <c r="AI9" i="9"/>
  <c r="AI11" i="9"/>
  <c r="AI13" i="9"/>
  <c r="R5" i="11"/>
  <c r="S5" i="11"/>
  <c r="R9" i="11"/>
  <c r="S9" i="11"/>
  <c r="AI14" i="9"/>
  <c r="AI6" i="9"/>
  <c r="AI15" i="9"/>
  <c r="R8" i="11"/>
  <c r="S8" i="11"/>
  <c r="R10" i="11"/>
  <c r="S10" i="11"/>
  <c r="R11" i="11"/>
  <c r="S11" i="11"/>
  <c r="AI10" i="9"/>
  <c r="AI7" i="9"/>
  <c r="R15" i="11"/>
  <c r="S15" i="11"/>
  <c r="S7" i="11"/>
  <c r="R7" i="11"/>
  <c r="R13" i="11"/>
  <c r="S13" i="11"/>
  <c r="AE5" i="9"/>
  <c r="AE6" i="9"/>
  <c r="AE8" i="9"/>
  <c r="AE13" i="9"/>
  <c r="AE15" i="9"/>
  <c r="N16" i="11"/>
  <c r="O16" i="11"/>
  <c r="O9" i="11"/>
  <c r="N9" i="11"/>
  <c r="AE11" i="9"/>
  <c r="N8" i="11"/>
  <c r="O8" i="11"/>
  <c r="AE7" i="9"/>
  <c r="AE10" i="9"/>
  <c r="N13" i="11"/>
  <c r="O13" i="11"/>
  <c r="O11" i="11"/>
  <c r="N11" i="11"/>
  <c r="O5" i="11"/>
  <c r="N5" i="11"/>
  <c r="N7" i="11"/>
  <c r="O7" i="11"/>
  <c r="N10" i="11"/>
  <c r="O10" i="11"/>
  <c r="N12" i="11"/>
  <c r="O12" i="11"/>
  <c r="N6" i="11"/>
  <c r="O6" i="11"/>
  <c r="N14" i="11"/>
  <c r="O14" i="11"/>
  <c r="O15" i="11"/>
  <c r="N15" i="11"/>
  <c r="AE12" i="9"/>
  <c r="AE9" i="9"/>
  <c r="AA11" i="9"/>
  <c r="AA13" i="9"/>
  <c r="AA7" i="9"/>
  <c r="K13" i="11"/>
  <c r="J13" i="11"/>
  <c r="AA5" i="9"/>
  <c r="J11" i="11"/>
  <c r="K11" i="11"/>
  <c r="J5" i="11"/>
  <c r="J12" i="11"/>
  <c r="K12" i="11"/>
  <c r="J6" i="11"/>
  <c r="K6" i="11"/>
  <c r="AA8" i="9"/>
  <c r="J16" i="11"/>
  <c r="K16" i="11"/>
  <c r="K10" i="11"/>
  <c r="J10" i="11"/>
  <c r="AA6" i="9"/>
  <c r="AA12" i="9"/>
  <c r="J7" i="11"/>
  <c r="K7" i="11"/>
  <c r="AA9" i="9"/>
  <c r="K14" i="11"/>
  <c r="J14" i="11"/>
  <c r="J9" i="11"/>
  <c r="K9" i="11"/>
  <c r="J15" i="11"/>
  <c r="K15" i="11"/>
  <c r="AA10" i="9"/>
  <c r="J8" i="11"/>
  <c r="K8" i="11"/>
  <c r="W13" i="9"/>
  <c r="F14" i="11"/>
  <c r="G14" i="11"/>
  <c r="G10" i="11"/>
  <c r="F10" i="11"/>
  <c r="G5" i="11"/>
  <c r="F5" i="11"/>
  <c r="F9" i="11"/>
  <c r="G9" i="11"/>
  <c r="F7" i="11"/>
  <c r="G7" i="11"/>
  <c r="F11" i="11"/>
  <c r="G11" i="11"/>
  <c r="F8" i="11"/>
  <c r="G8" i="11"/>
  <c r="F15" i="11"/>
  <c r="G15" i="11"/>
  <c r="G12" i="11"/>
  <c r="F12" i="11"/>
  <c r="G13" i="11"/>
  <c r="F13" i="11"/>
  <c r="G6" i="11"/>
  <c r="F6" i="11"/>
  <c r="F16" i="11"/>
  <c r="G16" i="11"/>
  <c r="W7" i="9"/>
  <c r="W14" i="9"/>
  <c r="W12" i="9"/>
  <c r="W6" i="9"/>
  <c r="W8" i="9"/>
  <c r="W9" i="9"/>
  <c r="W11" i="9"/>
  <c r="W5" i="9"/>
  <c r="W15" i="9"/>
  <c r="W10" i="9"/>
  <c r="V10" i="9"/>
  <c r="AD14" i="9"/>
  <c r="AD11" i="9"/>
  <c r="AD10" i="9"/>
  <c r="V6" i="9"/>
  <c r="V11" i="9"/>
  <c r="V7" i="9"/>
  <c r="AH11" i="9"/>
  <c r="AH8" i="9"/>
  <c r="AH13" i="9"/>
  <c r="Z10" i="9"/>
  <c r="Z12" i="9"/>
  <c r="Z8" i="9"/>
  <c r="Z6" i="9"/>
  <c r="AD15" i="9"/>
  <c r="AD16" i="9"/>
  <c r="AD5" i="9"/>
  <c r="V15" i="9"/>
  <c r="V13" i="9"/>
  <c r="AH12" i="9"/>
  <c r="AH5" i="9"/>
  <c r="Z15" i="9"/>
  <c r="Z14" i="9"/>
  <c r="AD6" i="9"/>
  <c r="AD13" i="9"/>
  <c r="AD9" i="9"/>
  <c r="V8" i="9"/>
  <c r="V9" i="9"/>
  <c r="V5" i="9"/>
  <c r="AH10" i="9"/>
  <c r="AH15" i="9"/>
  <c r="AH7" i="9"/>
  <c r="AH14" i="9"/>
  <c r="Z9" i="9"/>
  <c r="Z13" i="9"/>
  <c r="Z11" i="9"/>
  <c r="AD12" i="9"/>
  <c r="AD8" i="9"/>
  <c r="AD7" i="9"/>
  <c r="V14" i="9"/>
  <c r="V16" i="9"/>
  <c r="V12" i="9"/>
  <c r="AH16" i="9"/>
  <c r="AH9" i="9"/>
  <c r="AH6" i="9"/>
  <c r="Z7" i="9"/>
  <c r="Z5" i="9"/>
  <c r="Z16" i="9"/>
  <c r="S5" i="3"/>
  <c r="T5" i="3" s="1"/>
  <c r="S22" i="1"/>
  <c r="T22" i="1" s="1"/>
  <c r="U5" i="1"/>
  <c r="U6" i="1" s="1"/>
  <c r="U7" i="3"/>
  <c r="V6" i="3"/>
  <c r="U37" i="1"/>
  <c r="U38" i="1" s="1"/>
  <c r="V38" i="1" s="1"/>
  <c r="S37" i="1"/>
  <c r="S38" i="1" s="1"/>
  <c r="T38" i="1" s="1"/>
  <c r="G4" i="8"/>
  <c r="U53" i="1"/>
  <c r="C9" i="8"/>
  <c r="S57" i="1"/>
  <c r="S58" i="1" s="1"/>
  <c r="T58" i="1" s="1"/>
  <c r="U21" i="1"/>
  <c r="S5" i="1"/>
  <c r="T5" i="1" s="1"/>
  <c r="C10" i="8"/>
  <c r="G10" i="8"/>
  <c r="G7" i="8"/>
  <c r="G16" i="1"/>
  <c r="G16" i="8" s="1"/>
  <c r="P48" i="1"/>
  <c r="H32" i="1"/>
  <c r="P32" i="1"/>
  <c r="J32" i="8"/>
  <c r="H64" i="1"/>
  <c r="D64" i="8"/>
  <c r="H8" i="1"/>
  <c r="C8" i="8"/>
  <c r="H9" i="1"/>
  <c r="F9" i="8"/>
  <c r="H10" i="1"/>
  <c r="E10" i="8"/>
  <c r="H11" i="1"/>
  <c r="D11" i="8"/>
  <c r="H12" i="1"/>
  <c r="C12" i="8"/>
  <c r="H13" i="1"/>
  <c r="F13" i="8"/>
  <c r="H14" i="1"/>
  <c r="E14" i="8"/>
  <c r="H15" i="1"/>
  <c r="D15" i="8"/>
  <c r="H48" i="1"/>
  <c r="P16" i="1"/>
  <c r="K16" i="8"/>
  <c r="H16" i="4"/>
  <c r="H16" i="3"/>
  <c r="P64" i="1"/>
  <c r="H7" i="1"/>
  <c r="C16" i="1"/>
  <c r="C16" i="8" s="1"/>
  <c r="H6" i="1"/>
  <c r="F16" i="1"/>
  <c r="F16" i="8" s="1"/>
  <c r="E16" i="1"/>
  <c r="E16" i="8" s="1"/>
  <c r="D16" i="1"/>
  <c r="D16" i="8" s="1"/>
  <c r="H5" i="1"/>
  <c r="H4" i="1"/>
  <c r="Z15" i="11" l="1"/>
  <c r="AA15" i="11"/>
  <c r="AD16" i="11"/>
  <c r="AE16" i="11"/>
  <c r="AD15" i="11"/>
  <c r="AE15" i="11"/>
  <c r="V16" i="11"/>
  <c r="W16" i="11"/>
  <c r="W15" i="11"/>
  <c r="V15" i="11"/>
  <c r="AH15" i="11"/>
  <c r="AI15" i="11"/>
  <c r="AA16" i="11"/>
  <c r="Z16" i="11"/>
  <c r="AH16" i="11"/>
  <c r="AI16" i="11"/>
  <c r="T54" i="1"/>
  <c r="AD14" i="11"/>
  <c r="AE14" i="11"/>
  <c r="Z14" i="11"/>
  <c r="AA14" i="11"/>
  <c r="W14" i="11"/>
  <c r="V14" i="11"/>
  <c r="AH14" i="11"/>
  <c r="AI14" i="11"/>
  <c r="AE13" i="11"/>
  <c r="AD13" i="11"/>
  <c r="AH13" i="11"/>
  <c r="AI13" i="11"/>
  <c r="Z13" i="11"/>
  <c r="AA13" i="11"/>
  <c r="V13" i="11"/>
  <c r="W13" i="11"/>
  <c r="AH12" i="11"/>
  <c r="AI12" i="11"/>
  <c r="AE12" i="11"/>
  <c r="AD12" i="11"/>
  <c r="Z12" i="11"/>
  <c r="AA12" i="11"/>
  <c r="W12" i="11"/>
  <c r="V12" i="11"/>
  <c r="AI11" i="11"/>
  <c r="AH11" i="11"/>
  <c r="AE11" i="11"/>
  <c r="AD11" i="11"/>
  <c r="AA11" i="11"/>
  <c r="Z11" i="11"/>
  <c r="W11" i="11"/>
  <c r="V11" i="11"/>
  <c r="AI9" i="11"/>
  <c r="AH9" i="11"/>
  <c r="AI5" i="11"/>
  <c r="AH5" i="11"/>
  <c r="Z7" i="11"/>
  <c r="AA7" i="11"/>
  <c r="W9" i="11"/>
  <c r="V9" i="11"/>
  <c r="AE6" i="11"/>
  <c r="AD6" i="11"/>
  <c r="AD7" i="11"/>
  <c r="AE7" i="11"/>
  <c r="AI8" i="11"/>
  <c r="AH8" i="11"/>
  <c r="AH6" i="11"/>
  <c r="AI6" i="11"/>
  <c r="AA5" i="11"/>
  <c r="Z5" i="11"/>
  <c r="V8" i="11"/>
  <c r="W8" i="11"/>
  <c r="W10" i="11"/>
  <c r="V10" i="11"/>
  <c r="AE5" i="11"/>
  <c r="AD5" i="11"/>
  <c r="AE10" i="11"/>
  <c r="AD10" i="11"/>
  <c r="AI10" i="11"/>
  <c r="AH10" i="11"/>
  <c r="AA9" i="11"/>
  <c r="Z9" i="11"/>
  <c r="Z10" i="11"/>
  <c r="AA10" i="11"/>
  <c r="V7" i="11"/>
  <c r="W7" i="11"/>
  <c r="V6" i="11"/>
  <c r="W6" i="11"/>
  <c r="AD8" i="11"/>
  <c r="AE8" i="11"/>
  <c r="S23" i="1"/>
  <c r="S24" i="1" s="1"/>
  <c r="T24" i="1" s="1"/>
  <c r="AH7" i="11"/>
  <c r="AI7" i="11"/>
  <c r="Z8" i="11"/>
  <c r="AA8" i="11"/>
  <c r="AA6" i="11"/>
  <c r="Z6" i="11"/>
  <c r="W5" i="11"/>
  <c r="V5" i="11"/>
  <c r="AE9" i="11"/>
  <c r="AD9" i="11"/>
  <c r="S6" i="3"/>
  <c r="T6" i="3" s="1"/>
  <c r="V37" i="1"/>
  <c r="T37" i="1"/>
  <c r="V21" i="1"/>
  <c r="V6" i="1"/>
  <c r="V5" i="1"/>
  <c r="U7" i="1"/>
  <c r="V7" i="1" s="1"/>
  <c r="S6" i="1"/>
  <c r="S7" i="1" s="1"/>
  <c r="T7" i="1" s="1"/>
  <c r="U22" i="1"/>
  <c r="U23" i="1" s="1"/>
  <c r="V23" i="1" s="1"/>
  <c r="V7" i="3"/>
  <c r="U8" i="3"/>
  <c r="T57" i="1"/>
  <c r="S59" i="1"/>
  <c r="T59" i="1" s="1"/>
  <c r="V53" i="1"/>
  <c r="U54" i="1"/>
  <c r="U39" i="1"/>
  <c r="V39" i="1" s="1"/>
  <c r="S39" i="1"/>
  <c r="H16" i="1"/>
  <c r="T23" i="1" l="1"/>
  <c r="S60" i="1"/>
  <c r="T60" i="1" s="1"/>
  <c r="S7" i="3"/>
  <c r="S8" i="3" s="1"/>
  <c r="T8" i="3" s="1"/>
  <c r="S25" i="1"/>
  <c r="S26" i="1" s="1"/>
  <c r="T26" i="1" s="1"/>
  <c r="U40" i="1"/>
  <c r="V40" i="1" s="1"/>
  <c r="U24" i="1"/>
  <c r="V24" i="1" s="1"/>
  <c r="U8" i="1"/>
  <c r="T6" i="1"/>
  <c r="S8" i="1"/>
  <c r="T8" i="1" s="1"/>
  <c r="V54" i="1"/>
  <c r="U55" i="1"/>
  <c r="V55" i="1" s="1"/>
  <c r="T39" i="1"/>
  <c r="S40" i="1"/>
  <c r="V8" i="3"/>
  <c r="U9" i="3"/>
  <c r="V22" i="1"/>
  <c r="U25" i="1" l="1"/>
  <c r="V25" i="1" s="1"/>
  <c r="S61" i="1"/>
  <c r="S62" i="1"/>
  <c r="T62" i="1" s="1"/>
  <c r="T7" i="3"/>
  <c r="S27" i="1"/>
  <c r="T27" i="1" s="1"/>
  <c r="T25" i="1"/>
  <c r="U41" i="1"/>
  <c r="U42" i="1" s="1"/>
  <c r="V42" i="1" s="1"/>
  <c r="U56" i="1"/>
  <c r="V56" i="1" s="1"/>
  <c r="S9" i="1"/>
  <c r="S10" i="1" s="1"/>
  <c r="T10" i="1" s="1"/>
  <c r="S9" i="3"/>
  <c r="T9" i="3" s="1"/>
  <c r="V8" i="1"/>
  <c r="U9" i="1"/>
  <c r="T40" i="1"/>
  <c r="U26" i="1"/>
  <c r="U10" i="3"/>
  <c r="V10" i="3" s="1"/>
  <c r="V9" i="3"/>
  <c r="S41" i="1"/>
  <c r="T61" i="1" l="1"/>
  <c r="S63" i="1"/>
  <c r="T63" i="1" s="1"/>
  <c r="S28" i="1"/>
  <c r="T28" i="1" s="1"/>
  <c r="U43" i="1"/>
  <c r="V43" i="1" s="1"/>
  <c r="U57" i="1"/>
  <c r="V57" i="1" s="1"/>
  <c r="V41" i="1"/>
  <c r="S10" i="3"/>
  <c r="T10" i="3" s="1"/>
  <c r="V9" i="1"/>
  <c r="T9" i="1"/>
  <c r="U10" i="1"/>
  <c r="V10" i="1" s="1"/>
  <c r="T41" i="1"/>
  <c r="S42" i="1"/>
  <c r="T42" i="1" s="1"/>
  <c r="V26" i="1"/>
  <c r="U27" i="1"/>
  <c r="V27" i="1" s="1"/>
  <c r="U11" i="3"/>
  <c r="V11" i="3" s="1"/>
  <c r="S11" i="1"/>
  <c r="T11" i="1" s="1"/>
  <c r="U58" i="1" l="1"/>
  <c r="V58" i="1" s="1"/>
  <c r="S29" i="1"/>
  <c r="T29" i="1" s="1"/>
  <c r="U44" i="1"/>
  <c r="V44" i="1" s="1"/>
  <c r="S11" i="3"/>
  <c r="T11" i="3" s="1"/>
  <c r="S12" i="1"/>
  <c r="T12" i="1" s="1"/>
  <c r="S30" i="1"/>
  <c r="U28" i="1"/>
  <c r="U11" i="1"/>
  <c r="U12" i="1"/>
  <c r="V12" i="1" s="1"/>
  <c r="U59" i="1"/>
  <c r="S43" i="1"/>
  <c r="U45" i="1" l="1"/>
  <c r="V45" i="1" s="1"/>
  <c r="U46" i="1"/>
  <c r="V46" i="1" s="1"/>
  <c r="V59" i="1"/>
  <c r="U60" i="1"/>
  <c r="S12" i="3"/>
  <c r="T12" i="3" s="1"/>
  <c r="S13" i="1"/>
  <c r="S14" i="1" s="1"/>
  <c r="T14" i="1" s="1"/>
  <c r="T43" i="1"/>
  <c r="S44" i="1"/>
  <c r="T30" i="1"/>
  <c r="S31" i="1"/>
  <c r="T31" i="1" s="1"/>
  <c r="V28" i="1"/>
  <c r="U29" i="1"/>
  <c r="V11" i="1"/>
  <c r="U13" i="1"/>
  <c r="U47" i="1" l="1"/>
  <c r="V47" i="1" s="1"/>
  <c r="T13" i="1"/>
  <c r="S13" i="3"/>
  <c r="V60" i="1"/>
  <c r="U61" i="1"/>
  <c r="T44" i="1"/>
  <c r="S45" i="1"/>
  <c r="S15" i="1"/>
  <c r="T15" i="1" s="1"/>
  <c r="V29" i="1"/>
  <c r="U30" i="1"/>
  <c r="V13" i="1"/>
  <c r="U14" i="1"/>
  <c r="S14" i="3" l="1"/>
  <c r="T14" i="3" s="1"/>
  <c r="T13" i="3"/>
  <c r="V61" i="1"/>
  <c r="U62" i="1"/>
  <c r="T45" i="1"/>
  <c r="S46" i="1"/>
  <c r="V30" i="1"/>
  <c r="U31" i="1"/>
  <c r="V31" i="1" s="1"/>
  <c r="V14" i="1"/>
  <c r="U15" i="1"/>
  <c r="V15" i="1" s="1"/>
  <c r="S15" i="3" l="1"/>
  <c r="T15" i="3" s="1"/>
  <c r="V62" i="1"/>
  <c r="U63" i="1"/>
  <c r="V63" i="1" s="1"/>
  <c r="T46" i="1"/>
  <c r="S47" i="1"/>
  <c r="T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F6EE16F4-4DD3-4C2E-91C0-B785197A6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188تن انبار تحت کلید</t>
        </r>
      </text>
    </comment>
    <comment ref="D22" authorId="0" shapeId="0" xr:uid="{9B4320F1-4A36-4117-BDF7-7E550D41E9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161تن انبار تحت کلید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4" authorId="0" shapeId="0" xr:uid="{FC06FFE2-BB70-415F-8204-5F8FBC0351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94 تن انبار تحت کلید</t>
        </r>
      </text>
    </comment>
    <comment ref="D24" authorId="0" shapeId="0" xr:uid="{5A10A0F8-06A7-4A54-A63D-48FEE0C0D3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581تن انبار تحت کلید</t>
        </r>
      </text>
    </comment>
    <comment ref="C26" authorId="0" shapeId="0" xr:uid="{909EC16C-0DF7-4ACB-A7A3-A1DBFB918A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64تن انبار تحت کلید</t>
        </r>
      </text>
    </comment>
    <comment ref="D26" authorId="0" shapeId="0" xr:uid="{215A6BD7-68E5-43D4-840E-73FD1F782A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62تناتبار تحت کلید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7" authorId="0" shapeId="0" xr:uid="{380DD511-0375-44B5-BD6F-9AA0A59DF9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69تن انبار تحت کلید</t>
        </r>
      </text>
    </comment>
    <comment ref="D29" authorId="0" shapeId="0" xr:uid="{E227B55A-89FF-4156-A90C-C61529AE9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15تن انبار تحت کلید
</t>
        </r>
      </text>
    </comment>
  </commentList>
</comments>
</file>

<file path=xl/sharedStrings.xml><?xml version="1.0" encoding="utf-8"?>
<sst xmlns="http://schemas.openxmlformats.org/spreadsheetml/2006/main" count="1962" uniqueCount="57">
  <si>
    <t>ماه</t>
  </si>
  <si>
    <t>تخلیه</t>
  </si>
  <si>
    <t>بارگیری</t>
  </si>
  <si>
    <t>حمل یکسره</t>
  </si>
  <si>
    <t>ترانشیپمنت</t>
  </si>
  <si>
    <t>رسوب</t>
  </si>
  <si>
    <t>جمع</t>
  </si>
  <si>
    <t>جمع عملیاتی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</si>
  <si>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</si>
  <si>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</si>
  <si>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</si>
  <si>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</si>
  <si>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</si>
  <si>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</si>
  <si>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</si>
  <si>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</si>
  <si>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</si>
  <si>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</si>
  <si>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</si>
  <si>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</si>
  <si>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فرودگاه هاشمی نژاد</t>
  </si>
  <si>
    <t>شهید کاوه</t>
  </si>
  <si>
    <t>مطهری</t>
  </si>
  <si>
    <t>سرخس</t>
  </si>
  <si>
    <t>لطف آباد</t>
  </si>
  <si>
    <t>نیشابور</t>
  </si>
  <si>
    <t>دوغارون</t>
  </si>
  <si>
    <t>صادرات مجتمع خراسان</t>
  </si>
  <si>
    <t>واردات مجتمع خراسان</t>
  </si>
  <si>
    <t>تجمیعی مجتمع خراسان</t>
  </si>
  <si>
    <t>درصد اشغال</t>
  </si>
  <si>
    <t>انبار مسقف مجتمع خراسان</t>
  </si>
  <si>
    <t>متراژ انبار</t>
  </si>
  <si>
    <t>انبار بارانداز مجتمع خراسان</t>
  </si>
  <si>
    <t>انبار هانگار مجتمع خراسان</t>
  </si>
  <si>
    <t>انبار مجتمع خراسان</t>
  </si>
  <si>
    <t>اگر اختلاف تناژ عملیات های تخلیه و بارگیری و همچنین رسوب در شیت تجمیعی بیشتر از جمع تناژ این عملیات ها در انبارها باشد، عدد مثبت نمایان می شود.</t>
  </si>
  <si>
    <t>اگر اختلاف تناژ عملیات های تخلیه و بارگیری و همچنین رسوب در شیت تجمیعی کمتر از جمع تناژ این عملیات ها در انبارها باشد، عدد منفی نمایان می شود.</t>
  </si>
  <si>
    <t>بجنورد</t>
  </si>
  <si>
    <t>رسوب محاسبه شده</t>
  </si>
  <si>
    <t>بیرجند</t>
  </si>
  <si>
    <t>ماهیرود</t>
  </si>
  <si>
    <t>شعبه</t>
  </si>
  <si>
    <t>عملیات</t>
  </si>
  <si>
    <t>بودجه</t>
  </si>
  <si>
    <t>اختلاف</t>
  </si>
  <si>
    <t>تحقق بودجه</t>
  </si>
  <si>
    <t>مقایسه‌ای بودجه واردات نسبت به عملکرد آن</t>
  </si>
  <si>
    <t>مجتمع خراسان</t>
  </si>
  <si>
    <t>تجمیعی تخلیه</t>
  </si>
  <si>
    <t>تجمیعی بارگیری</t>
  </si>
  <si>
    <t>تجمیعی حمل یکسره</t>
  </si>
  <si>
    <t>تجمیعی ترانشیپمنت</t>
  </si>
  <si>
    <t>مقایسه‌ای بودجه صادرات نسبت به عملکرد آن</t>
  </si>
  <si>
    <t>مقایسه‌ای بودجه تجمیعی (واردات و صادرات) نسبت به عملکرد آن</t>
  </si>
  <si>
    <t>ماه:</t>
  </si>
  <si>
    <t>باجگیران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</si>
</sst>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0"/>
      <color theme="1"/>
      <name val="B Titr"/>
      <charset val="178"/>
    </font>
    <font>
      <b/>
      <sz val="11"/>
      <color theme="1"/>
      <name val="B Mitra"/>
      <charset val="178"/>
    </font>
    <font>
      <b/>
      <sz val="12"/>
      <color theme="0"/>
      <name val="B Titr"/>
      <charset val="178"/>
    </font>
    <font>
      <b/>
      <sz val="11"/>
      <color theme="0"/>
      <name val="B Nazanin"/>
      <charset val="178"/>
    </font>
    <font>
      <b/>
      <sz val="10"/>
      <color theme="0"/>
      <name val="B Titr"/>
      <charset val="178"/>
    </font>
    <font>
      <b/>
      <sz val="11"/>
      <color theme="0" tint="-4.9989318521683403E-2"/>
      <name val="B Nazanin"/>
      <charset val="178"/>
    </font>
    <font>
      <b/>
      <sz val="12"/>
      <color rgb="FFFF7C80"/>
      <name val="B Nazanin"/>
      <charset val="178"/>
    </font>
    <font>
      <b/>
      <sz val="12"/>
      <color rgb="FFFFFF00"/>
      <name val="B Nazanin"/>
      <charset val="178"/>
    </font>
    <font>
      <b/>
      <sz val="18"/>
      <color theme="1"/>
      <name val="B Mitra"/>
      <charset val="178"/>
    </font>
    <font>
      <b/>
      <sz val="14"/>
      <color rgb="FFFFFF00"/>
      <name val="B Mitra"/>
      <charset val="178"/>
    </font>
    <font>
      <b/>
      <sz val="9"/>
      <color theme="0"/>
      <name val="B Mitra"/>
      <charset val="178"/>
    </font>
    <font>
      <b/>
      <sz val="11"/>
      <color theme="0" tint="-4.9989318521683403E-2"/>
      <name val="B Mitra"/>
      <charset val="178"/>
    </font>
    <font>
      <b/>
      <sz val="11"/>
      <color theme="1"/>
      <name val="B Titr"/>
      <charset val="178"/>
    </font>
    <font>
      <b/>
      <sz val="12"/>
      <color theme="5" tint="-0.249977111117893"/>
      <name val="B Titr"/>
      <charset val="178"/>
    </font>
    <font>
      <b/>
      <sz val="18"/>
      <color rgb="FFFFFF00"/>
      <name val="B Mitra"/>
      <charset val="178"/>
    </font>
    <font>
      <b/>
      <sz val="11"/>
      <color rgb="FFFFFF00"/>
      <name val="B Mitra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darkTrellis">
        <fgColor theme="0" tint="-4.9989318521683403E-2"/>
        <bgColor indexed="65"/>
      </patternFill>
    </fill>
    <fill>
      <patternFill patternType="solid">
        <fgColor theme="1" tint="4.9989318521683403E-2"/>
        <bgColor theme="0" tint="-4.9989318521683403E-2"/>
      </patternFill>
    </fill>
    <fill>
      <patternFill patternType="solid">
        <fgColor theme="2" tint="-0.249977111117893"/>
        <bgColor theme="0" tint="-4.9989318521683403E-2"/>
      </patternFill>
    </fill>
    <fill>
      <patternFill patternType="solid">
        <fgColor indexed="65"/>
        <bgColor theme="0" tint="-4.9989318521683403E-2"/>
      </patternFill>
    </fill>
    <fill>
      <patternFill patternType="solid">
        <fgColor theme="8" tint="0.59999389629810485"/>
        <bgColor theme="0" tint="-4.9989318521683403E-2"/>
      </patternFill>
    </fill>
    <fill>
      <patternFill patternType="solid">
        <fgColor theme="6" tint="0.59999389629810485"/>
        <bgColor theme="0" tint="-4.9989318521683403E-2"/>
      </patternFill>
    </fill>
    <fill>
      <patternFill patternType="solid">
        <fgColor theme="6" tint="0.39997558519241921"/>
        <bgColor theme="0" tint="-4.9989318521683403E-2"/>
      </patternFill>
    </fill>
    <fill>
      <patternFill patternType="solid">
        <fgColor theme="9" tint="0.59999389629810485"/>
        <bgColor theme="0" tint="-4.9989318521683403E-2"/>
      </patternFill>
    </fill>
    <fill>
      <patternFill patternType="solid">
        <fgColor rgb="FFFFFF00"/>
        <bgColor theme="0" tint="-4.9989318521683403E-2"/>
      </patternFill>
    </fill>
    <fill>
      <patternFill patternType="solid">
        <fgColor theme="7" tint="0.79998168889431442"/>
        <bgColor theme="0" tint="-4.9989318521683403E-2"/>
      </patternFill>
    </fill>
    <fill>
      <patternFill patternType="solid">
        <fgColor theme="8" tint="0.79998168889431442"/>
        <bgColor theme="0" tint="-4.9989318521683403E-2"/>
      </patternFill>
    </fill>
    <fill>
      <patternFill patternType="solid">
        <fgColor rgb="FFFF7C80"/>
        <bgColor theme="0" tint="-4.9989318521683403E-2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5" tint="-0.499984740745262"/>
        <bgColor theme="0" tint="-4.9989318521683403E-2"/>
      </patternFill>
    </fill>
    <fill>
      <patternFill patternType="solid">
        <fgColor theme="0" tint="-0.249977111117893"/>
        <bgColor theme="0" tint="-4.9989318521683403E-2"/>
      </patternFill>
    </fill>
    <fill>
      <patternFill patternType="solid">
        <fgColor rgb="FFE0F2DE"/>
        <bgColor theme="0" tint="-4.9989318521683403E-2"/>
      </patternFill>
    </fill>
    <fill>
      <patternFill patternType="solid">
        <fgColor rgb="FF62F0F0"/>
        <bgColor theme="0" tint="-4.9989318521683403E-2"/>
      </patternFill>
    </fill>
    <fill>
      <patternFill patternType="solid">
        <fgColor theme="1"/>
        <bgColor theme="0" tint="-4.9989318521683403E-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2F0F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readingOrder="2"/>
    </xf>
    <xf numFmtId="0" fontId="2" fillId="4" borderId="5" xfId="0" applyFont="1" applyFill="1" applyBorder="1" applyAlignment="1">
      <alignment horizontal="center" vertical="center" readingOrder="2"/>
    </xf>
    <xf numFmtId="0" fontId="2" fillId="4" borderId="17" xfId="0" applyFont="1" applyFill="1" applyBorder="1" applyAlignment="1">
      <alignment horizontal="center" vertical="center" readingOrder="2"/>
    </xf>
    <xf numFmtId="0" fontId="3" fillId="5" borderId="11" xfId="0" applyFont="1" applyFill="1" applyBorder="1" applyAlignment="1">
      <alignment horizontal="center" vertical="center" readingOrder="2"/>
    </xf>
    <xf numFmtId="3" fontId="1" fillId="5" borderId="7" xfId="0" applyNumberFormat="1" applyFont="1" applyFill="1" applyBorder="1" applyAlignment="1">
      <alignment horizontal="center" vertical="center" readingOrder="2"/>
    </xf>
    <xf numFmtId="3" fontId="1" fillId="5" borderId="3" xfId="0" applyNumberFormat="1" applyFont="1" applyFill="1" applyBorder="1" applyAlignment="1">
      <alignment horizontal="center" vertical="center" readingOrder="2"/>
    </xf>
    <xf numFmtId="3" fontId="1" fillId="5" borderId="15" xfId="0" applyNumberFormat="1" applyFont="1" applyFill="1" applyBorder="1" applyAlignment="1">
      <alignment horizontal="center" vertical="center" readingOrder="2"/>
    </xf>
    <xf numFmtId="3" fontId="1" fillId="5" borderId="11" xfId="0" applyNumberFormat="1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horizontal="center" vertical="center" readingOrder="2"/>
    </xf>
    <xf numFmtId="3" fontId="1" fillId="5" borderId="8" xfId="0" applyNumberFormat="1" applyFont="1" applyFill="1" applyBorder="1" applyAlignment="1">
      <alignment horizontal="center" vertical="center" readingOrder="2"/>
    </xf>
    <xf numFmtId="3" fontId="1" fillId="5" borderId="1" xfId="0" applyNumberFormat="1" applyFont="1" applyFill="1" applyBorder="1" applyAlignment="1">
      <alignment horizontal="center" vertical="center" readingOrder="2"/>
    </xf>
    <xf numFmtId="3" fontId="1" fillId="5" borderId="16" xfId="0" applyNumberFormat="1" applyFont="1" applyFill="1" applyBorder="1" applyAlignment="1">
      <alignment horizontal="center" vertical="center" readingOrder="2"/>
    </xf>
    <xf numFmtId="3" fontId="1" fillId="5" borderId="12" xfId="0" applyNumberFormat="1" applyFont="1" applyFill="1" applyBorder="1" applyAlignment="1">
      <alignment horizontal="center"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3" fontId="1" fillId="5" borderId="6" xfId="0" applyNumberFormat="1" applyFont="1" applyFill="1" applyBorder="1" applyAlignment="1">
      <alignment horizontal="center" vertical="center" readingOrder="2"/>
    </xf>
    <xf numFmtId="3" fontId="1" fillId="5" borderId="4" xfId="0" applyNumberFormat="1" applyFont="1" applyFill="1" applyBorder="1" applyAlignment="1">
      <alignment horizontal="center" vertical="center" readingOrder="2"/>
    </xf>
    <xf numFmtId="3" fontId="1" fillId="5" borderId="14" xfId="0" applyNumberFormat="1" applyFont="1" applyFill="1" applyBorder="1" applyAlignment="1">
      <alignment horizontal="center" vertical="center" readingOrder="2"/>
    </xf>
    <xf numFmtId="3" fontId="1" fillId="5" borderId="13" xfId="0" applyNumberFormat="1" applyFont="1" applyFill="1" applyBorder="1" applyAlignment="1">
      <alignment horizontal="center" vertical="center" readingOrder="2"/>
    </xf>
    <xf numFmtId="3" fontId="2" fillId="4" borderId="9" xfId="0" applyNumberFormat="1" applyFont="1" applyFill="1" applyBorder="1" applyAlignment="1">
      <alignment horizontal="center" vertical="center" readingOrder="2"/>
    </xf>
    <xf numFmtId="3" fontId="2" fillId="4" borderId="5" xfId="0" applyNumberFormat="1" applyFont="1" applyFill="1" applyBorder="1" applyAlignment="1">
      <alignment horizontal="center" vertical="center" readingOrder="2"/>
    </xf>
    <xf numFmtId="3" fontId="2" fillId="4" borderId="17" xfId="0" applyNumberFormat="1" applyFont="1" applyFill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0" fontId="2" fillId="7" borderId="2" xfId="0" applyFont="1" applyFill="1" applyBorder="1" applyAlignment="1">
      <alignment horizontal="center" vertical="center" readingOrder="2"/>
    </xf>
    <xf numFmtId="3" fontId="2" fillId="7" borderId="9" xfId="0" applyNumberFormat="1" applyFont="1" applyFill="1" applyBorder="1" applyAlignment="1">
      <alignment horizontal="center" vertical="center" readingOrder="2"/>
    </xf>
    <xf numFmtId="3" fontId="2" fillId="7" borderId="5" xfId="0" applyNumberFormat="1" applyFont="1" applyFill="1" applyBorder="1" applyAlignment="1">
      <alignment horizontal="center" vertical="center" readingOrder="2"/>
    </xf>
    <xf numFmtId="3" fontId="2" fillId="7" borderId="17" xfId="0" applyNumberFormat="1" applyFont="1" applyFill="1" applyBorder="1" applyAlignment="1">
      <alignment horizontal="center" vertical="center" readingOrder="2"/>
    </xf>
    <xf numFmtId="3" fontId="2" fillId="7" borderId="2" xfId="0" applyNumberFormat="1" applyFont="1" applyFill="1" applyBorder="1" applyAlignment="1">
      <alignment horizontal="center" vertical="center" readingOrder="2"/>
    </xf>
    <xf numFmtId="0" fontId="2" fillId="7" borderId="9" xfId="0" applyFont="1" applyFill="1" applyBorder="1" applyAlignment="1">
      <alignment horizontal="center" vertical="center" readingOrder="2"/>
    </xf>
    <xf numFmtId="0" fontId="2" fillId="7" borderId="5" xfId="0" applyFont="1" applyFill="1" applyBorder="1" applyAlignment="1">
      <alignment horizontal="center" vertical="center" readingOrder="2"/>
    </xf>
    <xf numFmtId="0" fontId="2" fillId="7" borderId="17" xfId="0" applyFont="1" applyFill="1" applyBorder="1" applyAlignment="1">
      <alignment horizontal="center" vertical="center" readingOrder="2"/>
    </xf>
    <xf numFmtId="0" fontId="2" fillId="10" borderId="2" xfId="0" applyFont="1" applyFill="1" applyBorder="1" applyAlignment="1">
      <alignment horizontal="center" vertical="center" readingOrder="2"/>
    </xf>
    <xf numFmtId="0" fontId="2" fillId="10" borderId="9" xfId="0" applyFont="1" applyFill="1" applyBorder="1" applyAlignment="1">
      <alignment horizontal="center" vertical="center" readingOrder="2"/>
    </xf>
    <xf numFmtId="0" fontId="2" fillId="10" borderId="5" xfId="0" applyFont="1" applyFill="1" applyBorder="1" applyAlignment="1">
      <alignment horizontal="center" vertical="center" readingOrder="2"/>
    </xf>
    <xf numFmtId="0" fontId="2" fillId="10" borderId="17" xfId="0" applyFont="1" applyFill="1" applyBorder="1" applyAlignment="1">
      <alignment horizontal="center" vertical="center" readingOrder="2"/>
    </xf>
    <xf numFmtId="0" fontId="2" fillId="9" borderId="2" xfId="0" applyFont="1" applyFill="1" applyBorder="1" applyAlignment="1">
      <alignment horizontal="center" vertical="center" readingOrder="2"/>
    </xf>
    <xf numFmtId="0" fontId="2" fillId="9" borderId="9" xfId="0" applyFont="1" applyFill="1" applyBorder="1" applyAlignment="1">
      <alignment horizontal="center" vertical="center" readingOrder="2"/>
    </xf>
    <xf numFmtId="0" fontId="2" fillId="9" borderId="5" xfId="0" applyFont="1" applyFill="1" applyBorder="1" applyAlignment="1">
      <alignment horizontal="center" vertical="center" readingOrder="2"/>
    </xf>
    <xf numFmtId="0" fontId="2" fillId="9" borderId="17" xfId="0" applyFont="1" applyFill="1" applyBorder="1" applyAlignment="1">
      <alignment horizontal="center" vertical="center" readingOrder="2"/>
    </xf>
    <xf numFmtId="3" fontId="2" fillId="10" borderId="9" xfId="0" applyNumberFormat="1" applyFont="1" applyFill="1" applyBorder="1" applyAlignment="1">
      <alignment horizontal="center" vertical="center" readingOrder="2"/>
    </xf>
    <xf numFmtId="3" fontId="2" fillId="10" borderId="5" xfId="0" applyNumberFormat="1" applyFont="1" applyFill="1" applyBorder="1" applyAlignment="1">
      <alignment horizontal="center" vertical="center" readingOrder="2"/>
    </xf>
    <xf numFmtId="3" fontId="2" fillId="10" borderId="17" xfId="0" applyNumberFormat="1" applyFont="1" applyFill="1" applyBorder="1" applyAlignment="1">
      <alignment horizontal="center" vertical="center" readingOrder="2"/>
    </xf>
    <xf numFmtId="3" fontId="2" fillId="10" borderId="2" xfId="0" applyNumberFormat="1" applyFont="1" applyFill="1" applyBorder="1" applyAlignment="1">
      <alignment horizontal="center" vertical="center" readingOrder="2"/>
    </xf>
    <xf numFmtId="3" fontId="2" fillId="9" borderId="9" xfId="0" applyNumberFormat="1" applyFont="1" applyFill="1" applyBorder="1" applyAlignment="1">
      <alignment horizontal="center" vertical="center" readingOrder="2"/>
    </xf>
    <xf numFmtId="3" fontId="2" fillId="9" borderId="5" xfId="0" applyNumberFormat="1" applyFont="1" applyFill="1" applyBorder="1" applyAlignment="1">
      <alignment horizontal="center" vertical="center" readingOrder="2"/>
    </xf>
    <xf numFmtId="3" fontId="2" fillId="9" borderId="17" xfId="0" applyNumberFormat="1" applyFont="1" applyFill="1" applyBorder="1" applyAlignment="1">
      <alignment horizontal="center" vertical="center" readingOrder="2"/>
    </xf>
    <xf numFmtId="3" fontId="2" fillId="9" borderId="2" xfId="0" applyNumberFormat="1" applyFont="1" applyFill="1" applyBorder="1" applyAlignment="1">
      <alignment horizontal="center" vertical="center" readingOrder="2"/>
    </xf>
    <xf numFmtId="0" fontId="2" fillId="8" borderId="2" xfId="0" applyFont="1" applyFill="1" applyBorder="1" applyAlignment="1">
      <alignment horizontal="center" vertical="center" readingOrder="2"/>
    </xf>
    <xf numFmtId="0" fontId="2" fillId="8" borderId="9" xfId="0" applyFont="1" applyFill="1" applyBorder="1" applyAlignment="1">
      <alignment horizontal="center" vertical="center" readingOrder="2"/>
    </xf>
    <xf numFmtId="0" fontId="2" fillId="8" borderId="5" xfId="0" applyFont="1" applyFill="1" applyBorder="1" applyAlignment="1">
      <alignment horizontal="center" vertical="center" readingOrder="2"/>
    </xf>
    <xf numFmtId="0" fontId="2" fillId="8" borderId="17" xfId="0" applyFont="1" applyFill="1" applyBorder="1" applyAlignment="1">
      <alignment horizontal="center" vertical="center" readingOrder="2"/>
    </xf>
    <xf numFmtId="0" fontId="2" fillId="6" borderId="2" xfId="0" applyFont="1" applyFill="1" applyBorder="1" applyAlignment="1">
      <alignment horizontal="center" vertical="center" readingOrder="2"/>
    </xf>
    <xf numFmtId="0" fontId="2" fillId="6" borderId="9" xfId="0" applyFont="1" applyFill="1" applyBorder="1" applyAlignment="1">
      <alignment horizontal="center" vertical="center" readingOrder="2"/>
    </xf>
    <xf numFmtId="0" fontId="2" fillId="6" borderId="5" xfId="0" applyFont="1" applyFill="1" applyBorder="1" applyAlignment="1">
      <alignment horizontal="center" vertical="center" readingOrder="2"/>
    </xf>
    <xf numFmtId="0" fontId="2" fillId="6" borderId="17" xfId="0" applyFont="1" applyFill="1" applyBorder="1" applyAlignment="1">
      <alignment horizontal="center" vertical="center" readingOrder="2"/>
    </xf>
    <xf numFmtId="3" fontId="2" fillId="8" borderId="9" xfId="0" applyNumberFormat="1" applyFont="1" applyFill="1" applyBorder="1" applyAlignment="1">
      <alignment horizontal="center" vertical="center" readingOrder="2"/>
    </xf>
    <xf numFmtId="3" fontId="2" fillId="8" borderId="5" xfId="0" applyNumberFormat="1" applyFont="1" applyFill="1" applyBorder="1" applyAlignment="1">
      <alignment horizontal="center" vertical="center" readingOrder="2"/>
    </xf>
    <xf numFmtId="3" fontId="2" fillId="8" borderId="17" xfId="0" applyNumberFormat="1" applyFont="1" applyFill="1" applyBorder="1" applyAlignment="1">
      <alignment horizontal="center" vertical="center" readingOrder="2"/>
    </xf>
    <xf numFmtId="3" fontId="2" fillId="8" borderId="2" xfId="0" applyNumberFormat="1" applyFont="1" applyFill="1" applyBorder="1" applyAlignment="1">
      <alignment horizontal="center" vertical="center" readingOrder="2"/>
    </xf>
    <xf numFmtId="3" fontId="2" fillId="6" borderId="9" xfId="0" applyNumberFormat="1" applyFont="1" applyFill="1" applyBorder="1" applyAlignment="1">
      <alignment horizontal="center" vertical="center" readingOrder="2"/>
    </xf>
    <xf numFmtId="3" fontId="2" fillId="6" borderId="5" xfId="0" applyNumberFormat="1" applyFont="1" applyFill="1" applyBorder="1" applyAlignment="1">
      <alignment horizontal="center" vertical="center" readingOrder="2"/>
    </xf>
    <xf numFmtId="3" fontId="2" fillId="6" borderId="17" xfId="0" applyNumberFormat="1" applyFont="1" applyFill="1" applyBorder="1" applyAlignment="1">
      <alignment horizontal="center" vertical="center" readingOrder="2"/>
    </xf>
    <xf numFmtId="3" fontId="2" fillId="6" borderId="2" xfId="0" applyNumberFormat="1" applyFont="1" applyFill="1" applyBorder="1" applyAlignment="1">
      <alignment horizontal="center" vertical="center" readingOrder="2"/>
    </xf>
    <xf numFmtId="0" fontId="5" fillId="2" borderId="0" xfId="0" applyFont="1" applyFill="1" applyAlignment="1">
      <alignment horizontal="center" vertical="center" readingOrder="2"/>
    </xf>
    <xf numFmtId="9" fontId="1" fillId="5" borderId="11" xfId="0" applyNumberFormat="1" applyFont="1" applyFill="1" applyBorder="1" applyAlignment="1">
      <alignment horizontal="center" vertical="center" readingOrder="2"/>
    </xf>
    <xf numFmtId="9" fontId="1" fillId="5" borderId="12" xfId="0" applyNumberFormat="1" applyFont="1" applyFill="1" applyBorder="1" applyAlignment="1">
      <alignment horizontal="center" vertical="center" readingOrder="2"/>
    </xf>
    <xf numFmtId="9" fontId="1" fillId="5" borderId="13" xfId="0" applyNumberFormat="1" applyFont="1" applyFill="1" applyBorder="1" applyAlignment="1">
      <alignment horizontal="center" vertical="center" readingOrder="2"/>
    </xf>
    <xf numFmtId="0" fontId="2" fillId="11" borderId="20" xfId="0" applyFont="1" applyFill="1" applyBorder="1" applyAlignment="1">
      <alignment horizontal="center" vertical="center" readingOrder="2"/>
    </xf>
    <xf numFmtId="0" fontId="2" fillId="11" borderId="21" xfId="0" applyFont="1" applyFill="1" applyBorder="1" applyAlignment="1">
      <alignment horizontal="center" vertical="center" readingOrder="2"/>
    </xf>
    <xf numFmtId="0" fontId="2" fillId="11" borderId="22" xfId="0" applyFont="1" applyFill="1" applyBorder="1" applyAlignment="1">
      <alignment horizontal="center" vertical="center" readingOrder="2"/>
    </xf>
    <xf numFmtId="0" fontId="2" fillId="12" borderId="20" xfId="0" applyFont="1" applyFill="1" applyBorder="1" applyAlignment="1">
      <alignment horizontal="center" vertical="center" readingOrder="2"/>
    </xf>
    <xf numFmtId="0" fontId="2" fillId="12" borderId="21" xfId="0" applyFont="1" applyFill="1" applyBorder="1" applyAlignment="1">
      <alignment horizontal="center" vertical="center" readingOrder="2"/>
    </xf>
    <xf numFmtId="0" fontId="2" fillId="12" borderId="22" xfId="0" applyFont="1" applyFill="1" applyBorder="1" applyAlignment="1">
      <alignment horizontal="center" vertical="center" readingOrder="2"/>
    </xf>
    <xf numFmtId="0" fontId="2" fillId="12" borderId="23" xfId="0" applyFont="1" applyFill="1" applyBorder="1" applyAlignment="1">
      <alignment horizontal="center" vertical="center" readingOrder="2"/>
    </xf>
    <xf numFmtId="0" fontId="2" fillId="12" borderId="2" xfId="0" applyFont="1" applyFill="1" applyBorder="1" applyAlignment="1">
      <alignment horizontal="center" vertical="center" readingOrder="2"/>
    </xf>
    <xf numFmtId="3" fontId="2" fillId="12" borderId="9" xfId="0" applyNumberFormat="1" applyFont="1" applyFill="1" applyBorder="1" applyAlignment="1">
      <alignment horizontal="center" vertical="center" readingOrder="2"/>
    </xf>
    <xf numFmtId="3" fontId="2" fillId="12" borderId="5" xfId="0" applyNumberFormat="1" applyFont="1" applyFill="1" applyBorder="1" applyAlignment="1">
      <alignment horizontal="center" vertical="center" readingOrder="2"/>
    </xf>
    <xf numFmtId="3" fontId="2" fillId="12" borderId="17" xfId="0" applyNumberFormat="1" applyFont="1" applyFill="1" applyBorder="1" applyAlignment="1">
      <alignment horizontal="center" vertical="center" readingOrder="2"/>
    </xf>
    <xf numFmtId="3" fontId="2" fillId="12" borderId="2" xfId="0" applyNumberFormat="1" applyFont="1" applyFill="1" applyBorder="1" applyAlignment="1">
      <alignment horizontal="center" vertical="center" readingOrder="2"/>
    </xf>
    <xf numFmtId="9" fontId="2" fillId="12" borderId="2" xfId="0" applyNumberFormat="1" applyFont="1" applyFill="1" applyBorder="1" applyAlignment="1">
      <alignment horizontal="center" vertical="center" readingOrder="2"/>
    </xf>
    <xf numFmtId="0" fontId="2" fillId="11" borderId="2" xfId="0" applyFont="1" applyFill="1" applyBorder="1" applyAlignment="1">
      <alignment horizontal="center" vertical="center" readingOrder="2"/>
    </xf>
    <xf numFmtId="0" fontId="6" fillId="13" borderId="20" xfId="0" applyFont="1" applyFill="1" applyBorder="1" applyAlignment="1">
      <alignment horizontal="center" vertical="center" readingOrder="2"/>
    </xf>
    <xf numFmtId="0" fontId="6" fillId="13" borderId="21" xfId="0" applyFont="1" applyFill="1" applyBorder="1" applyAlignment="1">
      <alignment horizontal="center" vertical="center" readingOrder="2"/>
    </xf>
    <xf numFmtId="0" fontId="6" fillId="13" borderId="22" xfId="0" applyFont="1" applyFill="1" applyBorder="1" applyAlignment="1">
      <alignment horizontal="center" vertical="center" readingOrder="2"/>
    </xf>
    <xf numFmtId="0" fontId="6" fillId="13" borderId="23" xfId="0" applyFont="1" applyFill="1" applyBorder="1" applyAlignment="1">
      <alignment horizontal="center" vertical="center" readingOrder="2"/>
    </xf>
    <xf numFmtId="0" fontId="6" fillId="13" borderId="2" xfId="0" applyFont="1" applyFill="1" applyBorder="1" applyAlignment="1">
      <alignment horizontal="center" vertical="center" readingOrder="2"/>
    </xf>
    <xf numFmtId="3" fontId="6" fillId="13" borderId="9" xfId="0" applyNumberFormat="1" applyFont="1" applyFill="1" applyBorder="1" applyAlignment="1">
      <alignment horizontal="center" vertical="center" readingOrder="2"/>
    </xf>
    <xf numFmtId="3" fontId="6" fillId="13" borderId="5" xfId="0" applyNumberFormat="1" applyFont="1" applyFill="1" applyBorder="1" applyAlignment="1">
      <alignment horizontal="center" vertical="center" readingOrder="2"/>
    </xf>
    <xf numFmtId="3" fontId="6" fillId="13" borderId="17" xfId="0" applyNumberFormat="1" applyFont="1" applyFill="1" applyBorder="1" applyAlignment="1">
      <alignment horizontal="center" vertical="center" readingOrder="2"/>
    </xf>
    <xf numFmtId="3" fontId="6" fillId="13" borderId="2" xfId="0" applyNumberFormat="1" applyFont="1" applyFill="1" applyBorder="1" applyAlignment="1">
      <alignment horizontal="center" vertical="center" readingOrder="2"/>
    </xf>
    <xf numFmtId="9" fontId="6" fillId="13" borderId="2" xfId="0" applyNumberFormat="1" applyFont="1" applyFill="1" applyBorder="1" applyAlignment="1">
      <alignment horizontal="center" vertical="center" readingOrder="2"/>
    </xf>
    <xf numFmtId="0" fontId="6" fillId="15" borderId="20" xfId="0" applyFont="1" applyFill="1" applyBorder="1" applyAlignment="1">
      <alignment horizontal="center" vertical="center" readingOrder="2"/>
    </xf>
    <xf numFmtId="0" fontId="6" fillId="15" borderId="21" xfId="0" applyFont="1" applyFill="1" applyBorder="1" applyAlignment="1">
      <alignment horizontal="center" vertical="center" readingOrder="2"/>
    </xf>
    <xf numFmtId="0" fontId="6" fillId="15" borderId="22" xfId="0" applyFont="1" applyFill="1" applyBorder="1" applyAlignment="1">
      <alignment horizontal="center" vertical="center" readingOrder="2"/>
    </xf>
    <xf numFmtId="0" fontId="6" fillId="15" borderId="23" xfId="0" applyFont="1" applyFill="1" applyBorder="1" applyAlignment="1">
      <alignment horizontal="center" vertical="center" readingOrder="2"/>
    </xf>
    <xf numFmtId="0" fontId="6" fillId="15" borderId="2" xfId="0" applyFont="1" applyFill="1" applyBorder="1" applyAlignment="1">
      <alignment horizontal="center" vertical="center" readingOrder="2"/>
    </xf>
    <xf numFmtId="3" fontId="6" fillId="15" borderId="9" xfId="0" applyNumberFormat="1" applyFont="1" applyFill="1" applyBorder="1" applyAlignment="1">
      <alignment horizontal="center" vertical="center" readingOrder="2"/>
    </xf>
    <xf numFmtId="3" fontId="6" fillId="15" borderId="5" xfId="0" applyNumberFormat="1" applyFont="1" applyFill="1" applyBorder="1" applyAlignment="1">
      <alignment horizontal="center" vertical="center" readingOrder="2"/>
    </xf>
    <xf numFmtId="3" fontId="6" fillId="15" borderId="17" xfId="0" applyNumberFormat="1" applyFont="1" applyFill="1" applyBorder="1" applyAlignment="1">
      <alignment horizontal="center" vertical="center" readingOrder="2"/>
    </xf>
    <xf numFmtId="3" fontId="6" fillId="15" borderId="2" xfId="0" applyNumberFormat="1" applyFont="1" applyFill="1" applyBorder="1" applyAlignment="1">
      <alignment horizontal="center" vertical="center" readingOrder="2"/>
    </xf>
    <xf numFmtId="9" fontId="6" fillId="15" borderId="2" xfId="0" applyNumberFormat="1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horizontal="center" vertical="center" readingOrder="2"/>
    </xf>
    <xf numFmtId="0" fontId="2" fillId="17" borderId="20" xfId="0" applyFont="1" applyFill="1" applyBorder="1" applyAlignment="1">
      <alignment horizontal="center" vertical="center" readingOrder="2"/>
    </xf>
    <xf numFmtId="0" fontId="2" fillId="17" borderId="21" xfId="0" applyFont="1" applyFill="1" applyBorder="1" applyAlignment="1">
      <alignment horizontal="center" vertical="center" readingOrder="2"/>
    </xf>
    <xf numFmtId="0" fontId="2" fillId="17" borderId="22" xfId="0" applyFont="1" applyFill="1" applyBorder="1" applyAlignment="1">
      <alignment horizontal="center" vertical="center" readingOrder="2"/>
    </xf>
    <xf numFmtId="0" fontId="2" fillId="17" borderId="23" xfId="0" applyFont="1" applyFill="1" applyBorder="1" applyAlignment="1">
      <alignment horizontal="center" vertical="center" readingOrder="2"/>
    </xf>
    <xf numFmtId="0" fontId="2" fillId="17" borderId="2" xfId="0" applyFont="1" applyFill="1" applyBorder="1" applyAlignment="1">
      <alignment horizontal="center" vertical="center" readingOrder="2"/>
    </xf>
    <xf numFmtId="3" fontId="2" fillId="17" borderId="9" xfId="0" applyNumberFormat="1" applyFont="1" applyFill="1" applyBorder="1" applyAlignment="1">
      <alignment horizontal="center" vertical="center" readingOrder="2"/>
    </xf>
    <xf numFmtId="3" fontId="2" fillId="17" borderId="5" xfId="0" applyNumberFormat="1" applyFont="1" applyFill="1" applyBorder="1" applyAlignment="1">
      <alignment horizontal="center" vertical="center" readingOrder="2"/>
    </xf>
    <xf numFmtId="3" fontId="2" fillId="17" borderId="17" xfId="0" applyNumberFormat="1" applyFont="1" applyFill="1" applyBorder="1" applyAlignment="1">
      <alignment horizontal="center" vertical="center" readingOrder="2"/>
    </xf>
    <xf numFmtId="3" fontId="2" fillId="17" borderId="2" xfId="0" applyNumberFormat="1" applyFont="1" applyFill="1" applyBorder="1" applyAlignment="1">
      <alignment horizontal="center" vertical="center" readingOrder="2"/>
    </xf>
    <xf numFmtId="9" fontId="2" fillId="17" borderId="2" xfId="0" applyNumberFormat="1" applyFont="1" applyFill="1" applyBorder="1" applyAlignment="1">
      <alignment horizontal="center" vertical="center" readingOrder="2"/>
    </xf>
    <xf numFmtId="0" fontId="6" fillId="14" borderId="20" xfId="0" applyFont="1" applyFill="1" applyBorder="1" applyAlignment="1">
      <alignment horizontal="center" vertical="center" readingOrder="2"/>
    </xf>
    <xf numFmtId="0" fontId="6" fillId="14" borderId="21" xfId="0" applyFont="1" applyFill="1" applyBorder="1" applyAlignment="1">
      <alignment horizontal="center" vertical="center" readingOrder="2"/>
    </xf>
    <xf numFmtId="0" fontId="6" fillId="14" borderId="22" xfId="0" applyFont="1" applyFill="1" applyBorder="1" applyAlignment="1">
      <alignment horizontal="center" vertical="center" readingOrder="2"/>
    </xf>
    <xf numFmtId="0" fontId="6" fillId="14" borderId="23" xfId="0" applyFont="1" applyFill="1" applyBorder="1" applyAlignment="1">
      <alignment horizontal="center" vertical="center" readingOrder="2"/>
    </xf>
    <xf numFmtId="0" fontId="6" fillId="14" borderId="2" xfId="0" applyFont="1" applyFill="1" applyBorder="1" applyAlignment="1">
      <alignment horizontal="center" vertical="center" readingOrder="2"/>
    </xf>
    <xf numFmtId="3" fontId="6" fillId="14" borderId="9" xfId="0" applyNumberFormat="1" applyFont="1" applyFill="1" applyBorder="1" applyAlignment="1">
      <alignment horizontal="center" vertical="center" readingOrder="2"/>
    </xf>
    <xf numFmtId="3" fontId="6" fillId="14" borderId="5" xfId="0" applyNumberFormat="1" applyFont="1" applyFill="1" applyBorder="1" applyAlignment="1">
      <alignment horizontal="center" vertical="center" readingOrder="2"/>
    </xf>
    <xf numFmtId="3" fontId="6" fillId="14" borderId="17" xfId="0" applyNumberFormat="1" applyFont="1" applyFill="1" applyBorder="1" applyAlignment="1">
      <alignment horizontal="center" vertical="center" readingOrder="2"/>
    </xf>
    <xf numFmtId="3" fontId="6" fillId="14" borderId="2" xfId="0" applyNumberFormat="1" applyFont="1" applyFill="1" applyBorder="1" applyAlignment="1">
      <alignment horizontal="center" vertical="center" readingOrder="2"/>
    </xf>
    <xf numFmtId="9" fontId="6" fillId="14" borderId="2" xfId="0" applyNumberFormat="1" applyFont="1" applyFill="1" applyBorder="1" applyAlignment="1">
      <alignment horizontal="center" vertical="center" readingOrder="2"/>
    </xf>
    <xf numFmtId="0" fontId="2" fillId="18" borderId="20" xfId="0" applyFont="1" applyFill="1" applyBorder="1" applyAlignment="1">
      <alignment horizontal="center" vertical="center" readingOrder="2"/>
    </xf>
    <xf numFmtId="0" fontId="2" fillId="18" borderId="21" xfId="0" applyFont="1" applyFill="1" applyBorder="1" applyAlignment="1">
      <alignment horizontal="center" vertical="center" readingOrder="2"/>
    </xf>
    <xf numFmtId="0" fontId="2" fillId="18" borderId="22" xfId="0" applyFont="1" applyFill="1" applyBorder="1" applyAlignment="1">
      <alignment horizontal="center" vertical="center" readingOrder="2"/>
    </xf>
    <xf numFmtId="0" fontId="2" fillId="18" borderId="23" xfId="0" applyFont="1" applyFill="1" applyBorder="1" applyAlignment="1">
      <alignment horizontal="center" vertical="center" readingOrder="2"/>
    </xf>
    <xf numFmtId="0" fontId="2" fillId="18" borderId="2" xfId="0" applyFont="1" applyFill="1" applyBorder="1" applyAlignment="1">
      <alignment horizontal="center" vertical="center" readingOrder="2"/>
    </xf>
    <xf numFmtId="3" fontId="2" fillId="18" borderId="9" xfId="0" applyNumberFormat="1" applyFont="1" applyFill="1" applyBorder="1" applyAlignment="1">
      <alignment horizontal="center" vertical="center" readingOrder="2"/>
    </xf>
    <xf numFmtId="3" fontId="2" fillId="18" borderId="5" xfId="0" applyNumberFormat="1" applyFont="1" applyFill="1" applyBorder="1" applyAlignment="1">
      <alignment horizontal="center" vertical="center" readingOrder="2"/>
    </xf>
    <xf numFmtId="3" fontId="2" fillId="18" borderId="17" xfId="0" applyNumberFormat="1" applyFont="1" applyFill="1" applyBorder="1" applyAlignment="1">
      <alignment horizontal="center" vertical="center" readingOrder="2"/>
    </xf>
    <xf numFmtId="3" fontId="2" fillId="18" borderId="2" xfId="0" applyNumberFormat="1" applyFont="1" applyFill="1" applyBorder="1" applyAlignment="1">
      <alignment horizontal="center" vertical="center" readingOrder="2"/>
    </xf>
    <xf numFmtId="9" fontId="2" fillId="18" borderId="2" xfId="0" applyNumberFormat="1" applyFont="1" applyFill="1" applyBorder="1" applyAlignment="1">
      <alignment horizontal="center" vertical="center" readingOrder="2"/>
    </xf>
    <xf numFmtId="0" fontId="2" fillId="11" borderId="27" xfId="0" applyFont="1" applyFill="1" applyBorder="1" applyAlignment="1">
      <alignment horizontal="center" vertical="center" readingOrder="2"/>
    </xf>
    <xf numFmtId="0" fontId="6" fillId="16" borderId="20" xfId="0" applyFont="1" applyFill="1" applyBorder="1" applyAlignment="1">
      <alignment horizontal="center" vertical="center" readingOrder="2"/>
    </xf>
    <xf numFmtId="0" fontId="6" fillId="16" borderId="21" xfId="0" applyFont="1" applyFill="1" applyBorder="1" applyAlignment="1">
      <alignment horizontal="center" vertical="center" readingOrder="2"/>
    </xf>
    <xf numFmtId="0" fontId="6" fillId="16" borderId="22" xfId="0" applyFont="1" applyFill="1" applyBorder="1" applyAlignment="1">
      <alignment horizontal="center" vertical="center" readingOrder="2"/>
    </xf>
    <xf numFmtId="0" fontId="6" fillId="16" borderId="27" xfId="0" applyFont="1" applyFill="1" applyBorder="1" applyAlignment="1">
      <alignment horizontal="center" vertical="center" readingOrder="2"/>
    </xf>
    <xf numFmtId="0" fontId="6" fillId="16" borderId="2" xfId="0" applyFont="1" applyFill="1" applyBorder="1" applyAlignment="1">
      <alignment horizontal="center" vertical="center" readingOrder="2"/>
    </xf>
    <xf numFmtId="38" fontId="1" fillId="5" borderId="7" xfId="0" applyNumberFormat="1" applyFont="1" applyFill="1" applyBorder="1" applyAlignment="1">
      <alignment horizontal="center" vertical="center" readingOrder="2"/>
    </xf>
    <xf numFmtId="38" fontId="1" fillId="5" borderId="3" xfId="0" applyNumberFormat="1" applyFont="1" applyFill="1" applyBorder="1" applyAlignment="1">
      <alignment horizontal="center" vertical="center" readingOrder="2"/>
    </xf>
    <xf numFmtId="38" fontId="1" fillId="5" borderId="28" xfId="0" applyNumberFormat="1" applyFont="1" applyFill="1" applyBorder="1" applyAlignment="1">
      <alignment horizontal="center" vertical="center" readingOrder="2"/>
    </xf>
    <xf numFmtId="38" fontId="1" fillId="5" borderId="8" xfId="0" applyNumberFormat="1" applyFont="1" applyFill="1" applyBorder="1" applyAlignment="1">
      <alignment horizontal="center" vertical="center" readingOrder="2"/>
    </xf>
    <xf numFmtId="38" fontId="1" fillId="5" borderId="1" xfId="0" applyNumberFormat="1" applyFont="1" applyFill="1" applyBorder="1" applyAlignment="1">
      <alignment horizontal="center" vertical="center" readingOrder="2"/>
    </xf>
    <xf numFmtId="38" fontId="1" fillId="5" borderId="29" xfId="0" applyNumberFormat="1" applyFont="1" applyFill="1" applyBorder="1" applyAlignment="1">
      <alignment horizontal="center" vertical="center" readingOrder="2"/>
    </xf>
    <xf numFmtId="38" fontId="1" fillId="5" borderId="6" xfId="0" applyNumberFormat="1" applyFont="1" applyFill="1" applyBorder="1" applyAlignment="1">
      <alignment horizontal="center" vertical="center" readingOrder="2"/>
    </xf>
    <xf numFmtId="38" fontId="1" fillId="5" borderId="4" xfId="0" applyNumberFormat="1" applyFont="1" applyFill="1" applyBorder="1" applyAlignment="1">
      <alignment horizontal="center" vertical="center" readingOrder="2"/>
    </xf>
    <xf numFmtId="38" fontId="1" fillId="5" borderId="30" xfId="0" applyNumberFormat="1" applyFont="1" applyFill="1" applyBorder="1" applyAlignment="1">
      <alignment horizontal="center" vertical="center" readingOrder="2"/>
    </xf>
    <xf numFmtId="38" fontId="2" fillId="11" borderId="9" xfId="0" applyNumberFormat="1" applyFont="1" applyFill="1" applyBorder="1" applyAlignment="1">
      <alignment horizontal="center" vertical="center" readingOrder="2"/>
    </xf>
    <xf numFmtId="38" fontId="2" fillId="11" borderId="5" xfId="0" applyNumberFormat="1" applyFont="1" applyFill="1" applyBorder="1" applyAlignment="1">
      <alignment horizontal="center" vertical="center" readingOrder="2"/>
    </xf>
    <xf numFmtId="38" fontId="2" fillId="11" borderId="31" xfId="0" applyNumberFormat="1" applyFont="1" applyFill="1" applyBorder="1" applyAlignment="1">
      <alignment horizontal="center" vertical="center" readingOrder="2"/>
    </xf>
    <xf numFmtId="38" fontId="6" fillId="16" borderId="9" xfId="0" applyNumberFormat="1" applyFont="1" applyFill="1" applyBorder="1" applyAlignment="1">
      <alignment horizontal="center" vertical="center" readingOrder="2"/>
    </xf>
    <xf numFmtId="38" fontId="6" fillId="16" borderId="5" xfId="0" applyNumberFormat="1" applyFont="1" applyFill="1" applyBorder="1" applyAlignment="1">
      <alignment horizontal="center" vertical="center" readingOrder="2"/>
    </xf>
    <xf numFmtId="38" fontId="6" fillId="16" borderId="31" xfId="0" applyNumberFormat="1" applyFont="1" applyFill="1" applyBorder="1" applyAlignment="1">
      <alignment horizontal="center" vertical="center" readingOrder="2"/>
    </xf>
    <xf numFmtId="3" fontId="1" fillId="2" borderId="0" xfId="0" applyNumberFormat="1" applyFont="1" applyFill="1" applyAlignment="1">
      <alignment horizontal="center" vertical="center" readingOrder="2"/>
    </xf>
    <xf numFmtId="38" fontId="1" fillId="2" borderId="0" xfId="0" applyNumberFormat="1" applyFont="1" applyFill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3" fontId="1" fillId="0" borderId="1" xfId="0" applyNumberFormat="1" applyFont="1" applyBorder="1" applyAlignment="1">
      <alignment horizontal="center" vertical="center" wrapText="1" readingOrder="2"/>
    </xf>
    <xf numFmtId="3" fontId="1" fillId="0" borderId="32" xfId="0" applyNumberFormat="1" applyFont="1" applyBorder="1" applyAlignment="1">
      <alignment horizontal="center" vertical="center" wrapText="1" readingOrder="2"/>
    </xf>
    <xf numFmtId="0" fontId="2" fillId="23" borderId="4" xfId="0" applyFont="1" applyFill="1" applyBorder="1" applyAlignment="1">
      <alignment horizontal="center" vertical="center" wrapText="1" readingOrder="2"/>
    </xf>
    <xf numFmtId="0" fontId="2" fillId="25" borderId="4" xfId="0" applyFont="1" applyFill="1" applyBorder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 vertical="center" wrapText="1" readingOrder="2"/>
    </xf>
    <xf numFmtId="0" fontId="2" fillId="26" borderId="4" xfId="0" applyFont="1" applyFill="1" applyBorder="1" applyAlignment="1">
      <alignment horizontal="center" vertical="center" wrapText="1" readingOrder="2"/>
    </xf>
    <xf numFmtId="0" fontId="2" fillId="26" borderId="30" xfId="0" applyFont="1" applyFill="1" applyBorder="1" applyAlignment="1">
      <alignment horizontal="center" vertical="center" wrapText="1" readingOrder="2"/>
    </xf>
    <xf numFmtId="0" fontId="3" fillId="24" borderId="38" xfId="0" applyFont="1" applyFill="1" applyBorder="1" applyAlignment="1">
      <alignment horizontal="center" vertical="center" wrapText="1" readingOrder="2"/>
    </xf>
    <xf numFmtId="0" fontId="3" fillId="24" borderId="29" xfId="0" applyFont="1" applyFill="1" applyBorder="1" applyAlignment="1">
      <alignment horizontal="center" vertical="center" wrapText="1" readingOrder="2"/>
    </xf>
    <xf numFmtId="0" fontId="3" fillId="24" borderId="30" xfId="0" applyFont="1" applyFill="1" applyBorder="1" applyAlignment="1">
      <alignment horizontal="center" vertical="center" wrapText="1" readingOrder="2"/>
    </xf>
    <xf numFmtId="0" fontId="2" fillId="23" borderId="36" xfId="0" applyFont="1" applyFill="1" applyBorder="1" applyAlignment="1">
      <alignment horizontal="center" vertical="center" wrapText="1" readingOrder="2"/>
    </xf>
    <xf numFmtId="3" fontId="1" fillId="0" borderId="37" xfId="0" applyNumberFormat="1" applyFont="1" applyBorder="1" applyAlignment="1">
      <alignment horizontal="center" vertical="center" wrapText="1" readingOrder="2"/>
    </xf>
    <xf numFmtId="3" fontId="1" fillId="0" borderId="39" xfId="0" applyNumberFormat="1" applyFont="1" applyBorder="1" applyAlignment="1">
      <alignment horizontal="center" vertical="center" wrapText="1" readingOrder="2"/>
    </xf>
    <xf numFmtId="3" fontId="1" fillId="0" borderId="36" xfId="0" applyNumberFormat="1" applyFont="1" applyBorder="1" applyAlignment="1">
      <alignment horizontal="center" vertical="center" wrapText="1" readingOrder="2"/>
    </xf>
    <xf numFmtId="3" fontId="1" fillId="0" borderId="4" xfId="0" applyNumberFormat="1" applyFont="1" applyBorder="1" applyAlignment="1">
      <alignment horizontal="center" vertical="center" wrapText="1" readingOrder="2"/>
    </xf>
    <xf numFmtId="0" fontId="2" fillId="23" borderId="14" xfId="0" applyFont="1" applyFill="1" applyBorder="1" applyAlignment="1">
      <alignment horizontal="center" vertical="center" wrapText="1" readingOrder="2"/>
    </xf>
    <xf numFmtId="9" fontId="1" fillId="0" borderId="16" xfId="0" applyNumberFormat="1" applyFont="1" applyBorder="1" applyAlignment="1">
      <alignment horizontal="center" vertical="center" wrapText="1" readingOrder="2"/>
    </xf>
    <xf numFmtId="9" fontId="1" fillId="0" borderId="14" xfId="0" applyNumberFormat="1" applyFont="1" applyBorder="1" applyAlignment="1">
      <alignment horizontal="center" vertical="center" wrapText="1" readingOrder="2"/>
    </xf>
    <xf numFmtId="0" fontId="2" fillId="25" borderId="36" xfId="0" applyFont="1" applyFill="1" applyBorder="1" applyAlignment="1">
      <alignment horizontal="center" vertical="center" wrapText="1" readingOrder="2"/>
    </xf>
    <xf numFmtId="0" fontId="2" fillId="25" borderId="30" xfId="0" applyFont="1" applyFill="1" applyBorder="1" applyAlignment="1">
      <alignment horizontal="center" vertical="center" wrapText="1" readingOrder="2"/>
    </xf>
    <xf numFmtId="0" fontId="2" fillId="21" borderId="36" xfId="0" applyFont="1" applyFill="1" applyBorder="1" applyAlignment="1">
      <alignment horizontal="center" vertical="center" wrapText="1" readingOrder="2"/>
    </xf>
    <xf numFmtId="0" fontId="2" fillId="21" borderId="30" xfId="0" applyFont="1" applyFill="1" applyBorder="1" applyAlignment="1">
      <alignment horizontal="center" vertical="center" wrapText="1" readingOrder="2"/>
    </xf>
    <xf numFmtId="0" fontId="2" fillId="26" borderId="36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3" fontId="1" fillId="0" borderId="33" xfId="0" applyNumberFormat="1" applyFont="1" applyBorder="1" applyAlignment="1">
      <alignment horizontal="center" vertical="center" wrapText="1" readingOrder="2"/>
    </xf>
    <xf numFmtId="3" fontId="1" fillId="0" borderId="3" xfId="0" applyNumberFormat="1" applyFont="1" applyBorder="1" applyAlignment="1">
      <alignment horizontal="center" vertical="center" wrapText="1" readingOrder="2"/>
    </xf>
    <xf numFmtId="9" fontId="1" fillId="0" borderId="15" xfId="0" applyNumberFormat="1" applyFont="1" applyBorder="1" applyAlignment="1">
      <alignment horizontal="center" vertical="center" wrapText="1" readingOrder="2"/>
    </xf>
    <xf numFmtId="9" fontId="1" fillId="0" borderId="28" xfId="0" applyNumberFormat="1" applyFont="1" applyBorder="1" applyAlignment="1">
      <alignment horizontal="center" vertical="center" wrapText="1" readingOrder="2"/>
    </xf>
    <xf numFmtId="9" fontId="1" fillId="0" borderId="29" xfId="0" applyNumberFormat="1" applyFont="1" applyBorder="1" applyAlignment="1">
      <alignment horizontal="center" vertical="center" wrapText="1" readingOrder="2"/>
    </xf>
    <xf numFmtId="9" fontId="1" fillId="0" borderId="30" xfId="0" applyNumberFormat="1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4" fillId="27" borderId="0" xfId="0" applyFont="1" applyFill="1" applyAlignment="1">
      <alignment horizontal="left" vertical="center" wrapText="1" readingOrder="2"/>
    </xf>
    <xf numFmtId="0" fontId="15" fillId="27" borderId="0" xfId="0" applyFont="1" applyFill="1" applyAlignment="1" applyProtection="1">
      <alignment horizontal="center" vertical="center" wrapText="1" readingOrder="2"/>
      <protection locked="0"/>
    </xf>
    <xf numFmtId="0" fontId="17" fillId="20" borderId="43" xfId="0" applyFont="1" applyFill="1" applyBorder="1" applyAlignment="1">
      <alignment horizontal="center" vertical="center" wrapText="1" readingOrder="2"/>
    </xf>
    <xf numFmtId="0" fontId="17" fillId="20" borderId="45" xfId="0" applyFont="1" applyFill="1" applyBorder="1" applyAlignment="1">
      <alignment horizontal="center" vertical="center" wrapText="1" readingOrder="2"/>
    </xf>
    <xf numFmtId="0" fontId="17" fillId="20" borderId="47" xfId="0" applyFont="1" applyFill="1" applyBorder="1" applyAlignment="1">
      <alignment horizontal="center" vertical="center" wrapText="1" readingOrder="2"/>
    </xf>
    <xf numFmtId="4" fontId="1" fillId="5" borderId="7" xfId="0" applyNumberFormat="1" applyFont="1" applyFill="1" applyBorder="1" applyAlignment="1">
      <alignment horizontal="center" vertical="center" readingOrder="2"/>
    </xf>
    <xf numFmtId="4" fontId="1" fillId="5" borderId="3" xfId="0" applyNumberFormat="1" applyFont="1" applyFill="1" applyBorder="1" applyAlignment="1">
      <alignment horizontal="center" vertical="center" readingOrder="2"/>
    </xf>
    <xf numFmtId="4" fontId="1" fillId="5" borderId="15" xfId="0" applyNumberFormat="1" applyFont="1" applyFill="1" applyBorder="1" applyAlignment="1">
      <alignment horizontal="center" vertical="center" readingOrder="2"/>
    </xf>
    <xf numFmtId="4" fontId="1" fillId="5" borderId="11" xfId="0" applyNumberFormat="1" applyFont="1" applyFill="1" applyBorder="1" applyAlignment="1">
      <alignment horizontal="center" vertical="center" readingOrder="2"/>
    </xf>
    <xf numFmtId="4" fontId="1" fillId="5" borderId="8" xfId="0" applyNumberFormat="1" applyFont="1" applyFill="1" applyBorder="1" applyAlignment="1">
      <alignment horizontal="center" vertical="center" readingOrder="2"/>
    </xf>
    <xf numFmtId="4" fontId="1" fillId="5" borderId="1" xfId="0" applyNumberFormat="1" applyFont="1" applyFill="1" applyBorder="1" applyAlignment="1">
      <alignment horizontal="center" vertical="center" readingOrder="2"/>
    </xf>
    <xf numFmtId="4" fontId="1" fillId="5" borderId="16" xfId="0" applyNumberFormat="1" applyFont="1" applyFill="1" applyBorder="1" applyAlignment="1">
      <alignment horizontal="center" vertical="center" readingOrder="2"/>
    </xf>
    <xf numFmtId="4" fontId="1" fillId="5" borderId="12" xfId="0" applyNumberFormat="1" applyFont="1" applyFill="1" applyBorder="1" applyAlignment="1">
      <alignment horizontal="center" vertical="center" readingOrder="2"/>
    </xf>
    <xf numFmtId="4" fontId="1" fillId="5" borderId="6" xfId="0" applyNumberFormat="1" applyFont="1" applyFill="1" applyBorder="1" applyAlignment="1">
      <alignment horizontal="center" vertical="center" readingOrder="2"/>
    </xf>
    <xf numFmtId="4" fontId="1" fillId="5" borderId="4" xfId="0" applyNumberFormat="1" applyFont="1" applyFill="1" applyBorder="1" applyAlignment="1">
      <alignment horizontal="center" vertical="center" readingOrder="2"/>
    </xf>
    <xf numFmtId="4" fontId="1" fillId="5" borderId="14" xfId="0" applyNumberFormat="1" applyFont="1" applyFill="1" applyBorder="1" applyAlignment="1">
      <alignment horizontal="center" vertical="center" readingOrder="2"/>
    </xf>
    <xf numFmtId="4" fontId="1" fillId="5" borderId="13" xfId="0" applyNumberFormat="1" applyFont="1" applyFill="1" applyBorder="1" applyAlignment="1">
      <alignment horizontal="center" vertical="center" readingOrder="2"/>
    </xf>
    <xf numFmtId="0" fontId="4" fillId="3" borderId="10" xfId="0" applyFont="1" applyFill="1" applyBorder="1" applyAlignment="1">
      <alignment horizontal="center" vertical="center" readingOrder="2"/>
    </xf>
    <xf numFmtId="0" fontId="4" fillId="3" borderId="19" xfId="0" applyFont="1" applyFill="1" applyBorder="1" applyAlignment="1">
      <alignment horizontal="center" vertical="center" readingOrder="2"/>
    </xf>
    <xf numFmtId="0" fontId="4" fillId="3" borderId="18" xfId="0" applyFont="1" applyFill="1" applyBorder="1" applyAlignment="1">
      <alignment horizontal="center" vertical="center" readingOrder="2"/>
    </xf>
    <xf numFmtId="0" fontId="4" fillId="3" borderId="24" xfId="0" applyFont="1" applyFill="1" applyBorder="1" applyAlignment="1">
      <alignment horizontal="center" vertical="center" readingOrder="2"/>
    </xf>
    <xf numFmtId="0" fontId="4" fillId="3" borderId="25" xfId="0" applyFont="1" applyFill="1" applyBorder="1" applyAlignment="1">
      <alignment horizontal="center" vertical="center" readingOrder="2"/>
    </xf>
    <xf numFmtId="0" fontId="4" fillId="3" borderId="26" xfId="0" applyFont="1" applyFill="1" applyBorder="1" applyAlignment="1">
      <alignment horizontal="center" vertical="center" readingOrder="2"/>
    </xf>
    <xf numFmtId="0" fontId="9" fillId="19" borderId="0" xfId="0" applyFont="1" applyFill="1" applyAlignment="1">
      <alignment horizontal="right" vertical="top" wrapText="1" readingOrder="2"/>
    </xf>
    <xf numFmtId="0" fontId="8" fillId="19" borderId="0" xfId="0" applyFont="1" applyFill="1" applyAlignment="1">
      <alignment horizontal="right" vertical="top" wrapText="1" readingOrder="2"/>
    </xf>
    <xf numFmtId="0" fontId="10" fillId="24" borderId="37" xfId="0" applyFont="1" applyFill="1" applyBorder="1" applyAlignment="1">
      <alignment horizontal="center" vertical="center" textRotation="90" wrapText="1" readingOrder="2"/>
    </xf>
    <xf numFmtId="0" fontId="10" fillId="24" borderId="39" xfId="0" applyFont="1" applyFill="1" applyBorder="1" applyAlignment="1">
      <alignment horizontal="center" vertical="center" textRotation="90" wrapText="1" readingOrder="2"/>
    </xf>
    <xf numFmtId="0" fontId="10" fillId="24" borderId="36" xfId="0" applyFont="1" applyFill="1" applyBorder="1" applyAlignment="1">
      <alignment horizontal="center" vertical="center" textRotation="90" wrapText="1" readingOrder="2"/>
    </xf>
    <xf numFmtId="0" fontId="2" fillId="22" borderId="28" xfId="0" applyFont="1" applyFill="1" applyBorder="1" applyAlignment="1">
      <alignment horizontal="center" vertical="center" wrapText="1" readingOrder="2"/>
    </xf>
    <xf numFmtId="0" fontId="2" fillId="22" borderId="30" xfId="0" applyFont="1" applyFill="1" applyBorder="1" applyAlignment="1">
      <alignment horizontal="center" vertical="center" wrapText="1" readingOrder="2"/>
    </xf>
    <xf numFmtId="0" fontId="16" fillId="20" borderId="42" xfId="0" applyFont="1" applyFill="1" applyBorder="1" applyAlignment="1">
      <alignment horizontal="center" vertical="center" textRotation="90" wrapText="1" readingOrder="2"/>
    </xf>
    <xf numFmtId="0" fontId="16" fillId="20" borderId="44" xfId="0" applyFont="1" applyFill="1" applyBorder="1" applyAlignment="1">
      <alignment horizontal="center" vertical="center" textRotation="90" wrapText="1" readingOrder="2"/>
    </xf>
    <xf numFmtId="0" fontId="16" fillId="20" borderId="46" xfId="0" applyFont="1" applyFill="1" applyBorder="1" applyAlignment="1">
      <alignment horizontal="center" vertical="center" textRotation="90" wrapText="1" readingOrder="2"/>
    </xf>
    <xf numFmtId="0" fontId="11" fillId="20" borderId="40" xfId="0" applyFont="1" applyFill="1" applyBorder="1" applyAlignment="1">
      <alignment horizontal="center" vertical="center" wrapText="1" readingOrder="2"/>
    </xf>
    <xf numFmtId="0" fontId="11" fillId="20" borderId="5" xfId="0" applyFont="1" applyFill="1" applyBorder="1" applyAlignment="1">
      <alignment horizontal="center" vertical="center" wrapText="1" readingOrder="2"/>
    </xf>
    <xf numFmtId="0" fontId="11" fillId="20" borderId="31" xfId="0" applyFont="1" applyFill="1" applyBorder="1" applyAlignment="1">
      <alignment horizontal="center" vertical="center" wrapText="1" readingOrder="2"/>
    </xf>
    <xf numFmtId="0" fontId="2" fillId="26" borderId="41" xfId="0" applyFont="1" applyFill="1" applyBorder="1" applyAlignment="1">
      <alignment horizontal="center" vertical="center" wrapText="1" readingOrder="2"/>
    </xf>
    <xf numFmtId="0" fontId="2" fillId="26" borderId="34" xfId="0" applyFont="1" applyFill="1" applyBorder="1" applyAlignment="1">
      <alignment horizontal="center" vertical="center" wrapText="1" readingOrder="2"/>
    </xf>
    <xf numFmtId="0" fontId="2" fillId="26" borderId="35" xfId="0" applyFont="1" applyFill="1" applyBorder="1" applyAlignment="1">
      <alignment horizontal="center" vertical="center" wrapText="1" readingOrder="2"/>
    </xf>
    <xf numFmtId="0" fontId="2" fillId="21" borderId="41" xfId="0" applyFont="1" applyFill="1" applyBorder="1" applyAlignment="1">
      <alignment horizontal="center" vertical="center" wrapText="1" readingOrder="2"/>
    </xf>
    <xf numFmtId="0" fontId="2" fillId="21" borderId="34" xfId="0" applyFont="1" applyFill="1" applyBorder="1" applyAlignment="1">
      <alignment horizontal="center" vertical="center" wrapText="1" readingOrder="2"/>
    </xf>
    <xf numFmtId="0" fontId="2" fillId="21" borderId="35" xfId="0" applyFont="1" applyFill="1" applyBorder="1" applyAlignment="1">
      <alignment horizontal="center" vertical="center" wrapText="1" readingOrder="2"/>
    </xf>
    <xf numFmtId="0" fontId="2" fillId="25" borderId="41" xfId="0" applyFont="1" applyFill="1" applyBorder="1" applyAlignment="1">
      <alignment horizontal="center" vertical="center" wrapText="1" readingOrder="2"/>
    </xf>
    <xf numFmtId="0" fontId="2" fillId="25" borderId="34" xfId="0" applyFont="1" applyFill="1" applyBorder="1" applyAlignment="1">
      <alignment horizontal="center" vertical="center" wrapText="1" readingOrder="2"/>
    </xf>
    <xf numFmtId="0" fontId="2" fillId="25" borderId="35" xfId="0" applyFont="1" applyFill="1" applyBorder="1" applyAlignment="1">
      <alignment horizontal="center" vertical="center" wrapText="1" readingOrder="2"/>
    </xf>
    <xf numFmtId="0" fontId="2" fillId="23" borderId="41" xfId="0" applyFont="1" applyFill="1" applyBorder="1" applyAlignment="1">
      <alignment horizontal="center" vertical="center" wrapText="1" readingOrder="2"/>
    </xf>
    <xf numFmtId="0" fontId="2" fillId="23" borderId="34" xfId="0" applyFont="1" applyFill="1" applyBorder="1" applyAlignment="1">
      <alignment horizontal="center" vertical="center" wrapText="1" readingOrder="2"/>
    </xf>
    <xf numFmtId="0" fontId="2" fillId="22" borderId="33" xfId="0" applyFont="1" applyFill="1" applyBorder="1" applyAlignment="1">
      <alignment horizontal="center" vertical="center" wrapText="1" readingOrder="2"/>
    </xf>
    <xf numFmtId="0" fontId="2" fillId="22" borderId="3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220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numFmt numFmtId="164" formatCode="&quot;&quot;"/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numFmt numFmtId="164" formatCode="&quot;&quot;"/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numFmt numFmtId="164" formatCode="&quot;&quot;"/>
    </dxf>
    <dxf>
      <numFmt numFmtId="164" formatCode="&quot;&quot;"/>
    </dxf>
    <dxf>
      <numFmt numFmtId="164" formatCode="&quot;&quot;"/>
    </dxf>
    <dxf>
      <numFmt numFmtId="164" formatCode="&quot;&quot;"/>
    </dxf>
    <dxf>
      <numFmt numFmtId="164" formatCode="&quot;&quot;"/>
    </dxf>
  </dxfs>
  <tableStyles count="0" defaultTableStyle="TableStyleMedium2" defaultPivotStyle="PivotStyleLight16"/>
  <colors>
    <mruColors>
      <color rgb="FFFF5050"/>
      <color rgb="FFFF3300"/>
      <color rgb="FF008080"/>
      <color rgb="FF62F0F0"/>
      <color rgb="FFFF7C80"/>
      <color rgb="FFE0F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96"/>
  <sheetViews>
    <sheetView showRowColHeaders="0" rightToLeft="1" topLeftCell="A70" zoomScale="80" zoomScaleNormal="80" workbookViewId="0">
      <selection activeCell="I24" sqref="I24"/>
    </sheetView>
  </sheetViews>
  <sheetFormatPr defaultColWidth="9.140625" defaultRowHeight="19.5" x14ac:dyDescent="0.2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2:22" ht="12" customHeight="1" thickBot="1" x14ac:dyDescent="0.3"/>
    <row r="2" spans="2:22" ht="26.25" thickBot="1" x14ac:dyDescent="0.3">
      <c r="B2" s="207" t="s">
        <v>29</v>
      </c>
      <c r="C2" s="208"/>
      <c r="D2" s="208"/>
      <c r="E2" s="208"/>
      <c r="F2" s="208"/>
      <c r="G2" s="208"/>
      <c r="H2" s="209"/>
      <c r="J2" s="207" t="s">
        <v>20</v>
      </c>
      <c r="K2" s="208"/>
      <c r="L2" s="208"/>
      <c r="M2" s="208"/>
      <c r="N2" s="208"/>
      <c r="O2" s="208"/>
      <c r="P2" s="209"/>
    </row>
    <row r="3" spans="2:22" ht="21" thickBot="1" x14ac:dyDescent="0.3">
      <c r="B3" s="2" t="s">
        <v>0</v>
      </c>
      <c r="C3" s="3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2" t="s">
        <v>7</v>
      </c>
      <c r="J3" s="25" t="s">
        <v>0</v>
      </c>
      <c r="K3" s="30" t="s">
        <v>1</v>
      </c>
      <c r="L3" s="31" t="s">
        <v>2</v>
      </c>
      <c r="M3" s="31" t="s">
        <v>3</v>
      </c>
      <c r="N3" s="31" t="s">
        <v>4</v>
      </c>
      <c r="O3" s="32" t="s">
        <v>5</v>
      </c>
      <c r="P3" s="25" t="s">
        <v>7</v>
      </c>
      <c r="S3" s="1" t="s">
        <v>39</v>
      </c>
      <c r="T3" s="156"/>
      <c r="V3" s="156"/>
    </row>
    <row r="4" spans="2:22" x14ac:dyDescent="0.25">
      <c r="B4" s="6" t="s">
        <v>8</v>
      </c>
      <c r="C4" s="7">
        <f>IF(SUM(K4,C20,K20,C36,K36,C52,K52,C68,K68,C84)=0,"",SUM(K4,C20,K20,C36,K36,C52,K52,C68,K68,C84,K84))</f>
        <v>19240</v>
      </c>
      <c r="D4" s="8">
        <f t="shared" ref="D4:G4" si="0">IF(SUM(L4,D20,L20,D36,L36,D52,L52,D68,L68,D84)=0,"",SUM(L4,D20,L20,D36,L36,D52,L52,D68,L68,D84,L84))</f>
        <v>22149</v>
      </c>
      <c r="E4" s="8">
        <f t="shared" si="0"/>
        <v>407</v>
      </c>
      <c r="F4" s="8">
        <f t="shared" si="0"/>
        <v>126204</v>
      </c>
      <c r="G4" s="9">
        <f t="shared" si="0"/>
        <v>30660</v>
      </c>
      <c r="H4" s="10">
        <f>SUM(C4:F4)</f>
        <v>168000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30660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2:22" x14ac:dyDescent="0.25">
      <c r="B5" s="11" t="s">
        <v>9</v>
      </c>
      <c r="C5" s="12">
        <f t="shared" ref="C5:G5" si="1">IF(SUM(K5,C21,K21,C37,K37,C53,K53,C69,K69,C85)=0,"",SUM(K5,C21,K21,C37,K37,C53,K53,C69,K69,C85,K85))</f>
        <v>21048</v>
      </c>
      <c r="D5" s="13">
        <f t="shared" si="1"/>
        <v>22533</v>
      </c>
      <c r="E5" s="13">
        <f t="shared" si="1"/>
        <v>657</v>
      </c>
      <c r="F5" s="13">
        <f t="shared" si="1"/>
        <v>138956</v>
      </c>
      <c r="G5" s="14">
        <f t="shared" si="1"/>
        <v>31020</v>
      </c>
      <c r="H5" s="15">
        <f t="shared" ref="H5:H16" si="2">SUM(C5:F5)</f>
        <v>183194</v>
      </c>
      <c r="J5" s="11" t="s">
        <v>9</v>
      </c>
      <c r="K5" s="12" t="str">
        <f>IFERROR(IF(SUM(واردات!K5,صادرات!K5)=0,"",SUM(واردات!K5,صادرات!K5)),"")</f>
        <v/>
      </c>
      <c r="L5" s="13" t="str">
        <f>IFERROR(IF(SUM(واردات!L5,صادرات!L5)=0,"",SUM(واردات!L5,صادرات!L5)),"")</f>
        <v/>
      </c>
      <c r="M5" s="13" t="str">
        <f>IFERROR(IF(SUM(واردات!M5,صادرات!M5)=0,"",SUM(واردات!M5,صادرات!M5)),"")</f>
        <v/>
      </c>
      <c r="N5" s="13" t="str">
        <f>IFERROR(IF(SUM(واردات!N5,صادرات!N5)=0,"",SUM(واردات!N5,صادرات!N5)),"")</f>
        <v/>
      </c>
      <c r="O5" s="14" t="str">
        <f>IFERROR(IF(SUM(واردات!O5,صادرات!O5)=0,"",SUM(واردات!O5,صادرات!O5)),"")</f>
        <v/>
      </c>
      <c r="P5" s="15">
        <f t="shared" ref="P5:P15" si="3">SUM(K5:N5)</f>
        <v>0</v>
      </c>
      <c r="S5" s="155">
        <f>IF(OR(SUM(C5:G5)=0,SUM(G$4:G5)=0),"",IF(SUM(S$4:S4)=0,G5,IFERROR(SUM(S4,C5,-D5),"")))</f>
        <v>29175</v>
      </c>
      <c r="T5" s="156">
        <f t="shared" ref="T5:T15" si="4">IFERROR(S5-G5,"")</f>
        <v>-1845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2:22" x14ac:dyDescent="0.25">
      <c r="B6" s="11" t="s">
        <v>10</v>
      </c>
      <c r="C6" s="12">
        <f t="shared" ref="C6:G6" si="6">IF(SUM(K6,C22,K22,C38,K38,C54,K54,C70,K70,C86)=0,"",SUM(K6,C22,K22,C38,K38,C54,K54,C70,K70,C86,K86))</f>
        <v>20077</v>
      </c>
      <c r="D6" s="13">
        <f t="shared" si="6"/>
        <v>18019</v>
      </c>
      <c r="E6" s="13">
        <f t="shared" si="6"/>
        <v>863</v>
      </c>
      <c r="F6" s="13">
        <f t="shared" si="6"/>
        <v>115856</v>
      </c>
      <c r="G6" s="14">
        <f t="shared" si="6"/>
        <v>31543</v>
      </c>
      <c r="H6" s="15">
        <f t="shared" si="2"/>
        <v>154815</v>
      </c>
      <c r="J6" s="11" t="s">
        <v>10</v>
      </c>
      <c r="K6" s="12" t="str">
        <f>IFERROR(IF(SUM(واردات!K6,صادرات!K6)=0,"",SUM(واردات!K6,صادرات!K6)),"")</f>
        <v/>
      </c>
      <c r="L6" s="13" t="str">
        <f>IFERROR(IF(SUM(واردات!L6,صادرات!L6)=0,"",SUM(واردات!L6,صادرات!L6)),"")</f>
        <v/>
      </c>
      <c r="M6" s="13" t="str">
        <f>IFERROR(IF(SUM(واردات!M6,صادرات!M6)=0,"",SUM(واردات!M6,صادرات!M6)),"")</f>
        <v/>
      </c>
      <c r="N6" s="13" t="str">
        <f>IFERROR(IF(SUM(واردات!N6,صادرات!N6)=0,"",SUM(واردات!N6,صادرات!N6)),"")</f>
        <v/>
      </c>
      <c r="O6" s="14" t="str">
        <f>IFERROR(IF(SUM(واردات!O6,صادرات!O6)=0,"",SUM(واردات!O6,صادرات!O6)),"")</f>
        <v/>
      </c>
      <c r="P6" s="15">
        <f t="shared" si="3"/>
        <v>0</v>
      </c>
      <c r="S6" s="155">
        <f>IF(OR(SUM(C6:G6)=0,SUM(G$4:G6)=0),"",IF(SUM(S$4:S5)=0,G6,IFERROR(SUM(S5,C6,-D6),"")))</f>
        <v>31233</v>
      </c>
      <c r="T6" s="156">
        <f t="shared" si="4"/>
        <v>-310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2:22" x14ac:dyDescent="0.25">
      <c r="B7" s="11" t="s">
        <v>11</v>
      </c>
      <c r="C7" s="12">
        <f t="shared" ref="C7:G7" si="7">IF(SUM(K7,C23,K23,C39,K39,C55,K55,C71,K71,C87)=0,"",SUM(K7,C23,K23,C39,K39,C55,K55,C71,K71,C87,K87))</f>
        <v>16347</v>
      </c>
      <c r="D7" s="13">
        <f t="shared" si="7"/>
        <v>23311</v>
      </c>
      <c r="E7" s="13">
        <f t="shared" si="7"/>
        <v>293</v>
      </c>
      <c r="F7" s="13">
        <f t="shared" si="7"/>
        <v>158591</v>
      </c>
      <c r="G7" s="14">
        <f t="shared" si="7"/>
        <v>27054</v>
      </c>
      <c r="H7" s="15">
        <f t="shared" si="2"/>
        <v>198542</v>
      </c>
      <c r="J7" s="11" t="s">
        <v>11</v>
      </c>
      <c r="K7" s="12" t="str">
        <f>IFERROR(IF(SUM(واردات!K7,صادرات!K7)=0,"",SUM(واردات!K7,صادرات!K7)),"")</f>
        <v/>
      </c>
      <c r="L7" s="13" t="str">
        <f>IFERROR(IF(SUM(واردات!L7,صادرات!L7)=0,"",SUM(واردات!L7,صادرات!L7)),"")</f>
        <v/>
      </c>
      <c r="M7" s="13" t="str">
        <f>IFERROR(IF(SUM(واردات!M7,صادرات!M7)=0,"",SUM(واردات!M7,صادرات!M7)),"")</f>
        <v/>
      </c>
      <c r="N7" s="13" t="str">
        <f>IFERROR(IF(SUM(واردات!N7,صادرات!N7)=0,"",SUM(واردات!N7,صادرات!N7)),"")</f>
        <v/>
      </c>
      <c r="O7" s="14" t="str">
        <f>IFERROR(IF(SUM(واردات!O7,صادرات!O7)=0,"",SUM(واردات!O7,صادرات!O7)),"")</f>
        <v/>
      </c>
      <c r="P7" s="15">
        <f t="shared" si="3"/>
        <v>0</v>
      </c>
      <c r="S7" s="155">
        <f>IF(OR(SUM(C7:G7)=0,SUM(G$4:G7)=0),"",IF(SUM(S$4:S6)=0,G7,IFERROR(SUM(S6,C7,-D7),"")))</f>
        <v>24269</v>
      </c>
      <c r="T7" s="156">
        <f t="shared" si="4"/>
        <v>-2785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2:22" x14ac:dyDescent="0.25">
      <c r="B8" s="11" t="s">
        <v>12</v>
      </c>
      <c r="C8" s="12">
        <f t="shared" ref="C8:G8" si="8">IF(SUM(K8,C24,K24,C40,K40,C56,K56,C72,K72,C88)=0,"",SUM(K8,C24,K24,C40,K40,C56,K56,C72,K72,C88,K88))</f>
        <v>23531</v>
      </c>
      <c r="D8" s="13">
        <f t="shared" si="8"/>
        <v>30208</v>
      </c>
      <c r="E8" s="13">
        <f t="shared" si="8"/>
        <v>1520</v>
      </c>
      <c r="F8" s="13">
        <f t="shared" si="8"/>
        <v>163307</v>
      </c>
      <c r="G8" s="14">
        <f t="shared" si="8"/>
        <v>21674</v>
      </c>
      <c r="H8" s="15">
        <f t="shared" si="2"/>
        <v>218566</v>
      </c>
      <c r="J8" s="11" t="s">
        <v>12</v>
      </c>
      <c r="K8" s="12" t="str">
        <f>IFERROR(IF(SUM(واردات!K8,صادرات!K8)=0,"",SUM(واردات!K8,صادرات!K8)),"")</f>
        <v/>
      </c>
      <c r="L8" s="13" t="str">
        <f>IFERROR(IF(SUM(واردات!L8,صادرات!L8)=0,"",SUM(واردات!L8,صادرات!L8)),"")</f>
        <v/>
      </c>
      <c r="M8" s="13" t="str">
        <f>IFERROR(IF(SUM(واردات!M8,صادرات!M8)=0,"",SUM(واردات!M8,صادرات!M8)),"")</f>
        <v/>
      </c>
      <c r="N8" s="13" t="str">
        <f>IFERROR(IF(SUM(واردات!N8,صادرات!N8)=0,"",SUM(واردات!N8,صادرات!N8)),"")</f>
        <v/>
      </c>
      <c r="O8" s="14" t="str">
        <f>IFERROR(IF(SUM(واردات!O8,صادرات!O8)=0,"",SUM(واردات!O8,صادرات!O8)),"")</f>
        <v/>
      </c>
      <c r="P8" s="15">
        <f t="shared" si="3"/>
        <v>0</v>
      </c>
      <c r="S8" s="155">
        <f>IF(OR(SUM(C8:G8)=0,SUM(G$4:G8)=0),"",IF(SUM(S$4:S7)=0,G8,IFERROR(SUM(S7,C8,-D8),"")))</f>
        <v>17592</v>
      </c>
      <c r="T8" s="156">
        <f t="shared" si="4"/>
        <v>-4082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2:22" x14ac:dyDescent="0.25">
      <c r="B9" s="11" t="s">
        <v>13</v>
      </c>
      <c r="C9" s="12">
        <f t="shared" ref="C9:G9" si="9">IF(SUM(K9,C25,K25,C41,K41,C57,K57,C73,K73,C89)=0,"",SUM(K9,C25,K25,C41,K41,C57,K57,C73,K73,C89,K89))</f>
        <v>27327</v>
      </c>
      <c r="D9" s="13">
        <f t="shared" si="9"/>
        <v>23858</v>
      </c>
      <c r="E9" s="13">
        <f t="shared" si="9"/>
        <v>180</v>
      </c>
      <c r="F9" s="13">
        <f t="shared" si="9"/>
        <v>174182</v>
      </c>
      <c r="G9" s="14">
        <f t="shared" si="9"/>
        <v>24373</v>
      </c>
      <c r="H9" s="15">
        <f t="shared" si="2"/>
        <v>225547</v>
      </c>
      <c r="J9" s="11" t="s">
        <v>13</v>
      </c>
      <c r="K9" s="12" t="str">
        <f>IFERROR(IF(SUM(واردات!K9,صادرات!K9)=0,"",SUM(واردات!K9,صادرات!K9)),"")</f>
        <v/>
      </c>
      <c r="L9" s="13" t="str">
        <f>IFERROR(IF(SUM(واردات!L9,صادرات!L9)=0,"",SUM(واردات!L9,صادرات!L9)),"")</f>
        <v/>
      </c>
      <c r="M9" s="13" t="str">
        <f>IFERROR(IF(SUM(واردات!M9,صادرات!M9)=0,"",SUM(واردات!M9,صادرات!M9)),"")</f>
        <v/>
      </c>
      <c r="N9" s="13" t="str">
        <f>IFERROR(IF(SUM(واردات!N9,صادرات!N9)=0,"",SUM(واردات!N9,صادرات!N9)),"")</f>
        <v/>
      </c>
      <c r="O9" s="14" t="str">
        <f>IFERROR(IF(SUM(واردات!O9,صادرات!O9)=0,"",SUM(واردات!O9,صادرات!O9)),"")</f>
        <v/>
      </c>
      <c r="P9" s="15">
        <f t="shared" si="3"/>
        <v>0</v>
      </c>
      <c r="S9" s="155">
        <f>IF(OR(SUM(C9:G9)=0,SUM(G$4:G9)=0),"",IF(SUM(S$4:S8)=0,G9,IFERROR(SUM(S8,C9,-D9),"")))</f>
        <v>21061</v>
      </c>
      <c r="T9" s="156">
        <f t="shared" si="4"/>
        <v>-3312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2:22" x14ac:dyDescent="0.25">
      <c r="B10" s="11" t="s">
        <v>14</v>
      </c>
      <c r="C10" s="12">
        <f t="shared" ref="C10:G10" si="10">IF(SUM(K10,C26,K26,C42,K42,C58,K58,C74,K74,C90)=0,"",SUM(K10,C26,K26,C42,K42,C58,K58,C74,K74,C90,K90))</f>
        <v>24847</v>
      </c>
      <c r="D10" s="13">
        <f t="shared" si="10"/>
        <v>24761</v>
      </c>
      <c r="E10" s="13" t="str">
        <f t="shared" si="10"/>
        <v/>
      </c>
      <c r="F10" s="13">
        <f t="shared" si="10"/>
        <v>182744</v>
      </c>
      <c r="G10" s="14">
        <f t="shared" si="10"/>
        <v>24529</v>
      </c>
      <c r="H10" s="15">
        <f t="shared" si="2"/>
        <v>232352</v>
      </c>
      <c r="J10" s="11" t="s">
        <v>14</v>
      </c>
      <c r="K10" s="12" t="str">
        <f>IFERROR(IF(SUM(واردات!K10,صادرات!K10)=0,"",SUM(واردات!K10,صادرات!K10)),"")</f>
        <v/>
      </c>
      <c r="L10" s="13" t="str">
        <f>IFERROR(IF(SUM(واردات!L10,صادرات!L10)=0,"",SUM(واردات!L10,صادرات!L10)),"")</f>
        <v/>
      </c>
      <c r="M10" s="13" t="str">
        <f>IFERROR(IF(SUM(واردات!M10,صادرات!M10)=0,"",SUM(واردات!M10,صادرات!M10)),"")</f>
        <v/>
      </c>
      <c r="N10" s="13" t="str">
        <f>IFERROR(IF(SUM(واردات!N10,صادرات!N10)=0,"",SUM(واردات!N10,صادرات!N10)),"")</f>
        <v/>
      </c>
      <c r="O10" s="14" t="str">
        <f>IFERROR(IF(SUM(واردات!O10,صادرات!O10)=0,"",SUM(واردات!O10,صادرات!O10)),"")</f>
        <v/>
      </c>
      <c r="P10" s="15">
        <f t="shared" si="3"/>
        <v>0</v>
      </c>
      <c r="S10" s="155">
        <f>IF(OR(SUM(C10:G10)=0,SUM(G$4:G10)=0),"",IF(SUM(S$4:S9)=0,G10,IFERROR(SUM(S9,C10,-D10),"")))</f>
        <v>21147</v>
      </c>
      <c r="T10" s="156">
        <f t="shared" si="4"/>
        <v>-3382</v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2:22" x14ac:dyDescent="0.25">
      <c r="B11" s="11" t="s">
        <v>15</v>
      </c>
      <c r="C11" s="12">
        <f t="shared" ref="C11:G11" si="11">IF(SUM(K11,C27,K27,C43,K43,C59,K59,C75,K75,C91)=0,"",SUM(K11,C27,K27,C43,K43,C59,K59,C75,K75,C91,K91))</f>
        <v>40962</v>
      </c>
      <c r="D11" s="13">
        <f t="shared" si="11"/>
        <v>28144</v>
      </c>
      <c r="E11" s="13" t="str">
        <f t="shared" si="11"/>
        <v/>
      </c>
      <c r="F11" s="13">
        <f t="shared" si="11"/>
        <v>179945</v>
      </c>
      <c r="G11" s="14">
        <f t="shared" si="11"/>
        <v>36606</v>
      </c>
      <c r="H11" s="15">
        <f t="shared" si="2"/>
        <v>249051</v>
      </c>
      <c r="J11" s="11" t="s">
        <v>15</v>
      </c>
      <c r="K11" s="12" t="str">
        <f>IFERROR(IF(SUM(واردات!K11,صادرات!K11)=0,"",SUM(واردات!K11,صادرات!K11)),"")</f>
        <v/>
      </c>
      <c r="L11" s="13" t="str">
        <f>IFERROR(IF(SUM(واردات!L11,صادرات!L11)=0,"",SUM(واردات!L11,صادرات!L11)),"")</f>
        <v/>
      </c>
      <c r="M11" s="13" t="str">
        <f>IFERROR(IF(SUM(واردات!M11,صادرات!M11)=0,"",SUM(واردات!M11,صادرات!M11)),"")</f>
        <v/>
      </c>
      <c r="N11" s="13" t="str">
        <f>IFERROR(IF(SUM(واردات!N11,صادرات!N11)=0,"",SUM(واردات!N11,صادرات!N11)),"")</f>
        <v/>
      </c>
      <c r="O11" s="14" t="str">
        <f>IFERROR(IF(SUM(واردات!O11,صادرات!O11)=0,"",SUM(واردات!O11,صادرات!O11)),"")</f>
        <v/>
      </c>
      <c r="P11" s="15">
        <f t="shared" si="3"/>
        <v>0</v>
      </c>
      <c r="S11" s="155">
        <f>IF(OR(SUM(C11:G11)=0,SUM(G$4:G11)=0),"",IF(SUM(S$4:S10)=0,G11,IFERROR(SUM(S10,C11,-D11),"")))</f>
        <v>33965</v>
      </c>
      <c r="T11" s="156">
        <f t="shared" si="4"/>
        <v>-2641</v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2:22" x14ac:dyDescent="0.25">
      <c r="B12" s="11" t="s">
        <v>16</v>
      </c>
      <c r="C12" s="12">
        <f t="shared" ref="C12:G12" si="12">IF(SUM(K12,C28,K28,C44,K44,C60,K60,C76,K76,C92)=0,"",SUM(K12,C28,K28,C44,K44,C60,K60,C76,K76,C92,K92))</f>
        <v>31087</v>
      </c>
      <c r="D12" s="13">
        <f t="shared" si="12"/>
        <v>28457</v>
      </c>
      <c r="E12" s="13">
        <f t="shared" si="12"/>
        <v>4</v>
      </c>
      <c r="F12" s="13">
        <f t="shared" si="12"/>
        <v>167136</v>
      </c>
      <c r="G12" s="14">
        <f t="shared" si="12"/>
        <v>38854</v>
      </c>
      <c r="H12" s="15">
        <f t="shared" si="2"/>
        <v>226684</v>
      </c>
      <c r="J12" s="11" t="s">
        <v>16</v>
      </c>
      <c r="K12" s="12" t="str">
        <f>IFERROR(IF(SUM(واردات!K12,صادرات!K12)=0,"",SUM(واردات!K12,صادرات!K12)),"")</f>
        <v/>
      </c>
      <c r="L12" s="13" t="str">
        <f>IFERROR(IF(SUM(واردات!L12,صادرات!L12)=0,"",SUM(واردات!L12,صادرات!L12)),"")</f>
        <v/>
      </c>
      <c r="M12" s="13" t="str">
        <f>IFERROR(IF(SUM(واردات!M12,صادرات!M12)=0,"",SUM(واردات!M12,صادرات!M12)),"")</f>
        <v/>
      </c>
      <c r="N12" s="13" t="str">
        <f>IFERROR(IF(SUM(واردات!N12,صادرات!N12)=0,"",SUM(واردات!N12,صادرات!N12)),"")</f>
        <v/>
      </c>
      <c r="O12" s="14" t="str">
        <f>IFERROR(IF(SUM(واردات!O12,صادرات!O12)=0,"",SUM(واردات!O12,صادرات!O12)),"")</f>
        <v/>
      </c>
      <c r="P12" s="15">
        <f t="shared" si="3"/>
        <v>0</v>
      </c>
      <c r="S12" s="155">
        <f>IF(OR(SUM(C12:G12)=0,SUM(G$4:G12)=0),"",IF(SUM(S$4:S11)=0,G12,IFERROR(SUM(S11,C12,-D12),"")))</f>
        <v>36595</v>
      </c>
      <c r="T12" s="156">
        <f t="shared" si="4"/>
        <v>-2259</v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2:22" x14ac:dyDescent="0.25">
      <c r="B13" s="11" t="s">
        <v>17</v>
      </c>
      <c r="C13" s="12">
        <f t="shared" ref="C13:G13" si="13">IF(SUM(K13,C29,K29,C45,K45,C61,K61,C77,K77,C93)=0,"",SUM(K13,C29,K29,C45,K45,C61,K61,C77,K77,C93,K93))</f>
        <v>20475</v>
      </c>
      <c r="D13" s="13">
        <f t="shared" si="13"/>
        <v>29848</v>
      </c>
      <c r="E13" s="13">
        <f t="shared" si="13"/>
        <v>20</v>
      </c>
      <c r="F13" s="13">
        <f t="shared" si="13"/>
        <v>152328</v>
      </c>
      <c r="G13" s="14">
        <f t="shared" si="13"/>
        <v>30796</v>
      </c>
      <c r="H13" s="15">
        <f t="shared" si="2"/>
        <v>202671</v>
      </c>
      <c r="J13" s="11" t="s">
        <v>17</v>
      </c>
      <c r="K13" s="12" t="str">
        <f>IFERROR(IF(SUM(واردات!K13,صادرات!K13)=0,"",SUM(واردات!K13,صادرات!K13)),"")</f>
        <v/>
      </c>
      <c r="L13" s="13" t="str">
        <f>IFERROR(IF(SUM(واردات!L13,صادرات!L13)=0,"",SUM(واردات!L13,صادرات!L13)),"")</f>
        <v/>
      </c>
      <c r="M13" s="13" t="str">
        <f>IFERROR(IF(SUM(واردات!M13,صادرات!M13)=0,"",SUM(واردات!M13,صادرات!M13)),"")</f>
        <v/>
      </c>
      <c r="N13" s="13" t="str">
        <f>IFERROR(IF(SUM(واردات!N13,صادرات!N13)=0,"",SUM(واردات!N13,صادرات!N13)),"")</f>
        <v/>
      </c>
      <c r="O13" s="14" t="str">
        <f>IFERROR(IF(SUM(واردات!O13,صادرات!O13)=0,"",SUM(واردات!O13,صادرات!O13)),"")</f>
        <v/>
      </c>
      <c r="P13" s="15">
        <f t="shared" si="3"/>
        <v>0</v>
      </c>
      <c r="S13" s="155">
        <f>IF(OR(SUM(C13:G13)=0,SUM(G$4:G13)=0),"",IF(SUM(S$4:S12)=0,G13,IFERROR(SUM(S12,C13,-D13),"")))</f>
        <v>27222</v>
      </c>
      <c r="T13" s="156">
        <f t="shared" si="4"/>
        <v>-3574</v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2:22" x14ac:dyDescent="0.25">
      <c r="B14" s="11" t="s">
        <v>18</v>
      </c>
      <c r="C14" s="12">
        <f t="shared" ref="C14:G14" si="14">IF(SUM(K14,C30,K30,C46,K46,C62,K62,C78,K78,C94)=0,"",SUM(K14,C30,K30,C46,K46,C62,K62,C78,K78,C94,K94))</f>
        <v>26021.758000000002</v>
      </c>
      <c r="D14" s="13">
        <f t="shared" si="14"/>
        <v>29296.136999999999</v>
      </c>
      <c r="E14" s="13" t="str">
        <f t="shared" si="14"/>
        <v/>
      </c>
      <c r="F14" s="13">
        <f t="shared" si="14"/>
        <v>186756</v>
      </c>
      <c r="G14" s="14">
        <f t="shared" si="14"/>
        <v>30204.620999999999</v>
      </c>
      <c r="H14" s="15">
        <f t="shared" si="2"/>
        <v>242073.89500000002</v>
      </c>
      <c r="J14" s="11" t="s">
        <v>18</v>
      </c>
      <c r="K14" s="12" t="str">
        <f>IFERROR(IF(SUM(واردات!K14,صادرات!K14)=0,"",SUM(واردات!K14,صادرات!K14)),"")</f>
        <v/>
      </c>
      <c r="L14" s="13" t="str">
        <f>IFERROR(IF(SUM(واردات!L14,صادرات!L14)=0,"",SUM(واردات!L14,صادرات!L14)),"")</f>
        <v/>
      </c>
      <c r="M14" s="13" t="str">
        <f>IFERROR(IF(SUM(واردات!M14,صادرات!M14)=0,"",SUM(واردات!M14,صادرات!M14)),"")</f>
        <v/>
      </c>
      <c r="N14" s="13" t="str">
        <f>IFERROR(IF(SUM(واردات!N14,صادرات!N14)=0,"",SUM(واردات!N14,صادرات!N14)),"")</f>
        <v/>
      </c>
      <c r="O14" s="14" t="str">
        <f>IFERROR(IF(SUM(واردات!O14,صادرات!O14)=0,"",SUM(واردات!O14,صادرات!O14)),"")</f>
        <v/>
      </c>
      <c r="P14" s="15">
        <f t="shared" si="3"/>
        <v>0</v>
      </c>
      <c r="S14" s="155">
        <f>IF(OR(SUM(C14:G14)=0,SUM(G$4:G14)=0),"",IF(SUM(S$4:S13)=0,G14,IFERROR(SUM(S13,C14,-D14),"")))</f>
        <v>23947.621000000003</v>
      </c>
      <c r="T14" s="156">
        <f t="shared" si="4"/>
        <v>-6256.9999999999964</v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2:22" ht="20.25" thickBot="1" x14ac:dyDescent="0.3">
      <c r="B15" s="16" t="s">
        <v>19</v>
      </c>
      <c r="C15" s="17">
        <f t="shared" ref="C15:F15" si="15">IF(SUM(K15,C31,K31,C47,K47,C63,K63,C79,K79,C95)=0,"",SUM(K15,C31,K31,C47,K47,C63,K63,C79,K79,C95,K95))</f>
        <v>26757</v>
      </c>
      <c r="D15" s="18">
        <f t="shared" si="15"/>
        <v>26932</v>
      </c>
      <c r="E15" s="18" t="str">
        <f t="shared" si="15"/>
        <v/>
      </c>
      <c r="F15" s="18">
        <f t="shared" si="15"/>
        <v>174665</v>
      </c>
      <c r="G15" s="19">
        <f>IF(SUM(O15,G31,O31,G47,O47,G63,O63,G79,O79,G95)=0,"",SUM(O15,G31,O31,G47,O47,G63,O63,G79,O79,G95,O95))</f>
        <v>26366</v>
      </c>
      <c r="H15" s="20">
        <f t="shared" si="2"/>
        <v>228354</v>
      </c>
      <c r="J15" s="16" t="s">
        <v>19</v>
      </c>
      <c r="K15" s="17" t="str">
        <f>IFERROR(IF(SUM(واردات!K15,صادرات!K15)=0,"",SUM(واردات!K15,صادرات!K15)),"")</f>
        <v/>
      </c>
      <c r="L15" s="18" t="str">
        <f>IFERROR(IF(SUM(واردات!L15,صادرات!L15)=0,"",SUM(واردات!L15,صادرات!L15)),"")</f>
        <v/>
      </c>
      <c r="M15" s="18" t="str">
        <f>IFERROR(IF(SUM(واردات!M15,صادرات!M15)=0,"",SUM(واردات!M15,صادرات!M15)),"")</f>
        <v/>
      </c>
      <c r="N15" s="18" t="str">
        <f>IFERROR(IF(SUM(واردات!N15,صادرات!N15)=0,"",SUM(واردات!N15,صادرات!N15)),"")</f>
        <v/>
      </c>
      <c r="O15" s="19" t="str">
        <f>IFERROR(IF(SUM(واردات!O15,صادرات!O15)=0,"",SUM(واردات!O15,صادرات!O15)),"")</f>
        <v/>
      </c>
      <c r="P15" s="20">
        <f t="shared" si="3"/>
        <v>0</v>
      </c>
      <c r="S15" s="155">
        <f>IF(OR(SUM(C15:G15)=0,SUM(G$4:G15)=0),"",IF(SUM(S$4:S14)=0,G15,IFERROR(SUM(S14,C15,-D15),"")))</f>
        <v>23772.620999999999</v>
      </c>
      <c r="T15" s="156">
        <f t="shared" si="4"/>
        <v>-2593.3790000000008</v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2:22" ht="21" thickBot="1" x14ac:dyDescent="0.3">
      <c r="B16" s="2" t="s">
        <v>6</v>
      </c>
      <c r="C16" s="21">
        <f>SUM(C4:C15)</f>
        <v>297719.75800000003</v>
      </c>
      <c r="D16" s="22">
        <f t="shared" ref="D16:F16" si="16">SUM(D4:D15)</f>
        <v>307516.13699999999</v>
      </c>
      <c r="E16" s="22">
        <f t="shared" si="16"/>
        <v>3944</v>
      </c>
      <c r="F16" s="22">
        <f t="shared" si="16"/>
        <v>1920670</v>
      </c>
      <c r="G16" s="2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26366</v>
      </c>
      <c r="H16" s="24">
        <f t="shared" si="2"/>
        <v>2529849.895</v>
      </c>
      <c r="J16" s="25" t="s">
        <v>6</v>
      </c>
      <c r="K16" s="26">
        <f>SUM(K4:K15)</f>
        <v>0</v>
      </c>
      <c r="L16" s="27">
        <f t="shared" ref="L16:N16" si="17">SUM(L4:L15)</f>
        <v>0</v>
      </c>
      <c r="M16" s="27">
        <f t="shared" si="17"/>
        <v>0</v>
      </c>
      <c r="N16" s="27">
        <f t="shared" si="17"/>
        <v>0</v>
      </c>
      <c r="O16" s="28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29">
        <f t="shared" ref="P16" si="18">SUM(K16:N16)</f>
        <v>0</v>
      </c>
      <c r="T16" s="156"/>
      <c r="V16" s="156"/>
    </row>
    <row r="17" spans="2:22" ht="3.95" customHeight="1" thickBot="1" x14ac:dyDescent="0.3">
      <c r="T17" s="156"/>
      <c r="V17" s="156"/>
    </row>
    <row r="18" spans="2:22" ht="26.25" thickBot="1" x14ac:dyDescent="0.3">
      <c r="B18" s="207" t="s">
        <v>21</v>
      </c>
      <c r="C18" s="208"/>
      <c r="D18" s="208"/>
      <c r="E18" s="208"/>
      <c r="F18" s="208"/>
      <c r="G18" s="208"/>
      <c r="H18" s="209"/>
      <c r="J18" s="207" t="s">
        <v>22</v>
      </c>
      <c r="K18" s="208"/>
      <c r="L18" s="208"/>
      <c r="M18" s="208"/>
      <c r="N18" s="208"/>
      <c r="O18" s="208"/>
      <c r="P18" s="209"/>
      <c r="T18" s="156"/>
      <c r="V18" s="156"/>
    </row>
    <row r="19" spans="2:22" ht="21" thickBot="1" x14ac:dyDescent="0.3">
      <c r="B19" s="25" t="s">
        <v>0</v>
      </c>
      <c r="C19" s="30" t="s">
        <v>1</v>
      </c>
      <c r="D19" s="31" t="s">
        <v>2</v>
      </c>
      <c r="E19" s="31" t="s">
        <v>3</v>
      </c>
      <c r="F19" s="31" t="s">
        <v>4</v>
      </c>
      <c r="G19" s="32" t="s">
        <v>5</v>
      </c>
      <c r="H19" s="25" t="s">
        <v>7</v>
      </c>
      <c r="J19" s="25" t="s">
        <v>0</v>
      </c>
      <c r="K19" s="30" t="s">
        <v>1</v>
      </c>
      <c r="L19" s="31" t="s">
        <v>2</v>
      </c>
      <c r="M19" s="31" t="s">
        <v>3</v>
      </c>
      <c r="N19" s="31" t="s">
        <v>4</v>
      </c>
      <c r="O19" s="32" t="s">
        <v>5</v>
      </c>
      <c r="P19" s="25" t="s">
        <v>7</v>
      </c>
      <c r="T19" s="156"/>
      <c r="V19" s="156"/>
    </row>
    <row r="20" spans="2:22" x14ac:dyDescent="0.25">
      <c r="B20" s="6" t="s">
        <v>8</v>
      </c>
      <c r="C20" s="7">
        <f>IFERROR(IF(SUM(واردات!C20,صادرات!C20)=0,"",SUM(واردات!C20,صادرات!C20)),"")</f>
        <v>1297</v>
      </c>
      <c r="D20" s="8">
        <f>IFERROR(IF(SUM(واردات!D20,صادرات!D20)=0,"",SUM(واردات!D20,صادرات!D20)),"")</f>
        <v>1101</v>
      </c>
      <c r="E20" s="8">
        <f>IFERROR(IF(SUM(واردات!E20,صادرات!E20)=0,"",SUM(واردات!E20,صادرات!E20)),"")</f>
        <v>407</v>
      </c>
      <c r="F20" s="8" t="str">
        <f>IFERROR(IF(SUM(واردات!F20,صادرات!F20)=0,"",SUM(واردات!F20,صادرات!F20)),"")</f>
        <v/>
      </c>
      <c r="G20" s="9">
        <f>IFERROR(IF(SUM(واردات!G20,صادرات!G20)=0,"",SUM(واردات!G20,صادرات!G20)),"")</f>
        <v>3019</v>
      </c>
      <c r="H20" s="10">
        <f>SUM(C20:F20)</f>
        <v>2805</v>
      </c>
      <c r="J20" s="6" t="s">
        <v>8</v>
      </c>
      <c r="K20" s="7">
        <f>IFERROR(IF(SUM(واردات!K20,صادرات!K20)=0,"",SUM(واردات!K20,صادرات!K20)),"")</f>
        <v>3435</v>
      </c>
      <c r="L20" s="8">
        <f>IFERROR(IF(SUM(واردات!L20,صادرات!L20)=0,"",SUM(واردات!L20,صادرات!L20)),"")</f>
        <v>4224</v>
      </c>
      <c r="M20" s="8" t="str">
        <f>IFERROR(IF(SUM(واردات!M20,صادرات!M20)=0,"",SUM(واردات!M20,صادرات!M20)),"")</f>
        <v/>
      </c>
      <c r="N20" s="8">
        <f>IFERROR(IF(SUM(واردات!N20,صادرات!N20)=0,"",SUM(واردات!N20,صادرات!N20)),"")</f>
        <v>34498</v>
      </c>
      <c r="O20" s="9">
        <f>IFERROR(IF(SUM(واردات!O20,صادرات!O20)=0,"",SUM(واردات!O20,صادرات!O20)),"")</f>
        <v>6494</v>
      </c>
      <c r="P20" s="10">
        <f>SUM(K20:N20)</f>
        <v>42157</v>
      </c>
      <c r="S20" s="155">
        <f>IF(SUM(G20)=0,"",IFERROR(G20,""))</f>
        <v>3019</v>
      </c>
      <c r="T20" s="156">
        <f>IFERROR(S20-G20,"")</f>
        <v>0</v>
      </c>
      <c r="U20" s="155">
        <f>IF(SUM(O20)=0,"",IFERROR(O20,""))</f>
        <v>6494</v>
      </c>
      <c r="V20" s="156">
        <f>IFERROR(U20-O20,"")</f>
        <v>0</v>
      </c>
    </row>
    <row r="21" spans="2:22" x14ac:dyDescent="0.25">
      <c r="B21" s="11" t="s">
        <v>9</v>
      </c>
      <c r="C21" s="12">
        <f>IFERROR(IF(SUM(واردات!C21,صادرات!C21)=0,"",SUM(واردات!C21,صادرات!C21)),"")</f>
        <v>2608</v>
      </c>
      <c r="D21" s="13">
        <f>IFERROR(IF(SUM(واردات!D21,صادرات!D21)=0,"",SUM(واردات!D21,صادرات!D21)),"")</f>
        <v>1650</v>
      </c>
      <c r="E21" s="13">
        <f>IFERROR(IF(SUM(واردات!E21,صادرات!E21)=0,"",SUM(واردات!E21,صادرات!E21)),"")</f>
        <v>578</v>
      </c>
      <c r="F21" s="13" t="str">
        <f>IFERROR(IF(SUM(واردات!F21,صادرات!F21)=0,"",SUM(واردات!F21,صادرات!F21)),"")</f>
        <v/>
      </c>
      <c r="G21" s="14">
        <f>IFERROR(IF(SUM(واردات!G21,صادرات!G21)=0,"",SUM(واردات!G21,صادرات!G21)),"")</f>
        <v>4165</v>
      </c>
      <c r="H21" s="15">
        <f t="shared" ref="H21:H31" si="19">SUM(C21:F21)</f>
        <v>4836</v>
      </c>
      <c r="J21" s="11" t="s">
        <v>9</v>
      </c>
      <c r="K21" s="12">
        <f>IFERROR(IF(SUM(واردات!K21,صادرات!K21)=0,"",SUM(واردات!K21,صادرات!K21)),"")</f>
        <v>3480</v>
      </c>
      <c r="L21" s="13">
        <f>IFERROR(IF(SUM(واردات!L21,صادرات!L21)=0,"",SUM(واردات!L21,صادرات!L21)),"")</f>
        <v>4724</v>
      </c>
      <c r="M21" s="13" t="str">
        <f>IFERROR(IF(SUM(واردات!M21,صادرات!M21)=0,"",SUM(واردات!M21,صادرات!M21)),"")</f>
        <v/>
      </c>
      <c r="N21" s="13">
        <f>IFERROR(IF(SUM(واردات!N21,صادرات!N21)=0,"",SUM(واردات!N21,صادرات!N21)),"")</f>
        <v>50468</v>
      </c>
      <c r="O21" s="14">
        <f>IFERROR(IF(SUM(واردات!O21,صادرات!O21)=0,"",SUM(واردات!O21,صادرات!O21)),"")</f>
        <v>5103</v>
      </c>
      <c r="P21" s="15">
        <f t="shared" ref="P21:P31" si="20">SUM(K21:N21)</f>
        <v>58672</v>
      </c>
      <c r="S21" s="155">
        <f>IF(OR(SUM(C21:G21)=0,SUM(G$20:G21)=0),"",IF(SUM(S$20:S20)=0,G21,IFERROR(SUM(S20,C21,-D21),"")))</f>
        <v>3977</v>
      </c>
      <c r="T21" s="156">
        <f t="shared" ref="T21:T31" si="21">IFERROR(S21-G21,"")</f>
        <v>-188</v>
      </c>
      <c r="U21" s="155">
        <f>IF(OR(SUM(K21:O21)=0,SUM(O$20:O21)=0),"",IF(SUM(U$20:U20)=0,O21,IFERROR(SUM(U20,K21,-L21),"")))</f>
        <v>5250</v>
      </c>
      <c r="V21" s="156">
        <f t="shared" ref="V21:V31" si="22">IFERROR(U21-O21,"")</f>
        <v>147</v>
      </c>
    </row>
    <row r="22" spans="2:22" x14ac:dyDescent="0.25">
      <c r="B22" s="11" t="s">
        <v>10</v>
      </c>
      <c r="C22" s="12">
        <f>IFERROR(IF(SUM(واردات!C22,صادرات!C22)=0,"",SUM(واردات!C22,صادرات!C22)),"")</f>
        <v>1558</v>
      </c>
      <c r="D22" s="13">
        <f>IFERROR(IF(SUM(واردات!D22,صادرات!D22)=0,"",SUM(واردات!D22,صادرات!D22)),"")</f>
        <v>2007</v>
      </c>
      <c r="E22" s="13">
        <f>IFERROR(IF(SUM(واردات!E22,صادرات!E22)=0,"",SUM(واردات!E22,صادرات!E22)),"")</f>
        <v>863</v>
      </c>
      <c r="F22" s="13" t="str">
        <f>IFERROR(IF(SUM(واردات!F22,صادرات!F22)=0,"",SUM(واردات!F22,صادرات!F22)),"")</f>
        <v/>
      </c>
      <c r="G22" s="14">
        <f>IFERROR(IF(SUM(واردات!G22,صادرات!G22)=0,"",SUM(واردات!G22,صادرات!G22)),"")</f>
        <v>3669</v>
      </c>
      <c r="H22" s="15">
        <f t="shared" si="19"/>
        <v>4428</v>
      </c>
      <c r="J22" s="11" t="s">
        <v>10</v>
      </c>
      <c r="K22" s="12">
        <f>IFERROR(IF(SUM(واردات!K22,صادرات!K22)=0,"",SUM(واردات!K22,صادرات!K22)),"")</f>
        <v>4745</v>
      </c>
      <c r="L22" s="13">
        <f>IFERROR(IF(SUM(واردات!L22,صادرات!L22)=0,"",SUM(واردات!L22,صادرات!L22)),"")</f>
        <v>3614</v>
      </c>
      <c r="M22" s="13" t="str">
        <f>IFERROR(IF(SUM(واردات!M22,صادرات!M22)=0,"",SUM(واردات!M22,صادرات!M22)),"")</f>
        <v/>
      </c>
      <c r="N22" s="13">
        <f>IFERROR(IF(SUM(واردات!N22,صادرات!N22)=0,"",SUM(واردات!N22,صادرات!N22)),"")</f>
        <v>42125</v>
      </c>
      <c r="O22" s="14">
        <f>IFERROR(IF(SUM(واردات!O22,صادرات!O22)=0,"",SUM(واردات!O22,صادرات!O22)),"")</f>
        <v>4826</v>
      </c>
      <c r="P22" s="15">
        <f t="shared" si="20"/>
        <v>50484</v>
      </c>
      <c r="S22" s="155">
        <f>IF(OR(SUM(C22:G22)=0,SUM(G$20:G22)=0),"",IF(SUM(S$20:S21)=0,G22,IFERROR(SUM(S21,C22,-D22),"")))</f>
        <v>3528</v>
      </c>
      <c r="T22" s="156">
        <f t="shared" si="21"/>
        <v>-141</v>
      </c>
      <c r="U22" s="155">
        <f>IF(OR(SUM(K22:O22)=0,SUM(O$20:O22)=0),"",IF(SUM(U$20:U21)=0,O22,IFERROR(SUM(U21,K22,-L22),"")))</f>
        <v>6381</v>
      </c>
      <c r="V22" s="156">
        <f t="shared" si="22"/>
        <v>1555</v>
      </c>
    </row>
    <row r="23" spans="2:22" x14ac:dyDescent="0.25">
      <c r="B23" s="11" t="s">
        <v>11</v>
      </c>
      <c r="C23" s="12">
        <f>IFERROR(IF(SUM(واردات!C23,صادرات!C23)=0,"",SUM(واردات!C23,صادرات!C23)),"")</f>
        <v>1861</v>
      </c>
      <c r="D23" s="13">
        <f>IFERROR(IF(SUM(واردات!D23,صادرات!D23)=0,"",SUM(واردات!D23,صادرات!D23)),"")</f>
        <v>2131</v>
      </c>
      <c r="E23" s="13">
        <f>IFERROR(IF(SUM(واردات!E23,صادرات!E23)=0,"",SUM(واردات!E23,صادرات!E23)),"")</f>
        <v>293</v>
      </c>
      <c r="F23" s="13" t="str">
        <f>IFERROR(IF(SUM(واردات!F23,صادرات!F23)=0,"",SUM(واردات!F23,صادرات!F23)),"")</f>
        <v/>
      </c>
      <c r="G23" s="14">
        <f>IFERROR(IF(SUM(واردات!G23,صادرات!G23)=0,"",SUM(واردات!G23,صادرات!G23)),"")</f>
        <v>3537</v>
      </c>
      <c r="H23" s="15">
        <f t="shared" si="19"/>
        <v>4285</v>
      </c>
      <c r="J23" s="11" t="s">
        <v>11</v>
      </c>
      <c r="K23" s="12">
        <f>IFERROR(IF(SUM(واردات!K23,صادرات!K23)=0,"",SUM(واردات!K23,صادرات!K23)),"")</f>
        <v>2796</v>
      </c>
      <c r="L23" s="13">
        <f>IFERROR(IF(SUM(واردات!L23,صادرات!L23)=0,"",SUM(واردات!L23,صادرات!L23)),"")</f>
        <v>4653</v>
      </c>
      <c r="M23" s="13" t="str">
        <f>IFERROR(IF(SUM(واردات!M23,صادرات!M23)=0,"",SUM(واردات!M23,صادرات!M23)),"")</f>
        <v/>
      </c>
      <c r="N23" s="13">
        <f>IFERROR(IF(SUM(واردات!N23,صادرات!N23)=0,"",SUM(واردات!N23,صادرات!N23)),"")</f>
        <v>80132</v>
      </c>
      <c r="O23" s="14">
        <f>IFERROR(IF(SUM(واردات!O23,صادرات!O23)=0,"",SUM(واردات!O23,صادرات!O23)),"")</f>
        <v>4283</v>
      </c>
      <c r="P23" s="15">
        <f t="shared" si="20"/>
        <v>87581</v>
      </c>
      <c r="S23" s="155">
        <f>IF(OR(SUM(C23:G23)=0,SUM(G$20:G23)=0),"",IF(SUM(S$20:S22)=0,G23,IFERROR(SUM(S22,C23,-D23),"")))</f>
        <v>3258</v>
      </c>
      <c r="T23" s="156">
        <f t="shared" si="21"/>
        <v>-279</v>
      </c>
      <c r="U23" s="155">
        <f>IF(OR(SUM(K23:O23)=0,SUM(O$20:O23)=0),"",IF(SUM(U$20:U22)=0,O23,IFERROR(SUM(U22,K23,-L23),"")))</f>
        <v>4524</v>
      </c>
      <c r="V23" s="156">
        <f t="shared" si="22"/>
        <v>241</v>
      </c>
    </row>
    <row r="24" spans="2:22" x14ac:dyDescent="0.25">
      <c r="B24" s="11" t="s">
        <v>12</v>
      </c>
      <c r="C24" s="12">
        <f>IFERROR(IF(SUM(واردات!C24,صادرات!C24)=0,"",SUM(واردات!C24,صادرات!C24)),"")</f>
        <v>1873</v>
      </c>
      <c r="D24" s="13">
        <f>IFERROR(IF(SUM(واردات!D24,صادرات!D24)=0,"",SUM(واردات!D24,صادرات!D24)),"")</f>
        <v>2661</v>
      </c>
      <c r="E24" s="13">
        <f>IFERROR(IF(SUM(واردات!E24,صادرات!E24)=0,"",SUM(واردات!E24,صادرات!E24)),"")</f>
        <v>1519</v>
      </c>
      <c r="F24" s="13" t="str">
        <f>IFERROR(IF(SUM(واردات!F24,صادرات!F24)=0,"",SUM(واردات!F24,صادرات!F24)),"")</f>
        <v/>
      </c>
      <c r="G24" s="14">
        <f>IFERROR(IF(SUM(واردات!G24,صادرات!G24)=0,"",SUM(واردات!G24,صادرات!G24)),"")</f>
        <v>2772</v>
      </c>
      <c r="H24" s="15">
        <f t="shared" si="19"/>
        <v>6053</v>
      </c>
      <c r="J24" s="11" t="s">
        <v>12</v>
      </c>
      <c r="K24" s="12">
        <f>IFERROR(IF(SUM(واردات!K24,صادرات!K24)=0,"",SUM(واردات!K24,صادرات!K24)),"")</f>
        <v>4913</v>
      </c>
      <c r="L24" s="13">
        <f>IFERROR(IF(SUM(واردات!L24,صادرات!L24)=0,"",SUM(واردات!L24,صادرات!L24)),"")</f>
        <v>4653</v>
      </c>
      <c r="M24" s="13" t="str">
        <f>IFERROR(IF(SUM(واردات!M24,صادرات!M24)=0,"",SUM(واردات!M24,صادرات!M24)),"")</f>
        <v/>
      </c>
      <c r="N24" s="13">
        <f>IFERROR(IF(SUM(واردات!N24,صادرات!N24)=0,"",SUM(واردات!N24,صادرات!N24)),"")</f>
        <v>72070</v>
      </c>
      <c r="O24" s="14">
        <f>IFERROR(IF(SUM(واردات!O24,صادرات!O24)=0,"",SUM(واردات!O24,صادرات!O24)),"")</f>
        <v>4550</v>
      </c>
      <c r="P24" s="15">
        <f t="shared" si="20"/>
        <v>81636</v>
      </c>
      <c r="S24" s="155">
        <f>IF(OR(SUM(C24:G24)=0,SUM(G$20:G24)=0),"",IF(SUM(S$20:S23)=0,G24,IFERROR(SUM(S23,C24,-D24),"")))</f>
        <v>2470</v>
      </c>
      <c r="T24" s="156">
        <f t="shared" si="21"/>
        <v>-302</v>
      </c>
      <c r="U24" s="155">
        <f>IF(OR(SUM(K24:O24)=0,SUM(O$20:O24)=0),"",IF(SUM(U$20:U23)=0,O24,IFERROR(SUM(U23,K24,-L24),"")))</f>
        <v>4784</v>
      </c>
      <c r="V24" s="156">
        <f t="shared" si="22"/>
        <v>234</v>
      </c>
    </row>
    <row r="25" spans="2:22" x14ac:dyDescent="0.25">
      <c r="B25" s="11" t="s">
        <v>13</v>
      </c>
      <c r="C25" s="12">
        <f>IFERROR(IF(SUM(واردات!C25,صادرات!C25)=0,"",SUM(واردات!C25,صادرات!C25)),"")</f>
        <v>1300</v>
      </c>
      <c r="D25" s="13">
        <f>IFERROR(IF(SUM(واردات!D25,صادرات!D25)=0,"",SUM(واردات!D25,صادرات!D25)),"")</f>
        <v>1594</v>
      </c>
      <c r="E25" s="13">
        <f>IFERROR(IF(SUM(واردات!E25,صادرات!E25)=0,"",SUM(واردات!E25,صادرات!E25)),"")</f>
        <v>180</v>
      </c>
      <c r="F25" s="13" t="str">
        <f>IFERROR(IF(SUM(واردات!F25,صادرات!F25)=0,"",SUM(واردات!F25,صادرات!F25)),"")</f>
        <v/>
      </c>
      <c r="G25" s="14">
        <f>IFERROR(IF(SUM(واردات!G25,صادرات!G25)=0,"",SUM(واردات!G25,صادرات!G25)),"")</f>
        <v>2671</v>
      </c>
      <c r="H25" s="15">
        <f t="shared" si="19"/>
        <v>3074</v>
      </c>
      <c r="J25" s="11" t="s">
        <v>13</v>
      </c>
      <c r="K25" s="12">
        <f>IFERROR(IF(SUM(واردات!K25,صادرات!K25)=0,"",SUM(واردات!K25,صادرات!K25)),"")</f>
        <v>8812</v>
      </c>
      <c r="L25" s="13">
        <f>IFERROR(IF(SUM(واردات!L25,صادرات!L25)=0,"",SUM(واردات!L25,صادرات!L25)),"")</f>
        <v>5719</v>
      </c>
      <c r="M25" s="13" t="str">
        <f>IFERROR(IF(SUM(واردات!M25,صادرات!M25)=0,"",SUM(واردات!M25,صادرات!M25)),"")</f>
        <v/>
      </c>
      <c r="N25" s="13">
        <f>IFERROR(IF(SUM(واردات!N25,صادرات!N25)=0,"",SUM(واردات!N25,صادرات!N25)),"")</f>
        <v>72358</v>
      </c>
      <c r="O25" s="14">
        <f>IFERROR(IF(SUM(واردات!O25,صادرات!O25)=0,"",SUM(واردات!O25,صادرات!O25)),"")</f>
        <v>7528</v>
      </c>
      <c r="P25" s="15">
        <f t="shared" si="20"/>
        <v>86889</v>
      </c>
      <c r="S25" s="155">
        <f>IF(OR(SUM(C25:G25)=0,SUM(G$20:G25)=0),"",IF(SUM(S$20:S24)=0,G25,IFERROR(SUM(S24,C25,-D25),"")))</f>
        <v>2176</v>
      </c>
      <c r="T25" s="156">
        <f t="shared" si="21"/>
        <v>-495</v>
      </c>
      <c r="U25" s="155">
        <f>IF(OR(SUM(K25:O25)=0,SUM(O$20:O25)=0),"",IF(SUM(U$20:U24)=0,O25,IFERROR(SUM(U24,K25,-L25),"")))</f>
        <v>7877</v>
      </c>
      <c r="V25" s="156">
        <f t="shared" si="22"/>
        <v>349</v>
      </c>
    </row>
    <row r="26" spans="2:22" x14ac:dyDescent="0.25">
      <c r="B26" s="11" t="s">
        <v>14</v>
      </c>
      <c r="C26" s="12">
        <f>IFERROR(IF(SUM(واردات!C26,صادرات!C26)=0,"",SUM(واردات!C26,صادرات!C26)),"")</f>
        <v>1603</v>
      </c>
      <c r="D26" s="13">
        <f>IFERROR(IF(SUM(واردات!D26,صادرات!D26)=0,"",SUM(واردات!D26,صادرات!D26)),"")</f>
        <v>1763</v>
      </c>
      <c r="E26" s="13" t="str">
        <f>IFERROR(IF(SUM(واردات!E26,صادرات!E26)=0,"",SUM(واردات!E26,صادرات!E26)),"")</f>
        <v/>
      </c>
      <c r="F26" s="13" t="str">
        <f>IFERROR(IF(SUM(واردات!F26,صادرات!F26)=0,"",SUM(واردات!F26,صادرات!F26)),"")</f>
        <v/>
      </c>
      <c r="G26" s="14">
        <f>IFERROR(IF(SUM(واردات!G26,صادرات!G26)=0,"",SUM(واردات!G26,صادرات!G26)),"")</f>
        <v>2529</v>
      </c>
      <c r="H26" s="15">
        <f t="shared" si="19"/>
        <v>3366</v>
      </c>
      <c r="J26" s="11" t="s">
        <v>14</v>
      </c>
      <c r="K26" s="12">
        <f>IFERROR(IF(SUM(واردات!K26,صادرات!K26)=0,"",SUM(واردات!K26,صادرات!K26)),"")</f>
        <v>5049</v>
      </c>
      <c r="L26" s="13">
        <f>IFERROR(IF(SUM(واردات!L26,صادرات!L26)=0,"",SUM(واردات!L26,صادرات!L26)),"")</f>
        <v>6537</v>
      </c>
      <c r="M26" s="13" t="str">
        <f>IFERROR(IF(SUM(واردات!M26,صادرات!M26)=0,"",SUM(واردات!M26,صادرات!M26)),"")</f>
        <v/>
      </c>
      <c r="N26" s="13">
        <f>IFERROR(IF(SUM(واردات!N26,صادرات!N26)=0,"",SUM(واردات!N26,صادرات!N26)),"")</f>
        <v>73749</v>
      </c>
      <c r="O26" s="14">
        <f>IFERROR(IF(SUM(واردات!O26,صادرات!O26)=0,"",SUM(واردات!O26,صادرات!O26)),"")</f>
        <v>6153</v>
      </c>
      <c r="P26" s="15">
        <f t="shared" si="20"/>
        <v>85335</v>
      </c>
      <c r="S26" s="155">
        <f>IF(OR(SUM(C26:G26)=0,SUM(G$20:G26)=0),"",IF(SUM(S$20:S25)=0,G26,IFERROR(SUM(S25,C26,-D26),"")))</f>
        <v>2016</v>
      </c>
      <c r="T26" s="156">
        <f t="shared" si="21"/>
        <v>-513</v>
      </c>
      <c r="U26" s="155">
        <f>IF(OR(SUM(K26:O26)=0,SUM(O$20:O26)=0),"",IF(SUM(U$20:U25)=0,O26,IFERROR(SUM(U25,K26,-L26),"")))</f>
        <v>6389</v>
      </c>
      <c r="V26" s="156">
        <f t="shared" si="22"/>
        <v>236</v>
      </c>
    </row>
    <row r="27" spans="2:22" x14ac:dyDescent="0.25">
      <c r="B27" s="11" t="s">
        <v>15</v>
      </c>
      <c r="C27" s="12">
        <f>IFERROR(IF(SUM(واردات!C27,صادرات!C27)=0,"",SUM(واردات!C27,صادرات!C27)),"")</f>
        <v>1252</v>
      </c>
      <c r="D27" s="13">
        <f>IFERROR(IF(SUM(واردات!D27,صادرات!D27)=0,"",SUM(واردات!D27,صادرات!D27)),"")</f>
        <v>1578</v>
      </c>
      <c r="E27" s="13" t="str">
        <f>IFERROR(IF(SUM(واردات!E27,صادرات!E27)=0,"",SUM(واردات!E27,صادرات!E27)),"")</f>
        <v/>
      </c>
      <c r="F27" s="13" t="str">
        <f>IFERROR(IF(SUM(واردات!F27,صادرات!F27)=0,"",SUM(واردات!F27,صادرات!F27)),"")</f>
        <v/>
      </c>
      <c r="G27" s="14">
        <f>IFERROR(IF(SUM(واردات!G27,صادرات!G27)=0,"",SUM(واردات!G27,صادرات!G27)),"")</f>
        <v>2543</v>
      </c>
      <c r="H27" s="15">
        <f t="shared" si="19"/>
        <v>2830</v>
      </c>
      <c r="J27" s="11" t="s">
        <v>15</v>
      </c>
      <c r="K27" s="12">
        <f>IFERROR(IF(SUM(واردات!K27,صادرات!K27)=0,"",SUM(واردات!K27,صادرات!K27)),"")</f>
        <v>2656</v>
      </c>
      <c r="L27" s="13">
        <f>IFERROR(IF(SUM(واردات!L27,صادرات!L27)=0,"",SUM(واردات!L27,صادرات!L27)),"")</f>
        <v>4453</v>
      </c>
      <c r="M27" s="13" t="str">
        <f>IFERROR(IF(SUM(واردات!M27,صادرات!M27)=0,"",SUM(واردات!M27,صادرات!M27)),"")</f>
        <v/>
      </c>
      <c r="N27" s="13">
        <f>IFERROR(IF(SUM(واردات!N27,صادرات!N27)=0,"",SUM(واردات!N27,صادرات!N27)),"")</f>
        <v>69673</v>
      </c>
      <c r="O27" s="14">
        <f>IFERROR(IF(SUM(واردات!O27,صادرات!O27)=0,"",SUM(واردات!O27,صادرات!O27)),"")</f>
        <v>4348</v>
      </c>
      <c r="P27" s="15">
        <f t="shared" si="20"/>
        <v>76782</v>
      </c>
      <c r="S27" s="155">
        <f>IF(OR(SUM(C27:G27)=0,SUM(G$20:G27)=0),"",IF(SUM(S$20:S26)=0,G27,IFERROR(SUM(S26,C27,-D27),"")))</f>
        <v>1690</v>
      </c>
      <c r="T27" s="156">
        <f t="shared" si="21"/>
        <v>-853</v>
      </c>
      <c r="U27" s="155">
        <f>IF(OR(SUM(K27:O27)=0,SUM(O$20:O27)=0),"",IF(SUM(U$20:U26)=0,O27,IFERROR(SUM(U26,K27,-L27),"")))</f>
        <v>4592</v>
      </c>
      <c r="V27" s="156">
        <f t="shared" si="22"/>
        <v>244</v>
      </c>
    </row>
    <row r="28" spans="2:22" x14ac:dyDescent="0.25">
      <c r="B28" s="11" t="s">
        <v>16</v>
      </c>
      <c r="C28" s="12">
        <f>IFERROR(IF(SUM(واردات!C28,صادرات!C28)=0,"",SUM(واردات!C28,صادرات!C28)),"")</f>
        <v>1289</v>
      </c>
      <c r="D28" s="13">
        <f>IFERROR(IF(SUM(واردات!D28,صادرات!D28)=0,"",SUM(واردات!D28,صادرات!D28)),"")</f>
        <v>1006</v>
      </c>
      <c r="E28" s="13">
        <f>IFERROR(IF(SUM(واردات!E28,صادرات!E28)=0,"",SUM(واردات!E28,صادرات!E28)),"")</f>
        <v>4</v>
      </c>
      <c r="F28" s="13" t="str">
        <f>IFERROR(IF(SUM(واردات!F28,صادرات!F28)=0,"",SUM(واردات!F28,صادرات!F28)),"")</f>
        <v/>
      </c>
      <c r="G28" s="14">
        <f>IFERROR(IF(SUM(واردات!G28,صادرات!G28)=0,"",SUM(واردات!G28,صادرات!G28)),"")</f>
        <v>2476</v>
      </c>
      <c r="H28" s="15">
        <f t="shared" si="19"/>
        <v>2299</v>
      </c>
      <c r="J28" s="11" t="s">
        <v>16</v>
      </c>
      <c r="K28" s="12">
        <f>IFERROR(IF(SUM(واردات!K28,صادرات!K28)=0,"",SUM(واردات!K28,صادرات!K28)),"")</f>
        <v>4671</v>
      </c>
      <c r="L28" s="13">
        <f>IFERROR(IF(SUM(واردات!L28,صادرات!L28)=0,"",SUM(واردات!L28,صادرات!L28)),"")</f>
        <v>2940</v>
      </c>
      <c r="M28" s="13" t="str">
        <f>IFERROR(IF(SUM(واردات!M28,صادرات!M28)=0,"",SUM(واردات!M28,صادرات!M28)),"")</f>
        <v/>
      </c>
      <c r="N28" s="13">
        <f>IFERROR(IF(SUM(واردات!N28,صادرات!N28)=0,"",SUM(واردات!N28,صادرات!N28)),"")</f>
        <v>47213</v>
      </c>
      <c r="O28" s="14">
        <f>IFERROR(IF(SUM(واردات!O28,صادرات!O28)=0,"",SUM(واردات!O28,صادرات!O28)),"")</f>
        <v>6079</v>
      </c>
      <c r="P28" s="15">
        <f t="shared" si="20"/>
        <v>54824</v>
      </c>
      <c r="S28" s="155">
        <f>IF(OR(SUM(C28:G28)=0,SUM(G$20:G28)=0),"",IF(SUM(S$20:S27)=0,G28,IFERROR(SUM(S27,C28,-D28),"")))</f>
        <v>1973</v>
      </c>
      <c r="T28" s="156">
        <f t="shared" si="21"/>
        <v>-503</v>
      </c>
      <c r="U28" s="155">
        <f>IF(OR(SUM(K28:O28)=0,SUM(O$20:O28)=0),"",IF(SUM(U$20:U27)=0,O28,IFERROR(SUM(U27,K28,-L28),"")))</f>
        <v>6323</v>
      </c>
      <c r="V28" s="156">
        <f t="shared" si="22"/>
        <v>244</v>
      </c>
    </row>
    <row r="29" spans="2:22" x14ac:dyDescent="0.25">
      <c r="B29" s="11" t="s">
        <v>17</v>
      </c>
      <c r="C29" s="12">
        <f>IFERROR(IF(SUM(واردات!C29,صادرات!C29)=0,"",SUM(واردات!C29,صادرات!C29)),"")</f>
        <v>683</v>
      </c>
      <c r="D29" s="13">
        <f>IFERROR(IF(SUM(واردات!D29,صادرات!D29)=0,"",SUM(واردات!D29,صادرات!D29)),"")</f>
        <v>1363</v>
      </c>
      <c r="E29" s="13">
        <f>IFERROR(IF(SUM(واردات!E29,صادرات!E29)=0,"",SUM(واردات!E29,صادرات!E29)),"")</f>
        <v>20</v>
      </c>
      <c r="F29" s="13" t="str">
        <f>IFERROR(IF(SUM(واردات!F29,صادرات!F29)=0,"",SUM(واردات!F29,صادرات!F29)),"")</f>
        <v/>
      </c>
      <c r="G29" s="14">
        <f>IFERROR(IF(SUM(واردات!G29,صادرات!G29)=0,"",SUM(واردات!G29,صادرات!G29)),"")</f>
        <v>1981</v>
      </c>
      <c r="H29" s="15">
        <f t="shared" si="19"/>
        <v>2066</v>
      </c>
      <c r="J29" s="11" t="s">
        <v>17</v>
      </c>
      <c r="K29" s="12">
        <f>IFERROR(IF(SUM(واردات!K29,صادرات!K29)=0,"",SUM(واردات!K29,صادرات!K29)),"")</f>
        <v>2940</v>
      </c>
      <c r="L29" s="13">
        <f>IFERROR(IF(SUM(واردات!L29,صادرات!L29)=0,"",SUM(واردات!L29,صادرات!L29)),"")</f>
        <v>3130</v>
      </c>
      <c r="M29" s="13" t="str">
        <f>IFERROR(IF(SUM(واردات!M29,صادرات!M29)=0,"",SUM(واردات!M29,صادرات!M29)),"")</f>
        <v/>
      </c>
      <c r="N29" s="13">
        <f>IFERROR(IF(SUM(واردات!N29,صادرات!N29)=0,"",SUM(واردات!N29,صادرات!N29)),"")</f>
        <v>39588</v>
      </c>
      <c r="O29" s="14">
        <f>IFERROR(IF(SUM(واردات!O29,صادرات!O29)=0,"",SUM(واردات!O29,صادرات!O29)),"")</f>
        <v>5940</v>
      </c>
      <c r="P29" s="15">
        <f t="shared" si="20"/>
        <v>45658</v>
      </c>
      <c r="S29" s="155">
        <f>IF(OR(SUM(C29:G29)=0,SUM(G$20:G29)=0),"",IF(SUM(S$20:S28)=0,G29,IFERROR(SUM(S28,C29,-D29),"")))</f>
        <v>1293</v>
      </c>
      <c r="T29" s="156">
        <f t="shared" si="21"/>
        <v>-688</v>
      </c>
      <c r="U29" s="155">
        <f>IF(OR(SUM(K29:O29)=0,SUM(O$20:O29)=0),"",IF(SUM(U$20:U28)=0,O29,IFERROR(SUM(U28,K29,-L29),"")))</f>
        <v>6133</v>
      </c>
      <c r="V29" s="156">
        <f t="shared" si="22"/>
        <v>193</v>
      </c>
    </row>
    <row r="30" spans="2:22" x14ac:dyDescent="0.25">
      <c r="B30" s="11" t="s">
        <v>18</v>
      </c>
      <c r="C30" s="12">
        <f>IFERROR(IF(SUM(واردات!C30,صادرات!C30)=0,"",SUM(واردات!C30,صادرات!C30)),"")</f>
        <v>155</v>
      </c>
      <c r="D30" s="13">
        <f>IFERROR(IF(SUM(واردات!D30,صادرات!D30)=0,"",SUM(واردات!D30,صادرات!D30)),"")</f>
        <v>626</v>
      </c>
      <c r="E30" s="13" t="str">
        <f>IFERROR(IF(SUM(واردات!E30,صادرات!E30)=0,"",SUM(واردات!E30,صادرات!E30)),"")</f>
        <v/>
      </c>
      <c r="F30" s="13" t="str">
        <f>IFERROR(IF(SUM(واردات!F30,صادرات!F30)=0,"",SUM(واردات!F30,صادرات!F30)),"")</f>
        <v/>
      </c>
      <c r="G30" s="14">
        <f>IFERROR(IF(SUM(واردات!G30,صادرات!G30)=0,"",SUM(واردات!G30,صادرات!G30)),"")</f>
        <v>1510</v>
      </c>
      <c r="H30" s="15">
        <f t="shared" si="19"/>
        <v>781</v>
      </c>
      <c r="J30" s="11" t="s">
        <v>18</v>
      </c>
      <c r="K30" s="12">
        <f>IFERROR(IF(SUM(واردات!K30,صادرات!K30)=0,"",SUM(واردات!K30,صادرات!K30)),"")</f>
        <v>1976</v>
      </c>
      <c r="L30" s="13">
        <f>IFERROR(IF(SUM(واردات!L30,صادرات!L30)=0,"",SUM(واردات!L30,صادرات!L30)),"")</f>
        <v>3633</v>
      </c>
      <c r="M30" s="13" t="str">
        <f>IFERROR(IF(SUM(واردات!M30,صادرات!M30)=0,"",SUM(واردات!M30,صادرات!M30)),"")</f>
        <v/>
      </c>
      <c r="N30" s="13">
        <f>IFERROR(IF(SUM(واردات!N30,صادرات!N30)=0,"",SUM(واردات!N30,صادرات!N30)),"")</f>
        <v>64157</v>
      </c>
      <c r="O30" s="14">
        <f>IFERROR(IF(SUM(واردات!O30,صادرات!O30)=0,"",SUM(واردات!O30,صادرات!O30)),"")</f>
        <v>4284</v>
      </c>
      <c r="P30" s="15">
        <f t="shared" si="20"/>
        <v>69766</v>
      </c>
      <c r="S30" s="155">
        <f>IF(OR(SUM(C30:G30)=0,SUM(G$20:G30)=0),"",IF(SUM(S$20:S29)=0,G30,IFERROR(SUM(S29,C30,-D30),"")))</f>
        <v>822</v>
      </c>
      <c r="T30" s="156">
        <f t="shared" si="21"/>
        <v>-688</v>
      </c>
      <c r="U30" s="155">
        <f>IF(OR(SUM(K30:O30)=0,SUM(O$20:O30)=0),"",IF(SUM(U$20:U29)=0,O30,IFERROR(SUM(U29,K30,-L30),"")))</f>
        <v>4476</v>
      </c>
      <c r="V30" s="156">
        <f t="shared" si="22"/>
        <v>192</v>
      </c>
    </row>
    <row r="31" spans="2:22" ht="20.25" thickBot="1" x14ac:dyDescent="0.3">
      <c r="B31" s="16" t="s">
        <v>19</v>
      </c>
      <c r="C31" s="17">
        <f>IFERROR(IF(SUM(واردات!C31,صادرات!C31)=0,"",SUM(واردات!C31,صادرات!C31)),"")</f>
        <v>104</v>
      </c>
      <c r="D31" s="18">
        <f>IFERROR(IF(SUM(واردات!D31,صادرات!D31)=0,"",SUM(واردات!D31,صادرات!D31)),"")</f>
        <v>912</v>
      </c>
      <c r="E31" s="18" t="str">
        <f>IFERROR(IF(SUM(واردات!E31,صادرات!E31)=0,"",SUM(واردات!E31,صادرات!E31)),"")</f>
        <v/>
      </c>
      <c r="F31" s="18" t="str">
        <f>IFERROR(IF(SUM(واردات!F31,صادرات!F31)=0,"",SUM(واردات!F31,صادرات!F31)),"")</f>
        <v/>
      </c>
      <c r="G31" s="19">
        <f>IFERROR(IF(SUM(واردات!G31,صادرات!G31)=0,"",SUM(واردات!G31,صادرات!G31)),"")</f>
        <v>703</v>
      </c>
      <c r="H31" s="20">
        <f t="shared" si="19"/>
        <v>1016</v>
      </c>
      <c r="J31" s="16" t="s">
        <v>19</v>
      </c>
      <c r="K31" s="17">
        <f>IFERROR(IF(SUM(واردات!K31,صادرات!K31)=0,"",SUM(واردات!K31,صادرات!K31)),"")</f>
        <v>3320</v>
      </c>
      <c r="L31" s="18">
        <f>IFERROR(IF(SUM(واردات!L31,صادرات!L31)=0,"",SUM(واردات!L31,صادرات!L31)),"")</f>
        <v>3155</v>
      </c>
      <c r="M31" s="18" t="str">
        <f>IFERROR(IF(SUM(واردات!M31,صادرات!M31)=0,"",SUM(واردات!M31,صادرات!M31)),"")</f>
        <v/>
      </c>
      <c r="N31" s="18">
        <f>IFERROR(IF(SUM(واردات!N31,صادرات!N31)=0,"",SUM(واردات!N31,صادرات!N31)),"")</f>
        <v>47203</v>
      </c>
      <c r="O31" s="19">
        <f>IFERROR(IF(SUM(واردات!O31,صادرات!O31)=0,"",SUM(واردات!O31,صادرات!O31)),"")</f>
        <v>4573</v>
      </c>
      <c r="P31" s="20">
        <f t="shared" si="20"/>
        <v>53678</v>
      </c>
      <c r="S31" s="155">
        <f>IF(OR(SUM(C31:G31)=0,SUM(G$20:G31)=0),"",IF(SUM(S$20:S30)=0,G31,IFERROR(SUM(S30,C31,-D31),"")))</f>
        <v>14</v>
      </c>
      <c r="T31" s="156">
        <f t="shared" si="21"/>
        <v>-689</v>
      </c>
      <c r="U31" s="155">
        <f>IF(OR(SUM(K31:O31)=0,SUM(O$20:O31)=0),"",IF(SUM(U$20:U30)=0,O31,IFERROR(SUM(U30,K31,-L31),"")))</f>
        <v>4641</v>
      </c>
      <c r="V31" s="156">
        <f t="shared" si="22"/>
        <v>68</v>
      </c>
    </row>
    <row r="32" spans="2:22" ht="21" thickBot="1" x14ac:dyDescent="0.3">
      <c r="B32" s="25" t="s">
        <v>6</v>
      </c>
      <c r="C32" s="26">
        <f>SUM(C20:C31)</f>
        <v>15583</v>
      </c>
      <c r="D32" s="27">
        <f t="shared" ref="D32:F32" si="23">SUM(D20:D31)</f>
        <v>18392</v>
      </c>
      <c r="E32" s="27">
        <f t="shared" si="23"/>
        <v>3864</v>
      </c>
      <c r="F32" s="27">
        <f t="shared" si="23"/>
        <v>0</v>
      </c>
      <c r="G32" s="28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703</v>
      </c>
      <c r="H32" s="29">
        <f t="shared" ref="H32" si="24">SUM(C32:F32)</f>
        <v>37839</v>
      </c>
      <c r="J32" s="25" t="s">
        <v>6</v>
      </c>
      <c r="K32" s="26">
        <f>SUM(K20:K31)</f>
        <v>48793</v>
      </c>
      <c r="L32" s="27">
        <f t="shared" ref="L32:M32" si="25">SUM(L20:L31)</f>
        <v>51435</v>
      </c>
      <c r="M32" s="27">
        <f t="shared" si="25"/>
        <v>0</v>
      </c>
      <c r="N32" s="27">
        <f>SUM(N20:N31)</f>
        <v>693234</v>
      </c>
      <c r="O32" s="28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4573</v>
      </c>
      <c r="P32" s="29">
        <f t="shared" ref="P32" si="26">SUM(K32:N32)</f>
        <v>793462</v>
      </c>
      <c r="T32" s="156"/>
      <c r="V32" s="156"/>
    </row>
    <row r="33" spans="2:22" ht="3.95" customHeight="1" thickBot="1" x14ac:dyDescent="0.3">
      <c r="T33" s="156"/>
      <c r="V33" s="156"/>
    </row>
    <row r="34" spans="2:22" ht="26.25" thickBot="1" x14ac:dyDescent="0.3">
      <c r="B34" s="207" t="s">
        <v>23</v>
      </c>
      <c r="C34" s="208"/>
      <c r="D34" s="208"/>
      <c r="E34" s="208"/>
      <c r="F34" s="208"/>
      <c r="G34" s="208"/>
      <c r="H34" s="209"/>
      <c r="J34" s="207" t="s">
        <v>24</v>
      </c>
      <c r="K34" s="208"/>
      <c r="L34" s="208"/>
      <c r="M34" s="208"/>
      <c r="N34" s="208"/>
      <c r="O34" s="208"/>
      <c r="P34" s="209"/>
      <c r="T34" s="156"/>
      <c r="V34" s="156"/>
    </row>
    <row r="35" spans="2:22" ht="21" thickBot="1" x14ac:dyDescent="0.3">
      <c r="B35" s="25" t="s">
        <v>0</v>
      </c>
      <c r="C35" s="30" t="s">
        <v>1</v>
      </c>
      <c r="D35" s="31" t="s">
        <v>2</v>
      </c>
      <c r="E35" s="31" t="s">
        <v>3</v>
      </c>
      <c r="F35" s="31" t="s">
        <v>4</v>
      </c>
      <c r="G35" s="32" t="s">
        <v>5</v>
      </c>
      <c r="H35" s="25" t="s">
        <v>7</v>
      </c>
      <c r="J35" s="25" t="s">
        <v>0</v>
      </c>
      <c r="K35" s="30" t="s">
        <v>1</v>
      </c>
      <c r="L35" s="31" t="s">
        <v>2</v>
      </c>
      <c r="M35" s="31" t="s">
        <v>3</v>
      </c>
      <c r="N35" s="31" t="s">
        <v>4</v>
      </c>
      <c r="O35" s="32" t="s">
        <v>5</v>
      </c>
      <c r="P35" s="25" t="s">
        <v>7</v>
      </c>
      <c r="T35" s="156"/>
      <c r="V35" s="156"/>
    </row>
    <row r="36" spans="2:22" x14ac:dyDescent="0.25">
      <c r="B36" s="6" t="s">
        <v>8</v>
      </c>
      <c r="C36" s="7">
        <f>IFERROR(IF(SUM(واردات!C36,صادرات!C36)=0,"",SUM(واردات!C36,صادرات!C36)),"")</f>
        <v>1869</v>
      </c>
      <c r="D36" s="8">
        <f>IFERROR(IF(SUM(واردات!D36,صادرات!D36)=0,"",SUM(واردات!D36,صادرات!D36)),"")</f>
        <v>1026</v>
      </c>
      <c r="E36" s="8" t="str">
        <f>IFERROR(IF(SUM(واردات!E36,صادرات!E36)=0,"",SUM(واردات!E36,صادرات!E36)),"")</f>
        <v/>
      </c>
      <c r="F36" s="8">
        <f>IFERROR(IF(SUM(واردات!F36,صادرات!F36)=0,"",SUM(واردات!F36,صادرات!F36)),"")</f>
        <v>4981</v>
      </c>
      <c r="G36" s="9">
        <f>IFERROR(IF(SUM(واردات!G36,صادرات!G36)=0,"",SUM(واردات!G36,صادرات!G36)),"")</f>
        <v>1971</v>
      </c>
      <c r="H36" s="10">
        <f>SUM(C36:F36)</f>
        <v>7876</v>
      </c>
      <c r="J36" s="6" t="s">
        <v>8</v>
      </c>
      <c r="K36" s="7">
        <f>IFERROR(IF(SUM(واردات!K36,صادرات!K36)=0,"",SUM(واردات!K36,صادرات!K36)),"")</f>
        <v>4129</v>
      </c>
      <c r="L36" s="8">
        <f>IFERROR(IF(SUM(واردات!L36,صادرات!L36)=0,"",SUM(واردات!L36,صادرات!L36)),"")</f>
        <v>6007</v>
      </c>
      <c r="M36" s="8" t="str">
        <f>IFERROR(IF(SUM(واردات!M36,صادرات!M36)=0,"",SUM(واردات!M36,صادرات!M36)),"")</f>
        <v/>
      </c>
      <c r="N36" s="8">
        <f>IFERROR(IF(SUM(واردات!N36,صادرات!N36)=0,"",SUM(واردات!N36,صادرات!N36)),"")</f>
        <v>81641</v>
      </c>
      <c r="O36" s="9">
        <f>IFERROR(IF(SUM(واردات!O36,صادرات!O36)=0,"",SUM(واردات!O36,صادرات!O36)),"")</f>
        <v>1311</v>
      </c>
      <c r="P36" s="10">
        <f>SUM(K36:N36)</f>
        <v>91777</v>
      </c>
      <c r="S36" s="155">
        <f>IF(SUM(G36)=0,"",IFERROR(G36,""))</f>
        <v>1971</v>
      </c>
      <c r="T36" s="156">
        <f>IFERROR(S36-G36,"")</f>
        <v>0</v>
      </c>
      <c r="U36" s="155">
        <f>IF(SUM(O36)=0,"",IFERROR(O36,""))</f>
        <v>1311</v>
      </c>
      <c r="V36" s="156">
        <f>IFERROR(U36-O36,"")</f>
        <v>0</v>
      </c>
    </row>
    <row r="37" spans="2:22" x14ac:dyDescent="0.25">
      <c r="B37" s="11" t="s">
        <v>9</v>
      </c>
      <c r="C37" s="12">
        <f>IFERROR(IF(SUM(واردات!C37,صادرات!C37)=0,"",SUM(واردات!C37,صادرات!C37)),"")</f>
        <v>2531</v>
      </c>
      <c r="D37" s="13">
        <f>IFERROR(IF(SUM(واردات!D37,صادرات!D37)=0,"",SUM(واردات!D37,صادرات!D37)),"")</f>
        <v>2584</v>
      </c>
      <c r="E37" s="13" t="str">
        <f>IFERROR(IF(SUM(واردات!E37,صادرات!E37)=0,"",SUM(واردات!E37,صادرات!E37)),"")</f>
        <v/>
      </c>
      <c r="F37" s="13">
        <f>IFERROR(IF(SUM(واردات!F37,صادرات!F37)=0,"",SUM(واردات!F37,صادرات!F37)),"")</f>
        <v>8515</v>
      </c>
      <c r="G37" s="14">
        <f>IFERROR(IF(SUM(واردات!G37,صادرات!G37)=0,"",SUM(واردات!G37,صادرات!G37)),"")</f>
        <v>1918</v>
      </c>
      <c r="H37" s="15">
        <f t="shared" ref="H37:H47" si="27">SUM(C37:F37)</f>
        <v>13630</v>
      </c>
      <c r="J37" s="11" t="s">
        <v>9</v>
      </c>
      <c r="K37" s="12">
        <f>IFERROR(IF(SUM(واردات!K37,صادرات!K37)=0,"",SUM(واردات!K37,صادرات!K37)),"")</f>
        <v>6930</v>
      </c>
      <c r="L37" s="13">
        <f>IFERROR(IF(SUM(واردات!L37,صادرات!L37)=0,"",SUM(واردات!L37,صادرات!L37)),"")</f>
        <v>6645</v>
      </c>
      <c r="M37" s="13" t="str">
        <f>IFERROR(IF(SUM(واردات!M37,صادرات!M37)=0,"",SUM(واردات!M37,صادرات!M37)),"")</f>
        <v/>
      </c>
      <c r="N37" s="13">
        <f>IFERROR(IF(SUM(واردات!N37,صادرات!N37)=0,"",SUM(واردات!N37,صادرات!N37)),"")</f>
        <v>72167</v>
      </c>
      <c r="O37" s="14">
        <f>IFERROR(IF(SUM(واردات!O37,صادرات!O37)=0,"",SUM(واردات!O37,صادرات!O37)),"")</f>
        <v>1627</v>
      </c>
      <c r="P37" s="15">
        <f t="shared" ref="P37:P47" si="28">SUM(K37:N37)</f>
        <v>85742</v>
      </c>
      <c r="S37" s="155">
        <f>IF(OR(SUM(C37:G37)=0,SUM(G$36:G37)=0),"",IF(SUM(S$36:S36)=0,G37,IFERROR(SUM(S36,C37,-D37),"")))</f>
        <v>1918</v>
      </c>
      <c r="T37" s="156">
        <f t="shared" ref="T37:T47" si="29">IFERROR(S37-G37,"")</f>
        <v>0</v>
      </c>
      <c r="U37" s="155">
        <f>IF(OR(SUM(K37:O37)=0,SUM(O$36:O37)=0),"",IF(SUM(U$36:U36)=0,O37,IFERROR(SUM(U36,K37,-L37),"")))</f>
        <v>1596</v>
      </c>
      <c r="V37" s="156">
        <f t="shared" ref="V37:V47" si="30">IFERROR(U37-O37,"")</f>
        <v>-31</v>
      </c>
    </row>
    <row r="38" spans="2:22" x14ac:dyDescent="0.25">
      <c r="B38" s="11" t="s">
        <v>10</v>
      </c>
      <c r="C38" s="12">
        <f>IFERROR(IF(SUM(واردات!C38,صادرات!C38)=0,"",SUM(واردات!C38,صادرات!C38)),"")</f>
        <v>1484</v>
      </c>
      <c r="D38" s="13">
        <f>IFERROR(IF(SUM(واردات!D38,صادرات!D38)=0,"",SUM(واردات!D38,صادرات!D38)),"")</f>
        <v>1871</v>
      </c>
      <c r="E38" s="13" t="str">
        <f>IFERROR(IF(SUM(واردات!E38,صادرات!E38)=0,"",SUM(واردات!E38,صادرات!E38)),"")</f>
        <v/>
      </c>
      <c r="F38" s="13">
        <f>IFERROR(IF(SUM(واردات!F38,صادرات!F38)=0,"",SUM(واردات!F38,صادرات!F38)),"")</f>
        <v>8339</v>
      </c>
      <c r="G38" s="14">
        <f>IFERROR(IF(SUM(واردات!G38,صادرات!G38)=0,"",SUM(واردات!G38,صادرات!G38)),"")</f>
        <v>1547</v>
      </c>
      <c r="H38" s="15">
        <f t="shared" si="27"/>
        <v>11694</v>
      </c>
      <c r="J38" s="11" t="s">
        <v>10</v>
      </c>
      <c r="K38" s="12">
        <f>IFERROR(IF(SUM(واردات!K38,صادرات!K38)=0,"",SUM(واردات!K38,صادرات!K38)),"")</f>
        <v>8823</v>
      </c>
      <c r="L38" s="13">
        <f>IFERROR(IF(SUM(واردات!L38,صادرات!L38)=0,"",SUM(واردات!L38,صادرات!L38)),"")</f>
        <v>6130</v>
      </c>
      <c r="M38" s="13" t="str">
        <f>IFERROR(IF(SUM(واردات!M38,صادرات!M38)=0,"",SUM(واردات!M38,صادرات!M38)),"")</f>
        <v/>
      </c>
      <c r="N38" s="13">
        <f>IFERROR(IF(SUM(واردات!N38,صادرات!N38)=0,"",SUM(واردات!N38,صادرات!N38)),"")</f>
        <v>60319</v>
      </c>
      <c r="O38" s="14">
        <f>IFERROR(IF(SUM(واردات!O38,صادرات!O38)=0,"",SUM(واردات!O38,صادرات!O38)),"")</f>
        <v>4320</v>
      </c>
      <c r="P38" s="15">
        <f t="shared" si="28"/>
        <v>75272</v>
      </c>
      <c r="S38" s="155">
        <f>IF(OR(SUM(C38:G38)=0,SUM(G$36:G38)=0),"",IF(SUM(S$36:S37)=0,G38,IFERROR(SUM(S37,C38,-D38),"")))</f>
        <v>1531</v>
      </c>
      <c r="T38" s="156">
        <f t="shared" si="29"/>
        <v>-16</v>
      </c>
      <c r="U38" s="155">
        <f>IF(OR(SUM(K38:O38)=0,SUM(O$36:O38)=0),"",IF(SUM(U$36:U37)=0,O38,IFERROR(SUM(U37,K38,-L38),"")))</f>
        <v>4289</v>
      </c>
      <c r="V38" s="156">
        <f t="shared" si="30"/>
        <v>-31</v>
      </c>
    </row>
    <row r="39" spans="2:22" x14ac:dyDescent="0.25">
      <c r="B39" s="11" t="s">
        <v>11</v>
      </c>
      <c r="C39" s="12">
        <f>IFERROR(IF(SUM(واردات!C39,صادرات!C39)=0,"",SUM(واردات!C39,صادرات!C39)),"")</f>
        <v>1396</v>
      </c>
      <c r="D39" s="13">
        <f>IFERROR(IF(SUM(واردات!D39,صادرات!D39)=0,"",SUM(واردات!D39,صادرات!D39)),"")</f>
        <v>2028</v>
      </c>
      <c r="E39" s="13" t="str">
        <f>IFERROR(IF(SUM(واردات!E39,صادرات!E39)=0,"",SUM(واردات!E39,صادرات!E39)),"")</f>
        <v/>
      </c>
      <c r="F39" s="13">
        <f>IFERROR(IF(SUM(واردات!F39,صادرات!F39)=0,"",SUM(واردات!F39,صادرات!F39)),"")</f>
        <v>8352</v>
      </c>
      <c r="G39" s="14">
        <f>IFERROR(IF(SUM(واردات!G39,صادرات!G39)=0,"",SUM(واردات!G39,صادرات!G39)),"")</f>
        <v>1220</v>
      </c>
      <c r="H39" s="15">
        <f t="shared" si="27"/>
        <v>11776</v>
      </c>
      <c r="J39" s="11" t="s">
        <v>11</v>
      </c>
      <c r="K39" s="12">
        <f>IFERROR(IF(SUM(واردات!K39,صادرات!K39)=0,"",SUM(واردات!K39,صادرات!K39)),"")</f>
        <v>5564</v>
      </c>
      <c r="L39" s="13">
        <f>IFERROR(IF(SUM(واردات!L39,صادرات!L39)=0,"",SUM(واردات!L39,صادرات!L39)),"")</f>
        <v>7048</v>
      </c>
      <c r="M39" s="13" t="str">
        <f>IFERROR(IF(SUM(واردات!M39,صادرات!M39)=0,"",SUM(واردات!M39,صادرات!M39)),"")</f>
        <v/>
      </c>
      <c r="N39" s="13">
        <f>IFERROR(IF(SUM(واردات!N39,صادرات!N39)=0,"",SUM(واردات!N39,صادرات!N39)),"")</f>
        <v>60422</v>
      </c>
      <c r="O39" s="14">
        <f>IFERROR(IF(SUM(واردات!O39,صادرات!O39)=0,"",SUM(واردات!O39,صادرات!O39)),"")</f>
        <v>2858</v>
      </c>
      <c r="P39" s="15">
        <f t="shared" si="28"/>
        <v>73034</v>
      </c>
      <c r="S39" s="155">
        <f>IF(OR(SUM(C39:G39)=0,SUM(G$36:G39)=0),"",IF(SUM(S$36:S38)=0,G39,IFERROR(SUM(S38,C39,-D39),"")))</f>
        <v>899</v>
      </c>
      <c r="T39" s="156">
        <f t="shared" si="29"/>
        <v>-321</v>
      </c>
      <c r="U39" s="155">
        <f>IF(OR(SUM(K39:O39)=0,SUM(O$36:O39)=0),"",IF(SUM(U$36:U38)=0,O39,IFERROR(SUM(U38,K39,-L39),"")))</f>
        <v>2805</v>
      </c>
      <c r="V39" s="156">
        <f t="shared" si="30"/>
        <v>-53</v>
      </c>
    </row>
    <row r="40" spans="2:22" x14ac:dyDescent="0.25">
      <c r="B40" s="11" t="s">
        <v>12</v>
      </c>
      <c r="C40" s="12">
        <f>IFERROR(IF(SUM(واردات!C40,صادرات!C40)=0,"",SUM(واردات!C40,صادرات!C40)),"")</f>
        <v>4003</v>
      </c>
      <c r="D40" s="13">
        <f>IFERROR(IF(SUM(واردات!D40,صادرات!D40)=0,"",SUM(واردات!D40,صادرات!D40)),"")</f>
        <v>2096</v>
      </c>
      <c r="E40" s="13" t="str">
        <f>IFERROR(IF(SUM(واردات!E40,صادرات!E40)=0,"",SUM(واردات!E40,صادرات!E40)),"")</f>
        <v/>
      </c>
      <c r="F40" s="13">
        <f>IFERROR(IF(SUM(واردات!F40,صادرات!F40)=0,"",SUM(واردات!F40,صادرات!F40)),"")</f>
        <v>11957</v>
      </c>
      <c r="G40" s="14">
        <f>IFERROR(IF(SUM(واردات!G40,صادرات!G40)=0,"",SUM(واردات!G40,صادرات!G40)),"")</f>
        <v>4847</v>
      </c>
      <c r="H40" s="15">
        <f t="shared" si="27"/>
        <v>18056</v>
      </c>
      <c r="J40" s="11" t="s">
        <v>12</v>
      </c>
      <c r="K40" s="12">
        <f>IFERROR(IF(SUM(واردات!K40,صادرات!K40)=0,"",SUM(واردات!K40,صادرات!K40)),"")</f>
        <v>8594</v>
      </c>
      <c r="L40" s="13">
        <f>IFERROR(IF(SUM(واردات!L40,صادرات!L40)=0,"",SUM(واردات!L40,صادرات!L40)),"")</f>
        <v>7428</v>
      </c>
      <c r="M40" s="13" t="str">
        <f>IFERROR(IF(SUM(واردات!M40,صادرات!M40)=0,"",SUM(واردات!M40,صادرات!M40)),"")</f>
        <v/>
      </c>
      <c r="N40" s="13">
        <f>IFERROR(IF(SUM(واردات!N40,صادرات!N40)=0,"",SUM(واردات!N40,صادرات!N40)),"")</f>
        <v>69420</v>
      </c>
      <c r="O40" s="14">
        <f>IFERROR(IF(SUM(واردات!O40,صادرات!O40)=0,"",SUM(واردات!O40,صادرات!O40)),"")</f>
        <v>4039</v>
      </c>
      <c r="P40" s="15">
        <f t="shared" si="28"/>
        <v>85442</v>
      </c>
      <c r="S40" s="155">
        <f>IF(OR(SUM(C40:G40)=0,SUM(G$36:G40)=0),"",IF(SUM(S$36:S39)=0,G40,IFERROR(SUM(S39,C40,-D40),"")))</f>
        <v>2806</v>
      </c>
      <c r="T40" s="156">
        <f t="shared" si="29"/>
        <v>-2041</v>
      </c>
      <c r="U40" s="155">
        <f>IF(OR(SUM(K40:O40)=0,SUM(O$36:O40)=0),"",IF(SUM(U$36:U39)=0,O40,IFERROR(SUM(U39,K40,-L40),"")))</f>
        <v>3971</v>
      </c>
      <c r="V40" s="156">
        <f t="shared" si="30"/>
        <v>-68</v>
      </c>
    </row>
    <row r="41" spans="2:22" x14ac:dyDescent="0.25">
      <c r="B41" s="11" t="s">
        <v>13</v>
      </c>
      <c r="C41" s="12">
        <f>IFERROR(IF(SUM(واردات!C41,صادرات!C41)=0,"",SUM(واردات!C41,صادرات!C41)),"")</f>
        <v>2703</v>
      </c>
      <c r="D41" s="13">
        <f>IFERROR(IF(SUM(واردات!D41,صادرات!D41)=0,"",SUM(واردات!D41,صادرات!D41)),"")</f>
        <v>3423</v>
      </c>
      <c r="E41" s="13" t="str">
        <f>IFERROR(IF(SUM(واردات!E41,صادرات!E41)=0,"",SUM(واردات!E41,صادرات!E41)),"")</f>
        <v/>
      </c>
      <c r="F41" s="13">
        <f>IFERROR(IF(SUM(واردات!F41,صادرات!F41)=0,"",SUM(واردات!F41,صادرات!F41)),"")</f>
        <v>14592</v>
      </c>
      <c r="G41" s="14">
        <f>IFERROR(IF(SUM(واردات!G41,صادرات!G41)=0,"",SUM(واردات!G41,صادرات!G41)),"")</f>
        <v>2373</v>
      </c>
      <c r="H41" s="15">
        <f t="shared" si="27"/>
        <v>20718</v>
      </c>
      <c r="J41" s="11" t="s">
        <v>13</v>
      </c>
      <c r="K41" s="12">
        <f>IFERROR(IF(SUM(واردات!K41,صادرات!K41)=0,"",SUM(واردات!K41,صادرات!K41)),"")</f>
        <v>9553</v>
      </c>
      <c r="L41" s="13">
        <f>IFERROR(IF(SUM(واردات!L41,صادرات!L41)=0,"",SUM(واردات!L41,صادرات!L41)),"")</f>
        <v>8018</v>
      </c>
      <c r="M41" s="13" t="str">
        <f>IFERROR(IF(SUM(واردات!M41,صادرات!M41)=0,"",SUM(واردات!M41,صادرات!M41)),"")</f>
        <v/>
      </c>
      <c r="N41" s="13">
        <f>IFERROR(IF(SUM(واردات!N41,صادرات!N41)=0,"",SUM(واردات!N41,صادرات!N41)),"")</f>
        <v>74201</v>
      </c>
      <c r="O41" s="14">
        <f>IFERROR(IF(SUM(واردات!O41,صادرات!O41)=0,"",SUM(واردات!O41,صادرات!O41)),"")</f>
        <v>5608</v>
      </c>
      <c r="P41" s="15">
        <f t="shared" si="28"/>
        <v>91772</v>
      </c>
      <c r="S41" s="155">
        <f>IF(OR(SUM(C41:G41)=0,SUM(G$36:G41)=0),"",IF(SUM(S$36:S40)=0,G41,IFERROR(SUM(S40,C41,-D41),"")))</f>
        <v>2086</v>
      </c>
      <c r="T41" s="156">
        <f t="shared" si="29"/>
        <v>-287</v>
      </c>
      <c r="U41" s="155">
        <f>IF(OR(SUM(K41:O41)=0,SUM(O$36:O41)=0),"",IF(SUM(U$36:U40)=0,O41,IFERROR(SUM(U40,K41,-L41),"")))</f>
        <v>5506</v>
      </c>
      <c r="V41" s="156">
        <f t="shared" si="30"/>
        <v>-102</v>
      </c>
    </row>
    <row r="42" spans="2:22" x14ac:dyDescent="0.25">
      <c r="B42" s="11" t="s">
        <v>14</v>
      </c>
      <c r="C42" s="12">
        <f>IFERROR(IF(SUM(واردات!C42,صادرات!C42)=0,"",SUM(واردات!C42,صادرات!C42)),"")</f>
        <v>3183</v>
      </c>
      <c r="D42" s="13">
        <f>IFERROR(IF(SUM(واردات!D42,صادرات!D42)=0,"",SUM(واردات!D42,صادرات!D42)),"")</f>
        <v>2946</v>
      </c>
      <c r="E42" s="13" t="str">
        <f>IFERROR(IF(SUM(واردات!E42,صادرات!E42)=0,"",SUM(واردات!E42,صادرات!E42)),"")</f>
        <v/>
      </c>
      <c r="F42" s="13">
        <f>IFERROR(IF(SUM(واردات!F42,صادرات!F42)=0,"",SUM(واردات!F42,صادرات!F42)),"")</f>
        <v>14671</v>
      </c>
      <c r="G42" s="14">
        <f>IFERROR(IF(SUM(واردات!G42,صادرات!G42)=0,"",SUM(واردات!G42,صادرات!G42)),"")</f>
        <v>2713</v>
      </c>
      <c r="H42" s="15">
        <f t="shared" si="27"/>
        <v>20800</v>
      </c>
      <c r="J42" s="11" t="s">
        <v>14</v>
      </c>
      <c r="K42" s="12">
        <f>IFERROR(IF(SUM(واردات!K42,صادرات!K42)=0,"",SUM(واردات!K42,صادرات!K42)),"")</f>
        <v>8905</v>
      </c>
      <c r="L42" s="13">
        <f>IFERROR(IF(SUM(واردات!L42,صادرات!L42)=0,"",SUM(واردات!L42,صادرات!L42)),"")</f>
        <v>8229</v>
      </c>
      <c r="M42" s="13" t="str">
        <f>IFERROR(IF(SUM(واردات!M42,صادرات!M42)=0,"",SUM(واردات!M42,صادرات!M42)),"")</f>
        <v/>
      </c>
      <c r="N42" s="13">
        <f>IFERROR(IF(SUM(واردات!N42,صادرات!N42)=0,"",SUM(واردات!N42,صادرات!N42)),"")</f>
        <v>72407</v>
      </c>
      <c r="O42" s="14">
        <f>IFERROR(IF(SUM(واردات!O42,صادرات!O42)=0,"",SUM(واردات!O42,صادرات!O42)),"")</f>
        <v>6314</v>
      </c>
      <c r="P42" s="15">
        <f t="shared" si="28"/>
        <v>89541</v>
      </c>
      <c r="S42" s="155">
        <f>IF(OR(SUM(C42:G42)=0,SUM(G$36:G42)=0),"",IF(SUM(S$36:S41)=0,G42,IFERROR(SUM(S41,C42,-D42),"")))</f>
        <v>2323</v>
      </c>
      <c r="T42" s="156">
        <f t="shared" si="29"/>
        <v>-390</v>
      </c>
      <c r="U42" s="155">
        <f>IF(OR(SUM(K42:O42)=0,SUM(O$36:O42)=0),"",IF(SUM(U$36:U41)=0,O42,IFERROR(SUM(U41,K42,-L42),"")))</f>
        <v>6182</v>
      </c>
      <c r="V42" s="156">
        <f t="shared" si="30"/>
        <v>-132</v>
      </c>
    </row>
    <row r="43" spans="2:22" x14ac:dyDescent="0.25">
      <c r="B43" s="11" t="s">
        <v>15</v>
      </c>
      <c r="C43" s="12">
        <f>IFERROR(IF(SUM(واردات!C43,صادرات!C43)=0,"",SUM(واردات!C43,صادرات!C43)),"")</f>
        <v>4223</v>
      </c>
      <c r="D43" s="13">
        <f>IFERROR(IF(SUM(واردات!D43,صادرات!D43)=0,"",SUM(واردات!D43,صادرات!D43)),"")</f>
        <v>3815</v>
      </c>
      <c r="E43" s="13" t="str">
        <f>IFERROR(IF(SUM(واردات!E43,صادرات!E43)=0,"",SUM(واردات!E43,صادرات!E43)),"")</f>
        <v/>
      </c>
      <c r="F43" s="13">
        <f>IFERROR(IF(SUM(واردات!F43,صادرات!F43)=0,"",SUM(واردات!F43,صادرات!F43)),"")</f>
        <v>14098</v>
      </c>
      <c r="G43" s="14">
        <f>IFERROR(IF(SUM(واردات!G43,صادرات!G43)=0,"",SUM(واردات!G43,صادرات!G43)),"")</f>
        <v>2773</v>
      </c>
      <c r="H43" s="15">
        <f t="shared" si="27"/>
        <v>22136</v>
      </c>
      <c r="J43" s="11" t="s">
        <v>15</v>
      </c>
      <c r="K43" s="12">
        <f>IFERROR(IF(SUM(واردات!K43,صادرات!K43)=0,"",SUM(واردات!K43,صادرات!K43)),"")</f>
        <v>7460</v>
      </c>
      <c r="L43" s="13">
        <f>IFERROR(IF(SUM(واردات!L43,صادرات!L43)=0,"",SUM(واردات!L43,صادرات!L43)),"")</f>
        <v>9283</v>
      </c>
      <c r="M43" s="13" t="str">
        <f>IFERROR(IF(SUM(واردات!M43,صادرات!M43)=0,"",SUM(واردات!M43,صادرات!M43)),"")</f>
        <v/>
      </c>
      <c r="N43" s="13">
        <f>IFERROR(IF(SUM(واردات!N43,صادرات!N43)=0,"",SUM(واردات!N43,صادرات!N43)),"")</f>
        <v>81270</v>
      </c>
      <c r="O43" s="14">
        <f>IFERROR(IF(SUM(واردات!O43,صادرات!O43)=0,"",SUM(واردات!O43,صادرات!O43)),"")</f>
        <v>4585</v>
      </c>
      <c r="P43" s="15">
        <f t="shared" si="28"/>
        <v>98013</v>
      </c>
      <c r="S43" s="155">
        <f>IF(OR(SUM(C43:G43)=0,SUM(G$36:G43)=0),"",IF(SUM(S$36:S42)=0,G43,IFERROR(SUM(S42,C43,-D43),"")))</f>
        <v>2731</v>
      </c>
      <c r="T43" s="156">
        <f t="shared" si="29"/>
        <v>-42</v>
      </c>
      <c r="U43" s="155">
        <f>IF(OR(SUM(K43:O43)=0,SUM(O$36:O43)=0),"",IF(SUM(U$36:U42)=0,O43,IFERROR(SUM(U42,K43,-L43),"")))</f>
        <v>4359</v>
      </c>
      <c r="V43" s="156">
        <f t="shared" si="30"/>
        <v>-226</v>
      </c>
    </row>
    <row r="44" spans="2:22" x14ac:dyDescent="0.25">
      <c r="B44" s="11" t="s">
        <v>16</v>
      </c>
      <c r="C44" s="12">
        <f>IFERROR(IF(SUM(واردات!C44,صادرات!C44)=0,"",SUM(واردات!C44,صادرات!C44)),"")</f>
        <v>2828</v>
      </c>
      <c r="D44" s="13">
        <f>IFERROR(IF(SUM(واردات!D44,صادرات!D44)=0,"",SUM(واردات!D44,صادرات!D44)),"")</f>
        <v>3613</v>
      </c>
      <c r="E44" s="13" t="str">
        <f>IFERROR(IF(SUM(واردات!E44,صادرات!E44)=0,"",SUM(واردات!E44,صادرات!E44)),"")</f>
        <v/>
      </c>
      <c r="F44" s="13">
        <f>IFERROR(IF(SUM(واردات!F44,صادرات!F44)=0,"",SUM(واردات!F44,صادرات!F44)),"")</f>
        <v>14619</v>
      </c>
      <c r="G44" s="14">
        <f>IFERROR(IF(SUM(واردات!G44,صادرات!G44)=0,"",SUM(واردات!G44,صادرات!G44)),"")</f>
        <v>2024</v>
      </c>
      <c r="H44" s="15">
        <f t="shared" si="27"/>
        <v>21060</v>
      </c>
      <c r="J44" s="11" t="s">
        <v>16</v>
      </c>
      <c r="K44" s="12">
        <f>IFERROR(IF(SUM(واردات!K44,صادرات!K44)=0,"",SUM(واردات!K44,صادرات!K44)),"")</f>
        <v>9530</v>
      </c>
      <c r="L44" s="13">
        <f>IFERROR(IF(SUM(واردات!L44,صادرات!L44)=0,"",SUM(واردات!L44,صادرات!L44)),"")</f>
        <v>6946</v>
      </c>
      <c r="M44" s="13" t="str">
        <f>IFERROR(IF(SUM(واردات!M44,صادرات!M44)=0,"",SUM(واردات!M44,صادرات!M44)),"")</f>
        <v/>
      </c>
      <c r="N44" s="13">
        <f>IFERROR(IF(SUM(واردات!N44,صادرات!N44)=0,"",SUM(واردات!N44,صادرات!N44)),"")</f>
        <v>84461</v>
      </c>
      <c r="O44" s="14">
        <f>IFERROR(IF(SUM(واردات!O44,صادرات!O44)=0,"",SUM(واردات!O44,صادرات!O44)),"")</f>
        <v>7184</v>
      </c>
      <c r="P44" s="15">
        <f t="shared" si="28"/>
        <v>100937</v>
      </c>
      <c r="S44" s="155">
        <f>IF(OR(SUM(C44:G44)=0,SUM(G$36:G44)=0),"",IF(SUM(S$36:S43)=0,G44,IFERROR(SUM(S43,C44,-D44),"")))</f>
        <v>1946</v>
      </c>
      <c r="T44" s="156">
        <f t="shared" si="29"/>
        <v>-78</v>
      </c>
      <c r="U44" s="155">
        <f>IF(OR(SUM(K44:O44)=0,SUM(O$36:O44)=0),"",IF(SUM(U$36:U43)=0,O44,IFERROR(SUM(U43,K44,-L44),"")))</f>
        <v>6943</v>
      </c>
      <c r="V44" s="156">
        <f t="shared" si="30"/>
        <v>-241</v>
      </c>
    </row>
    <row r="45" spans="2:22" x14ac:dyDescent="0.25">
      <c r="B45" s="11" t="s">
        <v>17</v>
      </c>
      <c r="C45" s="12">
        <f>IFERROR(IF(SUM(واردات!C45,صادرات!C45)=0,"",SUM(واردات!C45,صادرات!C45)),"")</f>
        <v>2009</v>
      </c>
      <c r="D45" s="13">
        <f>IFERROR(IF(SUM(واردات!D45,صادرات!D45)=0,"",SUM(واردات!D45,صادرات!D45)),"")</f>
        <v>2240</v>
      </c>
      <c r="E45" s="13" t="str">
        <f>IFERROR(IF(SUM(واردات!E45,صادرات!E45)=0,"",SUM(واردات!E45,صادرات!E45)),"")</f>
        <v/>
      </c>
      <c r="F45" s="13">
        <f>IFERROR(IF(SUM(واردات!F45,صادرات!F45)=0,"",SUM(واردات!F45,صادرات!F45)),"")</f>
        <v>17629</v>
      </c>
      <c r="G45" s="14">
        <f>IFERROR(IF(SUM(واردات!G45,صادرات!G45)=0,"",SUM(واردات!G45,صادرات!G45)),"")</f>
        <v>2484</v>
      </c>
      <c r="H45" s="15">
        <f t="shared" si="27"/>
        <v>21878</v>
      </c>
      <c r="J45" s="11" t="s">
        <v>17</v>
      </c>
      <c r="K45" s="12">
        <f>IFERROR(IF(SUM(واردات!K45,صادرات!K45)=0,"",SUM(واردات!K45,صادرات!K45)),"")</f>
        <v>6303</v>
      </c>
      <c r="L45" s="13">
        <f>IFERROR(IF(SUM(واردات!L45,صادرات!L45)=0,"",SUM(واردات!L45,صادرات!L45)),"")</f>
        <v>7448</v>
      </c>
      <c r="M45" s="13" t="str">
        <f>IFERROR(IF(SUM(واردات!M45,صادرات!M45)=0,"",SUM(واردات!M45,صادرات!M45)),"")</f>
        <v/>
      </c>
      <c r="N45" s="13">
        <f>IFERROR(IF(SUM(واردات!N45,صادرات!N45)=0,"",SUM(واردات!N45,صادرات!N45)),"")</f>
        <v>84263</v>
      </c>
      <c r="O45" s="14">
        <f>IFERROR(IF(SUM(واردات!O45,صادرات!O45)=0,"",SUM(واردات!O45,صادرات!O45)),"")</f>
        <v>6077</v>
      </c>
      <c r="P45" s="15">
        <f t="shared" si="28"/>
        <v>98014</v>
      </c>
      <c r="S45" s="155">
        <f>IF(OR(SUM(C45:G45)=0,SUM(G$36:G45)=0),"",IF(SUM(S$36:S44)=0,G45,IFERROR(SUM(S44,C45,-D45),"")))</f>
        <v>1715</v>
      </c>
      <c r="T45" s="156">
        <f t="shared" si="29"/>
        <v>-769</v>
      </c>
      <c r="U45" s="155">
        <f>IF(OR(SUM(K45:O45)=0,SUM(O$36:O45)=0),"",IF(SUM(U$36:U44)=0,O45,IFERROR(SUM(U44,K45,-L45),"")))</f>
        <v>5798</v>
      </c>
      <c r="V45" s="156">
        <f t="shared" si="30"/>
        <v>-279</v>
      </c>
    </row>
    <row r="46" spans="2:22" x14ac:dyDescent="0.25">
      <c r="B46" s="11" t="s">
        <v>18</v>
      </c>
      <c r="C46" s="12">
        <f>IFERROR(IF(SUM(واردات!C46,صادرات!C46)=0,"",SUM(واردات!C46,صادرات!C46)),"")</f>
        <v>2542</v>
      </c>
      <c r="D46" s="13">
        <f>IFERROR(IF(SUM(واردات!D46,صادرات!D46)=0,"",SUM(واردات!D46,صادرات!D46)),"")</f>
        <v>2325</v>
      </c>
      <c r="E46" s="13" t="str">
        <f>IFERROR(IF(SUM(واردات!E46,صادرات!E46)=0,"",SUM(واردات!E46,صادرات!E46)),"")</f>
        <v/>
      </c>
      <c r="F46" s="13">
        <f>IFERROR(IF(SUM(واردات!F46,صادرات!F46)=0,"",SUM(واردات!F46,صادرات!F46)),"")</f>
        <v>18635</v>
      </c>
      <c r="G46" s="14">
        <f>IFERROR(IF(SUM(واردات!G46,صادرات!G46)=0,"",SUM(واردات!G46,صادرات!G46)),"")</f>
        <v>2249</v>
      </c>
      <c r="H46" s="15">
        <f t="shared" si="27"/>
        <v>23502</v>
      </c>
      <c r="J46" s="11" t="s">
        <v>18</v>
      </c>
      <c r="K46" s="12">
        <f>IFERROR(IF(SUM(واردات!K46,صادرات!K46)=0,"",SUM(واردات!K46,صادرات!K46)),"")</f>
        <v>9777</v>
      </c>
      <c r="L46" s="13">
        <f>IFERROR(IF(SUM(واردات!L46,صادرات!L46)=0,"",SUM(واردات!L46,صادرات!L46)),"")</f>
        <v>7490</v>
      </c>
      <c r="M46" s="13" t="str">
        <f>IFERROR(IF(SUM(واردات!M46,صادرات!M46)=0,"",SUM(واردات!M46,صادرات!M46)),"")</f>
        <v/>
      </c>
      <c r="N46" s="13">
        <f>IFERROR(IF(SUM(واردات!N46,صادرات!N46)=0,"",SUM(واردات!N46,صادرات!N46)),"")</f>
        <v>84744</v>
      </c>
      <c r="O46" s="14">
        <f>IFERROR(IF(SUM(واردات!O46,صادرات!O46)=0,"",SUM(واردات!O46,صادرات!O46)),"")</f>
        <v>8365</v>
      </c>
      <c r="P46" s="15">
        <f t="shared" si="28"/>
        <v>102011</v>
      </c>
      <c r="S46" s="155">
        <f>IF(OR(SUM(C46:G46)=0,SUM(G$36:G46)=0),"",IF(SUM(S$36:S45)=0,G46,IFERROR(SUM(S45,C46,-D46),"")))</f>
        <v>1932</v>
      </c>
      <c r="T46" s="156">
        <f t="shared" si="29"/>
        <v>-317</v>
      </c>
      <c r="U46" s="155">
        <f>IF(OR(SUM(K46:O46)=0,SUM(O$36:O46)=0),"",IF(SUM(U$36:U45)=0,O46,IFERROR(SUM(U45,K46,-L46),"")))</f>
        <v>8085</v>
      </c>
      <c r="V46" s="156">
        <f t="shared" si="30"/>
        <v>-280</v>
      </c>
    </row>
    <row r="47" spans="2:22" ht="20.25" thickBot="1" x14ac:dyDescent="0.3">
      <c r="B47" s="16" t="s">
        <v>19</v>
      </c>
      <c r="C47" s="17">
        <f>IFERROR(IF(SUM(واردات!C47,صادرات!C47)=0,"",SUM(واردات!C47,صادرات!C47)),"")</f>
        <v>1702</v>
      </c>
      <c r="D47" s="18">
        <f>IFERROR(IF(SUM(واردات!D47,صادرات!D47)=0,"",SUM(واردات!D47,صادرات!D47)),"")</f>
        <v>2337</v>
      </c>
      <c r="E47" s="18" t="str">
        <f>IFERROR(IF(SUM(واردات!E47,صادرات!E47)=0,"",SUM(واردات!E47,صادرات!E47)),"")</f>
        <v/>
      </c>
      <c r="F47" s="18">
        <f>IFERROR(IF(SUM(واردات!F47,صادرات!F47)=0,"",SUM(واردات!F47,صادرات!F47)),"")</f>
        <v>9951</v>
      </c>
      <c r="G47" s="19">
        <f>IFERROR(IF(SUM(واردات!G47,صادرات!G47)=0,"",SUM(واردات!G47,صادرات!G47)),"")</f>
        <v>280</v>
      </c>
      <c r="H47" s="20">
        <f t="shared" si="27"/>
        <v>13990</v>
      </c>
      <c r="J47" s="16" t="s">
        <v>19</v>
      </c>
      <c r="K47" s="17">
        <f>IFERROR(IF(SUM(واردات!K47,صادرات!K47)=0,"",SUM(واردات!K47,صادرات!K47)),"")</f>
        <v>10088</v>
      </c>
      <c r="L47" s="18">
        <f>IFERROR(IF(SUM(واردات!L47,صادرات!L47)=0,"",SUM(واردات!L47,صادرات!L47)),"")</f>
        <v>8596</v>
      </c>
      <c r="M47" s="18" t="str">
        <f>IFERROR(IF(SUM(واردات!M47,صادرات!M47)=0,"",SUM(واردات!M47,صادرات!M47)),"")</f>
        <v/>
      </c>
      <c r="N47" s="18">
        <f>IFERROR(IF(SUM(واردات!N47,صادرات!N47)=0,"",SUM(واردات!N47,صادرات!N47)),"")</f>
        <v>86761</v>
      </c>
      <c r="O47" s="19">
        <f>IFERROR(IF(SUM(واردات!O47,صادرات!O47)=0,"",SUM(واردات!O47,صادرات!O47)),"")</f>
        <v>9872</v>
      </c>
      <c r="P47" s="20">
        <f t="shared" si="28"/>
        <v>105445</v>
      </c>
      <c r="S47" s="155">
        <f>IF(OR(SUM(C47:G47)=0,SUM(G$36:G47)=0),"",IF(SUM(S$36:S46)=0,G47,IFERROR(SUM(S46,C47,-D47),"")))</f>
        <v>1297</v>
      </c>
      <c r="T47" s="156">
        <f t="shared" si="29"/>
        <v>1017</v>
      </c>
      <c r="U47" s="155">
        <f>IF(OR(SUM(K47:O47)=0,SUM(O$36:O47)=0),"",IF(SUM(U$36:U46)=0,O47,IFERROR(SUM(U46,K47,-L47),"")))</f>
        <v>9577</v>
      </c>
      <c r="V47" s="156">
        <f t="shared" si="30"/>
        <v>-295</v>
      </c>
    </row>
    <row r="48" spans="2:22" ht="21" thickBot="1" x14ac:dyDescent="0.3">
      <c r="B48" s="25" t="s">
        <v>6</v>
      </c>
      <c r="C48" s="26">
        <f>SUM(C36:C47)</f>
        <v>30473</v>
      </c>
      <c r="D48" s="27">
        <f t="shared" ref="D48:F48" si="31">SUM(D36:D47)</f>
        <v>30304</v>
      </c>
      <c r="E48" s="27">
        <f t="shared" si="31"/>
        <v>0</v>
      </c>
      <c r="F48" s="27">
        <f t="shared" si="31"/>
        <v>146339</v>
      </c>
      <c r="G48" s="28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280</v>
      </c>
      <c r="H48" s="29">
        <f t="shared" ref="H48" si="32">SUM(C48:F48)</f>
        <v>207116</v>
      </c>
      <c r="J48" s="25" t="s">
        <v>6</v>
      </c>
      <c r="K48" s="26">
        <f>SUM(K36:K47)</f>
        <v>95656</v>
      </c>
      <c r="L48" s="27">
        <f t="shared" ref="L48:N48" si="33">SUM(L36:L47)</f>
        <v>89268</v>
      </c>
      <c r="M48" s="27">
        <f t="shared" si="33"/>
        <v>0</v>
      </c>
      <c r="N48" s="27">
        <f t="shared" si="33"/>
        <v>912076</v>
      </c>
      <c r="O48" s="28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9872</v>
      </c>
      <c r="P48" s="29">
        <f t="shared" ref="P48" si="34">SUM(K48:N48)</f>
        <v>1097000</v>
      </c>
      <c r="T48" s="156"/>
      <c r="V48" s="156"/>
    </row>
    <row r="49" spans="2:22" ht="3.95" customHeight="1" thickBot="1" x14ac:dyDescent="0.3">
      <c r="T49" s="156"/>
      <c r="V49" s="156"/>
    </row>
    <row r="50" spans="2:22" ht="26.25" thickBot="1" x14ac:dyDescent="0.3">
      <c r="B50" s="207" t="s">
        <v>25</v>
      </c>
      <c r="C50" s="208"/>
      <c r="D50" s="208"/>
      <c r="E50" s="208"/>
      <c r="F50" s="208"/>
      <c r="G50" s="208"/>
      <c r="H50" s="209"/>
      <c r="J50" s="207" t="s">
        <v>26</v>
      </c>
      <c r="K50" s="208"/>
      <c r="L50" s="208"/>
      <c r="M50" s="208"/>
      <c r="N50" s="208"/>
      <c r="O50" s="208"/>
      <c r="P50" s="209"/>
      <c r="T50" s="156"/>
      <c r="V50" s="156"/>
    </row>
    <row r="51" spans="2:22" ht="21" thickBot="1" x14ac:dyDescent="0.3">
      <c r="B51" s="25" t="s">
        <v>0</v>
      </c>
      <c r="C51" s="30" t="s">
        <v>1</v>
      </c>
      <c r="D51" s="31" t="s">
        <v>2</v>
      </c>
      <c r="E51" s="31" t="s">
        <v>3</v>
      </c>
      <c r="F51" s="31" t="s">
        <v>4</v>
      </c>
      <c r="G51" s="32" t="s">
        <v>5</v>
      </c>
      <c r="H51" s="25" t="s">
        <v>7</v>
      </c>
      <c r="J51" s="25" t="s">
        <v>0</v>
      </c>
      <c r="K51" s="30" t="s">
        <v>1</v>
      </c>
      <c r="L51" s="31" t="s">
        <v>2</v>
      </c>
      <c r="M51" s="31" t="s">
        <v>3</v>
      </c>
      <c r="N51" s="31" t="s">
        <v>4</v>
      </c>
      <c r="O51" s="32" t="s">
        <v>5</v>
      </c>
      <c r="P51" s="25" t="s">
        <v>7</v>
      </c>
      <c r="T51" s="156"/>
      <c r="V51" s="156"/>
    </row>
    <row r="52" spans="2:22" x14ac:dyDescent="0.25">
      <c r="B52" s="6" t="s">
        <v>8</v>
      </c>
      <c r="C52" s="7">
        <f>IFERROR(IF(SUM(واردات!C52,صادرات!C52)=0,"",SUM(واردات!C52,صادرات!C52)),"")</f>
        <v>2040</v>
      </c>
      <c r="D52" s="8">
        <f>IFERROR(IF(SUM(واردات!D52,صادرات!D52)=0,"",SUM(واردات!D52,صادرات!D52)),"")</f>
        <v>3904</v>
      </c>
      <c r="E52" s="8" t="str">
        <f>IFERROR(IF(SUM(واردات!E52,صادرات!E52)=0,"",SUM(واردات!E52,صادرات!E52)),"")</f>
        <v/>
      </c>
      <c r="F52" s="8" t="str">
        <f>IFERROR(IF(SUM(واردات!F52,صادرات!F52)=0,"",SUM(واردات!F52,صادرات!F52)),"")</f>
        <v/>
      </c>
      <c r="G52" s="9">
        <f>IFERROR(IF(SUM(واردات!G52,صادرات!G52)=0,"",SUM(واردات!G52,صادرات!G52)),"")</f>
        <v>6915</v>
      </c>
      <c r="H52" s="10">
        <f>SUM(C52:F52)</f>
        <v>5944</v>
      </c>
      <c r="J52" s="6" t="s">
        <v>8</v>
      </c>
      <c r="K52" s="7">
        <f>IFERROR(IF(SUM(واردات!K52,صادرات!K52)=0,"",SUM(واردات!K52,صادرات!K52)),"")</f>
        <v>5759</v>
      </c>
      <c r="L52" s="8">
        <f>IFERROR(IF(SUM(واردات!L52,صادرات!L52)=0,"",SUM(واردات!L52,صادرات!L52)),"")</f>
        <v>5394</v>
      </c>
      <c r="M52" s="8" t="str">
        <f>IFERROR(IF(SUM(واردات!M52,صادرات!M52)=0,"",SUM(واردات!M52,صادرات!M52)),"")</f>
        <v/>
      </c>
      <c r="N52" s="8">
        <f>IFERROR(IF(SUM(واردات!N52,صادرات!N52)=0,"",SUM(واردات!N52,صادرات!N52)),"")</f>
        <v>5084</v>
      </c>
      <c r="O52" s="9">
        <f>IFERROR(IF(SUM(واردات!O52,صادرات!O52)=0,"",SUM(واردات!O52,صادرات!O52)),"")</f>
        <v>10171</v>
      </c>
      <c r="P52" s="10">
        <f>SUM(K52:N52)</f>
        <v>16237</v>
      </c>
      <c r="S52" s="155">
        <f>IF(SUM(G52)=0,"",IFERROR(G52,""))</f>
        <v>6915</v>
      </c>
      <c r="T52" s="156">
        <f>IFERROR(S52-G52,"")</f>
        <v>0</v>
      </c>
      <c r="U52" s="155">
        <f>IF(SUM(O52)=0,"",IFERROR(O52,""))</f>
        <v>10171</v>
      </c>
      <c r="V52" s="156">
        <f>IFERROR(U52-O52,"")</f>
        <v>0</v>
      </c>
    </row>
    <row r="53" spans="2:22" x14ac:dyDescent="0.25">
      <c r="B53" s="11" t="s">
        <v>9</v>
      </c>
      <c r="C53" s="12">
        <f>IFERROR(IF(SUM(واردات!C53,صادرات!C53)=0,"",SUM(واردات!C53,صادرات!C53)),"")</f>
        <v>1113</v>
      </c>
      <c r="D53" s="13">
        <f>IFERROR(IF(SUM(واردات!D53,صادرات!D53)=0,"",SUM(واردات!D53,صادرات!D53)),"")</f>
        <v>1823</v>
      </c>
      <c r="E53" s="13" t="str">
        <f>IFERROR(IF(SUM(واردات!E53,صادرات!E53)=0,"",SUM(واردات!E53,صادرات!E53)),"")</f>
        <v/>
      </c>
      <c r="F53" s="13" t="str">
        <f>IFERROR(IF(SUM(واردات!F53,صادرات!F53)=0,"",SUM(واردات!F53,صادرات!F53)),"")</f>
        <v/>
      </c>
      <c r="G53" s="14">
        <f>IFERROR(IF(SUM(واردات!G53,صادرات!G53)=0,"",SUM(واردات!G53,صادرات!G53)),"")</f>
        <v>6205</v>
      </c>
      <c r="H53" s="15">
        <f t="shared" ref="H53:H63" si="35">SUM(C53:F53)</f>
        <v>2936</v>
      </c>
      <c r="J53" s="11" t="s">
        <v>9</v>
      </c>
      <c r="K53" s="12">
        <f>IFERROR(IF(SUM(واردات!K53,صادرات!K53)=0,"",SUM(واردات!K53,صادرات!K53)),"")</f>
        <v>3994</v>
      </c>
      <c r="L53" s="13">
        <f>IFERROR(IF(SUM(واردات!L53,صادرات!L53)=0,"",SUM(واردات!L53,صادرات!L53)),"")</f>
        <v>4599</v>
      </c>
      <c r="M53" s="13">
        <f>IFERROR(IF(SUM(واردات!M53,صادرات!M53)=0,"",SUM(واردات!M53,صادرات!M53)),"")</f>
        <v>50</v>
      </c>
      <c r="N53" s="13">
        <f>IFERROR(IF(SUM(واردات!N53,صادرات!N53)=0,"",SUM(واردات!N53,صادرات!N53)),"")</f>
        <v>7806</v>
      </c>
      <c r="O53" s="14">
        <f>IFERROR(IF(SUM(واردات!O53,صادرات!O53)=0,"",SUM(واردات!O53,صادرات!O53)),"")</f>
        <v>9521</v>
      </c>
      <c r="P53" s="15">
        <f t="shared" ref="P53:P63" si="36">SUM(K53:N53)</f>
        <v>16449</v>
      </c>
      <c r="S53" s="155">
        <f>IF(OR(SUM(C53:G53)=0,SUM(G$52:G53)=0),"",IF(SUM(S$52:S52)=0,G53,IFERROR(SUM(S52,C53,-D53),"")))</f>
        <v>6205</v>
      </c>
      <c r="T53" s="156">
        <f t="shared" ref="T53:T63" si="37">IFERROR(S53-G53,"")</f>
        <v>0</v>
      </c>
      <c r="U53" s="155">
        <f>IF(OR(SUM(K53:O53)=0,SUM(O$52:O53)=0),"",IF(SUM(U$52:U52)=0,O53,IFERROR(SUM(U52,K53,-L53),"")))</f>
        <v>9566</v>
      </c>
      <c r="V53" s="156">
        <f t="shared" ref="V53:V63" si="38">IFERROR(U53-O53,"")</f>
        <v>45</v>
      </c>
    </row>
    <row r="54" spans="2:22" x14ac:dyDescent="0.25">
      <c r="B54" s="11" t="s">
        <v>10</v>
      </c>
      <c r="C54" s="12">
        <f>IFERROR(IF(SUM(واردات!C54,صادرات!C54)=0,"",SUM(واردات!C54,صادرات!C54)),"")</f>
        <v>381</v>
      </c>
      <c r="D54" s="13">
        <f>IFERROR(IF(SUM(واردات!D54,صادرات!D54)=0,"",SUM(واردات!D54,صادرات!D54)),"")</f>
        <v>1360</v>
      </c>
      <c r="E54" s="13" t="str">
        <f>IFERROR(IF(SUM(واردات!E54,صادرات!E54)=0,"",SUM(واردات!E54,صادرات!E54)),"")</f>
        <v/>
      </c>
      <c r="F54" s="13" t="str">
        <f>IFERROR(IF(SUM(واردات!F54,صادرات!F54)=0,"",SUM(واردات!F54,صادرات!F54)),"")</f>
        <v/>
      </c>
      <c r="G54" s="14">
        <f>IFERROR(IF(SUM(واردات!G54,صادرات!G54)=0,"",SUM(واردات!G54,صادرات!G54)),"")</f>
        <v>5203</v>
      </c>
      <c r="H54" s="15">
        <f t="shared" si="35"/>
        <v>1741</v>
      </c>
      <c r="J54" s="11" t="s">
        <v>10</v>
      </c>
      <c r="K54" s="12">
        <f>IFERROR(IF(SUM(واردات!K54,صادرات!K54)=0,"",SUM(واردات!K54,صادرات!K54)),"")</f>
        <v>2459</v>
      </c>
      <c r="L54" s="13">
        <f>IFERROR(IF(SUM(واردات!L54,صادرات!L54)=0,"",SUM(واردات!L54,صادرات!L54)),"")</f>
        <v>2714</v>
      </c>
      <c r="M54" s="13" t="str">
        <f>IFERROR(IF(SUM(واردات!M54,صادرات!M54)=0,"",SUM(واردات!M54,صادرات!M54)),"")</f>
        <v/>
      </c>
      <c r="N54" s="13">
        <f>IFERROR(IF(SUM(واردات!N54,صادرات!N54)=0,"",SUM(واردات!N54,صادرات!N54)),"")</f>
        <v>5073</v>
      </c>
      <c r="O54" s="14">
        <f>IFERROR(IF(SUM(واردات!O54,صادرات!O54)=0,"",SUM(واردات!O54,صادرات!O54)),"")</f>
        <v>9314</v>
      </c>
      <c r="P54" s="15">
        <f t="shared" si="36"/>
        <v>10246</v>
      </c>
      <c r="S54" s="155">
        <f>IF(OR(SUM(C54:G54)=0,SUM(G$52:G54)=0),"",IF(SUM(S$52:S53)=0,G54,IFERROR(SUM(S53,C54,-D54),"")))</f>
        <v>5226</v>
      </c>
      <c r="T54" s="156">
        <f t="shared" si="37"/>
        <v>23</v>
      </c>
      <c r="U54" s="155">
        <f>IF(OR(SUM(K54:O54)=0,SUM(O$52:O54)=0),"",IF(SUM(U$52:U53)=0,O54,IFERROR(SUM(U53,K54,-L54),"")))</f>
        <v>9311</v>
      </c>
      <c r="V54" s="156">
        <f t="shared" si="38"/>
        <v>-3</v>
      </c>
    </row>
    <row r="55" spans="2:22" x14ac:dyDescent="0.25">
      <c r="B55" s="11" t="s">
        <v>11</v>
      </c>
      <c r="C55" s="12">
        <f>IFERROR(IF(SUM(واردات!C55,صادرات!C55)=0,"",SUM(واردات!C55,صادرات!C55)),"")</f>
        <v>145</v>
      </c>
      <c r="D55" s="13">
        <f>IFERROR(IF(SUM(واردات!D55,صادرات!D55)=0,"",SUM(واردات!D55,صادرات!D55)),"")</f>
        <v>1671</v>
      </c>
      <c r="E55" s="13" t="str">
        <f>IFERROR(IF(SUM(واردات!E55,صادرات!E55)=0,"",SUM(واردات!E55,صادرات!E55)),"")</f>
        <v/>
      </c>
      <c r="F55" s="13" t="str">
        <f>IFERROR(IF(SUM(واردات!F55,صادرات!F55)=0,"",SUM(واردات!F55,صادرات!F55)),"")</f>
        <v/>
      </c>
      <c r="G55" s="14">
        <f>IFERROR(IF(SUM(واردات!G55,صادرات!G55)=0,"",SUM(واردات!G55,صادرات!G55)),"")</f>
        <v>4080</v>
      </c>
      <c r="H55" s="15">
        <f t="shared" si="35"/>
        <v>1816</v>
      </c>
      <c r="J55" s="11" t="s">
        <v>11</v>
      </c>
      <c r="K55" s="12">
        <f>IFERROR(IF(SUM(واردات!K55,صادرات!K55)=0,"",SUM(واردات!K55,صادرات!K55)),"")</f>
        <v>4416</v>
      </c>
      <c r="L55" s="13">
        <f>IFERROR(IF(SUM(واردات!L55,صادرات!L55)=0,"",SUM(واردات!L55,صادرات!L55)),"")</f>
        <v>5064</v>
      </c>
      <c r="M55" s="13" t="str">
        <f>IFERROR(IF(SUM(واردات!M55,صادرات!M55)=0,"",SUM(واردات!M55,صادرات!M55)),"")</f>
        <v/>
      </c>
      <c r="N55" s="13">
        <f>IFERROR(IF(SUM(واردات!N55,صادرات!N55)=0,"",SUM(واردات!N55,صادرات!N55)),"")</f>
        <v>9685</v>
      </c>
      <c r="O55" s="14">
        <f>IFERROR(IF(SUM(واردات!O55,صادرات!O55)=0,"",SUM(واردات!O55,صادرات!O55)),"")</f>
        <v>8815</v>
      </c>
      <c r="P55" s="15">
        <f t="shared" si="36"/>
        <v>19165</v>
      </c>
      <c r="S55" s="155">
        <f>IF(OR(SUM(C55:G55)=0,SUM(G$52:G55)=0),"",IF(SUM(S$52:S54)=0,G55,IFERROR(SUM(S54,C55,-D55),"")))</f>
        <v>3700</v>
      </c>
      <c r="T55" s="156">
        <f t="shared" si="37"/>
        <v>-380</v>
      </c>
      <c r="U55" s="155">
        <f>IF(OR(SUM(K55:O55)=0,SUM(O$52:O55)=0),"",IF(SUM(U$52:U54)=0,O55,IFERROR(SUM(U54,K55,-L55),"")))</f>
        <v>8663</v>
      </c>
      <c r="V55" s="156">
        <f t="shared" si="38"/>
        <v>-152</v>
      </c>
    </row>
    <row r="56" spans="2:22" x14ac:dyDescent="0.25">
      <c r="B56" s="11" t="s">
        <v>12</v>
      </c>
      <c r="C56" s="12">
        <f>IFERROR(IF(SUM(واردات!C56,صادرات!C56)=0,"",SUM(واردات!C56,صادرات!C56)),"")</f>
        <v>627</v>
      </c>
      <c r="D56" s="13">
        <f>IFERROR(IF(SUM(واردات!D56,صادرات!D56)=0,"",SUM(واردات!D56,صادرات!D56)),"")</f>
        <v>1608</v>
      </c>
      <c r="E56" s="13">
        <f>IFERROR(IF(SUM(واردات!E56,صادرات!E56)=0,"",SUM(واردات!E56,صادرات!E56)),"")</f>
        <v>1</v>
      </c>
      <c r="F56" s="13" t="str">
        <f>IFERROR(IF(SUM(واردات!F56,صادرات!F56)=0,"",SUM(واردات!F56,صادرات!F56)),"")</f>
        <v/>
      </c>
      <c r="G56" s="14">
        <f>IFERROR(IF(SUM(واردات!G56,صادرات!G56)=0,"",SUM(واردات!G56,صادرات!G56)),"")</f>
        <v>3099</v>
      </c>
      <c r="H56" s="15">
        <f t="shared" si="35"/>
        <v>2236</v>
      </c>
      <c r="J56" s="11" t="s">
        <v>12</v>
      </c>
      <c r="K56" s="12">
        <f>IFERROR(IF(SUM(واردات!K56,صادرات!K56)=0,"",SUM(واردات!K56,صادرات!K56)),"")</f>
        <v>3408</v>
      </c>
      <c r="L56" s="13">
        <f>IFERROR(IF(SUM(واردات!L56,صادرات!L56)=0,"",SUM(واردات!L56,صادرات!L56)),"")</f>
        <v>11314</v>
      </c>
      <c r="M56" s="13" t="str">
        <f>IFERROR(IF(SUM(واردات!M56,صادرات!M56)=0,"",SUM(واردات!M56,صادرات!M56)),"")</f>
        <v/>
      </c>
      <c r="N56" s="13">
        <f>IFERROR(IF(SUM(واردات!N56,صادرات!N56)=0,"",SUM(واردات!N56,صادرات!N56)),"")</f>
        <v>9860</v>
      </c>
      <c r="O56" s="14">
        <f>IFERROR(IF(SUM(واردات!O56,صادرات!O56)=0,"",SUM(واردات!O56,صادرات!O56)),"")</f>
        <v>1019</v>
      </c>
      <c r="P56" s="15">
        <f t="shared" si="36"/>
        <v>24582</v>
      </c>
      <c r="S56" s="155">
        <f>IF(OR(SUM(C56:G56)=0,SUM(G$52:G56)=0),"",IF(SUM(S$52:S55)=0,G56,IFERROR(SUM(S55,C56,-D56),"")))</f>
        <v>2719</v>
      </c>
      <c r="T56" s="156">
        <f t="shared" si="37"/>
        <v>-380</v>
      </c>
      <c r="U56" s="155">
        <f>IF(OR(SUM(K56:O56)=0,SUM(O$52:O56)=0),"",IF(SUM(U$52:U55)=0,O56,IFERROR(SUM(U55,K56,-L56),"")))</f>
        <v>757</v>
      </c>
      <c r="V56" s="156">
        <f t="shared" si="38"/>
        <v>-262</v>
      </c>
    </row>
    <row r="57" spans="2:22" x14ac:dyDescent="0.25">
      <c r="B57" s="11" t="s">
        <v>13</v>
      </c>
      <c r="C57" s="12">
        <f>IFERROR(IF(SUM(واردات!C57,صادرات!C57)=0,"",SUM(واردات!C57,صادرات!C57)),"")</f>
        <v>542</v>
      </c>
      <c r="D57" s="13">
        <f>IFERROR(IF(SUM(واردات!D57,صادرات!D57)=0,"",SUM(واردات!D57,صادرات!D57)),"")</f>
        <v>460</v>
      </c>
      <c r="E57" s="13" t="str">
        <f>IFERROR(IF(SUM(واردات!E57,صادرات!E57)=0,"",SUM(واردات!E57,صادرات!E57)),"")</f>
        <v/>
      </c>
      <c r="F57" s="13" t="str">
        <f>IFERROR(IF(SUM(واردات!F57,صادرات!F57)=0,"",SUM(واردات!F57,صادرات!F57)),"")</f>
        <v/>
      </c>
      <c r="G57" s="14">
        <f>IFERROR(IF(SUM(واردات!G57,صادرات!G57)=0,"",SUM(واردات!G57,صادرات!G57)),"")</f>
        <v>3181</v>
      </c>
      <c r="H57" s="15">
        <f t="shared" si="35"/>
        <v>1002</v>
      </c>
      <c r="J57" s="11" t="s">
        <v>13</v>
      </c>
      <c r="K57" s="12">
        <f>IFERROR(IF(SUM(واردات!K57,صادرات!K57)=0,"",SUM(واردات!K57,صادرات!K57)),"")</f>
        <v>4317</v>
      </c>
      <c r="L57" s="13">
        <f>IFERROR(IF(SUM(واردات!L57,صادرات!L57)=0,"",SUM(واردات!L57,صادرات!L57)),"")</f>
        <v>4027</v>
      </c>
      <c r="M57" s="13" t="str">
        <f>IFERROR(IF(SUM(واردات!M57,صادرات!M57)=0,"",SUM(واردات!M57,صادرات!M57)),"")</f>
        <v/>
      </c>
      <c r="N57" s="13">
        <f>IFERROR(IF(SUM(واردات!N57,صادرات!N57)=0,"",SUM(واردات!N57,صادرات!N57)),"")</f>
        <v>13031</v>
      </c>
      <c r="O57" s="14">
        <f>IFERROR(IF(SUM(واردات!O57,صادرات!O57)=0,"",SUM(واردات!O57,صادرات!O57)),"")</f>
        <v>1413</v>
      </c>
      <c r="P57" s="15">
        <f t="shared" si="36"/>
        <v>21375</v>
      </c>
      <c r="S57" s="155">
        <f>IF(OR(SUM(C57:G57)=0,SUM(G$52:G57)=0),"",IF(SUM(S$52:S56)=0,G57,IFERROR(SUM(S56,C57,-D57),"")))</f>
        <v>2801</v>
      </c>
      <c r="T57" s="156">
        <f t="shared" si="37"/>
        <v>-380</v>
      </c>
      <c r="U57" s="155">
        <f>IF(OR(SUM(K57:O57)=0,SUM(O$52:O57)=0),"",IF(SUM(U$52:U56)=0,O57,IFERROR(SUM(U56,K57,-L57),"")))</f>
        <v>1047</v>
      </c>
      <c r="V57" s="156">
        <f t="shared" si="38"/>
        <v>-366</v>
      </c>
    </row>
    <row r="58" spans="2:22" x14ac:dyDescent="0.25">
      <c r="B58" s="11" t="s">
        <v>14</v>
      </c>
      <c r="C58" s="12">
        <f>IFERROR(IF(SUM(واردات!C58,صادرات!C58)=0,"",SUM(واردات!C58,صادرات!C58)),"")</f>
        <v>791</v>
      </c>
      <c r="D58" s="13">
        <f>IFERROR(IF(SUM(واردات!D58,صادرات!D58)=0,"",SUM(واردات!D58,صادرات!D58)),"")</f>
        <v>408</v>
      </c>
      <c r="E58" s="13" t="str">
        <f>IFERROR(IF(SUM(واردات!E58,صادرات!E58)=0,"",SUM(واردات!E58,صادرات!E58)),"")</f>
        <v/>
      </c>
      <c r="F58" s="13" t="str">
        <f>IFERROR(IF(SUM(واردات!F58,صادرات!F58)=0,"",SUM(واردات!F58,صادرات!F58)),"")</f>
        <v/>
      </c>
      <c r="G58" s="14">
        <f>IFERROR(IF(SUM(واردات!G58,صادرات!G58)=0,"",SUM(واردات!G58,صادرات!G58)),"")</f>
        <v>3563</v>
      </c>
      <c r="H58" s="15">
        <f t="shared" si="35"/>
        <v>1199</v>
      </c>
      <c r="J58" s="11" t="s">
        <v>14</v>
      </c>
      <c r="K58" s="12">
        <f>IFERROR(IF(SUM(واردات!K58,صادرات!K58)=0,"",SUM(واردات!K58,صادرات!K58)),"")</f>
        <v>4937</v>
      </c>
      <c r="L58" s="13">
        <f>IFERROR(IF(SUM(واردات!L58,صادرات!L58)=0,"",SUM(واردات!L58,صادرات!L58)),"")</f>
        <v>4725</v>
      </c>
      <c r="M58" s="13" t="str">
        <f>IFERROR(IF(SUM(واردات!M58,صادرات!M58)=0,"",SUM(واردات!M58,صادرات!M58)),"")</f>
        <v/>
      </c>
      <c r="N58" s="13">
        <f>IFERROR(IF(SUM(واردات!N58,صادرات!N58)=0,"",SUM(واردات!N58,صادرات!N58)),"")</f>
        <v>21917</v>
      </c>
      <c r="O58" s="14">
        <f>IFERROR(IF(SUM(واردات!O58,صادرات!O58)=0,"",SUM(واردات!O58,صادرات!O58)),"")</f>
        <v>1731</v>
      </c>
      <c r="P58" s="15">
        <f t="shared" si="36"/>
        <v>31579</v>
      </c>
      <c r="S58" s="155">
        <f>IF(OR(SUM(C58:G58)=0,SUM(G$52:G58)=0),"",IF(SUM(S$52:S57)=0,G58,IFERROR(SUM(S57,C58,-D58),"")))</f>
        <v>3184</v>
      </c>
      <c r="T58" s="156">
        <f t="shared" si="37"/>
        <v>-379</v>
      </c>
      <c r="U58" s="155">
        <f>IF(OR(SUM(K58:O58)=0,SUM(O$52:O58)=0),"",IF(SUM(U$52:U57)=0,O58,IFERROR(SUM(U57,K58,-L58),"")))</f>
        <v>1259</v>
      </c>
      <c r="V58" s="156">
        <f t="shared" si="38"/>
        <v>-472</v>
      </c>
    </row>
    <row r="59" spans="2:22" x14ac:dyDescent="0.25">
      <c r="B59" s="11" t="s">
        <v>15</v>
      </c>
      <c r="C59" s="12">
        <f>IFERROR(IF(SUM(واردات!C59,صادرات!C59)=0,"",SUM(واردات!C59,صادرات!C59)),"")</f>
        <v>2455</v>
      </c>
      <c r="D59" s="13">
        <f>IFERROR(IF(SUM(واردات!D59,صادرات!D59)=0,"",SUM(واردات!D59,صادرات!D59)),"")</f>
        <v>1282</v>
      </c>
      <c r="E59" s="13" t="str">
        <f>IFERROR(IF(SUM(واردات!E59,صادرات!E59)=0,"",SUM(واردات!E59,صادرات!E59)),"")</f>
        <v/>
      </c>
      <c r="F59" s="13" t="str">
        <f>IFERROR(IF(SUM(واردات!F59,صادرات!F59)=0,"",SUM(واردات!F59,صادرات!F59)),"")</f>
        <v/>
      </c>
      <c r="G59" s="14">
        <f>IFERROR(IF(SUM(واردات!G59,صادرات!G59)=0,"",SUM(واردات!G59,صادرات!G59)),"")</f>
        <v>4736</v>
      </c>
      <c r="H59" s="15">
        <f t="shared" si="35"/>
        <v>3737</v>
      </c>
      <c r="J59" s="11" t="s">
        <v>15</v>
      </c>
      <c r="K59" s="12">
        <f>IFERROR(IF(SUM(واردات!K59,صادرات!K59)=0,"",SUM(واردات!K59,صادرات!K59)),"")</f>
        <v>22671</v>
      </c>
      <c r="L59" s="13">
        <f>IFERROR(IF(SUM(واردات!L59,صادرات!L59)=0,"",SUM(واردات!L59,صادرات!L59)),"")</f>
        <v>7274</v>
      </c>
      <c r="M59" s="13" t="str">
        <f>IFERROR(IF(SUM(واردات!M59,صادرات!M59)=0,"",SUM(واردات!M59,صادرات!M59)),"")</f>
        <v/>
      </c>
      <c r="N59" s="13">
        <f>IFERROR(IF(SUM(واردات!N59,صادرات!N59)=0,"",SUM(واردات!N59,صادرات!N59)),"")</f>
        <v>14904</v>
      </c>
      <c r="O59" s="14">
        <f>IFERROR(IF(SUM(واردات!O59,صادرات!O59)=0,"",SUM(واردات!O59,صادرات!O59)),"")</f>
        <v>17219</v>
      </c>
      <c r="P59" s="15">
        <f t="shared" si="36"/>
        <v>44849</v>
      </c>
      <c r="S59" s="155">
        <f>IF(OR(SUM(C59:G59)=0,SUM(G$52:G59)=0),"",IF(SUM(S$52:S58)=0,G59,IFERROR(SUM(S58,C59,-D59),"")))</f>
        <v>4357</v>
      </c>
      <c r="T59" s="156">
        <f t="shared" si="37"/>
        <v>-379</v>
      </c>
      <c r="U59" s="155">
        <f>IF(OR(SUM(K59:O59)=0,SUM(O$52:O59)=0),"",IF(SUM(U$52:U58)=0,O59,IFERROR(SUM(U58,K59,-L59),"")))</f>
        <v>16656</v>
      </c>
      <c r="V59" s="156">
        <f t="shared" si="38"/>
        <v>-563</v>
      </c>
    </row>
    <row r="60" spans="2:22" x14ac:dyDescent="0.25">
      <c r="B60" s="11" t="s">
        <v>16</v>
      </c>
      <c r="C60" s="12">
        <f>IFERROR(IF(SUM(واردات!C60,صادرات!C60)=0,"",SUM(واردات!C60,صادرات!C60)),"")</f>
        <v>962</v>
      </c>
      <c r="D60" s="13">
        <f>IFERROR(IF(SUM(واردات!D60,صادرات!D60)=0,"",SUM(واردات!D60,صادرات!D60)),"")</f>
        <v>1060</v>
      </c>
      <c r="E60" s="13" t="str">
        <f>IFERROR(IF(SUM(واردات!E60,صادرات!E60)=0,"",SUM(واردات!E60,صادرات!E60)),"")</f>
        <v/>
      </c>
      <c r="F60" s="13" t="str">
        <f>IFERROR(IF(SUM(واردات!F60,صادرات!F60)=0,"",SUM(واردات!F60,صادرات!F60)),"")</f>
        <v/>
      </c>
      <c r="G60" s="14">
        <f>IFERROR(IF(SUM(واردات!G60,صادرات!G60)=0,"",SUM(واردات!G60,صادرات!G60)),"")</f>
        <v>4639</v>
      </c>
      <c r="H60" s="15">
        <f t="shared" si="35"/>
        <v>2022</v>
      </c>
      <c r="J60" s="11" t="s">
        <v>16</v>
      </c>
      <c r="K60" s="12">
        <f>IFERROR(IF(SUM(واردات!K60,صادرات!K60)=0,"",SUM(واردات!K60,صادرات!K60)),"")</f>
        <v>11080</v>
      </c>
      <c r="L60" s="13">
        <f>IFERROR(IF(SUM(واردات!L60,صادرات!L60)=0,"",SUM(واردات!L60,صادرات!L60)),"")</f>
        <v>12213</v>
      </c>
      <c r="M60" s="13" t="str">
        <f>IFERROR(IF(SUM(واردات!M60,صادرات!M60)=0,"",SUM(واردات!M60,صادرات!M60)),"")</f>
        <v/>
      </c>
      <c r="N60" s="13">
        <f>IFERROR(IF(SUM(واردات!N60,صادرات!N60)=0,"",SUM(واردات!N60,صادرات!N60)),"")</f>
        <v>20843</v>
      </c>
      <c r="O60" s="14">
        <f>IFERROR(IF(SUM(واردات!O60,صادرات!O60)=0,"",SUM(واردات!O60,صادرات!O60)),"")</f>
        <v>16221</v>
      </c>
      <c r="P60" s="15">
        <f t="shared" si="36"/>
        <v>44136</v>
      </c>
      <c r="S60" s="155">
        <f>IF(OR(SUM(C60:G60)=0,SUM(G$52:G60)=0),"",IF(SUM(S$52:S59)=0,G60,IFERROR(SUM(S59,C60,-D60),"")))</f>
        <v>4259</v>
      </c>
      <c r="T60" s="156">
        <f t="shared" si="37"/>
        <v>-380</v>
      </c>
      <c r="U60" s="155">
        <f>IF(OR(SUM(K60:O60)=0,SUM(O$52:O60)=0),"",IF(SUM(U$52:U59)=0,O60,IFERROR(SUM(U59,K60,-L60),"")))</f>
        <v>15523</v>
      </c>
      <c r="V60" s="156">
        <f t="shared" si="38"/>
        <v>-698</v>
      </c>
    </row>
    <row r="61" spans="2:22" x14ac:dyDescent="0.25">
      <c r="B61" s="11" t="s">
        <v>17</v>
      </c>
      <c r="C61" s="12">
        <f>IFERROR(IF(SUM(واردات!C61,صادرات!C61)=0,"",SUM(واردات!C61,صادرات!C61)),"")</f>
        <v>411</v>
      </c>
      <c r="D61" s="13">
        <f>IFERROR(IF(SUM(واردات!D61,صادرات!D61)=0,"",SUM(واردات!D61,صادرات!D61)),"")</f>
        <v>1474</v>
      </c>
      <c r="E61" s="13" t="str">
        <f>IFERROR(IF(SUM(واردات!E61,صادرات!E61)=0,"",SUM(واردات!E61,صادرات!E61)),"")</f>
        <v/>
      </c>
      <c r="F61" s="13" t="str">
        <f>IFERROR(IF(SUM(واردات!F61,صادرات!F61)=0,"",SUM(واردات!F61,صادرات!F61)),"")</f>
        <v/>
      </c>
      <c r="G61" s="14">
        <f>IFERROR(IF(SUM(واردات!G61,صادرات!G61)=0,"",SUM(واردات!G61,صادرات!G61)),"")</f>
        <v>3576</v>
      </c>
      <c r="H61" s="15">
        <f t="shared" si="35"/>
        <v>1885</v>
      </c>
      <c r="J61" s="11" t="s">
        <v>17</v>
      </c>
      <c r="K61" s="12">
        <f>IFERROR(IF(SUM(واردات!K61,صادرات!K61)=0,"",SUM(واردات!K61,صادرات!K61)),"")</f>
        <v>6970</v>
      </c>
      <c r="L61" s="13">
        <f>IFERROR(IF(SUM(واردات!L61,صادرات!L61)=0,"",SUM(واردات!L61,صادرات!L61)),"")</f>
        <v>13705</v>
      </c>
      <c r="M61" s="13" t="str">
        <f>IFERROR(IF(SUM(واردات!M61,صادرات!M61)=0,"",SUM(واردات!M61,صادرات!M61)),"")</f>
        <v/>
      </c>
      <c r="N61" s="13">
        <f>IFERROR(IF(SUM(واردات!N61,صادرات!N61)=0,"",SUM(واردات!N61,صادرات!N61)),"")</f>
        <v>10848</v>
      </c>
      <c r="O61" s="14">
        <f>IFERROR(IF(SUM(واردات!O61,صادرات!O61)=0,"",SUM(واردات!O61,صادرات!O61)),"")</f>
        <v>9732</v>
      </c>
      <c r="P61" s="15">
        <f t="shared" si="36"/>
        <v>31523</v>
      </c>
      <c r="S61" s="155">
        <f>IF(OR(SUM(C61:G61)=0,SUM(G$52:G61)=0),"",IF(SUM(S$52:S60)=0,G61,IFERROR(SUM(S60,C61,-D61),"")))</f>
        <v>3196</v>
      </c>
      <c r="T61" s="156">
        <f t="shared" si="37"/>
        <v>-380</v>
      </c>
      <c r="U61" s="155">
        <f>IF(OR(SUM(K61:O61)=0,SUM(O$52:O61)=0),"",IF(SUM(U$52:U60)=0,O61,IFERROR(SUM(U60,K61,-L61),"")))</f>
        <v>8788</v>
      </c>
      <c r="V61" s="156">
        <f t="shared" si="38"/>
        <v>-944</v>
      </c>
    </row>
    <row r="62" spans="2:22" x14ac:dyDescent="0.25">
      <c r="B62" s="11" t="s">
        <v>18</v>
      </c>
      <c r="C62" s="12">
        <f>IFERROR(IF(SUM(واردات!C62,صادرات!C62)=0,"",SUM(واردات!C62,صادرات!C62)),"")</f>
        <v>565</v>
      </c>
      <c r="D62" s="13">
        <f>IFERROR(IF(SUM(واردات!D62,صادرات!D62)=0,"",SUM(واردات!D62,صادرات!D62)),"")</f>
        <v>1003</v>
      </c>
      <c r="E62" s="13" t="str">
        <f>IFERROR(IF(SUM(واردات!E62,صادرات!E62)=0,"",SUM(واردات!E62,صادرات!E62)),"")</f>
        <v/>
      </c>
      <c r="F62" s="13" t="str">
        <f>IFERROR(IF(SUM(واردات!F62,صادرات!F62)=0,"",SUM(واردات!F62,صادرات!F62)),"")</f>
        <v/>
      </c>
      <c r="G62" s="14">
        <f>IFERROR(IF(SUM(واردات!G62,صادرات!G62)=0,"",SUM(واردات!G62,صادرات!G62)),"")</f>
        <v>3138</v>
      </c>
      <c r="H62" s="15">
        <f t="shared" si="35"/>
        <v>1568</v>
      </c>
      <c r="J62" s="11" t="s">
        <v>18</v>
      </c>
      <c r="K62" s="12">
        <f>IFERROR(IF(SUM(واردات!K62,صادرات!K62)=0,"",SUM(واردات!K62,صادرات!K62)),"")</f>
        <v>9642</v>
      </c>
      <c r="L62" s="13">
        <f>IFERROR(IF(SUM(واردات!L62,صادرات!L62)=0,"",SUM(واردات!L62,صادرات!L62)),"")</f>
        <v>13276</v>
      </c>
      <c r="M62" s="13" t="str">
        <f>IFERROR(IF(SUM(واردات!M62,صادرات!M62)=0,"",SUM(واردات!M62,صادرات!M62)),"")</f>
        <v/>
      </c>
      <c r="N62" s="13">
        <f>IFERROR(IF(SUM(واردات!N62,صادرات!N62)=0,"",SUM(واردات!N62,صادرات!N62)),"")</f>
        <v>19220</v>
      </c>
      <c r="O62" s="14">
        <f>IFERROR(IF(SUM(واردات!O62,صادرات!O62)=0,"",SUM(واردات!O62,صادرات!O62)),"")</f>
        <v>9030</v>
      </c>
      <c r="P62" s="15">
        <f t="shared" si="36"/>
        <v>42138</v>
      </c>
      <c r="S62" s="155">
        <f>IF(OR(SUM(C62:G62)=0,SUM(G$52:G62)=0),"",IF(SUM(S$52:S61)=0,G62,IFERROR(SUM(S61,C62,-D62),"")))</f>
        <v>2758</v>
      </c>
      <c r="T62" s="156">
        <f t="shared" si="37"/>
        <v>-380</v>
      </c>
      <c r="U62" s="155">
        <f>IF(OR(SUM(K62:O62)=0,SUM(O$52:O62)=0),"",IF(SUM(U$52:U61)=0,O62,IFERROR(SUM(U61,K62,-L62),"")))</f>
        <v>5154</v>
      </c>
      <c r="V62" s="156">
        <f t="shared" si="38"/>
        <v>-3876</v>
      </c>
    </row>
    <row r="63" spans="2:22" ht="20.25" thickBot="1" x14ac:dyDescent="0.3">
      <c r="B63" s="16" t="s">
        <v>19</v>
      </c>
      <c r="C63" s="17">
        <f>IFERROR(IF(SUM(واردات!C63,صادرات!C63)=0,"",SUM(واردات!C63,صادرات!C63)),"")</f>
        <v>2171</v>
      </c>
      <c r="D63" s="18">
        <f>IFERROR(IF(SUM(واردات!D63,صادرات!D63)=0,"",SUM(واردات!D63,صادرات!D63)),"")</f>
        <v>473</v>
      </c>
      <c r="E63" s="18" t="str">
        <f>IFERROR(IF(SUM(واردات!E63,صادرات!E63)=0,"",SUM(واردات!E63,صادرات!E63)),"")</f>
        <v/>
      </c>
      <c r="F63" s="18" t="str">
        <f>IFERROR(IF(SUM(واردات!F63,صادرات!F63)=0,"",SUM(واردات!F63,صادرات!F63)),"")</f>
        <v/>
      </c>
      <c r="G63" s="19">
        <f>IFERROR(IF(SUM(واردات!G63,صادرات!G63)=0,"",SUM(واردات!G63,صادرات!G63)),"")</f>
        <v>4836</v>
      </c>
      <c r="H63" s="20">
        <f t="shared" si="35"/>
        <v>2644</v>
      </c>
      <c r="J63" s="16" t="s">
        <v>19</v>
      </c>
      <c r="K63" s="17">
        <f>IFERROR(IF(SUM(واردات!K63,صادرات!K63)=0,"",SUM(واردات!K63,صادرات!K63)),"")</f>
        <v>8083</v>
      </c>
      <c r="L63" s="18">
        <f>IFERROR(IF(SUM(واردات!L63,صادرات!L63)=0,"",SUM(واردات!L63,صادرات!L63)),"")</f>
        <v>10058</v>
      </c>
      <c r="M63" s="18" t="str">
        <f>IFERROR(IF(SUM(واردات!M63,صادرات!M63)=0,"",SUM(واردات!M63,صادرات!M63)),"")</f>
        <v/>
      </c>
      <c r="N63" s="18">
        <f>IFERROR(IF(SUM(واردات!N63,صادرات!N63)=0,"",SUM(واردات!N63,صادرات!N63)),"")</f>
        <v>30750</v>
      </c>
      <c r="O63" s="19">
        <f>IFERROR(IF(SUM(واردات!O63,صادرات!O63)=0,"",SUM(واردات!O63,صادرات!O63)),"")</f>
        <v>4595</v>
      </c>
      <c r="P63" s="20">
        <f t="shared" si="36"/>
        <v>48891</v>
      </c>
      <c r="S63" s="155">
        <f>IF(OR(SUM(C63:G63)=0,SUM(G$52:G63)=0),"",IF(SUM(S$52:S62)=0,G63,IFERROR(SUM(S62,C63,-D63),"")))</f>
        <v>4456</v>
      </c>
      <c r="T63" s="156">
        <f t="shared" si="37"/>
        <v>-380</v>
      </c>
      <c r="U63" s="155">
        <f>IF(OR(SUM(K63:O63)=0,SUM(O$52:O63)=0),"",IF(SUM(U$52:U62)=0,O63,IFERROR(SUM(U62,K63,-L63),"")))</f>
        <v>3179</v>
      </c>
      <c r="V63" s="156">
        <f t="shared" si="38"/>
        <v>-1416</v>
      </c>
    </row>
    <row r="64" spans="2:22" ht="21" thickBot="1" x14ac:dyDescent="0.3">
      <c r="B64" s="25" t="s">
        <v>6</v>
      </c>
      <c r="C64" s="26">
        <f>SUM(C52:C63)</f>
        <v>12203</v>
      </c>
      <c r="D64" s="27">
        <f t="shared" ref="D64:F64" si="39">SUM(D52:D63)</f>
        <v>16526</v>
      </c>
      <c r="E64" s="27">
        <f t="shared" si="39"/>
        <v>1</v>
      </c>
      <c r="F64" s="27">
        <f t="shared" si="39"/>
        <v>0</v>
      </c>
      <c r="G64" s="28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4836</v>
      </c>
      <c r="H64" s="29">
        <f t="shared" ref="H64" si="40">SUM(C64:F64)</f>
        <v>28730</v>
      </c>
      <c r="J64" s="25" t="s">
        <v>6</v>
      </c>
      <c r="K64" s="26">
        <f>SUM(K52:K63)</f>
        <v>87736</v>
      </c>
      <c r="L64" s="27">
        <f t="shared" ref="L64" si="41">SUM(L52:L63)</f>
        <v>94363</v>
      </c>
      <c r="M64" s="27">
        <f t="shared" ref="M64" si="42">SUM(M52:M63)</f>
        <v>50</v>
      </c>
      <c r="N64" s="27">
        <f t="shared" ref="N64" si="43">SUM(N52:N63)</f>
        <v>169021</v>
      </c>
      <c r="O64" s="28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4595</v>
      </c>
      <c r="P64" s="29">
        <f t="shared" ref="P64" si="44">SUM(K64:N64)</f>
        <v>351170</v>
      </c>
      <c r="T64" s="156"/>
      <c r="V64" s="156"/>
    </row>
    <row r="65" spans="2:22" ht="3.95" customHeight="1" thickBot="1" x14ac:dyDescent="0.3">
      <c r="T65" s="156"/>
      <c r="V65" s="156"/>
    </row>
    <row r="66" spans="2:22" ht="26.25" thickBot="1" x14ac:dyDescent="0.3">
      <c r="B66" s="207" t="s">
        <v>38</v>
      </c>
      <c r="C66" s="208"/>
      <c r="D66" s="208"/>
      <c r="E66" s="208"/>
      <c r="F66" s="208"/>
      <c r="G66" s="208"/>
      <c r="H66" s="209"/>
      <c r="J66" s="207" t="s">
        <v>40</v>
      </c>
      <c r="K66" s="208"/>
      <c r="L66" s="208"/>
      <c r="M66" s="208"/>
      <c r="N66" s="208"/>
      <c r="O66" s="208"/>
      <c r="P66" s="209"/>
      <c r="T66" s="156"/>
      <c r="V66" s="156"/>
    </row>
    <row r="67" spans="2:22" ht="21" thickBot="1" x14ac:dyDescent="0.3">
      <c r="B67" s="25" t="s">
        <v>0</v>
      </c>
      <c r="C67" s="30" t="s">
        <v>1</v>
      </c>
      <c r="D67" s="31" t="s">
        <v>2</v>
      </c>
      <c r="E67" s="31" t="s">
        <v>3</v>
      </c>
      <c r="F67" s="31" t="s">
        <v>4</v>
      </c>
      <c r="G67" s="32" t="s">
        <v>5</v>
      </c>
      <c r="H67" s="25" t="s">
        <v>7</v>
      </c>
      <c r="J67" s="25" t="s">
        <v>0</v>
      </c>
      <c r="K67" s="30" t="s">
        <v>1</v>
      </c>
      <c r="L67" s="31" t="s">
        <v>2</v>
      </c>
      <c r="M67" s="31" t="s">
        <v>3</v>
      </c>
      <c r="N67" s="31" t="s">
        <v>4</v>
      </c>
      <c r="O67" s="32" t="s">
        <v>5</v>
      </c>
      <c r="P67" s="25" t="s">
        <v>7</v>
      </c>
      <c r="T67" s="156"/>
      <c r="V67" s="156"/>
    </row>
    <row r="68" spans="2:22" x14ac:dyDescent="0.25">
      <c r="B68" s="6" t="s">
        <v>8</v>
      </c>
      <c r="C68" s="7">
        <f>IFERROR(IF(SUM(واردات!C68,صادرات!C68)=0,"",SUM(واردات!C68,صادرات!C68)),"")</f>
        <v>1</v>
      </c>
      <c r="D68" s="8">
        <f>IFERROR(IF(SUM(واردات!D68,صادرات!D68)=0,"",SUM(واردات!D68,صادرات!D68)),"")</f>
        <v>1</v>
      </c>
      <c r="E68" s="8" t="str">
        <f>IFERROR(IF(SUM(واردات!E68,صادرات!E68)=0,"",SUM(واردات!E68,صادرات!E68)),"")</f>
        <v/>
      </c>
      <c r="F68" s="8" t="str">
        <f>IFERROR(IF(SUM(واردات!F68,صادرات!F68)=0,"",SUM(واردات!F68,صادرات!F68)),"")</f>
        <v/>
      </c>
      <c r="G68" s="9">
        <f>IFERROR(IF(SUM(واردات!G68,صادرات!G68)=0,"",SUM(واردات!G68,صادرات!G68)),"")</f>
        <v>272</v>
      </c>
      <c r="H68" s="10">
        <f>SUM(C68:F68)</f>
        <v>2</v>
      </c>
      <c r="J68" s="6" t="s">
        <v>8</v>
      </c>
      <c r="K68" s="7" t="str">
        <f>IFERROR(IF(SUM(واردات!K68,صادرات!K68)=0,"",SUM(واردات!K68,صادرات!K68)),"")</f>
        <v/>
      </c>
      <c r="L68" s="8" t="str">
        <f>IFERROR(IF(SUM(واردات!L68,صادرات!L68)=0,"",SUM(واردات!L68,صادرات!L68)),"")</f>
        <v/>
      </c>
      <c r="M68" s="8" t="str">
        <f>IFERROR(IF(SUM(واردات!M68,صادرات!M68)=0,"",SUM(واردات!M68,صادرات!M68)),"")</f>
        <v/>
      </c>
      <c r="N68" s="8" t="str">
        <f>IFERROR(IF(SUM(واردات!N68,صادرات!N68)=0,"",SUM(واردات!N68,صادرات!N68)),"")</f>
        <v/>
      </c>
      <c r="O68" s="9" t="str">
        <f>IFERROR(IF(SUM(واردات!O68,صادرات!O68)=0,"",SUM(واردات!O68,صادرات!O68)),"")</f>
        <v/>
      </c>
      <c r="P68" s="10">
        <f>SUM(K68:N68)</f>
        <v>0</v>
      </c>
      <c r="S68" s="155">
        <f>IF(SUM(G68)=0,"",IFERROR(G68,""))</f>
        <v>272</v>
      </c>
      <c r="T68" s="156">
        <f>IFERROR(S68-G68,"")</f>
        <v>0</v>
      </c>
      <c r="U68" s="155" t="str">
        <f>IF(SUM(O68)=0,"",IFERROR(O68,""))</f>
        <v/>
      </c>
      <c r="V68" s="156" t="str">
        <f>IFERROR(U68-O68,"")</f>
        <v/>
      </c>
    </row>
    <row r="69" spans="2:22" x14ac:dyDescent="0.25">
      <c r="B69" s="11" t="s">
        <v>9</v>
      </c>
      <c r="C69" s="12">
        <f>IFERROR(IF(SUM(واردات!C69,صادرات!C69)=0,"",SUM(واردات!C69,صادرات!C69)),"")</f>
        <v>28</v>
      </c>
      <c r="D69" s="13">
        <f>IFERROR(IF(SUM(واردات!D69,صادرات!D69)=0,"",SUM(واردات!D69,صادرات!D69)),"")</f>
        <v>48</v>
      </c>
      <c r="E69" s="13">
        <f>IFERROR(IF(SUM(واردات!E69,صادرات!E69)=0,"",SUM(واردات!E69,صادرات!E69)),"")</f>
        <v>29</v>
      </c>
      <c r="F69" s="13" t="str">
        <f>IFERROR(IF(SUM(واردات!F69,صادرات!F69)=0,"",SUM(واردات!F69,صادرات!F69)),"")</f>
        <v/>
      </c>
      <c r="G69" s="14">
        <f>IFERROR(IF(SUM(واردات!G69,صادرات!G69)=0,"",SUM(واردات!G69,صادرات!G69)),"")</f>
        <v>251</v>
      </c>
      <c r="H69" s="15">
        <f t="shared" ref="H69:H79" si="45">SUM(C69:F69)</f>
        <v>105</v>
      </c>
      <c r="J69" s="11" t="s">
        <v>9</v>
      </c>
      <c r="K69" s="12">
        <f>IFERROR(IF(SUM(واردات!K69,صادرات!K69)=0,"",SUM(واردات!K69,صادرات!K69)),"")</f>
        <v>313</v>
      </c>
      <c r="L69" s="13">
        <f>IFERROR(IF(SUM(واردات!L69,صادرات!L69)=0,"",SUM(واردات!L69,صادرات!L69)),"")</f>
        <v>150</v>
      </c>
      <c r="M69" s="13" t="str">
        <f>IFERROR(IF(SUM(واردات!M69,صادرات!M69)=0,"",SUM(واردات!M69,صادرات!M69)),"")</f>
        <v/>
      </c>
      <c r="N69" s="13" t="str">
        <f>IFERROR(IF(SUM(واردات!N69,صادرات!N69)=0,"",SUM(واردات!N69,صادرات!N69)),"")</f>
        <v/>
      </c>
      <c r="O69" s="14">
        <f>IFERROR(IF(SUM(واردات!O69,صادرات!O69)=0,"",SUM(واردات!O69,صادرات!O69)),"")</f>
        <v>1222</v>
      </c>
      <c r="P69" s="15">
        <f t="shared" ref="P69:P79" si="46">SUM(K69:N69)</f>
        <v>463</v>
      </c>
      <c r="S69" s="155">
        <f>IF(OR(SUM(C69:G69)=0,SUM(G$68:G69)=0),"",IF(SUM(S$68:S68)=0,G69,IFERROR(SUM(S68,C69,-D69),"")))</f>
        <v>252</v>
      </c>
      <c r="T69" s="156">
        <f t="shared" ref="T69:T79" si="47">IFERROR(S69-G69,"")</f>
        <v>1</v>
      </c>
      <c r="U69" s="155">
        <f>IF(OR(SUM(K69:O69)=0,SUM(O$68:O69)=0),"",IF(SUM(U$68:U68)=0,O69,IFERROR(SUM(U68,K69,-L69),"")))</f>
        <v>1222</v>
      </c>
      <c r="V69" s="156">
        <f t="shared" ref="V69:V79" si="48">IFERROR(U69-O69,"")</f>
        <v>0</v>
      </c>
    </row>
    <row r="70" spans="2:22" x14ac:dyDescent="0.25">
      <c r="B70" s="11" t="s">
        <v>10</v>
      </c>
      <c r="C70" s="12">
        <f>IFERROR(IF(SUM(واردات!C70,صادرات!C70)=0,"",SUM(واردات!C70,صادرات!C70)),"")</f>
        <v>46</v>
      </c>
      <c r="D70" s="13" t="str">
        <f>IFERROR(IF(SUM(واردات!D70,صادرات!D70)=0,"",SUM(واردات!D70,صادرات!D70)),"")</f>
        <v/>
      </c>
      <c r="E70" s="13" t="str">
        <f>IFERROR(IF(SUM(واردات!E70,صادرات!E70)=0,"",SUM(واردات!E70,صادرات!E70)),"")</f>
        <v/>
      </c>
      <c r="F70" s="13" t="str">
        <f>IFERROR(IF(SUM(واردات!F70,صادرات!F70)=0,"",SUM(واردات!F70,صادرات!F70)),"")</f>
        <v/>
      </c>
      <c r="G70" s="14">
        <f>IFERROR(IF(SUM(واردات!G70,صادرات!G70)=0,"",SUM(واردات!G70,صادرات!G70)),"")</f>
        <v>297</v>
      </c>
      <c r="H70" s="15">
        <f t="shared" si="45"/>
        <v>46</v>
      </c>
      <c r="J70" s="11" t="s">
        <v>10</v>
      </c>
      <c r="K70" s="12">
        <f>IFERROR(IF(SUM(واردات!K70,صادرات!K70)=0,"",SUM(واردات!K70,صادرات!K70)),"")</f>
        <v>198</v>
      </c>
      <c r="L70" s="13">
        <f>IFERROR(IF(SUM(واردات!L70,صادرات!L70)=0,"",SUM(واردات!L70,صادرات!L70)),"")</f>
        <v>75</v>
      </c>
      <c r="M70" s="13" t="str">
        <f>IFERROR(IF(SUM(واردات!M70,صادرات!M70)=0,"",SUM(واردات!M70,صادرات!M70)),"")</f>
        <v/>
      </c>
      <c r="N70" s="13" t="str">
        <f>IFERROR(IF(SUM(واردات!N70,صادرات!N70)=0,"",SUM(واردات!N70,صادرات!N70)),"")</f>
        <v/>
      </c>
      <c r="O70" s="14">
        <f>IFERROR(IF(SUM(واردات!O70,صادرات!O70)=0,"",SUM(واردات!O70,صادرات!O70)),"")</f>
        <v>1222</v>
      </c>
      <c r="P70" s="15">
        <f t="shared" si="46"/>
        <v>273</v>
      </c>
      <c r="S70" s="155" t="str">
        <f>IF(OR(SUM(C70:G70)=0,SUM(G$68:G70)=0),"",IF(SUM(S$68:S69)=0,G70,IFERROR(SUM(S69,C70,-D70),"")))</f>
        <v/>
      </c>
      <c r="T70" s="156" t="str">
        <f t="shared" si="47"/>
        <v/>
      </c>
      <c r="U70" s="155">
        <f>IF(OR(SUM(K70:O70)=0,SUM(O$68:O70)=0),"",IF(SUM(U$68:U69)=0,O70,IFERROR(SUM(U69,K70,-L70),"")))</f>
        <v>1345</v>
      </c>
      <c r="V70" s="156">
        <f t="shared" si="48"/>
        <v>123</v>
      </c>
    </row>
    <row r="71" spans="2:22" x14ac:dyDescent="0.25">
      <c r="B71" s="11" t="s">
        <v>11</v>
      </c>
      <c r="C71" s="12">
        <f>IFERROR(IF(SUM(واردات!C71,صادرات!C71)=0,"",SUM(واردات!C71,صادرات!C71)),"")</f>
        <v>112</v>
      </c>
      <c r="D71" s="13">
        <f>IFERROR(IF(SUM(واردات!D71,صادرات!D71)=0,"",SUM(واردات!D71,صادرات!D71)),"")</f>
        <v>49</v>
      </c>
      <c r="E71" s="13" t="str">
        <f>IFERROR(IF(SUM(واردات!E71,صادرات!E71)=0,"",SUM(واردات!E71,صادرات!E71)),"")</f>
        <v/>
      </c>
      <c r="F71" s="13" t="str">
        <f>IFERROR(IF(SUM(واردات!F71,صادرات!F71)=0,"",SUM(واردات!F71,صادرات!F71)),"")</f>
        <v/>
      </c>
      <c r="G71" s="14">
        <f>IFERROR(IF(SUM(واردات!G71,صادرات!G71)=0,"",SUM(واردات!G71,صادرات!G71)),"")</f>
        <v>382</v>
      </c>
      <c r="H71" s="15">
        <f t="shared" si="45"/>
        <v>161</v>
      </c>
      <c r="J71" s="11" t="s">
        <v>11</v>
      </c>
      <c r="K71" s="12" t="str">
        <f>IFERROR(IF(SUM(واردات!K71,صادرات!K71)=0,"",SUM(واردات!K71,صادرات!K71)),"")</f>
        <v/>
      </c>
      <c r="L71" s="13">
        <f>IFERROR(IF(SUM(واردات!L71,صادرات!L71)=0,"",SUM(واردات!L71,صادرات!L71)),"")</f>
        <v>174</v>
      </c>
      <c r="M71" s="13" t="str">
        <f>IFERROR(IF(SUM(واردات!M71,صادرات!M71)=0,"",SUM(واردات!M71,صادرات!M71)),"")</f>
        <v/>
      </c>
      <c r="N71" s="13" t="str">
        <f>IFERROR(IF(SUM(واردات!N71,صادرات!N71)=0,"",SUM(واردات!N71,صادرات!N71)),"")</f>
        <v/>
      </c>
      <c r="O71" s="14">
        <f>IFERROR(IF(SUM(واردات!O71,صادرات!O71)=0,"",SUM(واردات!O71,صادرات!O71)),"")</f>
        <v>1171</v>
      </c>
      <c r="P71" s="15">
        <f t="shared" si="46"/>
        <v>174</v>
      </c>
      <c r="S71" s="155">
        <f>IF(OR(SUM(C71:G71)=0,SUM(G$68:G71)=0),"",IF(SUM(S$68:S70)=0,G71,IFERROR(SUM(S70,C71,-D71),"")))</f>
        <v>63</v>
      </c>
      <c r="T71" s="156">
        <f t="shared" si="47"/>
        <v>-319</v>
      </c>
      <c r="U71" s="155">
        <f>IF(OR(SUM(K71:O71)=0,SUM(O$68:O71)=0),"",IF(SUM(U$68:U70)=0,O71,IFERROR(SUM(U70,K71,-L71),"")))</f>
        <v>1171</v>
      </c>
      <c r="V71" s="156">
        <f t="shared" si="48"/>
        <v>0</v>
      </c>
    </row>
    <row r="72" spans="2:22" x14ac:dyDescent="0.25">
      <c r="B72" s="11" t="s">
        <v>12</v>
      </c>
      <c r="C72" s="12">
        <f>IFERROR(IF(SUM(واردات!C72,صادرات!C72)=0,"",SUM(واردات!C72,صادرات!C72)),"")</f>
        <v>33</v>
      </c>
      <c r="D72" s="13">
        <f>IFERROR(IF(SUM(واردات!D72,صادرات!D72)=0,"",SUM(واردات!D72,صادرات!D72)),"")</f>
        <v>186</v>
      </c>
      <c r="E72" s="13" t="str">
        <f>IFERROR(IF(SUM(واردات!E72,صادرات!E72)=0,"",SUM(واردات!E72,صادرات!E72)),"")</f>
        <v/>
      </c>
      <c r="F72" s="13" t="str">
        <f>IFERROR(IF(SUM(واردات!F72,صادرات!F72)=0,"",SUM(واردات!F72,صادرات!F72)),"")</f>
        <v/>
      </c>
      <c r="G72" s="14">
        <f>IFERROR(IF(SUM(واردات!G72,صادرات!G72)=0,"",SUM(واردات!G72,صادرات!G72)),"")</f>
        <v>229</v>
      </c>
      <c r="H72" s="15">
        <f t="shared" si="45"/>
        <v>219</v>
      </c>
      <c r="J72" s="11" t="s">
        <v>12</v>
      </c>
      <c r="K72" s="12" t="str">
        <f>IFERROR(IF(SUM(واردات!K72,صادرات!K72)=0,"",SUM(واردات!K72,صادرات!K72)),"")</f>
        <v/>
      </c>
      <c r="L72" s="13">
        <f>IFERROR(IF(SUM(واردات!L72,صادرات!L72)=0,"",SUM(واردات!L72,صادرات!L72)),"")</f>
        <v>103</v>
      </c>
      <c r="M72" s="13" t="str">
        <f>IFERROR(IF(SUM(واردات!M72,صادرات!M72)=0,"",SUM(واردات!M72,صادرات!M72)),"")</f>
        <v/>
      </c>
      <c r="N72" s="13" t="str">
        <f>IFERROR(IF(SUM(واردات!N72,صادرات!N72)=0,"",SUM(واردات!N72,صادرات!N72)),"")</f>
        <v/>
      </c>
      <c r="O72" s="14">
        <f>IFERROR(IF(SUM(واردات!O72,صادرات!O72)=0,"",SUM(واردات!O72,صادرات!O72)),"")</f>
        <v>1069</v>
      </c>
      <c r="P72" s="15">
        <f t="shared" si="46"/>
        <v>103</v>
      </c>
      <c r="S72" s="155">
        <f>IF(OR(SUM(C72:G72)=0,SUM(G$68:G72)=0),"",IF(SUM(S$68:S71)=0,G72,IFERROR(SUM(S71,C72,-D72),"")))</f>
        <v>-90</v>
      </c>
      <c r="T72" s="156">
        <f t="shared" si="47"/>
        <v>-319</v>
      </c>
      <c r="U72" s="155">
        <f>IF(OR(SUM(K72:O72)=0,SUM(O$68:O72)=0),"",IF(SUM(U$68:U71)=0,O72,IFERROR(SUM(U71,K72,-L72),"")))</f>
        <v>1068</v>
      </c>
      <c r="V72" s="156">
        <f t="shared" si="48"/>
        <v>-1</v>
      </c>
    </row>
    <row r="73" spans="2:22" x14ac:dyDescent="0.25">
      <c r="B73" s="11" t="s">
        <v>13</v>
      </c>
      <c r="C73" s="12">
        <f>IFERROR(IF(SUM(واردات!C73,صادرات!C73)=0,"",SUM(واردات!C73,صادرات!C73)),"")</f>
        <v>7</v>
      </c>
      <c r="D73" s="13">
        <f>IFERROR(IF(SUM(واردات!D73,صادرات!D73)=0,"",SUM(واردات!D73,صادرات!D73)),"")</f>
        <v>89</v>
      </c>
      <c r="E73" s="13" t="str">
        <f>IFERROR(IF(SUM(واردات!E73,صادرات!E73)=0,"",SUM(واردات!E73,صادرات!E73)),"")</f>
        <v/>
      </c>
      <c r="F73" s="13" t="str">
        <f>IFERROR(IF(SUM(واردات!F73,صادرات!F73)=0,"",SUM(واردات!F73,صادرات!F73)),"")</f>
        <v/>
      </c>
      <c r="G73" s="14">
        <f>IFERROR(IF(SUM(واردات!G73,صادرات!G73)=0,"",SUM(واردات!G73,صادرات!G73)),"")</f>
        <v>147</v>
      </c>
      <c r="H73" s="15">
        <f t="shared" si="45"/>
        <v>96</v>
      </c>
      <c r="J73" s="11" t="s">
        <v>13</v>
      </c>
      <c r="K73" s="12">
        <f>IFERROR(IF(SUM(واردات!K73,صادرات!K73)=0,"",SUM(واردات!K73,صادرات!K73)),"")</f>
        <v>86</v>
      </c>
      <c r="L73" s="13">
        <f>IFERROR(IF(SUM(واردات!L73,صادرات!L73)=0,"",SUM(واردات!L73,صادرات!L73)),"")</f>
        <v>124</v>
      </c>
      <c r="M73" s="13" t="str">
        <f>IFERROR(IF(SUM(واردات!M73,صادرات!M73)=0,"",SUM(واردات!M73,صادرات!M73)),"")</f>
        <v/>
      </c>
      <c r="N73" s="13" t="str">
        <f>IFERROR(IF(SUM(واردات!N73,صادرات!N73)=0,"",SUM(واردات!N73,صادرات!N73)),"")</f>
        <v/>
      </c>
      <c r="O73" s="14">
        <f>IFERROR(IF(SUM(واردات!O73,صادرات!O73)=0,"",SUM(واردات!O73,صادرات!O73)),"")</f>
        <v>1222</v>
      </c>
      <c r="P73" s="15">
        <f t="shared" si="46"/>
        <v>210</v>
      </c>
      <c r="S73" s="155">
        <f>IF(OR(SUM(C73:G73)=0,SUM(G$68:G73)=0),"",IF(SUM(S$68:S72)=0,G73,IFERROR(SUM(S72,C73,-D73),"")))</f>
        <v>-172</v>
      </c>
      <c r="T73" s="156">
        <f t="shared" si="47"/>
        <v>-319</v>
      </c>
      <c r="U73" s="155">
        <f>IF(OR(SUM(K73:O73)=0,SUM(O$68:O73)=0),"",IF(SUM(U$68:U72)=0,O73,IFERROR(SUM(U72,K73,-L73),"")))</f>
        <v>1030</v>
      </c>
      <c r="V73" s="156">
        <f t="shared" si="48"/>
        <v>-192</v>
      </c>
    </row>
    <row r="74" spans="2:22" x14ac:dyDescent="0.25">
      <c r="B74" s="11" t="s">
        <v>14</v>
      </c>
      <c r="C74" s="12">
        <f>IFERROR(IF(SUM(واردات!C74,صادرات!C74)=0,"",SUM(واردات!C74,صادرات!C74)),"")</f>
        <v>55</v>
      </c>
      <c r="D74" s="13">
        <f>IFERROR(IF(SUM(واردات!D74,صادرات!D74)=0,"",SUM(واردات!D74,صادرات!D74)),"")</f>
        <v>62</v>
      </c>
      <c r="E74" s="13" t="str">
        <f>IFERROR(IF(SUM(واردات!E74,صادرات!E74)=0,"",SUM(واردات!E74,صادرات!E74)),"")</f>
        <v/>
      </c>
      <c r="F74" s="13" t="str">
        <f>IFERROR(IF(SUM(واردات!F74,صادرات!F74)=0,"",SUM(واردات!F74,صادرات!F74)),"")</f>
        <v/>
      </c>
      <c r="G74" s="14">
        <f>IFERROR(IF(SUM(واردات!G74,صادرات!G74)=0,"",SUM(واردات!G74,صادرات!G74)),"")</f>
        <v>139</v>
      </c>
      <c r="H74" s="15">
        <f t="shared" si="45"/>
        <v>117</v>
      </c>
      <c r="J74" s="11" t="s">
        <v>14</v>
      </c>
      <c r="K74" s="12">
        <f>IFERROR(IF(SUM(واردات!K74,صادرات!K74)=0,"",SUM(واردات!K74,صادرات!K74)),"")</f>
        <v>14</v>
      </c>
      <c r="L74" s="13">
        <f>IFERROR(IF(SUM(واردات!L74,صادرات!L74)=0,"",SUM(واردات!L74,صادرات!L74)),"")</f>
        <v>86</v>
      </c>
      <c r="M74" s="13" t="str">
        <f>IFERROR(IF(SUM(واردات!M74,صادرات!M74)=0,"",SUM(واردات!M74,صادرات!M74)),"")</f>
        <v/>
      </c>
      <c r="N74" s="13" t="str">
        <f>IFERROR(IF(SUM(واردات!N74,صادرات!N74)=0,"",SUM(واردات!N74,صادرات!N74)),"")</f>
        <v/>
      </c>
      <c r="O74" s="14">
        <f>IFERROR(IF(SUM(واردات!O74,صادرات!O74)=0,"",SUM(واردات!O74,صادرات!O74)),"")</f>
        <v>959</v>
      </c>
      <c r="P74" s="15">
        <f t="shared" si="46"/>
        <v>100</v>
      </c>
      <c r="S74" s="155">
        <f>IF(OR(SUM(C74:G74)=0,SUM(G$68:G74)=0),"",IF(SUM(S$68:S73)=0,G74,IFERROR(SUM(S73,C74,-D74),"")))</f>
        <v>-179</v>
      </c>
      <c r="T74" s="156">
        <f t="shared" si="47"/>
        <v>-318</v>
      </c>
      <c r="U74" s="155">
        <f>IF(OR(SUM(K74:O74)=0,SUM(O$68:O74)=0),"",IF(SUM(U$68:U73)=0,O74,IFERROR(SUM(U73,K74,-L74),"")))</f>
        <v>958</v>
      </c>
      <c r="V74" s="156">
        <f t="shared" si="48"/>
        <v>-1</v>
      </c>
    </row>
    <row r="75" spans="2:22" x14ac:dyDescent="0.25">
      <c r="B75" s="11" t="s">
        <v>15</v>
      </c>
      <c r="C75" s="12" t="str">
        <f>IFERROR(IF(SUM(واردات!C75,صادرات!C75)=0,"",SUM(واردات!C75,صادرات!C75)),"")</f>
        <v/>
      </c>
      <c r="D75" s="13">
        <f>IFERROR(IF(SUM(واردات!D75,صادرات!D75)=0,"",SUM(واردات!D75,صادرات!D75)),"")</f>
        <v>27</v>
      </c>
      <c r="E75" s="13" t="str">
        <f>IFERROR(IF(SUM(واردات!E75,صادرات!E75)=0,"",SUM(واردات!E75,صادرات!E75)),"")</f>
        <v/>
      </c>
      <c r="F75" s="13" t="str">
        <f>IFERROR(IF(SUM(واردات!F75,صادرات!F75)=0,"",SUM(واردات!F75,صادرات!F75)),"")</f>
        <v/>
      </c>
      <c r="G75" s="14">
        <f>IFERROR(IF(SUM(واردات!G75,صادرات!G75)=0,"",SUM(واردات!G75,صادرات!G75)),"")</f>
        <v>112</v>
      </c>
      <c r="H75" s="15">
        <f t="shared" si="45"/>
        <v>27</v>
      </c>
      <c r="J75" s="11" t="s">
        <v>15</v>
      </c>
      <c r="K75" s="12" t="str">
        <f>IFERROR(IF(SUM(واردات!K75,صادرات!K75)=0,"",SUM(واردات!K75,صادرات!K75)),"")</f>
        <v/>
      </c>
      <c r="L75" s="13">
        <f>IFERROR(IF(SUM(واردات!L75,صادرات!L75)=0,"",SUM(واردات!L75,صادرات!L75)),"")</f>
        <v>14</v>
      </c>
      <c r="M75" s="13" t="str">
        <f>IFERROR(IF(SUM(واردات!M75,صادرات!M75)=0,"",SUM(واردات!M75,صادرات!M75)),"")</f>
        <v/>
      </c>
      <c r="N75" s="13" t="str">
        <f>IFERROR(IF(SUM(واردات!N75,صادرات!N75)=0,"",SUM(واردات!N75,صادرات!N75)),"")</f>
        <v/>
      </c>
      <c r="O75" s="14">
        <f>IFERROR(IF(SUM(واردات!O75,صادرات!O75)=0,"",SUM(واردات!O75,صادرات!O75)),"")</f>
        <v>35</v>
      </c>
      <c r="P75" s="15">
        <f t="shared" si="46"/>
        <v>14</v>
      </c>
      <c r="S75" s="155">
        <f>IF(OR(SUM(C75:G75)=0,SUM(G$68:G75)=0),"",IF(SUM(S$68:S74)=0,G75,IFERROR(SUM(S74,C75,-D75),"")))</f>
        <v>-206</v>
      </c>
      <c r="T75" s="156">
        <f t="shared" si="47"/>
        <v>-318</v>
      </c>
      <c r="U75" s="155">
        <f>IF(OR(SUM(K75:O75)=0,SUM(O$68:O75)=0),"",IF(SUM(U$68:U74)=0,O75,IFERROR(SUM(U74,K75,-L75),"")))</f>
        <v>944</v>
      </c>
      <c r="V75" s="156">
        <f t="shared" si="48"/>
        <v>909</v>
      </c>
    </row>
    <row r="76" spans="2:22" x14ac:dyDescent="0.25">
      <c r="B76" s="11" t="s">
        <v>16</v>
      </c>
      <c r="C76" s="12">
        <f>IFERROR(IF(SUM(واردات!C76,صادرات!C76)=0,"",SUM(واردات!C76,صادرات!C76)),"")</f>
        <v>45</v>
      </c>
      <c r="D76" s="13">
        <f>IFERROR(IF(SUM(واردات!D76,صادرات!D76)=0,"",SUM(واردات!D76,صادرات!D76)),"")</f>
        <v>45</v>
      </c>
      <c r="E76" s="13" t="str">
        <f>IFERROR(IF(SUM(واردات!E76,صادرات!E76)=0,"",SUM(واردات!E76,صادرات!E76)),"")</f>
        <v/>
      </c>
      <c r="F76" s="13" t="str">
        <f>IFERROR(IF(SUM(واردات!F76,صادرات!F76)=0,"",SUM(واردات!F76,صادرات!F76)),"")</f>
        <v/>
      </c>
      <c r="G76" s="14">
        <f>IFERROR(IF(SUM(واردات!G76,صادرات!G76)=0,"",SUM(واردات!G76,صادرات!G76)),"")</f>
        <v>112</v>
      </c>
      <c r="H76" s="15">
        <f t="shared" si="45"/>
        <v>90</v>
      </c>
      <c r="J76" s="11" t="s">
        <v>16</v>
      </c>
      <c r="K76" s="12">
        <f>IFERROR(IF(SUM(واردات!K76,صادرات!K76)=0,"",SUM(واردات!K76,صادرات!K76)),"")</f>
        <v>140</v>
      </c>
      <c r="L76" s="13">
        <f>IFERROR(IF(SUM(واردات!L76,صادرات!L76)=0,"",SUM(واردات!L76,صادرات!L76)),"")</f>
        <v>81</v>
      </c>
      <c r="M76" s="13" t="str">
        <f>IFERROR(IF(SUM(واردات!M76,صادرات!M76)=0,"",SUM(واردات!M76,صادرات!M76)),"")</f>
        <v/>
      </c>
      <c r="N76" s="13" t="str">
        <f>IFERROR(IF(SUM(واردات!N76,صادرات!N76)=0,"",SUM(واردات!N76,صادرات!N76)),"")</f>
        <v/>
      </c>
      <c r="O76" s="14">
        <f>IFERROR(IF(SUM(واردات!O76,صادرات!O76)=0,"",SUM(واردات!O76,صادرات!O76)),"")</f>
        <v>95</v>
      </c>
      <c r="P76" s="15">
        <f t="shared" si="46"/>
        <v>221</v>
      </c>
      <c r="S76" s="155">
        <f>IF(OR(SUM(C76:G76)=0,SUM(G$68:G76)=0),"",IF(SUM(S$68:S75)=0,G76,IFERROR(SUM(S75,C76,-D76),"")))</f>
        <v>-206</v>
      </c>
      <c r="T76" s="156">
        <f t="shared" si="47"/>
        <v>-318</v>
      </c>
      <c r="U76" s="155">
        <f>IF(OR(SUM(K76:O76)=0,SUM(O$68:O76)=0),"",IF(SUM(U$68:U75)=0,O76,IFERROR(SUM(U75,K76,-L76),"")))</f>
        <v>1003</v>
      </c>
      <c r="V76" s="156">
        <f t="shared" si="48"/>
        <v>908</v>
      </c>
    </row>
    <row r="77" spans="2:22" x14ac:dyDescent="0.25">
      <c r="B77" s="11" t="s">
        <v>17</v>
      </c>
      <c r="C77" s="12" t="str">
        <f>IFERROR(IF(SUM(واردات!C77,صادرات!C77)=0,"",SUM(واردات!C77,صادرات!C77)),"")</f>
        <v/>
      </c>
      <c r="D77" s="13" t="str">
        <f>IFERROR(IF(SUM(واردات!D77,صادرات!D77)=0,"",SUM(واردات!D77,صادرات!D77)),"")</f>
        <v/>
      </c>
      <c r="E77" s="13" t="str">
        <f>IFERROR(IF(SUM(واردات!E77,صادرات!E77)=0,"",SUM(واردات!E77,صادرات!E77)),"")</f>
        <v/>
      </c>
      <c r="F77" s="13" t="str">
        <f>IFERROR(IF(SUM(واردات!F77,صادرات!F77)=0,"",SUM(واردات!F77,صادرات!F77)),"")</f>
        <v/>
      </c>
      <c r="G77" s="14" t="str">
        <f>IFERROR(IF(SUM(واردات!G77,صادرات!G77)=0,"",SUM(واردات!G77,صادرات!G77)),"")</f>
        <v/>
      </c>
      <c r="H77" s="15">
        <f t="shared" si="45"/>
        <v>0</v>
      </c>
      <c r="J77" s="11" t="s">
        <v>17</v>
      </c>
      <c r="K77" s="12">
        <f>IFERROR(IF(SUM(واردات!K77,صادرات!K77)=0,"",SUM(واردات!K77,صادرات!K77)),"")</f>
        <v>251</v>
      </c>
      <c r="L77" s="13">
        <f>IFERROR(IF(SUM(واردات!L77,صادرات!L77)=0,"",SUM(واردات!L77,صادرات!L77)),"")</f>
        <v>48</v>
      </c>
      <c r="M77" s="13" t="str">
        <f>IFERROR(IF(SUM(واردات!M77,صادرات!M77)=0,"",SUM(واردات!M77,صادرات!M77)),"")</f>
        <v/>
      </c>
      <c r="N77" s="13" t="str">
        <f>IFERROR(IF(SUM(واردات!N77,صادرات!N77)=0,"",SUM(واردات!N77,صادرات!N77)),"")</f>
        <v/>
      </c>
      <c r="O77" s="14">
        <f>IFERROR(IF(SUM(واردات!O77,صادرات!O77)=0,"",SUM(واردات!O77,صادرات!O77)),"")</f>
        <v>294</v>
      </c>
      <c r="P77" s="15">
        <f t="shared" si="46"/>
        <v>299</v>
      </c>
      <c r="S77" s="155" t="str">
        <f>IF(OR(SUM(C77:G77)=0,SUM(G$68:G77)=0),"",IF(SUM(S$68:S76)=0,G77,IFERROR(SUM(S76,C77,-D77),"")))</f>
        <v/>
      </c>
      <c r="T77" s="156" t="str">
        <f t="shared" si="47"/>
        <v/>
      </c>
      <c r="U77" s="155">
        <f>IF(OR(SUM(K77:O77)=0,SUM(O$68:O77)=0),"",IF(SUM(U$68:U76)=0,O77,IFERROR(SUM(U76,K77,-L77),"")))</f>
        <v>1206</v>
      </c>
      <c r="V77" s="156">
        <f t="shared" si="48"/>
        <v>912</v>
      </c>
    </row>
    <row r="78" spans="2:22" x14ac:dyDescent="0.25">
      <c r="B78" s="11" t="s">
        <v>18</v>
      </c>
      <c r="C78" s="12">
        <f>IFERROR(IF(SUM(واردات!C78,صادرات!C78)=0,"",SUM(واردات!C78,صادرات!C78)),"")</f>
        <v>19</v>
      </c>
      <c r="D78" s="13" t="str">
        <f>IFERROR(IF(SUM(واردات!D78,صادرات!D78)=0,"",SUM(واردات!D78,صادرات!D78)),"")</f>
        <v/>
      </c>
      <c r="E78" s="13" t="str">
        <f>IFERROR(IF(SUM(واردات!E78,صادرات!E78)=0,"",SUM(واردات!E78,صادرات!E78)),"")</f>
        <v/>
      </c>
      <c r="F78" s="13" t="str">
        <f>IFERROR(IF(SUM(واردات!F78,صادرات!F78)=0,"",SUM(واردات!F78,صادرات!F78)),"")</f>
        <v/>
      </c>
      <c r="G78" s="14">
        <f>IFERROR(IF(SUM(واردات!G78,صادرات!G78)=0,"",SUM(واردات!G78,صادرات!G78)),"")</f>
        <v>131</v>
      </c>
      <c r="H78" s="15">
        <f t="shared" si="45"/>
        <v>19</v>
      </c>
      <c r="J78" s="11" t="s">
        <v>18</v>
      </c>
      <c r="K78" s="12">
        <f>IFERROR(IF(SUM(واردات!K78,صادرات!K78)=0,"",SUM(واردات!K78,صادرات!K78)),"")</f>
        <v>423</v>
      </c>
      <c r="L78" s="13">
        <f>IFERROR(IF(SUM(واردات!L78,صادرات!L78)=0,"",SUM(واردات!L78,صادرات!L78)),"")</f>
        <v>286</v>
      </c>
      <c r="M78" s="13" t="str">
        <f>IFERROR(IF(SUM(واردات!M78,صادرات!M78)=0,"",SUM(واردات!M78,صادرات!M78)),"")</f>
        <v/>
      </c>
      <c r="N78" s="13" t="str">
        <f>IFERROR(IF(SUM(واردات!N78,صادرات!N78)=0,"",SUM(واردات!N78,صادرات!N78)),"")</f>
        <v/>
      </c>
      <c r="O78" s="14">
        <f>IFERROR(IF(SUM(واردات!O78,صادرات!O78)=0,"",SUM(واردات!O78,صادرات!O78)),"")</f>
        <v>431</v>
      </c>
      <c r="P78" s="15">
        <f t="shared" si="46"/>
        <v>709</v>
      </c>
      <c r="S78" s="155" t="str">
        <f>IF(OR(SUM(C78:G78)=0,SUM(G$68:G78)=0),"",IF(SUM(S$68:S77)=0,G78,IFERROR(SUM(S77,C78,-D78),"")))</f>
        <v/>
      </c>
      <c r="T78" s="156" t="str">
        <f t="shared" si="47"/>
        <v/>
      </c>
      <c r="U78" s="155">
        <f>IF(OR(SUM(K78:O78)=0,SUM(O$68:O78)=0),"",IF(SUM(U$68:U77)=0,O78,IFERROR(SUM(U77,K78,-L78),"")))</f>
        <v>1343</v>
      </c>
      <c r="V78" s="156">
        <f t="shared" si="48"/>
        <v>912</v>
      </c>
    </row>
    <row r="79" spans="2:22" ht="20.25" thickBot="1" x14ac:dyDescent="0.3">
      <c r="B79" s="16" t="s">
        <v>19</v>
      </c>
      <c r="C79" s="17">
        <f>IFERROR(IF(SUM(واردات!C79,صادرات!C79)=0,"",SUM(واردات!C79,صادرات!C79)),"")</f>
        <v>26</v>
      </c>
      <c r="D79" s="18">
        <f>IFERROR(IF(SUM(واردات!D79,صادرات!D79)=0,"",SUM(واردات!D79,صادرات!D79)),"")</f>
        <v>129</v>
      </c>
      <c r="E79" s="18" t="str">
        <f>IFERROR(IF(SUM(واردات!E79,صادرات!E79)=0,"",SUM(واردات!E79,صادرات!E79)),"")</f>
        <v/>
      </c>
      <c r="F79" s="18" t="str">
        <f>IFERROR(IF(SUM(واردات!F79,صادرات!F79)=0,"",SUM(واردات!F79,صادرات!F79)),"")</f>
        <v/>
      </c>
      <c r="G79" s="19">
        <f>IFERROR(IF(SUM(واردات!G79,صادرات!G79)=0,"",SUM(واردات!G79,صادرات!G79)),"")</f>
        <v>28</v>
      </c>
      <c r="H79" s="20">
        <f t="shared" si="45"/>
        <v>155</v>
      </c>
      <c r="J79" s="16" t="s">
        <v>19</v>
      </c>
      <c r="K79" s="17">
        <f>IFERROR(IF(SUM(واردات!K79,صادرات!K79)=0,"",SUM(واردات!K79,صادرات!K79)),"")</f>
        <v>624</v>
      </c>
      <c r="L79" s="18">
        <f>IFERROR(IF(SUM(واردات!L79,صادرات!L79)=0,"",SUM(واردات!L79,صادرات!L79)),"")</f>
        <v>599</v>
      </c>
      <c r="M79" s="18" t="str">
        <f>IFERROR(IF(SUM(واردات!M79,صادرات!M79)=0,"",SUM(واردات!M79,صادرات!M79)),"")</f>
        <v/>
      </c>
      <c r="N79" s="18" t="str">
        <f>IFERROR(IF(SUM(واردات!N79,صادرات!N79)=0,"",SUM(واردات!N79,صادرات!N79)),"")</f>
        <v/>
      </c>
      <c r="O79" s="19">
        <f>IFERROR(IF(SUM(واردات!O79,صادرات!O79)=0,"",SUM(واردات!O79,صادرات!O79)),"")</f>
        <v>448</v>
      </c>
      <c r="P79" s="20">
        <f t="shared" si="46"/>
        <v>1223</v>
      </c>
      <c r="S79" s="155">
        <f>IF(OR(SUM(C79:G79)=0,SUM(G$68:G79)=0),"",IF(SUM(S$68:S78)=0,G79,IFERROR(SUM(S78,C79,-D79),"")))</f>
        <v>-103</v>
      </c>
      <c r="T79" s="156">
        <f t="shared" si="47"/>
        <v>-131</v>
      </c>
      <c r="U79" s="155">
        <f>IF(OR(SUM(K79:O79)=0,SUM(O$68:O79)=0),"",IF(SUM(U$68:U78)=0,O79,IFERROR(SUM(U78,K79,-L79),"")))</f>
        <v>1368</v>
      </c>
      <c r="V79" s="156">
        <f t="shared" si="48"/>
        <v>920</v>
      </c>
    </row>
    <row r="80" spans="2:22" ht="21" thickBot="1" x14ac:dyDescent="0.3">
      <c r="B80" s="25" t="s">
        <v>6</v>
      </c>
      <c r="C80" s="26">
        <f>SUM(C68:C79)</f>
        <v>372</v>
      </c>
      <c r="D80" s="27">
        <f t="shared" ref="D80:F80" si="49">SUM(D68:D79)</f>
        <v>636</v>
      </c>
      <c r="E80" s="27">
        <f t="shared" si="49"/>
        <v>29</v>
      </c>
      <c r="F80" s="27">
        <f t="shared" si="49"/>
        <v>0</v>
      </c>
      <c r="G80" s="28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28</v>
      </c>
      <c r="H80" s="29">
        <f t="shared" ref="H80" si="50">SUM(C80:F80)</f>
        <v>1037</v>
      </c>
      <c r="J80" s="25" t="s">
        <v>6</v>
      </c>
      <c r="K80" s="26">
        <f>SUM(K68:K79)</f>
        <v>2049</v>
      </c>
      <c r="L80" s="27">
        <f t="shared" ref="L80:N80" si="51">SUM(L68:L79)</f>
        <v>1740</v>
      </c>
      <c r="M80" s="27">
        <f t="shared" si="51"/>
        <v>0</v>
      </c>
      <c r="N80" s="27">
        <f t="shared" si="51"/>
        <v>0</v>
      </c>
      <c r="O80" s="28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448</v>
      </c>
      <c r="P80" s="29">
        <f t="shared" ref="P80" si="52">SUM(K80:N80)</f>
        <v>3789</v>
      </c>
      <c r="T80" s="156"/>
      <c r="V80" s="156"/>
    </row>
    <row r="81" spans="2:22" ht="3.95" customHeight="1" thickBot="1" x14ac:dyDescent="0.3"/>
    <row r="82" spans="2:22" ht="26.25" thickBot="1" x14ac:dyDescent="0.3">
      <c r="B82" s="207" t="s">
        <v>41</v>
      </c>
      <c r="C82" s="208"/>
      <c r="D82" s="208"/>
      <c r="E82" s="208"/>
      <c r="F82" s="208"/>
      <c r="G82" s="208"/>
      <c r="H82" s="209"/>
      <c r="J82" s="207" t="s">
        <v>56</v>
      </c>
      <c r="K82" s="208"/>
      <c r="L82" s="208"/>
      <c r="M82" s="208"/>
      <c r="N82" s="208"/>
      <c r="O82" s="208"/>
      <c r="P82" s="209"/>
    </row>
    <row r="83" spans="2:22" ht="21" thickBot="1" x14ac:dyDescent="0.3">
      <c r="B83" s="25" t="s">
        <v>0</v>
      </c>
      <c r="C83" s="30" t="s">
        <v>1</v>
      </c>
      <c r="D83" s="31" t="s">
        <v>2</v>
      </c>
      <c r="E83" s="31" t="s">
        <v>3</v>
      </c>
      <c r="F83" s="31" t="s">
        <v>4</v>
      </c>
      <c r="G83" s="32" t="s">
        <v>5</v>
      </c>
      <c r="H83" s="25" t="s">
        <v>7</v>
      </c>
      <c r="J83" s="25" t="s">
        <v>0</v>
      </c>
      <c r="K83" s="30" t="s">
        <v>1</v>
      </c>
      <c r="L83" s="31" t="s">
        <v>2</v>
      </c>
      <c r="M83" s="31" t="s">
        <v>3</v>
      </c>
      <c r="N83" s="31" t="s">
        <v>4</v>
      </c>
      <c r="O83" s="32" t="s">
        <v>5</v>
      </c>
      <c r="P83" s="25" t="s">
        <v>7</v>
      </c>
      <c r="S83" s="155" t="str">
        <f>IF(SUM(G83)=0,"",IFERROR(G83,""))</f>
        <v/>
      </c>
      <c r="T83" s="156" t="str">
        <f>IFERROR(S83-G83,"")</f>
        <v/>
      </c>
      <c r="U83" s="155" t="str">
        <f>IF(SUM(O83)=0,"",IFERROR(O83,""))</f>
        <v/>
      </c>
      <c r="V83" s="156" t="str">
        <f>IFERROR(U83-O83,"")</f>
        <v/>
      </c>
    </row>
    <row r="84" spans="2:22" x14ac:dyDescent="0.25">
      <c r="B84" s="6" t="s">
        <v>8</v>
      </c>
      <c r="C84" s="7">
        <f>IFERROR(IF(SUM(واردات!C84,صادرات!C84)=0,"",SUM(واردات!C84,صادرات!C84)),"")</f>
        <v>710</v>
      </c>
      <c r="D84" s="8">
        <f>IFERROR(IF(SUM(واردات!D84,صادرات!D84)=0,"",SUM(واردات!D84,صادرات!D84)),"")</f>
        <v>492</v>
      </c>
      <c r="E84" s="8" t="str">
        <f>IFERROR(IF(SUM(واردات!E84,صادرات!E84)=0,"",SUM(واردات!E84,صادرات!E84)),"")</f>
        <v/>
      </c>
      <c r="F84" s="8" t="str">
        <f>IFERROR(IF(SUM(واردات!F84,صادرات!F84)=0,"",SUM(واردات!F84,صادرات!F84)),"")</f>
        <v/>
      </c>
      <c r="G84" s="9">
        <f>IFERROR(IF(SUM(واردات!G84,صادرات!G84)=0,"",SUM(واردات!G84,صادرات!G84)),"")</f>
        <v>507</v>
      </c>
      <c r="H84" s="10">
        <f>SUM(C84:F84)</f>
        <v>1202</v>
      </c>
      <c r="J84" s="6" t="s">
        <v>8</v>
      </c>
      <c r="K84" s="7" t="str">
        <f>IFERROR(IF(SUM(واردات!K84,صادرات!K84)=0,"",SUM(واردات!K84,صادرات!K84)),"")</f>
        <v/>
      </c>
      <c r="L84" s="8" t="str">
        <f>IFERROR(IF(SUM(واردات!L84,صادرات!L84)=0,"",SUM(واردات!L84,صادرات!L84)),"")</f>
        <v/>
      </c>
      <c r="M84" s="8" t="str">
        <f>IFERROR(IF(SUM(واردات!M84,صادرات!M84)=0,"",SUM(واردات!M84,صادرات!M84)),"")</f>
        <v/>
      </c>
      <c r="N84" s="8" t="str">
        <f>IFERROR(IF(SUM(واردات!N84,صادرات!N84)=0,"",SUM(واردات!N84,صادرات!N84)),"")</f>
        <v/>
      </c>
      <c r="O84" s="9" t="str">
        <f>IFERROR(IF(SUM(واردات!O84,صادرات!O84)=0,"",SUM(واردات!O84,صادرات!O84)),"")</f>
        <v/>
      </c>
      <c r="P84" s="10">
        <f>SUM(K84:N84)</f>
        <v>0</v>
      </c>
      <c r="S84" s="155">
        <f>IF(SUM(G84)=0,"",IFERROR(G84,""))</f>
        <v>507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2:22" x14ac:dyDescent="0.25">
      <c r="B85" s="11" t="s">
        <v>9</v>
      </c>
      <c r="C85" s="12">
        <f>IFERROR(IF(SUM(واردات!C85,صادرات!C85)=0,"",SUM(واردات!C85,صادرات!C85)),"")</f>
        <v>51</v>
      </c>
      <c r="D85" s="13">
        <f>IFERROR(IF(SUM(واردات!D85,صادرات!D85)=0,"",SUM(واردات!D85,صادرات!D85)),"")</f>
        <v>310</v>
      </c>
      <c r="E85" s="13" t="str">
        <f>IFERROR(IF(SUM(واردات!E85,صادرات!E85)=0,"",SUM(واردات!E85,صادرات!E85)),"")</f>
        <v/>
      </c>
      <c r="F85" s="13" t="str">
        <f>IFERROR(IF(SUM(واردات!F85,صادرات!F85)=0,"",SUM(واردات!F85,صادرات!F85)),"")</f>
        <v/>
      </c>
      <c r="G85" s="14">
        <f>IFERROR(IF(SUM(واردات!G85,صادرات!G85)=0,"",SUM(واردات!G85,صادرات!G85)),"")</f>
        <v>1008</v>
      </c>
      <c r="H85" s="15">
        <f t="shared" ref="H85:H95" si="53">SUM(C85:F85)</f>
        <v>361</v>
      </c>
      <c r="J85" s="11" t="s">
        <v>9</v>
      </c>
      <c r="K85" s="12" t="str">
        <f>IFERROR(IF(SUM(واردات!K85,صادرات!K85)=0,"",SUM(واردات!K85,صادرات!K85)),"")</f>
        <v/>
      </c>
      <c r="L85" s="13" t="str">
        <f>IFERROR(IF(SUM(واردات!L85,صادرات!L85)=0,"",SUM(واردات!L85,صادرات!L85)),"")</f>
        <v/>
      </c>
      <c r="M85" s="13" t="str">
        <f>IFERROR(IF(SUM(واردات!M85,صادرات!M85)=0,"",SUM(واردات!M85,صادرات!M85)),"")</f>
        <v/>
      </c>
      <c r="N85" s="13" t="str">
        <f>IFERROR(IF(SUM(واردات!N85,صادرات!N85)=0,"",SUM(واردات!N85,صادرات!N85)),"")</f>
        <v/>
      </c>
      <c r="O85" s="14" t="str">
        <f>IFERROR(IF(SUM(واردات!O85,صادرات!O85)=0,"",SUM(واردات!O85,صادرات!O85)),"")</f>
        <v/>
      </c>
      <c r="P85" s="15">
        <f t="shared" ref="P85:P95" si="54">SUM(K85:N85)</f>
        <v>0</v>
      </c>
      <c r="S85" s="155">
        <f>IF(OR(SUM(C85:G85)=0,SUM(G$68:G85)=0),"",IF(SUM(S$68:S84)=0,G85,IFERROR(SUM(S84,C85,-D85),"")))</f>
        <v>248</v>
      </c>
      <c r="T85" s="156">
        <f>IFERROR(S85-G85,"")</f>
        <v>-760</v>
      </c>
      <c r="U85" s="155" t="str">
        <f>IF(OR(SUM(K85:O85)=0,SUM(O$68:O85)=0),"",IF(SUM(U$68:U84)=0,O85,IFERROR(SUM(U84,K85,-L85),"")))</f>
        <v/>
      </c>
      <c r="V85" s="156" t="str">
        <f t="shared" ref="V85:V95" si="55">IFERROR(U85-O85,"")</f>
        <v/>
      </c>
    </row>
    <row r="86" spans="2:22" x14ac:dyDescent="0.25">
      <c r="B86" s="11" t="s">
        <v>10</v>
      </c>
      <c r="C86" s="12">
        <f>IFERROR(IF(SUM(واردات!C86,صادرات!C86)=0,"",SUM(واردات!C86,صادرات!C86)),"")</f>
        <v>383</v>
      </c>
      <c r="D86" s="13">
        <f>IFERROR(IF(SUM(واردات!D86,صادرات!D86)=0,"",SUM(واردات!D86,صادرات!D86)),"")</f>
        <v>248</v>
      </c>
      <c r="E86" s="13" t="str">
        <f>IFERROR(IF(SUM(واردات!E86,صادرات!E86)=0,"",SUM(واردات!E86,صادرات!E86)),"")</f>
        <v/>
      </c>
      <c r="F86" s="13" t="str">
        <f>IFERROR(IF(SUM(واردات!F86,صادرات!F86)=0,"",SUM(واردات!F86,صادرات!F86)),"")</f>
        <v/>
      </c>
      <c r="G86" s="14">
        <f>IFERROR(IF(SUM(واردات!G86,صادرات!G86)=0,"",SUM(واردات!G86,صادرات!G86)),"")</f>
        <v>1145</v>
      </c>
      <c r="H86" s="15">
        <f t="shared" si="53"/>
        <v>631</v>
      </c>
      <c r="J86" s="11" t="s">
        <v>10</v>
      </c>
      <c r="K86" s="12" t="str">
        <f>IFERROR(IF(SUM(واردات!K86,صادرات!K86)=0,"",SUM(واردات!K86,صادرات!K86)),"")</f>
        <v/>
      </c>
      <c r="L86" s="13" t="str">
        <f>IFERROR(IF(SUM(واردات!L86,صادرات!L86)=0,"",SUM(واردات!L86,صادرات!L86)),"")</f>
        <v/>
      </c>
      <c r="M86" s="13" t="str">
        <f>IFERROR(IF(SUM(واردات!M86,صادرات!M86)=0,"",SUM(واردات!M86,صادرات!M86)),"")</f>
        <v/>
      </c>
      <c r="N86" s="13" t="str">
        <f>IFERROR(IF(SUM(واردات!N86,صادرات!N86)=0,"",SUM(واردات!N86,صادرات!N86)),"")</f>
        <v/>
      </c>
      <c r="O86" s="14" t="str">
        <f>IFERROR(IF(SUM(واردات!O86,صادرات!O86)=0,"",SUM(واردات!O86,صادرات!O86)),"")</f>
        <v/>
      </c>
      <c r="P86" s="15">
        <f t="shared" si="54"/>
        <v>0</v>
      </c>
      <c r="S86" s="155">
        <f>IF(OR(SUM(C86:G86)=0,SUM(G$68:G86)=0),"",IF(SUM(S$68:S85)=0,G86,IFERROR(SUM(S85,C86,-D86),"")))</f>
        <v>383</v>
      </c>
      <c r="T86" s="156">
        <f t="shared" ref="T86:T95" si="56">IFERROR(S86-G86,"")</f>
        <v>-762</v>
      </c>
      <c r="U86" s="155" t="str">
        <f>IF(OR(SUM(K86:O86)=0,SUM(O$68:O86)=0),"",IF(SUM(U$68:U85)=0,O86,IFERROR(SUM(U85,K86,-L86),"")))</f>
        <v/>
      </c>
      <c r="V86" s="156" t="str">
        <f t="shared" si="55"/>
        <v/>
      </c>
    </row>
    <row r="87" spans="2:22" x14ac:dyDescent="0.25">
      <c r="B87" s="11" t="s">
        <v>11</v>
      </c>
      <c r="C87" s="12">
        <f>IFERROR(IF(SUM(واردات!C87,صادرات!C87)=0,"",SUM(واردات!C87,صادرات!C87)),"")</f>
        <v>57</v>
      </c>
      <c r="D87" s="13">
        <f>IFERROR(IF(SUM(واردات!D87,صادرات!D87)=0,"",SUM(واردات!D87,صادرات!D87)),"")</f>
        <v>493</v>
      </c>
      <c r="E87" s="13" t="str">
        <f>IFERROR(IF(SUM(واردات!E87,صادرات!E87)=0,"",SUM(واردات!E87,صادرات!E87)),"")</f>
        <v/>
      </c>
      <c r="F87" s="13" t="str">
        <f>IFERROR(IF(SUM(واردات!F87,صادرات!F87)=0,"",SUM(واردات!F87,صادرات!F87)),"")</f>
        <v/>
      </c>
      <c r="G87" s="14">
        <f>IFERROR(IF(SUM(واردات!G87,صادرات!G87)=0,"",SUM(واردات!G87,صادرات!G87)),"")</f>
        <v>708</v>
      </c>
      <c r="H87" s="15">
        <f t="shared" si="53"/>
        <v>550</v>
      </c>
      <c r="J87" s="11" t="s">
        <v>11</v>
      </c>
      <c r="K87" s="12" t="str">
        <f>IFERROR(IF(SUM(واردات!K87,صادرات!K87)=0,"",SUM(واردات!K87,صادرات!K87)),"")</f>
        <v/>
      </c>
      <c r="L87" s="13" t="str">
        <f>IFERROR(IF(SUM(واردات!L87,صادرات!L87)=0,"",SUM(واردات!L87,صادرات!L87)),"")</f>
        <v/>
      </c>
      <c r="M87" s="13" t="str">
        <f>IFERROR(IF(SUM(واردات!M87,صادرات!M87)=0,"",SUM(واردات!M87,صادرات!M87)),"")</f>
        <v/>
      </c>
      <c r="N87" s="13" t="str">
        <f>IFERROR(IF(SUM(واردات!N87,صادرات!N87)=0,"",SUM(واردات!N87,صادرات!N87)),"")</f>
        <v/>
      </c>
      <c r="O87" s="14" t="str">
        <f>IFERROR(IF(SUM(واردات!O87,صادرات!O87)=0,"",SUM(واردات!O87,صادرات!O87)),"")</f>
        <v/>
      </c>
      <c r="P87" s="15">
        <f t="shared" si="54"/>
        <v>0</v>
      </c>
      <c r="S87" s="155">
        <f>IF(OR(SUM(C87:G87)=0,SUM(G$68:G87)=0),"",IF(SUM(S$68:S86)=0,G87,IFERROR(SUM(S86,C87,-D87),"")))</f>
        <v>-53</v>
      </c>
      <c r="T87" s="156">
        <f t="shared" si="56"/>
        <v>-761</v>
      </c>
      <c r="U87" s="155" t="str">
        <f>IF(OR(SUM(K87:O87)=0,SUM(O$68:O87)=0),"",IF(SUM(U$68:U86)=0,O87,IFERROR(SUM(U86,K87,-L87),"")))</f>
        <v/>
      </c>
      <c r="V87" s="156" t="str">
        <f t="shared" si="55"/>
        <v/>
      </c>
    </row>
    <row r="88" spans="2:22" x14ac:dyDescent="0.25">
      <c r="B88" s="11" t="s">
        <v>12</v>
      </c>
      <c r="C88" s="12">
        <f>IFERROR(IF(SUM(واردات!C88,صادرات!C88)=0,"",SUM(واردات!C88,صادرات!C88)),"")</f>
        <v>80</v>
      </c>
      <c r="D88" s="13">
        <f>IFERROR(IF(SUM(واردات!D88,صادرات!D88)=0,"",SUM(واردات!D88,صادرات!D88)),"")</f>
        <v>159</v>
      </c>
      <c r="E88" s="13" t="str">
        <f>IFERROR(IF(SUM(واردات!E88,صادرات!E88)=0,"",SUM(واردات!E88,صادرات!E88)),"")</f>
        <v/>
      </c>
      <c r="F88" s="13" t="str">
        <f>IFERROR(IF(SUM(واردات!F88,صادرات!F88)=0,"",SUM(واردات!F88,صادرات!F88)),"")</f>
        <v/>
      </c>
      <c r="G88" s="14">
        <f>IFERROR(IF(SUM(واردات!G88,صادرات!G88)=0,"",SUM(واردات!G88,صادرات!G88)),"")</f>
        <v>50</v>
      </c>
      <c r="H88" s="15">
        <f t="shared" si="53"/>
        <v>239</v>
      </c>
      <c r="J88" s="11" t="s">
        <v>12</v>
      </c>
      <c r="K88" s="12" t="str">
        <f>IFERROR(IF(SUM(واردات!K88,صادرات!K88)=0,"",SUM(واردات!K88,صادرات!K88)),"")</f>
        <v/>
      </c>
      <c r="L88" s="13" t="str">
        <f>IFERROR(IF(SUM(واردات!L88,صادرات!L88)=0,"",SUM(واردات!L88,صادرات!L88)),"")</f>
        <v/>
      </c>
      <c r="M88" s="13" t="str">
        <f>IFERROR(IF(SUM(واردات!M88,صادرات!M88)=0,"",SUM(واردات!M88,صادرات!M88)),"")</f>
        <v/>
      </c>
      <c r="N88" s="13" t="str">
        <f>IFERROR(IF(SUM(واردات!N88,صادرات!N88)=0,"",SUM(واردات!N88,صادرات!N88)),"")</f>
        <v/>
      </c>
      <c r="O88" s="14" t="str">
        <f>IFERROR(IF(SUM(واردات!O88,صادرات!O88)=0,"",SUM(واردات!O88,صادرات!O88)),"")</f>
        <v/>
      </c>
      <c r="P88" s="15">
        <f t="shared" si="54"/>
        <v>0</v>
      </c>
      <c r="S88" s="155">
        <f>IF(OR(SUM(C88:G88)=0,SUM(G$68:G88)=0),"",IF(SUM(S$68:S87)=0,G88,IFERROR(SUM(S87,C88,-D88),"")))</f>
        <v>-132</v>
      </c>
      <c r="T88" s="156">
        <f t="shared" si="56"/>
        <v>-182</v>
      </c>
      <c r="U88" s="155" t="str">
        <f>IF(OR(SUM(K88:O88)=0,SUM(O$68:O88)=0),"",IF(SUM(U$68:U87)=0,O88,IFERROR(SUM(U87,K88,-L88),"")))</f>
        <v/>
      </c>
      <c r="V88" s="156" t="str">
        <f t="shared" si="55"/>
        <v/>
      </c>
    </row>
    <row r="89" spans="2:22" x14ac:dyDescent="0.25">
      <c r="B89" s="11" t="s">
        <v>13</v>
      </c>
      <c r="C89" s="12">
        <f>IFERROR(IF(SUM(واردات!C89,صادرات!C89)=0,"",SUM(واردات!C89,صادرات!C89)),"")</f>
        <v>7</v>
      </c>
      <c r="D89" s="13">
        <f>IFERROR(IF(SUM(واردات!D89,صادرات!D89)=0,"",SUM(واردات!D89,صادرات!D89)),"")</f>
        <v>404</v>
      </c>
      <c r="E89" s="13" t="str">
        <f>IFERROR(IF(SUM(واردات!E89,صادرات!E89)=0,"",SUM(واردات!E89,صادرات!E89)),"")</f>
        <v/>
      </c>
      <c r="F89" s="13" t="str">
        <f>IFERROR(IF(SUM(واردات!F89,صادرات!F89)=0,"",SUM(واردات!F89,صادرات!F89)),"")</f>
        <v/>
      </c>
      <c r="G89" s="14">
        <f>IFERROR(IF(SUM(واردات!G89,صادرات!G89)=0,"",SUM(واردات!G89,صادرات!G89)),"")</f>
        <v>230</v>
      </c>
      <c r="H89" s="15">
        <f t="shared" si="53"/>
        <v>411</v>
      </c>
      <c r="J89" s="11" t="s">
        <v>13</v>
      </c>
      <c r="K89" s="12" t="str">
        <f>IFERROR(IF(SUM(واردات!K89,صادرات!K89)=0,"",SUM(واردات!K89,صادرات!K89)),"")</f>
        <v/>
      </c>
      <c r="L89" s="13" t="str">
        <f>IFERROR(IF(SUM(واردات!L89,صادرات!L89)=0,"",SUM(واردات!L89,صادرات!L89)),"")</f>
        <v/>
      </c>
      <c r="M89" s="13" t="str">
        <f>IFERROR(IF(SUM(واردات!M89,صادرات!M89)=0,"",SUM(واردات!M89,صادرات!M89)),"")</f>
        <v/>
      </c>
      <c r="N89" s="13" t="str">
        <f>IFERROR(IF(SUM(واردات!N89,صادرات!N89)=0,"",SUM(واردات!N89,صادرات!N89)),"")</f>
        <v/>
      </c>
      <c r="O89" s="14" t="str">
        <f>IFERROR(IF(SUM(واردات!O89,صادرات!O89)=0,"",SUM(واردات!O89,صادرات!O89)),"")</f>
        <v/>
      </c>
      <c r="P89" s="15">
        <f t="shared" si="54"/>
        <v>0</v>
      </c>
      <c r="S89" s="155">
        <f>IF(OR(SUM(C89:G89)=0,SUM(G$68:G89)=0),"",IF(SUM(S$68:S88)=0,G89,IFERROR(SUM(S88,C89,-D89),"")))</f>
        <v>-529</v>
      </c>
      <c r="T89" s="156">
        <f t="shared" si="56"/>
        <v>-759</v>
      </c>
      <c r="U89" s="155" t="str">
        <f>IF(OR(SUM(K89:O89)=0,SUM(O$68:O89)=0),"",IF(SUM(U$68:U88)=0,O89,IFERROR(SUM(U88,K89,-L89),"")))</f>
        <v/>
      </c>
      <c r="V89" s="156" t="str">
        <f t="shared" si="55"/>
        <v/>
      </c>
    </row>
    <row r="90" spans="2:22" x14ac:dyDescent="0.25">
      <c r="B90" s="11" t="s">
        <v>14</v>
      </c>
      <c r="C90" s="12">
        <f>IFERROR(IF(SUM(واردات!C90,صادرات!C90)=0,"",SUM(واردات!C90,صادرات!C90)),"")</f>
        <v>310</v>
      </c>
      <c r="D90" s="13">
        <f>IFERROR(IF(SUM(واردات!D90,صادرات!D90)=0,"",SUM(واردات!D90,صادرات!D90)),"")</f>
        <v>5</v>
      </c>
      <c r="E90" s="13" t="str">
        <f>IFERROR(IF(SUM(واردات!E90,صادرات!E90)=0,"",SUM(واردات!E90,صادرات!E90)),"")</f>
        <v/>
      </c>
      <c r="F90" s="13" t="str">
        <f>IFERROR(IF(SUM(واردات!F90,صادرات!F90)=0,"",SUM(واردات!F90,صادرات!F90)),"")</f>
        <v/>
      </c>
      <c r="G90" s="14">
        <f>IFERROR(IF(SUM(واردات!G90,صادرات!G90)=0,"",SUM(واردات!G90,صادرات!G90)),"")</f>
        <v>428</v>
      </c>
      <c r="H90" s="15">
        <f t="shared" si="53"/>
        <v>315</v>
      </c>
      <c r="J90" s="11" t="s">
        <v>14</v>
      </c>
      <c r="K90" s="12" t="str">
        <f>IFERROR(IF(SUM(واردات!K90,صادرات!K90)=0,"",SUM(واردات!K90,صادرات!K90)),"")</f>
        <v/>
      </c>
      <c r="L90" s="13" t="str">
        <f>IFERROR(IF(SUM(واردات!L90,صادرات!L90)=0,"",SUM(واردات!L90,صادرات!L90)),"")</f>
        <v/>
      </c>
      <c r="M90" s="13" t="str">
        <f>IFERROR(IF(SUM(واردات!M90,صادرات!M90)=0,"",SUM(واردات!M90,صادرات!M90)),"")</f>
        <v/>
      </c>
      <c r="N90" s="13" t="str">
        <f>IFERROR(IF(SUM(واردات!N90,صادرات!N90)=0,"",SUM(واردات!N90,صادرات!N90)),"")</f>
        <v/>
      </c>
      <c r="O90" s="14" t="str">
        <f>IFERROR(IF(SUM(واردات!O90,صادرات!O90)=0,"",SUM(واردات!O90,صادرات!O90)),"")</f>
        <v/>
      </c>
      <c r="P90" s="15">
        <f t="shared" si="54"/>
        <v>0</v>
      </c>
      <c r="S90" s="155">
        <f>IF(OR(SUM(C90:G90)=0,SUM(G$68:G90)=0),"",IF(SUM(S$68:S89)=0,G90,IFERROR(SUM(S89,C90,-D90),"")))</f>
        <v>-224</v>
      </c>
      <c r="T90" s="156">
        <f t="shared" si="56"/>
        <v>-652</v>
      </c>
      <c r="U90" s="155" t="str">
        <f>IF(OR(SUM(K90:O90)=0,SUM(O$68:O90)=0),"",IF(SUM(U$68:U89)=0,O90,IFERROR(SUM(U89,K90,-L90),"")))</f>
        <v/>
      </c>
      <c r="V90" s="156" t="str">
        <f t="shared" si="55"/>
        <v/>
      </c>
    </row>
    <row r="91" spans="2:22" x14ac:dyDescent="0.25">
      <c r="B91" s="11" t="s">
        <v>15</v>
      </c>
      <c r="C91" s="12">
        <f>IFERROR(IF(SUM(واردات!C91,صادرات!C91)=0,"",SUM(واردات!C91,صادرات!C91)),"")</f>
        <v>245</v>
      </c>
      <c r="D91" s="13">
        <f>IFERROR(IF(SUM(واردات!D91,صادرات!D91)=0,"",SUM(واردات!D91,صادرات!D91)),"")</f>
        <v>418</v>
      </c>
      <c r="E91" s="13" t="str">
        <f>IFERROR(IF(SUM(واردات!E91,صادرات!E91)=0,"",SUM(واردات!E91,صادرات!E91)),"")</f>
        <v/>
      </c>
      <c r="F91" s="13" t="str">
        <f>IFERROR(IF(SUM(واردات!F91,صادرات!F91)=0,"",SUM(واردات!F91,صادرات!F91)),"")</f>
        <v/>
      </c>
      <c r="G91" s="14">
        <f>IFERROR(IF(SUM(واردات!G91,صادرات!G91)=0,"",SUM(واردات!G91,صادرات!G91)),"")</f>
        <v>255</v>
      </c>
      <c r="H91" s="15">
        <f t="shared" si="53"/>
        <v>663</v>
      </c>
      <c r="J91" s="11" t="s">
        <v>15</v>
      </c>
      <c r="K91" s="12" t="str">
        <f>IFERROR(IF(SUM(واردات!K91,صادرات!K91)=0,"",SUM(واردات!K91,صادرات!K91)),"")</f>
        <v/>
      </c>
      <c r="L91" s="13" t="str">
        <f>IFERROR(IF(SUM(واردات!L91,صادرات!L91)=0,"",SUM(واردات!L91,صادرات!L91)),"")</f>
        <v/>
      </c>
      <c r="M91" s="13" t="str">
        <f>IFERROR(IF(SUM(واردات!M91,صادرات!M91)=0,"",SUM(واردات!M91,صادرات!M91)),"")</f>
        <v/>
      </c>
      <c r="N91" s="13" t="str">
        <f>IFERROR(IF(SUM(واردات!N91,صادرات!N91)=0,"",SUM(واردات!N91,صادرات!N91)),"")</f>
        <v/>
      </c>
      <c r="O91" s="14" t="str">
        <f>IFERROR(IF(SUM(واردات!O91,صادرات!O91)=0,"",SUM(واردات!O91,صادرات!O91)),"")</f>
        <v/>
      </c>
      <c r="P91" s="15">
        <f t="shared" si="54"/>
        <v>0</v>
      </c>
      <c r="S91" s="155">
        <f>IF(OR(SUM(C91:G91)=0,SUM(G$68:G91)=0),"",IF(SUM(S$68:S90)=0,G91,IFERROR(SUM(S90,C91,-D91),"")))</f>
        <v>-397</v>
      </c>
      <c r="T91" s="156">
        <f t="shared" si="56"/>
        <v>-652</v>
      </c>
      <c r="U91" s="155" t="str">
        <f>IF(OR(SUM(K91:O91)=0,SUM(O$68:O91)=0),"",IF(SUM(U$68:U90)=0,O91,IFERROR(SUM(U90,K91,-L91),"")))</f>
        <v/>
      </c>
      <c r="V91" s="156" t="str">
        <f t="shared" si="55"/>
        <v/>
      </c>
    </row>
    <row r="92" spans="2:22" x14ac:dyDescent="0.25">
      <c r="B92" s="11" t="s">
        <v>16</v>
      </c>
      <c r="C92" s="12">
        <f>IFERROR(IF(SUM(واردات!C92,صادرات!C92)=0,"",SUM(واردات!C92,صادرات!C92)),"")</f>
        <v>542</v>
      </c>
      <c r="D92" s="13">
        <f>IFERROR(IF(SUM(واردات!D92,صادرات!D92)=0,"",SUM(واردات!D92,صادرات!D92)),"")</f>
        <v>553</v>
      </c>
      <c r="E92" s="13" t="str">
        <f>IFERROR(IF(SUM(واردات!E92,صادرات!E92)=0,"",SUM(واردات!E92,صادرات!E92)),"")</f>
        <v/>
      </c>
      <c r="F92" s="13" t="str">
        <f>IFERROR(IF(SUM(واردات!F92,صادرات!F92)=0,"",SUM(واردات!F92,صادرات!F92)),"")</f>
        <v/>
      </c>
      <c r="G92" s="14">
        <f>IFERROR(IF(SUM(واردات!G92,صادرات!G92)=0,"",SUM(واردات!G92,صادرات!G92)),"")</f>
        <v>24</v>
      </c>
      <c r="H92" s="15">
        <f t="shared" si="53"/>
        <v>1095</v>
      </c>
      <c r="J92" s="11" t="s">
        <v>16</v>
      </c>
      <c r="K92" s="12" t="str">
        <f>IFERROR(IF(SUM(واردات!K92,صادرات!K92)=0,"",SUM(واردات!K92,صادرات!K92)),"")</f>
        <v/>
      </c>
      <c r="L92" s="13" t="str">
        <f>IFERROR(IF(SUM(واردات!L92,صادرات!L92)=0,"",SUM(واردات!L92,صادرات!L92)),"")</f>
        <v/>
      </c>
      <c r="M92" s="13" t="str">
        <f>IFERROR(IF(SUM(واردات!M92,صادرات!M92)=0,"",SUM(واردات!M92,صادرات!M92)),"")</f>
        <v/>
      </c>
      <c r="N92" s="13" t="str">
        <f>IFERROR(IF(SUM(واردات!N92,صادرات!N92)=0,"",SUM(واردات!N92,صادرات!N92)),"")</f>
        <v/>
      </c>
      <c r="O92" s="14" t="str">
        <f>IFERROR(IF(SUM(واردات!O92,صادرات!O92)=0,"",SUM(واردات!O92,صادرات!O92)),"")</f>
        <v/>
      </c>
      <c r="P92" s="15">
        <f t="shared" si="54"/>
        <v>0</v>
      </c>
      <c r="S92" s="155">
        <f>IF(OR(SUM(C92:G92)=0,SUM(G$68:G92)=0),"",IF(SUM(S$68:S91)=0,G92,IFERROR(SUM(S91,C92,-D92),"")))</f>
        <v>-408</v>
      </c>
      <c r="T92" s="156">
        <f t="shared" si="56"/>
        <v>-432</v>
      </c>
      <c r="U92" s="155" t="str">
        <f>IF(OR(SUM(K92:O92)=0,SUM(O$68:O92)=0),"",IF(SUM(U$68:U91)=0,O92,IFERROR(SUM(U91,K92,-L92),"")))</f>
        <v/>
      </c>
      <c r="V92" s="156" t="str">
        <f t="shared" si="55"/>
        <v/>
      </c>
    </row>
    <row r="93" spans="2:22" x14ac:dyDescent="0.25">
      <c r="B93" s="11" t="s">
        <v>17</v>
      </c>
      <c r="C93" s="12">
        <f>IFERROR(IF(SUM(واردات!C93,صادرات!C93)=0,"",SUM(واردات!C93,صادرات!C93)),"")</f>
        <v>908</v>
      </c>
      <c r="D93" s="13">
        <f>IFERROR(IF(SUM(واردات!D93,صادرات!D93)=0,"",SUM(واردات!D93,صادرات!D93)),"")</f>
        <v>440</v>
      </c>
      <c r="E93" s="13" t="str">
        <f>IFERROR(IF(SUM(واردات!E93,صادرات!E93)=0,"",SUM(واردات!E93,صادرات!E93)),"")</f>
        <v/>
      </c>
      <c r="F93" s="13" t="str">
        <f>IFERROR(IF(SUM(واردات!F93,صادرات!F93)=0,"",SUM(واردات!F93,صادرات!F93)),"")</f>
        <v/>
      </c>
      <c r="G93" s="14">
        <f>IFERROR(IF(SUM(واردات!G93,صادرات!G93)=0,"",SUM(واردات!G93,صادرات!G93)),"")</f>
        <v>712</v>
      </c>
      <c r="H93" s="15">
        <f t="shared" si="53"/>
        <v>1348</v>
      </c>
      <c r="J93" s="11" t="s">
        <v>17</v>
      </c>
      <c r="K93" s="12" t="str">
        <f>IFERROR(IF(SUM(واردات!K93,صادرات!K93)=0,"",SUM(واردات!K93,صادرات!K93)),"")</f>
        <v/>
      </c>
      <c r="L93" s="13" t="str">
        <f>IFERROR(IF(SUM(واردات!L93,صادرات!L93)=0,"",SUM(واردات!L93,صادرات!L93)),"")</f>
        <v/>
      </c>
      <c r="M93" s="13" t="str">
        <f>IFERROR(IF(SUM(واردات!M93,صادرات!M93)=0,"",SUM(واردات!M93,صادرات!M93)),"")</f>
        <v/>
      </c>
      <c r="N93" s="13" t="str">
        <f>IFERROR(IF(SUM(واردات!N93,صادرات!N93)=0,"",SUM(واردات!N93,صادرات!N93)),"")</f>
        <v/>
      </c>
      <c r="O93" s="14" t="str">
        <f>IFERROR(IF(SUM(واردات!O93,صادرات!O93)=0,"",SUM(واردات!O93,صادرات!O93)),"")</f>
        <v/>
      </c>
      <c r="P93" s="15">
        <f t="shared" si="54"/>
        <v>0</v>
      </c>
      <c r="S93" s="155">
        <f>IF(OR(SUM(C93:G93)=0,SUM(G$68:G93)=0),"",IF(SUM(S$68:S92)=0,G93,IFERROR(SUM(S92,C93,-D93),"")))</f>
        <v>60</v>
      </c>
      <c r="T93" s="156">
        <f t="shared" si="56"/>
        <v>-652</v>
      </c>
      <c r="U93" s="155" t="str">
        <f>IF(OR(SUM(K93:O93)=0,SUM(O$68:O93)=0),"",IF(SUM(U$68:U92)=0,O93,IFERROR(SUM(U92,K93,-L93),"")))</f>
        <v/>
      </c>
      <c r="V93" s="156" t="str">
        <f t="shared" si="55"/>
        <v/>
      </c>
    </row>
    <row r="94" spans="2:22" x14ac:dyDescent="0.25">
      <c r="B94" s="11" t="s">
        <v>18</v>
      </c>
      <c r="C94" s="12">
        <f>IFERROR(IF(SUM(واردات!C94,صادرات!C94)=0,"",SUM(واردات!C94,صادرات!C94)),"")</f>
        <v>922</v>
      </c>
      <c r="D94" s="13">
        <f>IFERROR(IF(SUM(واردات!D94,صادرات!D94)=0,"",SUM(واردات!D94,صادرات!D94)),"")</f>
        <v>657</v>
      </c>
      <c r="E94" s="13" t="str">
        <f>IFERROR(IF(SUM(واردات!E94,صادرات!E94)=0,"",SUM(واردات!E94,صادرات!E94)),"")</f>
        <v/>
      </c>
      <c r="F94" s="13" t="str">
        <f>IFERROR(IF(SUM(واردات!F94,صادرات!F94)=0,"",SUM(واردات!F94,صادرات!F94)),"")</f>
        <v/>
      </c>
      <c r="G94" s="14">
        <f>IFERROR(IF(SUM(واردات!G94,صادرات!G94)=0,"",SUM(واردات!G94,صادرات!G94)),"")</f>
        <v>1066</v>
      </c>
      <c r="H94" s="15">
        <f t="shared" si="53"/>
        <v>1579</v>
      </c>
      <c r="J94" s="11" t="s">
        <v>18</v>
      </c>
      <c r="K94" s="12">
        <f>IFERROR(IF(SUM(واردات!K94,صادرات!K94)=0,"",SUM(واردات!K94,صادرات!K94)),"")</f>
        <v>0.75800000000000001</v>
      </c>
      <c r="L94" s="13">
        <f>IFERROR(IF(SUM(واردات!L94,صادرات!L94)=0,"",SUM(واردات!L94,صادرات!L94)),"")</f>
        <v>0.13700000000000001</v>
      </c>
      <c r="M94" s="13" t="str">
        <f>IFERROR(IF(SUM(واردات!M94,صادرات!M94)=0,"",SUM(واردات!M94,صادرات!M94)),"")</f>
        <v/>
      </c>
      <c r="N94" s="13" t="str">
        <f>IFERROR(IF(SUM(واردات!N94,صادرات!N94)=0,"",SUM(واردات!N94,صادرات!N94)),"")</f>
        <v/>
      </c>
      <c r="O94" s="14">
        <f>IFERROR(IF(SUM(واردات!O94,صادرات!O94)=0,"",SUM(واردات!O94,صادرات!O94)),"")</f>
        <v>0.621</v>
      </c>
      <c r="P94" s="15">
        <f t="shared" si="54"/>
        <v>0.89500000000000002</v>
      </c>
      <c r="S94" s="155">
        <f>IF(OR(SUM(C94:G94)=0,SUM(G$68:G94)=0),"",IF(SUM(S$68:S93)=0,G94,IFERROR(SUM(S93,C94,-D94),"")))</f>
        <v>325</v>
      </c>
      <c r="T94" s="156">
        <f t="shared" si="56"/>
        <v>-741</v>
      </c>
      <c r="U94" s="155">
        <f>IF(OR(SUM(K94:O94)=0,SUM(O$68:O94)=0),"",IF(SUM(U$68:U93)=0,O94,IFERROR(SUM(U93,K94,-L94),"")))</f>
        <v>0.621</v>
      </c>
      <c r="V94" s="156">
        <f t="shared" si="55"/>
        <v>0</v>
      </c>
    </row>
    <row r="95" spans="2:22" ht="20.25" thickBot="1" x14ac:dyDescent="0.3">
      <c r="B95" s="16" t="s">
        <v>19</v>
      </c>
      <c r="C95" s="17">
        <f>IFERROR(IF(SUM(واردات!C95,صادرات!C95)=0,"",SUM(واردات!C95,صادرات!C95)),"")</f>
        <v>637</v>
      </c>
      <c r="D95" s="18">
        <f>IFERROR(IF(SUM(واردات!D95,صادرات!D95)=0,"",SUM(واردات!D95,صادرات!D95)),"")</f>
        <v>672</v>
      </c>
      <c r="E95" s="18" t="str">
        <f>IFERROR(IF(SUM(واردات!E95,صادرات!E95)=0,"",SUM(واردات!E95,صادرات!E95)),"")</f>
        <v/>
      </c>
      <c r="F95" s="18" t="str">
        <f>IFERROR(IF(SUM(واردات!F95,صادرات!F95)=0,"",SUM(واردات!F95,صادرات!F95)),"")</f>
        <v/>
      </c>
      <c r="G95" s="19">
        <f>IFERROR(IF(SUM(واردات!G95,صادرات!G95)=0,"",SUM(واردات!G95,صادرات!G95)),"")</f>
        <v>1030</v>
      </c>
      <c r="H95" s="20">
        <f t="shared" si="53"/>
        <v>1309</v>
      </c>
      <c r="J95" s="16" t="s">
        <v>19</v>
      </c>
      <c r="K95" s="17">
        <f>IFERROR(IF(SUM(واردات!K95,صادرات!K95)=0,"",SUM(واردات!K95,صادرات!K95)),"")</f>
        <v>2</v>
      </c>
      <c r="L95" s="18">
        <f>IFERROR(IF(SUM(واردات!L95,صادرات!L95)=0,"",SUM(واردات!L95,صادرات!L95)),"")</f>
        <v>1</v>
      </c>
      <c r="M95" s="18" t="str">
        <f>IFERROR(IF(SUM(واردات!M95,صادرات!M95)=0,"",SUM(واردات!M95,صادرات!M95)),"")</f>
        <v/>
      </c>
      <c r="N95" s="18" t="str">
        <f>IFERROR(IF(SUM(واردات!N95,صادرات!N95)=0,"",SUM(واردات!N95,صادرات!N95)),"")</f>
        <v/>
      </c>
      <c r="O95" s="19">
        <f>IFERROR(IF(SUM(واردات!O95,صادرات!O95)=0,"",SUM(واردات!O95,صادرات!O95)),"")</f>
        <v>1</v>
      </c>
      <c r="P95" s="20">
        <f t="shared" si="54"/>
        <v>3</v>
      </c>
      <c r="S95" s="155">
        <f>IF(OR(SUM(C95:G95)=0,SUM(G$68:G95)=0),"",IF(SUM(S$68:S94)=0,G95,IFERROR(SUM(S94,C95,-D95),"")))</f>
        <v>290</v>
      </c>
      <c r="T95" s="156">
        <f t="shared" si="56"/>
        <v>-740</v>
      </c>
      <c r="U95" s="155">
        <f>IF(OR(SUM(K95:O95)=0,SUM(O$68:O95)=0),"",IF(SUM(U$68:U94)=0,O95,IFERROR(SUM(U94,K95,-L95),"")))</f>
        <v>1.621</v>
      </c>
      <c r="V95" s="156">
        <f t="shared" si="55"/>
        <v>0.621</v>
      </c>
    </row>
    <row r="96" spans="2:22" ht="21" thickBot="1" x14ac:dyDescent="0.3">
      <c r="B96" s="25" t="s">
        <v>6</v>
      </c>
      <c r="C96" s="26">
        <f>SUM(C84:C95)</f>
        <v>4852</v>
      </c>
      <c r="D96" s="27">
        <f t="shared" ref="D96:F96" si="57">SUM(D84:D95)</f>
        <v>4851</v>
      </c>
      <c r="E96" s="27">
        <f t="shared" si="57"/>
        <v>0</v>
      </c>
      <c r="F96" s="27">
        <f t="shared" si="57"/>
        <v>0</v>
      </c>
      <c r="G96" s="28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1030</v>
      </c>
      <c r="H96" s="29">
        <f t="shared" ref="H96" si="58">SUM(C96:F96)</f>
        <v>9703</v>
      </c>
      <c r="J96" s="25" t="s">
        <v>6</v>
      </c>
      <c r="K96" s="26">
        <f>SUM(K84:K95)</f>
        <v>2.758</v>
      </c>
      <c r="L96" s="27">
        <f t="shared" ref="L96:N96" si="59">SUM(L84:L95)</f>
        <v>1.137</v>
      </c>
      <c r="M96" s="27">
        <f t="shared" si="59"/>
        <v>0</v>
      </c>
      <c r="N96" s="27">
        <f t="shared" si="59"/>
        <v>0</v>
      </c>
      <c r="O96" s="28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>1</v>
      </c>
      <c r="P96" s="29">
        <f t="shared" ref="P96" si="60">SUM(K96:N96)</f>
        <v>3.895</v>
      </c>
    </row>
  </sheetData>
  <sheetProtection algorithmName="SHA-512" hashValue="uHJbKjsmGwsca3qJsanXf/TJDQMyTDlVo3smHX6lo2MhkRDWhO/wRnuEdh2emywHQbgsiqM7gO2NYgPMGjZpxQ==" saltValue="11fBqZ2AgGq97rjjaxzS+g==" spinCount="100000" sheet="1" selectLockedCells="1" selectUn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H4:H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{AAA1BD8E-4374-4B88-8D5B-F7FF52CA7EF3}</x14:id>
        </ext>
      </extLst>
    </cfRule>
  </conditionalFormatting>
  <conditionalFormatting sqref="H20:H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{B059A484-F0C4-40CD-A274-5BF8EB810E92}</x14:id>
        </ext>
      </extLst>
    </cfRule>
  </conditionalFormatting>
  <conditionalFormatting sqref="H36:H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{DE616AC1-E706-4F89-BAC1-A4CD6073D534}</x14:id>
        </ext>
      </extLst>
    </cfRule>
  </conditionalFormatting>
  <conditionalFormatting sqref="H52:H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{B7EE5591-8AF4-4836-9444-981951036053}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{FDF83035-22DC-4A67-A3C7-28256EA5451F}</x14:id>
        </ext>
      </extLst>
    </cfRule>
  </conditionalFormatting>
  <conditionalFormatting sqref="H84:H9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{789EA7FE-8F6C-4B67-A914-B41652D103CB}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{B6D60019-9FF4-4465-A485-3F7474415A44}</x14:id>
        </ext>
      </extLst>
    </cfRule>
  </conditionalFormatting>
  <conditionalFormatting sqref="P4:P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{9FF7EA5F-5498-4273-99BD-D5EE297A274A}</x14:id>
        </ext>
      </extLst>
    </cfRule>
  </conditionalFormatting>
  <conditionalFormatting sqref="P16 H32 P32 P48 H48 H64 P64 H8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{071692D2-5489-4623-B355-5D67DB8D97DF}</x14:id>
        </ext>
      </extLst>
    </cfRule>
  </conditionalFormatting>
  <conditionalFormatting sqref="P20:P3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{91A8AA40-D62C-4A5E-9226-437E232C4283}</x14:id>
        </ext>
      </extLst>
    </cfRule>
  </conditionalFormatting>
  <conditionalFormatting sqref="P36:P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{100228D8-C363-42E7-93AE-32A8B3E113C7}</x14:id>
        </ext>
      </extLst>
    </cfRule>
  </conditionalFormatting>
  <conditionalFormatting sqref="P52:P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{2DA40140-CE66-403E-9703-B21F29F145F8}</x14:id>
        </ext>
      </extLst>
    </cfRule>
  </conditionalFormatting>
  <conditionalFormatting sqref="P68:P7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{4F6DEE5A-CD54-4DC9-A64E-CC3D5D76B93B}</x14:id>
        </ext>
      </extLst>
    </cfRule>
  </conditionalFormatting>
  <conditionalFormatting sqref="P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{5A1C0BA6-2117-4853-8A62-3FC7C7092966}</x14:id>
        </ext>
      </extLst>
    </cfRule>
  </conditionalFormatting>
  <conditionalFormatting sqref="P84:P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{9E31E4F7-60A5-4C97-A7C1-50B0F8131384}</x14:id>
        </ext>
      </extLst>
    </cfRule>
  </conditionalFormatting>
  <conditionalFormatting sqref="P9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{0D2B1F6F-5B5A-47A7-98E5-C947C3626216}</x14:id>
        </ext>
      </extLst>
    </cfRule>
  </conditionalFormatting>
  <conditionalFormatting sqref="S84:V95">
    <cfRule type="cellIs" dxfId="219" priority="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A1BD8E-4374-4B88-8D5B-F7FF52CA7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B059A484-F0C4-40CD-A274-5BF8EB810E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E616AC1-E706-4F89-BAC1-A4CD6073D5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7EE5591-8AF4-4836-9444-981951036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FDF83035-22DC-4A67-A3C7-28256EA54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789EA7FE-8F6C-4B67-A914-B41652D10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D60019-9FF4-4465-A485-3F7474415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9FF7EA5F-5498-4273-99BD-D5EE297A2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071692D2-5489-4623-B355-5D67DB8D9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1A8AA40-D62C-4A5E-9226-437E232C4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100228D8-C363-42E7-93AE-32A8B3E11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2DA40140-CE66-403E-9703-B21F29F145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4F6DEE5A-CD54-4DC9-A64E-CC3D5D76B9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5A1C0BA6-2117-4853-8A62-3FC7C7092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9E31E4F7-60A5-4C97-A7C1-50B0F81313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0D2B1F6F-5B5A-47A7-98E5-C947C3626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6"/>
  <sheetViews>
    <sheetView showRowColHeaders="0" rightToLeft="1" topLeftCell="A70" zoomScale="80" zoomScaleNormal="80" workbookViewId="0">
      <selection activeCell="L15" sqref="L15"/>
    </sheetView>
  </sheetViews>
  <sheetFormatPr defaultColWidth="9.140625" defaultRowHeight="19.5" x14ac:dyDescent="0.25"/>
  <cols>
    <col min="1" max="1" width="1.5703125" style="65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65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9" width="9.140625" style="1"/>
    <col min="20" max="20" width="9.140625" style="156"/>
    <col min="21" max="21" width="9.140625" style="1"/>
    <col min="22" max="22" width="9.140625" style="156"/>
    <col min="23" max="16384" width="9.140625" style="1"/>
  </cols>
  <sheetData>
    <row r="1" spans="1:22" ht="12" customHeight="1" thickBot="1" x14ac:dyDescent="0.3"/>
    <row r="2" spans="1:22" ht="26.25" thickBot="1" x14ac:dyDescent="0.3">
      <c r="B2" s="207" t="s">
        <v>28</v>
      </c>
      <c r="C2" s="208"/>
      <c r="D2" s="208"/>
      <c r="E2" s="208"/>
      <c r="F2" s="208"/>
      <c r="G2" s="208"/>
      <c r="H2" s="209"/>
      <c r="J2" s="207" t="s">
        <v>20</v>
      </c>
      <c r="K2" s="208"/>
      <c r="L2" s="208"/>
      <c r="M2" s="208"/>
      <c r="N2" s="208"/>
      <c r="O2" s="208"/>
      <c r="P2" s="209"/>
    </row>
    <row r="3" spans="1:22" ht="21" thickBot="1" x14ac:dyDescent="0.3">
      <c r="B3" s="49" t="s">
        <v>0</v>
      </c>
      <c r="C3" s="50" t="s">
        <v>1</v>
      </c>
      <c r="D3" s="51" t="s">
        <v>2</v>
      </c>
      <c r="E3" s="51" t="s">
        <v>3</v>
      </c>
      <c r="F3" s="51" t="s">
        <v>4</v>
      </c>
      <c r="G3" s="52" t="s">
        <v>5</v>
      </c>
      <c r="H3" s="49" t="s">
        <v>7</v>
      </c>
      <c r="J3" s="53" t="s">
        <v>0</v>
      </c>
      <c r="K3" s="54" t="s">
        <v>1</v>
      </c>
      <c r="L3" s="55" t="s">
        <v>2</v>
      </c>
      <c r="M3" s="55" t="s">
        <v>3</v>
      </c>
      <c r="N3" s="55" t="s">
        <v>4</v>
      </c>
      <c r="O3" s="56" t="s">
        <v>5</v>
      </c>
      <c r="P3" s="53" t="s">
        <v>7</v>
      </c>
      <c r="S3" s="1" t="s">
        <v>39</v>
      </c>
    </row>
    <row r="4" spans="1:22" x14ac:dyDescent="0.25">
      <c r="A4" s="65" t="str">
        <f>B2</f>
        <v>واردات مجتمع خراسان</v>
      </c>
      <c r="B4" s="6" t="s">
        <v>8</v>
      </c>
      <c r="C4" s="7">
        <f>IF(SUM(K4,C20,K20,C36,K36,C52,K52,C68,K68,C84)=0,"",SUM(K4,C20,K20,C36,K36,C52,K52,C68,K68,C84,K84))</f>
        <v>16718</v>
      </c>
      <c r="D4" s="8">
        <f t="shared" ref="D4:G4" si="0">IF(SUM(L4,D20,L20,D36,L36,D52,L52,D68,L68,D84)=0,"",SUM(L4,D20,L20,D36,L36,D52,L52,D68,L68,D84,L84))</f>
        <v>19111</v>
      </c>
      <c r="E4" s="8">
        <f t="shared" si="0"/>
        <v>407</v>
      </c>
      <c r="F4" s="8">
        <f t="shared" si="0"/>
        <v>90473</v>
      </c>
      <c r="G4" s="9">
        <f t="shared" si="0"/>
        <v>26939</v>
      </c>
      <c r="H4" s="10">
        <f>SUM(C4:F4)</f>
        <v>126709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26939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 x14ac:dyDescent="0.25">
      <c r="A5" s="65" t="str">
        <f>B2</f>
        <v>واردات مجتمع خراسان</v>
      </c>
      <c r="B5" s="11" t="s">
        <v>9</v>
      </c>
      <c r="C5" s="12">
        <f t="shared" ref="C5:G15" si="1">IF(SUM(K5,C21,K21,C37,K37,C53,K53,C69,K69,C85)=0,"",SUM(K5,C21,K21,C37,K37,C53,K53,C69,K69,C85,K85))</f>
        <v>17719</v>
      </c>
      <c r="D5" s="13">
        <f t="shared" si="1"/>
        <v>17949</v>
      </c>
      <c r="E5" s="13">
        <f t="shared" si="1"/>
        <v>657</v>
      </c>
      <c r="F5" s="13">
        <f t="shared" si="1"/>
        <v>84907</v>
      </c>
      <c r="G5" s="14">
        <f t="shared" si="1"/>
        <v>27081</v>
      </c>
      <c r="H5" s="15">
        <f t="shared" ref="H5:H16" si="2">SUM(C5:F5)</f>
        <v>121232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26709</v>
      </c>
      <c r="T5" s="156">
        <f t="shared" ref="T5" si="4">IFERROR(S5-G5,"")</f>
        <v>-372</v>
      </c>
      <c r="U5" s="155" t="str">
        <f>IF(OR(SUM(K5:O5)=0,SUM(O$4:O5)=0),"",IF(SUM(U$4:U4)=0,O5,IFERROR(SUM(U4,K5,-L5),"")))</f>
        <v/>
      </c>
      <c r="V5" s="156" t="str">
        <f t="shared" ref="V5" si="5">IFERROR(U5-O5,"")</f>
        <v/>
      </c>
    </row>
    <row r="6" spans="1:22" x14ac:dyDescent="0.25">
      <c r="A6" s="65" t="str">
        <f>B2</f>
        <v>واردات مجتمع خراسان</v>
      </c>
      <c r="B6" s="11" t="s">
        <v>10</v>
      </c>
      <c r="C6" s="12">
        <f t="shared" si="1"/>
        <v>17760</v>
      </c>
      <c r="D6" s="13">
        <f t="shared" si="1"/>
        <v>15467</v>
      </c>
      <c r="E6" s="13">
        <f t="shared" si="1"/>
        <v>863</v>
      </c>
      <c r="F6" s="13">
        <f t="shared" si="1"/>
        <v>70721</v>
      </c>
      <c r="G6" s="14">
        <f t="shared" si="1"/>
        <v>27823</v>
      </c>
      <c r="H6" s="15">
        <f t="shared" si="2"/>
        <v>104811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29002</v>
      </c>
      <c r="T6" s="156">
        <f t="shared" ref="T6:T15" si="6">IFERROR(S6-G6,"")</f>
        <v>1179</v>
      </c>
      <c r="U6" s="155" t="str">
        <f>IF(OR(SUM(K6:O6)=0,SUM(O$4:O6)=0),"",IF(SUM(U$4:U5)=0,O6,IFERROR(SUM(U5,K6,-L6),"")))</f>
        <v/>
      </c>
      <c r="V6" s="156" t="str">
        <f t="shared" ref="V6:V15" si="7">IFERROR(U6-O6,"")</f>
        <v/>
      </c>
    </row>
    <row r="7" spans="1:22" x14ac:dyDescent="0.25">
      <c r="A7" s="65" t="str">
        <f>B2</f>
        <v>واردات مجتمع خراسان</v>
      </c>
      <c r="B7" s="11" t="s">
        <v>11</v>
      </c>
      <c r="C7" s="12">
        <f t="shared" si="1"/>
        <v>13439</v>
      </c>
      <c r="D7" s="13">
        <f t="shared" si="1"/>
        <v>19960</v>
      </c>
      <c r="E7" s="13">
        <f t="shared" si="1"/>
        <v>293</v>
      </c>
      <c r="F7" s="13">
        <f t="shared" si="1"/>
        <v>74800</v>
      </c>
      <c r="G7" s="14">
        <f t="shared" si="1"/>
        <v>23545</v>
      </c>
      <c r="H7" s="15">
        <f t="shared" si="2"/>
        <v>108492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22481</v>
      </c>
      <c r="T7" s="156">
        <f t="shared" si="6"/>
        <v>-1064</v>
      </c>
      <c r="U7" s="155" t="str">
        <f>IF(OR(SUM(K7:O7)=0,SUM(O$4:O7)=0),"",IF(SUM(U$4:U6)=0,O7,IFERROR(SUM(U6,K7,-L7),"")))</f>
        <v/>
      </c>
      <c r="V7" s="156" t="str">
        <f t="shared" si="7"/>
        <v/>
      </c>
    </row>
    <row r="8" spans="1:22" x14ac:dyDescent="0.25">
      <c r="A8" s="65" t="str">
        <f>B2</f>
        <v>واردات مجتمع خراسان</v>
      </c>
      <c r="B8" s="11" t="s">
        <v>12</v>
      </c>
      <c r="C8" s="12">
        <f t="shared" si="1"/>
        <v>16219</v>
      </c>
      <c r="D8" s="13">
        <f t="shared" si="1"/>
        <v>25347</v>
      </c>
      <c r="E8" s="13">
        <f t="shared" si="1"/>
        <v>1520</v>
      </c>
      <c r="F8" s="13">
        <f t="shared" si="1"/>
        <v>84582</v>
      </c>
      <c r="G8" s="14">
        <f t="shared" si="1"/>
        <v>14494</v>
      </c>
      <c r="H8" s="15">
        <f t="shared" si="2"/>
        <v>127668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13353</v>
      </c>
      <c r="T8" s="156">
        <f t="shared" si="6"/>
        <v>-1141</v>
      </c>
      <c r="U8" s="155" t="str">
        <f>IF(OR(SUM(K8:O8)=0,SUM(O$4:O8)=0),"",IF(SUM(U$4:U7)=0,O8,IFERROR(SUM(U7,K8,-L8),"")))</f>
        <v/>
      </c>
      <c r="V8" s="156" t="str">
        <f t="shared" si="7"/>
        <v/>
      </c>
    </row>
    <row r="9" spans="1:22" x14ac:dyDescent="0.25">
      <c r="A9" s="65" t="str">
        <f>B2</f>
        <v>واردات مجتمع خراسان</v>
      </c>
      <c r="B9" s="11" t="s">
        <v>13</v>
      </c>
      <c r="C9" s="12">
        <f t="shared" si="1"/>
        <v>20754</v>
      </c>
      <c r="D9" s="13">
        <f t="shared" si="1"/>
        <v>15888</v>
      </c>
      <c r="E9" s="13">
        <f t="shared" si="1"/>
        <v>162</v>
      </c>
      <c r="F9" s="13">
        <f t="shared" si="1"/>
        <v>92863</v>
      </c>
      <c r="G9" s="14">
        <f t="shared" si="1"/>
        <v>19729</v>
      </c>
      <c r="H9" s="15">
        <f t="shared" si="2"/>
        <v>129667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18219</v>
      </c>
      <c r="T9" s="156">
        <f t="shared" si="6"/>
        <v>-1510</v>
      </c>
      <c r="U9" s="155" t="str">
        <f>IF(OR(SUM(K9:O9)=0,SUM(O$4:O9)=0),"",IF(SUM(U$4:U8)=0,O9,IFERROR(SUM(U8,K9,-L9),"")))</f>
        <v/>
      </c>
      <c r="V9" s="156" t="str">
        <f t="shared" si="7"/>
        <v/>
      </c>
    </row>
    <row r="10" spans="1:22" x14ac:dyDescent="0.25">
      <c r="A10" s="65" t="str">
        <f>B2</f>
        <v>واردات مجتمع خراسان</v>
      </c>
      <c r="B10" s="11" t="s">
        <v>14</v>
      </c>
      <c r="C10" s="12">
        <f t="shared" si="1"/>
        <v>18829</v>
      </c>
      <c r="D10" s="13">
        <f t="shared" si="1"/>
        <v>19819</v>
      </c>
      <c r="E10" s="13" t="str">
        <f t="shared" si="1"/>
        <v/>
      </c>
      <c r="F10" s="13">
        <f t="shared" si="1"/>
        <v>100787</v>
      </c>
      <c r="G10" s="14">
        <f t="shared" si="1"/>
        <v>18886</v>
      </c>
      <c r="H10" s="15">
        <f t="shared" si="2"/>
        <v>139435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>
        <f>IF(OR(SUM(C10:G10)=0,SUM(G$4:G10)=0),"",IF(SUM(S$4:S9)=0,G10,IFERROR(SUM(S9,C10,-D10),"")))</f>
        <v>17229</v>
      </c>
      <c r="T10" s="156">
        <f t="shared" si="6"/>
        <v>-1657</v>
      </c>
      <c r="U10" s="155" t="str">
        <f>IF(OR(SUM(K10:O10)=0,SUM(O$4:O10)=0),"",IF(SUM(U$4:U9)=0,O10,IFERROR(SUM(U9,K10,-L10),"")))</f>
        <v/>
      </c>
      <c r="V10" s="156" t="str">
        <f t="shared" si="7"/>
        <v/>
      </c>
    </row>
    <row r="11" spans="1:22" x14ac:dyDescent="0.25">
      <c r="A11" s="65" t="str">
        <f>B2</f>
        <v>واردات مجتمع خراسان</v>
      </c>
      <c r="B11" s="11" t="s">
        <v>15</v>
      </c>
      <c r="C11" s="12">
        <f t="shared" si="1"/>
        <v>35741</v>
      </c>
      <c r="D11" s="13">
        <f t="shared" si="1"/>
        <v>21498</v>
      </c>
      <c r="E11" s="13" t="str">
        <f t="shared" si="1"/>
        <v/>
      </c>
      <c r="F11" s="13">
        <f t="shared" si="1"/>
        <v>102708</v>
      </c>
      <c r="G11" s="14">
        <f t="shared" si="1"/>
        <v>33236</v>
      </c>
      <c r="H11" s="15">
        <f t="shared" si="2"/>
        <v>159947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>
        <f>IF(OR(SUM(C11:G11)=0,SUM(G$4:G11)=0),"",IF(SUM(S$4:S10)=0,G11,IFERROR(SUM(S10,C11,-D11),"")))</f>
        <v>31472</v>
      </c>
      <c r="T11" s="156">
        <f t="shared" si="6"/>
        <v>-1764</v>
      </c>
      <c r="U11" s="155" t="str">
        <f>IF(OR(SUM(K11:O11)=0,SUM(O$4:O11)=0),"",IF(SUM(U$4:U10)=0,O11,IFERROR(SUM(U10,K11,-L11),"")))</f>
        <v/>
      </c>
      <c r="V11" s="156" t="str">
        <f t="shared" si="7"/>
        <v/>
      </c>
    </row>
    <row r="12" spans="1:22" x14ac:dyDescent="0.25">
      <c r="A12" s="65" t="str">
        <f>B2</f>
        <v>واردات مجتمع خراسان</v>
      </c>
      <c r="B12" s="11" t="s">
        <v>16</v>
      </c>
      <c r="C12" s="12">
        <f t="shared" si="1"/>
        <v>26777</v>
      </c>
      <c r="D12" s="13">
        <f t="shared" si="1"/>
        <v>24206</v>
      </c>
      <c r="E12" s="13">
        <f t="shared" si="1"/>
        <v>4</v>
      </c>
      <c r="F12" s="13">
        <f t="shared" si="1"/>
        <v>112833</v>
      </c>
      <c r="G12" s="14">
        <f t="shared" si="1"/>
        <v>35617</v>
      </c>
      <c r="H12" s="15">
        <f t="shared" si="2"/>
        <v>163820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>
        <f>IF(OR(SUM(C12:G12)=0,SUM(G$4:G12)=0),"",IF(SUM(S$4:S11)=0,G12,IFERROR(SUM(S11,C12,-D12),"")))</f>
        <v>34043</v>
      </c>
      <c r="T12" s="156">
        <f t="shared" si="6"/>
        <v>-1574</v>
      </c>
      <c r="U12" s="155" t="str">
        <f>IF(OR(SUM(K12:O12)=0,SUM(O$4:O12)=0),"",IF(SUM(U$4:U11)=0,O12,IFERROR(SUM(U11,K12,-L12),"")))</f>
        <v/>
      </c>
      <c r="V12" s="156" t="str">
        <f t="shared" si="7"/>
        <v/>
      </c>
    </row>
    <row r="13" spans="1:22" x14ac:dyDescent="0.25">
      <c r="A13" s="65" t="str">
        <f>B2</f>
        <v>واردات مجتمع خراسان</v>
      </c>
      <c r="B13" s="11" t="s">
        <v>17</v>
      </c>
      <c r="C13" s="12">
        <f t="shared" si="1"/>
        <v>17385</v>
      </c>
      <c r="D13" s="13">
        <f t="shared" si="1"/>
        <v>26844</v>
      </c>
      <c r="E13" s="13">
        <f t="shared" si="1"/>
        <v>20</v>
      </c>
      <c r="F13" s="13">
        <f t="shared" si="1"/>
        <v>107111</v>
      </c>
      <c r="G13" s="14">
        <f t="shared" si="1"/>
        <v>27229</v>
      </c>
      <c r="H13" s="15">
        <f t="shared" si="2"/>
        <v>151360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>
        <f>IF(OR(SUM(C13:G13)=0,SUM(G$4:G13)=0),"",IF(SUM(S$4:S12)=0,G13,IFERROR(SUM(S12,C13,-D13),"")))</f>
        <v>24584</v>
      </c>
      <c r="T13" s="156">
        <f t="shared" si="6"/>
        <v>-2645</v>
      </c>
      <c r="U13" s="155" t="str">
        <f>IF(OR(SUM(K13:O13)=0,SUM(O$4:O13)=0),"",IF(SUM(U$4:U12)=0,O13,IFERROR(SUM(U12,K13,-L13),"")))</f>
        <v/>
      </c>
      <c r="V13" s="156" t="str">
        <f t="shared" si="7"/>
        <v/>
      </c>
    </row>
    <row r="14" spans="1:22" x14ac:dyDescent="0.25">
      <c r="A14" s="65" t="str">
        <f>B2</f>
        <v>واردات مجتمع خراسان</v>
      </c>
      <c r="B14" s="11" t="s">
        <v>18</v>
      </c>
      <c r="C14" s="12">
        <f t="shared" si="1"/>
        <v>23040</v>
      </c>
      <c r="D14" s="13">
        <f t="shared" si="1"/>
        <v>25455</v>
      </c>
      <c r="E14" s="13" t="str">
        <f t="shared" si="1"/>
        <v/>
      </c>
      <c r="F14" s="13">
        <f t="shared" si="1"/>
        <v>116832</v>
      </c>
      <c r="G14" s="14">
        <f t="shared" si="1"/>
        <v>27407</v>
      </c>
      <c r="H14" s="15">
        <f t="shared" si="2"/>
        <v>165327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>
        <f>IF(OR(SUM(C14:G14)=0,SUM(G$4:G14)=0),"",IF(SUM(S$4:S13)=0,G14,IFERROR(SUM(S13,C14,-D14),"")))</f>
        <v>22169</v>
      </c>
      <c r="T14" s="156">
        <f t="shared" si="6"/>
        <v>-5238</v>
      </c>
      <c r="U14" s="155" t="str">
        <f>IF(OR(SUM(K14:O14)=0,SUM(O$4:O14)=0),"",IF(SUM(U$4:U13)=0,O14,IFERROR(SUM(U13,K14,-L14),"")))</f>
        <v/>
      </c>
      <c r="V14" s="156" t="str">
        <f t="shared" si="7"/>
        <v/>
      </c>
    </row>
    <row r="15" spans="1:22" ht="20.25" thickBot="1" x14ac:dyDescent="0.3">
      <c r="A15" s="65" t="str">
        <f>B2</f>
        <v>واردات مجتمع خراسان</v>
      </c>
      <c r="B15" s="16" t="s">
        <v>19</v>
      </c>
      <c r="C15" s="17">
        <f t="shared" si="1"/>
        <v>23502</v>
      </c>
      <c r="D15" s="18">
        <f t="shared" si="1"/>
        <v>23751</v>
      </c>
      <c r="E15" s="18" t="str">
        <f t="shared" si="1"/>
        <v/>
      </c>
      <c r="F15" s="18">
        <f t="shared" si="1"/>
        <v>124202</v>
      </c>
      <c r="G15" s="19">
        <f>IF(SUM(O15,G31,O31,G47,O47,G63,O63,G79,O79,G95)=0,"",SUM(O15,G31,O31,G47,O47,G63,O63,G79,O79,G95,O95))</f>
        <v>23032</v>
      </c>
      <c r="H15" s="20">
        <f t="shared" si="2"/>
        <v>171455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>
        <f>IF(OR(SUM(C15:G15)=0,SUM(G$4:G15)=0),"",IF(SUM(S$4:S14)=0,G15,IFERROR(SUM(S14,C15,-D15),"")))</f>
        <v>21920</v>
      </c>
      <c r="T15" s="156">
        <f t="shared" si="6"/>
        <v>-1112</v>
      </c>
      <c r="U15" s="155" t="str">
        <f>IF(OR(SUM(K15:O15)=0,SUM(O$4:O15)=0),"",IF(SUM(U$4:U14)=0,O15,IFERROR(SUM(U14,K15,-L15),"")))</f>
        <v/>
      </c>
      <c r="V15" s="156" t="str">
        <f t="shared" si="7"/>
        <v/>
      </c>
    </row>
    <row r="16" spans="1:22" ht="21" thickBot="1" x14ac:dyDescent="0.3">
      <c r="B16" s="49" t="s">
        <v>6</v>
      </c>
      <c r="C16" s="57">
        <f>SUM(C4:C15)</f>
        <v>247883</v>
      </c>
      <c r="D16" s="58">
        <f t="shared" ref="D16:F16" si="8">SUM(D4:D15)</f>
        <v>255295</v>
      </c>
      <c r="E16" s="58">
        <f t="shared" si="8"/>
        <v>3926</v>
      </c>
      <c r="F16" s="58">
        <f t="shared" si="8"/>
        <v>1162819</v>
      </c>
      <c r="G16" s="59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23032</v>
      </c>
      <c r="H16" s="60">
        <f t="shared" si="2"/>
        <v>1669923</v>
      </c>
      <c r="J16" s="53" t="s">
        <v>6</v>
      </c>
      <c r="K16" s="61">
        <f>SUM(K4:K15)</f>
        <v>0</v>
      </c>
      <c r="L16" s="62">
        <f t="shared" ref="L16:N16" si="9">SUM(L4:L15)</f>
        <v>0</v>
      </c>
      <c r="M16" s="62">
        <f t="shared" si="9"/>
        <v>0</v>
      </c>
      <c r="N16" s="62">
        <f t="shared" si="9"/>
        <v>0</v>
      </c>
      <c r="O16" s="63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64">
        <f t="shared" ref="P16" si="10">SUM(K16:N16)</f>
        <v>0</v>
      </c>
    </row>
    <row r="17" spans="1:22" ht="3.95" customHeight="1" thickBot="1" x14ac:dyDescent="0.3"/>
    <row r="18" spans="1:22" ht="26.25" thickBot="1" x14ac:dyDescent="0.3">
      <c r="B18" s="207" t="s">
        <v>21</v>
      </c>
      <c r="C18" s="208"/>
      <c r="D18" s="208"/>
      <c r="E18" s="208"/>
      <c r="F18" s="208"/>
      <c r="G18" s="208"/>
      <c r="H18" s="209"/>
      <c r="J18" s="207" t="s">
        <v>22</v>
      </c>
      <c r="K18" s="208"/>
      <c r="L18" s="208"/>
      <c r="M18" s="208"/>
      <c r="N18" s="208"/>
      <c r="O18" s="208"/>
      <c r="P18" s="209"/>
    </row>
    <row r="19" spans="1:22" ht="21" thickBot="1" x14ac:dyDescent="0.3">
      <c r="B19" s="53" t="s">
        <v>0</v>
      </c>
      <c r="C19" s="54" t="s">
        <v>1</v>
      </c>
      <c r="D19" s="55" t="s">
        <v>2</v>
      </c>
      <c r="E19" s="55" t="s">
        <v>3</v>
      </c>
      <c r="F19" s="55" t="s">
        <v>4</v>
      </c>
      <c r="G19" s="56" t="s">
        <v>5</v>
      </c>
      <c r="H19" s="53" t="s">
        <v>7</v>
      </c>
      <c r="J19" s="53" t="s">
        <v>0</v>
      </c>
      <c r="K19" s="54" t="s">
        <v>1</v>
      </c>
      <c r="L19" s="55" t="s">
        <v>2</v>
      </c>
      <c r="M19" s="55" t="s">
        <v>3</v>
      </c>
      <c r="N19" s="55" t="s">
        <v>4</v>
      </c>
      <c r="O19" s="56" t="s">
        <v>5</v>
      </c>
      <c r="P19" s="53" t="s">
        <v>7</v>
      </c>
    </row>
    <row r="20" spans="1:22" x14ac:dyDescent="0.25">
      <c r="A20" s="65" t="str">
        <f>B18</f>
        <v>شهید کاوه</v>
      </c>
      <c r="B20" s="6" t="s">
        <v>8</v>
      </c>
      <c r="C20" s="7">
        <v>1297</v>
      </c>
      <c r="D20" s="8">
        <v>1101</v>
      </c>
      <c r="E20" s="8">
        <v>407</v>
      </c>
      <c r="F20" s="8">
        <v>0</v>
      </c>
      <c r="G20" s="9">
        <v>3019</v>
      </c>
      <c r="H20" s="10">
        <f t="shared" ref="H20:H25" si="11">SUM(C20:G20)</f>
        <v>5824</v>
      </c>
      <c r="I20" s="65" t="str">
        <f>J18</f>
        <v>مطهری</v>
      </c>
      <c r="J20" s="6" t="s">
        <v>8</v>
      </c>
      <c r="K20" s="7">
        <v>2075</v>
      </c>
      <c r="L20" s="8">
        <v>1854</v>
      </c>
      <c r="M20" s="8">
        <v>0</v>
      </c>
      <c r="N20" s="8">
        <v>0</v>
      </c>
      <c r="O20" s="9">
        <v>3898</v>
      </c>
      <c r="P20" s="10">
        <f>SUM(K20:O20)</f>
        <v>7827</v>
      </c>
      <c r="S20" s="155">
        <f>IF(SUM(G20)=0,"",IFERROR(G20,""))</f>
        <v>3019</v>
      </c>
      <c r="T20" s="156">
        <f>IFERROR(S20-G20,"")</f>
        <v>0</v>
      </c>
      <c r="U20" s="155">
        <f>IF(SUM(O20)=0,"",IFERROR(O20,""))</f>
        <v>3898</v>
      </c>
      <c r="V20" s="156">
        <f>IFERROR(U20-O20,"")</f>
        <v>0</v>
      </c>
    </row>
    <row r="21" spans="1:22" x14ac:dyDescent="0.25">
      <c r="A21" s="65" t="str">
        <f>B18</f>
        <v>شهید کاوه</v>
      </c>
      <c r="B21" s="11" t="s">
        <v>9</v>
      </c>
      <c r="C21" s="12">
        <v>2604</v>
      </c>
      <c r="D21" s="13">
        <v>1646</v>
      </c>
      <c r="E21" s="13">
        <v>578</v>
      </c>
      <c r="F21" s="13">
        <v>0</v>
      </c>
      <c r="G21" s="14">
        <v>4162</v>
      </c>
      <c r="H21" s="15">
        <f t="shared" si="11"/>
        <v>8990</v>
      </c>
      <c r="I21" s="65" t="str">
        <f>J18</f>
        <v>مطهری</v>
      </c>
      <c r="J21" s="11" t="s">
        <v>9</v>
      </c>
      <c r="K21" s="12">
        <v>1269</v>
      </c>
      <c r="L21" s="13">
        <v>1823</v>
      </c>
      <c r="M21" s="13">
        <v>0</v>
      </c>
      <c r="N21" s="13">
        <v>0</v>
      </c>
      <c r="O21" s="14">
        <v>3370</v>
      </c>
      <c r="P21" s="15">
        <f t="shared" ref="P21:P31" si="12">SUM(K21:O21)</f>
        <v>6462</v>
      </c>
      <c r="S21" s="155">
        <f>IF(OR(SUM(C21:G21)=0,SUM(G$20:G21)=0),"",IF(SUM(S$20:S20)=0,G21,IFERROR(SUM(S20,C21,-D21),"")))</f>
        <v>3977</v>
      </c>
      <c r="T21" s="156">
        <f t="shared" ref="T21:T31" si="13">IFERROR(S21-G21,"")</f>
        <v>-185</v>
      </c>
      <c r="U21" s="155">
        <f>IF(OR(SUM(K21:O21)=0,SUM(O$20:O21)=0),"",IF(SUM(U$20:U20)=0,O21,IFERROR(SUM(U20,K21,-L21),"")))</f>
        <v>3344</v>
      </c>
      <c r="V21" s="156">
        <f>IFERROR(U21-O21,"")</f>
        <v>-26</v>
      </c>
    </row>
    <row r="22" spans="1:22" x14ac:dyDescent="0.25">
      <c r="A22" s="65" t="str">
        <f>B18</f>
        <v>شهید کاوه</v>
      </c>
      <c r="B22" s="11" t="s">
        <v>10</v>
      </c>
      <c r="C22" s="12">
        <v>1549</v>
      </c>
      <c r="D22" s="13">
        <v>2007</v>
      </c>
      <c r="E22" s="13">
        <v>863</v>
      </c>
      <c r="F22" s="13">
        <v>0</v>
      </c>
      <c r="G22" s="14">
        <v>3658</v>
      </c>
      <c r="H22" s="15">
        <f t="shared" si="11"/>
        <v>8077</v>
      </c>
      <c r="I22" s="65" t="str">
        <f>J18</f>
        <v>مطهری</v>
      </c>
      <c r="J22" s="11" t="s">
        <v>10</v>
      </c>
      <c r="K22" s="12">
        <v>3001</v>
      </c>
      <c r="L22" s="13">
        <v>1593</v>
      </c>
      <c r="M22" s="13">
        <v>0</v>
      </c>
      <c r="N22" s="13">
        <v>0</v>
      </c>
      <c r="O22" s="14">
        <v>3370</v>
      </c>
      <c r="P22" s="15">
        <f t="shared" si="12"/>
        <v>7964</v>
      </c>
      <c r="S22" s="155">
        <f>IF(OR(SUM(C22:G22)=0,SUM(G$20:G22)=0),"",IF(SUM(S$20:S21)=0,G22,IFERROR(SUM(S21,C22,-D22),"")))</f>
        <v>3519</v>
      </c>
      <c r="T22" s="156">
        <f t="shared" si="13"/>
        <v>-139</v>
      </c>
      <c r="U22" s="155">
        <f>IF(OR(SUM(K22:O22)=0,SUM(O$20:O22)=0),"",IF(SUM(U$20:U21)=0,O22,IFERROR(SUM(U21,K22,-L22),"")))</f>
        <v>4752</v>
      </c>
      <c r="V22" s="156">
        <f>IFERROR(U22-O22,"")</f>
        <v>1382</v>
      </c>
    </row>
    <row r="23" spans="1:22" x14ac:dyDescent="0.25">
      <c r="A23" s="65" t="str">
        <f>B18</f>
        <v>شهید کاوه</v>
      </c>
      <c r="B23" s="11" t="s">
        <v>11</v>
      </c>
      <c r="C23" s="12">
        <v>1858</v>
      </c>
      <c r="D23" s="13">
        <v>2119</v>
      </c>
      <c r="E23" s="13">
        <v>293</v>
      </c>
      <c r="F23" s="13">
        <v>0</v>
      </c>
      <c r="G23" s="14">
        <v>3534</v>
      </c>
      <c r="H23" s="15">
        <f t="shared" si="11"/>
        <v>7804</v>
      </c>
      <c r="I23" s="65" t="str">
        <f>J18</f>
        <v>مطهری</v>
      </c>
      <c r="J23" s="11" t="s">
        <v>11</v>
      </c>
      <c r="K23" s="12">
        <v>465</v>
      </c>
      <c r="L23" s="13">
        <v>2319</v>
      </c>
      <c r="M23" s="13">
        <v>0</v>
      </c>
      <c r="N23" s="13">
        <v>0</v>
      </c>
      <c r="O23" s="14">
        <v>2922</v>
      </c>
      <c r="P23" s="15">
        <f t="shared" si="12"/>
        <v>5706</v>
      </c>
      <c r="S23" s="155">
        <f>IF(OR(SUM(C23:G23)=0,SUM(G$20:G23)=0),"",IF(SUM(S$20:S22)=0,G23,IFERROR(SUM(S22,C23,-D23),"")))</f>
        <v>3258</v>
      </c>
      <c r="T23" s="156">
        <f t="shared" si="13"/>
        <v>-276</v>
      </c>
      <c r="U23" s="155">
        <f>IF(OR(SUM(K23:O23)=0,SUM(O$20:O23)=0),"",IF(SUM(U$20:U22)=0,O23,IFERROR(SUM(U22,K23,-L23),"")))</f>
        <v>2898</v>
      </c>
      <c r="V23" s="156">
        <f t="shared" ref="V23:V31" si="14">IFERROR(U23-O23,"")</f>
        <v>-24</v>
      </c>
    </row>
    <row r="24" spans="1:22" x14ac:dyDescent="0.25">
      <c r="A24" s="65" t="str">
        <f>B18</f>
        <v>شهید کاوه</v>
      </c>
      <c r="B24" s="11" t="s">
        <v>12</v>
      </c>
      <c r="C24" s="12">
        <v>1871</v>
      </c>
      <c r="D24" s="13">
        <v>2661</v>
      </c>
      <c r="E24" s="13">
        <v>1519</v>
      </c>
      <c r="F24" s="13">
        <v>0</v>
      </c>
      <c r="G24" s="14">
        <v>2768</v>
      </c>
      <c r="H24" s="15">
        <f t="shared" si="11"/>
        <v>8819</v>
      </c>
      <c r="I24" s="65" t="str">
        <f>J18</f>
        <v>مطهری</v>
      </c>
      <c r="J24" s="11" t="s">
        <v>12</v>
      </c>
      <c r="K24" s="12">
        <v>561</v>
      </c>
      <c r="L24" s="13">
        <v>1394</v>
      </c>
      <c r="M24" s="13">
        <v>0</v>
      </c>
      <c r="N24" s="13">
        <v>0</v>
      </c>
      <c r="O24" s="14">
        <v>2089</v>
      </c>
      <c r="P24" s="15">
        <f t="shared" si="12"/>
        <v>4044</v>
      </c>
      <c r="S24" s="155">
        <f>IF(OR(SUM(C24:G24)=0,SUM(G$20:G24)=0),"",IF(SUM(S$20:S23)=0,G24,IFERROR(SUM(S23,C24,-D24),"")))</f>
        <v>2468</v>
      </c>
      <c r="T24" s="156">
        <f t="shared" si="13"/>
        <v>-300</v>
      </c>
      <c r="U24" s="155">
        <f>IF(OR(SUM(K24:O24)=0,SUM(O$20:O24)=0),"",IF(SUM(U$20:U23)=0,O24,IFERROR(SUM(U23,K24,-L24),"")))</f>
        <v>2065</v>
      </c>
      <c r="V24" s="156">
        <f t="shared" si="14"/>
        <v>-24</v>
      </c>
    </row>
    <row r="25" spans="1:22" x14ac:dyDescent="0.25">
      <c r="A25" s="65" t="str">
        <f>B18</f>
        <v>شهید کاوه</v>
      </c>
      <c r="B25" s="11" t="s">
        <v>13</v>
      </c>
      <c r="C25" s="12">
        <v>1275</v>
      </c>
      <c r="D25" s="13">
        <v>1591</v>
      </c>
      <c r="E25" s="13">
        <v>162</v>
      </c>
      <c r="F25" s="13">
        <v>0</v>
      </c>
      <c r="G25" s="14">
        <v>2644</v>
      </c>
      <c r="H25" s="15">
        <f t="shared" si="11"/>
        <v>5672</v>
      </c>
      <c r="I25" s="65" t="str">
        <f>J18</f>
        <v>مطهری</v>
      </c>
      <c r="J25" s="11" t="s">
        <v>13</v>
      </c>
      <c r="K25" s="12">
        <v>3941</v>
      </c>
      <c r="L25" s="13">
        <v>914</v>
      </c>
      <c r="M25" s="13">
        <v>0</v>
      </c>
      <c r="N25" s="13">
        <v>0</v>
      </c>
      <c r="O25" s="14">
        <v>5003</v>
      </c>
      <c r="P25" s="15">
        <f t="shared" si="12"/>
        <v>9858</v>
      </c>
      <c r="S25" s="155">
        <f>IF(OR(SUM(C25:G25)=0,SUM(G$20:G25)=0),"",IF(SUM(S$20:S24)=0,G25,IFERROR(SUM(S24,C25,-D25),"")))</f>
        <v>2152</v>
      </c>
      <c r="T25" s="156">
        <f t="shared" si="13"/>
        <v>-492</v>
      </c>
      <c r="U25" s="155">
        <f>IF(OR(SUM(K25:O25)=0,SUM(O$20:O25)=0),"",IF(SUM(U$20:U24)=0,O25,IFERROR(SUM(U24,K25,-L25),"")))</f>
        <v>5092</v>
      </c>
      <c r="V25" s="156">
        <f t="shared" si="14"/>
        <v>89</v>
      </c>
    </row>
    <row r="26" spans="1:22" x14ac:dyDescent="0.25">
      <c r="A26" s="65" t="str">
        <f>B18</f>
        <v>شهید کاوه</v>
      </c>
      <c r="B26" s="11" t="s">
        <v>14</v>
      </c>
      <c r="C26" s="12">
        <v>1603</v>
      </c>
      <c r="D26" s="13">
        <v>1732</v>
      </c>
      <c r="E26" s="13">
        <v>0</v>
      </c>
      <c r="F26" s="13">
        <v>0</v>
      </c>
      <c r="G26" s="14">
        <v>2528</v>
      </c>
      <c r="H26" s="15">
        <f t="shared" ref="H26:H31" si="15">SUM(C26:G26)</f>
        <v>5863</v>
      </c>
      <c r="I26" s="65" t="str">
        <f>J18</f>
        <v>مطهری</v>
      </c>
      <c r="J26" s="11" t="s">
        <v>14</v>
      </c>
      <c r="K26" s="12">
        <v>1217</v>
      </c>
      <c r="L26" s="13">
        <v>3021</v>
      </c>
      <c r="M26" s="13">
        <v>0</v>
      </c>
      <c r="N26" s="13">
        <v>0</v>
      </c>
      <c r="O26" s="14">
        <v>3312</v>
      </c>
      <c r="P26" s="15">
        <f t="shared" si="12"/>
        <v>7550</v>
      </c>
      <c r="S26" s="155">
        <f>IF(OR(SUM(C26:G26)=0,SUM(G$20:G26)=0),"",IF(SUM(S$20:S25)=0,G26,IFERROR(SUM(S25,C26,-D26),"")))</f>
        <v>2023</v>
      </c>
      <c r="T26" s="156">
        <f t="shared" si="13"/>
        <v>-505</v>
      </c>
      <c r="U26" s="155">
        <f>IF(OR(SUM(K26:O26)=0,SUM(O$20:O26)=0),"",IF(SUM(U$20:U25)=0,O26,IFERROR(SUM(U25,K26,-L26),"")))</f>
        <v>3288</v>
      </c>
      <c r="V26" s="156">
        <f t="shared" si="14"/>
        <v>-24</v>
      </c>
    </row>
    <row r="27" spans="1:22" x14ac:dyDescent="0.25">
      <c r="A27" s="65" t="str">
        <f>B18</f>
        <v>شهید کاوه</v>
      </c>
      <c r="B27" s="11" t="s">
        <v>15</v>
      </c>
      <c r="C27" s="12">
        <v>1238</v>
      </c>
      <c r="D27" s="13">
        <v>1578</v>
      </c>
      <c r="E27" s="13">
        <v>0</v>
      </c>
      <c r="F27" s="13">
        <v>0</v>
      </c>
      <c r="G27" s="14">
        <v>2528</v>
      </c>
      <c r="H27" s="15">
        <f t="shared" si="15"/>
        <v>5344</v>
      </c>
      <c r="I27" s="65" t="str">
        <f>J18</f>
        <v>مطهری</v>
      </c>
      <c r="J27" s="11" t="s">
        <v>15</v>
      </c>
      <c r="K27" s="12">
        <v>160</v>
      </c>
      <c r="L27" s="13">
        <v>755</v>
      </c>
      <c r="M27" s="13">
        <v>0</v>
      </c>
      <c r="N27" s="13">
        <v>0</v>
      </c>
      <c r="O27" s="14">
        <v>2716</v>
      </c>
      <c r="P27" s="15">
        <f t="shared" si="12"/>
        <v>3631</v>
      </c>
      <c r="S27" s="155">
        <f>IF(OR(SUM(C27:G27)=0,SUM(G$20:G27)=0),"",IF(SUM(S$20:S26)=0,G27,IFERROR(SUM(S26,C27,-D27),"")))</f>
        <v>1683</v>
      </c>
      <c r="T27" s="156">
        <f t="shared" si="13"/>
        <v>-845</v>
      </c>
      <c r="U27" s="155">
        <f>IF(OR(SUM(K27:O27)=0,SUM(O$20:O27)=0),"",IF(SUM(U$20:U26)=0,O27,IFERROR(SUM(U26,K27,-L27),"")))</f>
        <v>2693</v>
      </c>
      <c r="V27" s="156">
        <f t="shared" si="14"/>
        <v>-23</v>
      </c>
    </row>
    <row r="28" spans="1:22" x14ac:dyDescent="0.25">
      <c r="A28" s="65" t="str">
        <f>B18</f>
        <v>شهید کاوه</v>
      </c>
      <c r="B28" s="11" t="s">
        <v>16</v>
      </c>
      <c r="C28" s="12">
        <v>1289</v>
      </c>
      <c r="D28" s="13">
        <v>1006</v>
      </c>
      <c r="E28" s="13">
        <v>4</v>
      </c>
      <c r="F28" s="13"/>
      <c r="G28" s="14">
        <v>2461</v>
      </c>
      <c r="H28" s="15">
        <f t="shared" si="15"/>
        <v>4760</v>
      </c>
      <c r="I28" s="65" t="str">
        <f>J18</f>
        <v>مطهری</v>
      </c>
      <c r="J28" s="11" t="s">
        <v>16</v>
      </c>
      <c r="K28" s="12">
        <v>1787</v>
      </c>
      <c r="L28" s="13">
        <v>1255</v>
      </c>
      <c r="M28" s="13"/>
      <c r="N28" s="13"/>
      <c r="O28" s="14">
        <v>3249</v>
      </c>
      <c r="P28" s="15">
        <f t="shared" si="12"/>
        <v>6291</v>
      </c>
      <c r="S28" s="155">
        <f>IF(OR(SUM(C28:G28)=0,SUM(G$20:G28)=0),"",IF(SUM(S$20:S27)=0,G28,IFERROR(SUM(S27,C28,-D28),"")))</f>
        <v>1966</v>
      </c>
      <c r="T28" s="156">
        <f t="shared" si="13"/>
        <v>-495</v>
      </c>
      <c r="U28" s="155">
        <f>IF(OR(SUM(K28:O28)=0,SUM(O$20:O28)=0),"",IF(SUM(U$20:U27)=0,O28,IFERROR(SUM(U27,K28,-L28),"")))</f>
        <v>3225</v>
      </c>
      <c r="V28" s="156">
        <f t="shared" si="14"/>
        <v>-24</v>
      </c>
    </row>
    <row r="29" spans="1:22" x14ac:dyDescent="0.25">
      <c r="A29" s="65" t="str">
        <f>B18</f>
        <v>شهید کاوه</v>
      </c>
      <c r="B29" s="11" t="s">
        <v>17</v>
      </c>
      <c r="C29" s="12">
        <v>683</v>
      </c>
      <c r="D29" s="13">
        <v>1363</v>
      </c>
      <c r="E29" s="13">
        <v>20</v>
      </c>
      <c r="F29" s="13"/>
      <c r="G29" s="14">
        <v>1966</v>
      </c>
      <c r="H29" s="15">
        <f t="shared" si="15"/>
        <v>4032</v>
      </c>
      <c r="I29" s="65" t="str">
        <f>J18</f>
        <v>مطهری</v>
      </c>
      <c r="J29" s="11" t="s">
        <v>17</v>
      </c>
      <c r="K29" s="12">
        <v>1190</v>
      </c>
      <c r="L29" s="13">
        <v>1055</v>
      </c>
      <c r="M29" s="13"/>
      <c r="N29" s="13"/>
      <c r="O29" s="14">
        <v>3434</v>
      </c>
      <c r="P29" s="15">
        <f t="shared" si="12"/>
        <v>5679</v>
      </c>
      <c r="S29" s="155">
        <f>IF(OR(SUM(C29:G29)=0,SUM(G$20:G29)=0),"",IF(SUM(S$20:S28)=0,G29,IFERROR(SUM(S28,C29,-D29),"")))</f>
        <v>1286</v>
      </c>
      <c r="T29" s="156">
        <f t="shared" si="13"/>
        <v>-680</v>
      </c>
      <c r="U29" s="155">
        <f>IF(OR(SUM(K29:O29)=0,SUM(O$20:O29)=0),"",IF(SUM(U$20:U28)=0,O29,IFERROR(SUM(U28,K29,-L29),"")))</f>
        <v>3360</v>
      </c>
      <c r="V29" s="156">
        <f t="shared" si="14"/>
        <v>-74</v>
      </c>
    </row>
    <row r="30" spans="1:22" x14ac:dyDescent="0.25">
      <c r="A30" s="65" t="str">
        <f>B18</f>
        <v>شهید کاوه</v>
      </c>
      <c r="B30" s="11" t="s">
        <v>18</v>
      </c>
      <c r="C30" s="12">
        <v>155</v>
      </c>
      <c r="D30" s="13">
        <v>626</v>
      </c>
      <c r="E30" s="13">
        <v>0</v>
      </c>
      <c r="F30" s="13">
        <v>0</v>
      </c>
      <c r="G30" s="14">
        <v>1495</v>
      </c>
      <c r="H30" s="15">
        <f t="shared" si="15"/>
        <v>2276</v>
      </c>
      <c r="I30" s="65" t="str">
        <f>J18</f>
        <v>مطهری</v>
      </c>
      <c r="J30" s="11" t="s">
        <v>18</v>
      </c>
      <c r="K30" s="12">
        <v>531</v>
      </c>
      <c r="L30" s="13">
        <v>1483</v>
      </c>
      <c r="M30" s="13"/>
      <c r="N30" s="13"/>
      <c r="O30" s="14">
        <v>2481</v>
      </c>
      <c r="P30" s="15">
        <f t="shared" si="12"/>
        <v>4495</v>
      </c>
      <c r="S30" s="155">
        <f>IF(OR(SUM(C30:G30)=0,SUM(G$20:G30)=0),"",IF(SUM(S$20:S29)=0,G30,IFERROR(SUM(S29,C30,-D30),"")))</f>
        <v>815</v>
      </c>
      <c r="T30" s="156">
        <f t="shared" si="13"/>
        <v>-680</v>
      </c>
      <c r="U30" s="155">
        <f>IF(OR(SUM(K30:O30)=0,SUM(O$20:O30)=0),"",IF(SUM(U$20:U29)=0,O30,IFERROR(SUM(U29,K30,-L30),"")))</f>
        <v>2408</v>
      </c>
      <c r="V30" s="156">
        <f t="shared" si="14"/>
        <v>-73</v>
      </c>
    </row>
    <row r="31" spans="1:22" ht="20.25" thickBot="1" x14ac:dyDescent="0.3">
      <c r="A31" s="65" t="str">
        <f>B18</f>
        <v>شهید کاوه</v>
      </c>
      <c r="B31" s="16" t="s">
        <v>19</v>
      </c>
      <c r="C31" s="17">
        <v>104</v>
      </c>
      <c r="D31" s="18">
        <v>897</v>
      </c>
      <c r="E31" s="18">
        <v>0</v>
      </c>
      <c r="F31" s="18">
        <v>0</v>
      </c>
      <c r="G31" s="19">
        <v>702</v>
      </c>
      <c r="H31" s="20">
        <f t="shared" si="15"/>
        <v>1703</v>
      </c>
      <c r="I31" s="65" t="str">
        <f>J18</f>
        <v>مطهری</v>
      </c>
      <c r="J31" s="16" t="s">
        <v>19</v>
      </c>
      <c r="K31" s="17">
        <v>1088</v>
      </c>
      <c r="L31" s="18">
        <v>1348</v>
      </c>
      <c r="M31" s="18"/>
      <c r="N31" s="18"/>
      <c r="O31" s="19">
        <v>2109</v>
      </c>
      <c r="P31" s="20">
        <f t="shared" si="12"/>
        <v>4545</v>
      </c>
      <c r="S31" s="155">
        <f>IF(OR(SUM(C31:G31)=0,SUM(G$20:G31)=0),"",IF(SUM(S$20:S30)=0,G31,IFERROR(SUM(S30,C31,-D31),"")))</f>
        <v>22</v>
      </c>
      <c r="T31" s="156">
        <f t="shared" si="13"/>
        <v>-680</v>
      </c>
      <c r="U31" s="155">
        <f>IF(OR(SUM(K31:O31)=0,SUM(O$20:O31)=0),"",IF(SUM(U$20:U30)=0,O31,IFERROR(SUM(U30,K31,-L31),"")))</f>
        <v>2148</v>
      </c>
      <c r="V31" s="156">
        <f t="shared" si="14"/>
        <v>39</v>
      </c>
    </row>
    <row r="32" spans="1:22" ht="21" thickBot="1" x14ac:dyDescent="0.3">
      <c r="B32" s="53" t="s">
        <v>6</v>
      </c>
      <c r="C32" s="61">
        <f>SUM(C20:C31)</f>
        <v>15526</v>
      </c>
      <c r="D32" s="62">
        <f t="shared" ref="D32:F32" si="16">SUM(D20:D31)</f>
        <v>18327</v>
      </c>
      <c r="E32" s="62">
        <f t="shared" si="16"/>
        <v>3846</v>
      </c>
      <c r="F32" s="62">
        <f t="shared" si="16"/>
        <v>0</v>
      </c>
      <c r="G32" s="63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702</v>
      </c>
      <c r="H32" s="64">
        <f t="shared" ref="H32" si="17">SUM(C32:F32)</f>
        <v>37699</v>
      </c>
      <c r="J32" s="53" t="s">
        <v>6</v>
      </c>
      <c r="K32" s="61">
        <f>SUM(K20:K31)</f>
        <v>17285</v>
      </c>
      <c r="L32" s="62">
        <f t="shared" ref="L32:N32" si="18">SUM(L20:L31)</f>
        <v>18814</v>
      </c>
      <c r="M32" s="62">
        <f t="shared" si="18"/>
        <v>0</v>
      </c>
      <c r="N32" s="62">
        <f t="shared" si="18"/>
        <v>0</v>
      </c>
      <c r="O32" s="63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2109</v>
      </c>
      <c r="P32" s="64">
        <f t="shared" ref="P32" si="19">SUM(K32:N32)</f>
        <v>36099</v>
      </c>
    </row>
    <row r="33" spans="1:22" ht="3.95" customHeight="1" thickBot="1" x14ac:dyDescent="0.3"/>
    <row r="34" spans="1:22" ht="26.25" thickBot="1" x14ac:dyDescent="0.3">
      <c r="B34" s="207" t="s">
        <v>23</v>
      </c>
      <c r="C34" s="208"/>
      <c r="D34" s="208"/>
      <c r="E34" s="208"/>
      <c r="F34" s="208"/>
      <c r="G34" s="208"/>
      <c r="H34" s="209"/>
      <c r="J34" s="207" t="s">
        <v>24</v>
      </c>
      <c r="K34" s="208"/>
      <c r="L34" s="208"/>
      <c r="M34" s="208"/>
      <c r="N34" s="208"/>
      <c r="O34" s="208"/>
      <c r="P34" s="209"/>
    </row>
    <row r="35" spans="1:22" ht="21" thickBot="1" x14ac:dyDescent="0.3">
      <c r="B35" s="53" t="s">
        <v>0</v>
      </c>
      <c r="C35" s="54" t="s">
        <v>1</v>
      </c>
      <c r="D35" s="55" t="s">
        <v>2</v>
      </c>
      <c r="E35" s="55" t="s">
        <v>3</v>
      </c>
      <c r="F35" s="55" t="s">
        <v>4</v>
      </c>
      <c r="G35" s="56" t="s">
        <v>5</v>
      </c>
      <c r="H35" s="53" t="s">
        <v>7</v>
      </c>
      <c r="J35" s="53" t="s">
        <v>0</v>
      </c>
      <c r="K35" s="54" t="s">
        <v>1</v>
      </c>
      <c r="L35" s="55" t="s">
        <v>2</v>
      </c>
      <c r="M35" s="55" t="s">
        <v>3</v>
      </c>
      <c r="N35" s="55" t="s">
        <v>4</v>
      </c>
      <c r="O35" s="56" t="s">
        <v>5</v>
      </c>
      <c r="P35" s="53" t="s">
        <v>7</v>
      </c>
    </row>
    <row r="36" spans="1:22" x14ac:dyDescent="0.25">
      <c r="A36" s="65" t="str">
        <f>B34</f>
        <v>سرخس</v>
      </c>
      <c r="B36" s="6" t="s">
        <v>8</v>
      </c>
      <c r="C36" s="7">
        <v>1518</v>
      </c>
      <c r="D36" s="8">
        <v>910</v>
      </c>
      <c r="E36" s="8">
        <v>0</v>
      </c>
      <c r="F36" s="8">
        <v>3748</v>
      </c>
      <c r="G36" s="9">
        <v>1625</v>
      </c>
      <c r="H36" s="10">
        <f t="shared" ref="H36:H41" si="20">SUM(C36:G36)</f>
        <v>7801</v>
      </c>
      <c r="I36" s="65" t="str">
        <f>J34</f>
        <v>لطف آباد</v>
      </c>
      <c r="J36" s="6" t="s">
        <v>8</v>
      </c>
      <c r="K36" s="7">
        <v>4129</v>
      </c>
      <c r="L36" s="8">
        <v>6007</v>
      </c>
      <c r="M36" s="8">
        <v>0</v>
      </c>
      <c r="N36" s="8">
        <v>81641</v>
      </c>
      <c r="O36" s="9">
        <v>1249</v>
      </c>
      <c r="P36" s="10">
        <f t="shared" ref="P36:P41" si="21">SUM(K36:O36)</f>
        <v>93026</v>
      </c>
      <c r="S36" s="155">
        <f>IF(SUM(G36)=0,"",IFERROR(G36,""))</f>
        <v>1625</v>
      </c>
      <c r="T36" s="156">
        <f>IFERROR(S36-G36,"")</f>
        <v>0</v>
      </c>
      <c r="U36" s="155">
        <f>IF(SUM(O36)=0,"",IFERROR(O36,""))</f>
        <v>1249</v>
      </c>
      <c r="V36" s="156">
        <f>IFERROR(U36-O36,"")</f>
        <v>0</v>
      </c>
    </row>
    <row r="37" spans="1:22" x14ac:dyDescent="0.25">
      <c r="A37" s="65" t="str">
        <f>B34</f>
        <v>سرخس</v>
      </c>
      <c r="B37" s="11" t="s">
        <v>9</v>
      </c>
      <c r="C37" s="12">
        <v>1606</v>
      </c>
      <c r="D37" s="13">
        <v>1375</v>
      </c>
      <c r="E37" s="13">
        <v>0</v>
      </c>
      <c r="F37" s="13">
        <v>4934</v>
      </c>
      <c r="G37" s="14">
        <v>1856</v>
      </c>
      <c r="H37" s="15">
        <f t="shared" si="20"/>
        <v>9771</v>
      </c>
      <c r="I37" s="65" t="str">
        <f>J34</f>
        <v>لطف آباد</v>
      </c>
      <c r="J37" s="11" t="s">
        <v>9</v>
      </c>
      <c r="K37" s="12">
        <v>6915</v>
      </c>
      <c r="L37" s="13">
        <v>6599</v>
      </c>
      <c r="M37" s="13">
        <v>0</v>
      </c>
      <c r="N37" s="13">
        <v>72167</v>
      </c>
      <c r="O37" s="14">
        <v>1565</v>
      </c>
      <c r="P37" s="15">
        <f t="shared" si="21"/>
        <v>87246</v>
      </c>
      <c r="S37" s="155">
        <f>IF(OR(SUM(C37:G37)=0,SUM(G$36:G37)=0),"",IF(SUM(S$36:S36)=0,G37,IFERROR(SUM(S36,C37,-D37),"")))</f>
        <v>1856</v>
      </c>
      <c r="T37" s="156">
        <f t="shared" ref="T37:T47" si="22">IFERROR(S37-G37,"")</f>
        <v>0</v>
      </c>
      <c r="U37" s="155">
        <f>IF(OR(SUM(K37:O37)=0,SUM(O$36:O37)=0),"",IF(SUM(U$36:U36)=0,O37,IFERROR(SUM(U36,K37,-L37),"")))</f>
        <v>1565</v>
      </c>
      <c r="V37" s="156">
        <f t="shared" ref="V37:V47" si="23">IFERROR(U37-O37,"")</f>
        <v>0</v>
      </c>
    </row>
    <row r="38" spans="1:22" x14ac:dyDescent="0.25">
      <c r="A38" s="65" t="str">
        <f>B34</f>
        <v>سرخس</v>
      </c>
      <c r="B38" s="11" t="s">
        <v>10</v>
      </c>
      <c r="C38" s="12">
        <v>1374</v>
      </c>
      <c r="D38" s="13">
        <v>1738</v>
      </c>
      <c r="E38" s="13">
        <v>0</v>
      </c>
      <c r="F38" s="13">
        <v>5329</v>
      </c>
      <c r="G38" s="14">
        <v>1507</v>
      </c>
      <c r="H38" s="15">
        <f t="shared" si="20"/>
        <v>9948</v>
      </c>
      <c r="I38" s="65" t="str">
        <f>J34</f>
        <v>لطف آباد</v>
      </c>
      <c r="J38" s="11" t="s">
        <v>10</v>
      </c>
      <c r="K38" s="12">
        <v>8823</v>
      </c>
      <c r="L38" s="13">
        <v>6104</v>
      </c>
      <c r="M38" s="13">
        <v>0</v>
      </c>
      <c r="N38" s="13">
        <v>60319</v>
      </c>
      <c r="O38" s="14">
        <v>4269</v>
      </c>
      <c r="P38" s="15">
        <f t="shared" si="21"/>
        <v>79515</v>
      </c>
      <c r="S38" s="155">
        <f>IF(OR(SUM(C38:G38)=0,SUM(G$36:G38)=0),"",IF(SUM(S$36:S37)=0,G38,IFERROR(SUM(S37,C38,-D38),"")))</f>
        <v>1492</v>
      </c>
      <c r="T38" s="156">
        <f t="shared" si="22"/>
        <v>-15</v>
      </c>
      <c r="U38" s="155">
        <f>IF(OR(SUM(K38:O38)=0,SUM(O$36:O38)=0),"",IF(SUM(U$36:U37)=0,O38,IFERROR(SUM(U37,K38,-L38),"")))</f>
        <v>4284</v>
      </c>
      <c r="V38" s="156">
        <f t="shared" si="23"/>
        <v>15</v>
      </c>
    </row>
    <row r="39" spans="1:22" x14ac:dyDescent="0.25">
      <c r="A39" s="65" t="str">
        <f>B34</f>
        <v>سرخس</v>
      </c>
      <c r="B39" s="11" t="s">
        <v>11</v>
      </c>
      <c r="C39" s="12">
        <v>1001</v>
      </c>
      <c r="D39" s="13">
        <v>1630</v>
      </c>
      <c r="E39" s="13">
        <v>0</v>
      </c>
      <c r="F39" s="13">
        <v>4693</v>
      </c>
      <c r="G39" s="14">
        <v>879</v>
      </c>
      <c r="H39" s="15">
        <f t="shared" si="20"/>
        <v>8203</v>
      </c>
      <c r="I39" s="65" t="str">
        <f>J34</f>
        <v>لطف آباد</v>
      </c>
      <c r="J39" s="11" t="s">
        <v>11</v>
      </c>
      <c r="K39" s="12">
        <v>5501</v>
      </c>
      <c r="L39" s="13">
        <v>7007</v>
      </c>
      <c r="M39" s="13">
        <v>0</v>
      </c>
      <c r="N39" s="13">
        <v>60422</v>
      </c>
      <c r="O39" s="14">
        <v>2763</v>
      </c>
      <c r="P39" s="15">
        <f t="shared" si="21"/>
        <v>75693</v>
      </c>
      <c r="S39" s="155">
        <f>IF(OR(SUM(C39:G39)=0,SUM(G$36:G39)=0),"",IF(SUM(S$36:S38)=0,G39,IFERROR(SUM(S38,C39,-D39),"")))</f>
        <v>863</v>
      </c>
      <c r="T39" s="156">
        <f t="shared" si="22"/>
        <v>-16</v>
      </c>
      <c r="U39" s="155">
        <f>IF(OR(SUM(K39:O39)=0,SUM(O$36:O39)=0),"",IF(SUM(U$36:U38)=0,O39,IFERROR(SUM(U38,K39,-L39),"")))</f>
        <v>2778</v>
      </c>
      <c r="V39" s="156">
        <f t="shared" si="23"/>
        <v>15</v>
      </c>
    </row>
    <row r="40" spans="1:22" x14ac:dyDescent="0.25">
      <c r="A40" s="65" t="str">
        <f>B34</f>
        <v>سرخس</v>
      </c>
      <c r="B40" s="11" t="s">
        <v>12</v>
      </c>
      <c r="C40" s="12">
        <v>1474</v>
      </c>
      <c r="D40" s="13">
        <v>1021</v>
      </c>
      <c r="E40" s="13">
        <v>0</v>
      </c>
      <c r="F40" s="13">
        <v>5302</v>
      </c>
      <c r="G40" s="14">
        <v>1274</v>
      </c>
      <c r="H40" s="15">
        <f t="shared" si="20"/>
        <v>9071</v>
      </c>
      <c r="I40" s="65" t="str">
        <f>J34</f>
        <v>لطف آباد</v>
      </c>
      <c r="J40" s="11" t="s">
        <v>12</v>
      </c>
      <c r="K40" s="12">
        <v>8251</v>
      </c>
      <c r="L40" s="13">
        <v>7080</v>
      </c>
      <c r="M40" s="13">
        <v>0</v>
      </c>
      <c r="N40" s="13">
        <v>69420</v>
      </c>
      <c r="O40" s="14">
        <v>3934</v>
      </c>
      <c r="P40" s="15">
        <f t="shared" si="21"/>
        <v>88685</v>
      </c>
      <c r="S40" s="155">
        <f>IF(OR(SUM(C40:G40)=0,SUM(G$36:G40)=0),"",IF(SUM(S$36:S39)=0,G40,IFERROR(SUM(S39,C40,-D40),"")))</f>
        <v>1316</v>
      </c>
      <c r="T40" s="156">
        <f t="shared" si="22"/>
        <v>42</v>
      </c>
      <c r="U40" s="155">
        <f>IF(OR(SUM(K40:O40)=0,SUM(O$36:O40)=0),"",IF(SUM(U$36:U39)=0,O40,IFERROR(SUM(U39,K40,-L40),"")))</f>
        <v>3949</v>
      </c>
      <c r="V40" s="156">
        <f t="shared" si="23"/>
        <v>15</v>
      </c>
    </row>
    <row r="41" spans="1:22" x14ac:dyDescent="0.25">
      <c r="A41" s="65" t="str">
        <f>B34</f>
        <v>سرخس</v>
      </c>
      <c r="B41" s="11" t="s">
        <v>13</v>
      </c>
      <c r="C41" s="12">
        <v>1732</v>
      </c>
      <c r="D41" s="13">
        <v>1208</v>
      </c>
      <c r="E41" s="13">
        <v>0</v>
      </c>
      <c r="F41" s="13">
        <v>5631</v>
      </c>
      <c r="G41" s="14">
        <v>1797</v>
      </c>
      <c r="H41" s="15">
        <f t="shared" si="20"/>
        <v>10368</v>
      </c>
      <c r="I41" s="65" t="str">
        <f>J34</f>
        <v>لطف آباد</v>
      </c>
      <c r="J41" s="11" t="s">
        <v>13</v>
      </c>
      <c r="K41" s="12">
        <v>8879</v>
      </c>
      <c r="L41" s="13">
        <v>7483</v>
      </c>
      <c r="M41" s="13">
        <v>0</v>
      </c>
      <c r="N41" s="13">
        <v>74201</v>
      </c>
      <c r="O41" s="14">
        <v>5330</v>
      </c>
      <c r="P41" s="15">
        <f t="shared" si="21"/>
        <v>95893</v>
      </c>
      <c r="S41" s="155">
        <f>IF(OR(SUM(C41:G41)=0,SUM(G$36:G41)=0),"",IF(SUM(S$36:S40)=0,G41,IFERROR(SUM(S40,C41,-D41),"")))</f>
        <v>1840</v>
      </c>
      <c r="T41" s="156">
        <f t="shared" si="22"/>
        <v>43</v>
      </c>
      <c r="U41" s="155">
        <f>IF(OR(SUM(K41:O41)=0,SUM(O$36:O41)=0),"",IF(SUM(U$36:U40)=0,O41,IFERROR(SUM(U40,K41,-L41),"")))</f>
        <v>5345</v>
      </c>
      <c r="V41" s="156">
        <f t="shared" si="23"/>
        <v>15</v>
      </c>
    </row>
    <row r="42" spans="1:22" x14ac:dyDescent="0.25">
      <c r="A42" s="65" t="str">
        <f>B34</f>
        <v>سرخس</v>
      </c>
      <c r="B42" s="11" t="s">
        <v>14</v>
      </c>
      <c r="C42" s="12">
        <v>2111</v>
      </c>
      <c r="D42" s="13">
        <v>2189</v>
      </c>
      <c r="E42" s="13">
        <v>0</v>
      </c>
      <c r="F42" s="13">
        <v>6463</v>
      </c>
      <c r="G42" s="14">
        <v>1822</v>
      </c>
      <c r="H42" s="15">
        <f t="shared" ref="H42:H47" si="24">SUM(C42:G42)</f>
        <v>12585</v>
      </c>
      <c r="I42" s="65" t="str">
        <f>J34</f>
        <v>لطف آباد</v>
      </c>
      <c r="J42" s="11" t="s">
        <v>14</v>
      </c>
      <c r="K42" s="12">
        <v>8130</v>
      </c>
      <c r="L42" s="13">
        <v>7600</v>
      </c>
      <c r="M42" s="13">
        <v>0</v>
      </c>
      <c r="N42" s="13">
        <v>72407</v>
      </c>
      <c r="O42" s="14">
        <v>5860</v>
      </c>
      <c r="P42" s="15">
        <f t="shared" ref="P42:P47" si="25">SUM(K42:O42)</f>
        <v>93997</v>
      </c>
      <c r="S42" s="155">
        <f>IF(OR(SUM(C42:G42)=0,SUM(G$36:G42)=0),"",IF(SUM(S$36:S41)=0,G42,IFERROR(SUM(S41,C42,-D42),"")))</f>
        <v>1762</v>
      </c>
      <c r="T42" s="156">
        <f t="shared" si="22"/>
        <v>-60</v>
      </c>
      <c r="U42" s="155">
        <f>IF(OR(SUM(K42:O42)=0,SUM(O$36:O42)=0),"",IF(SUM(U$36:U41)=0,O42,IFERROR(SUM(U41,K42,-L42),"")))</f>
        <v>5875</v>
      </c>
      <c r="V42" s="156">
        <f t="shared" si="23"/>
        <v>15</v>
      </c>
    </row>
    <row r="43" spans="1:22" x14ac:dyDescent="0.25">
      <c r="A43" s="65" t="str">
        <f>B34</f>
        <v>سرخس</v>
      </c>
      <c r="B43" s="11" t="s">
        <v>15</v>
      </c>
      <c r="C43" s="12">
        <v>2167</v>
      </c>
      <c r="D43" s="13">
        <v>1982</v>
      </c>
      <c r="E43" s="13">
        <v>0</v>
      </c>
      <c r="F43" s="13">
        <v>6534</v>
      </c>
      <c r="G43" s="14">
        <v>1685</v>
      </c>
      <c r="H43" s="15">
        <f t="shared" si="24"/>
        <v>12368</v>
      </c>
      <c r="I43" s="65" t="str">
        <f>J34</f>
        <v>لطف آباد</v>
      </c>
      <c r="J43" s="11" t="s">
        <v>15</v>
      </c>
      <c r="K43" s="12">
        <v>7090</v>
      </c>
      <c r="L43" s="13">
        <v>8629</v>
      </c>
      <c r="M43" s="13">
        <v>0</v>
      </c>
      <c r="N43" s="13">
        <v>81270</v>
      </c>
      <c r="O43" s="14">
        <v>4321</v>
      </c>
      <c r="P43" s="15">
        <f t="shared" si="25"/>
        <v>101310</v>
      </c>
      <c r="S43" s="155">
        <f>IF(OR(SUM(C43:G43)=0,SUM(G$36:G43)=0),"",IF(SUM(S$36:S42)=0,G43,IFERROR(SUM(S42,C43,-D43),"")))</f>
        <v>1947</v>
      </c>
      <c r="T43" s="156">
        <f t="shared" si="22"/>
        <v>262</v>
      </c>
      <c r="U43" s="155">
        <f>IF(OR(SUM(K43:O43)=0,SUM(O$36:O43)=0),"",IF(SUM(U$36:U42)=0,O43,IFERROR(SUM(U42,K43,-L43),"")))</f>
        <v>4336</v>
      </c>
      <c r="V43" s="156">
        <f t="shared" si="23"/>
        <v>15</v>
      </c>
    </row>
    <row r="44" spans="1:22" x14ac:dyDescent="0.25">
      <c r="A44" s="65" t="str">
        <f>B34</f>
        <v>سرخس</v>
      </c>
      <c r="B44" s="11" t="s">
        <v>16</v>
      </c>
      <c r="C44" s="12">
        <v>2222</v>
      </c>
      <c r="D44" s="13">
        <v>2024</v>
      </c>
      <c r="E44" s="13"/>
      <c r="F44" s="13">
        <v>7529</v>
      </c>
      <c r="G44" s="14">
        <v>1916</v>
      </c>
      <c r="H44" s="15">
        <f t="shared" si="24"/>
        <v>13691</v>
      </c>
      <c r="I44" s="65" t="str">
        <f>J34</f>
        <v>لطف آباد</v>
      </c>
      <c r="J44" s="11" t="s">
        <v>16</v>
      </c>
      <c r="K44" s="12">
        <v>9290</v>
      </c>
      <c r="L44" s="13">
        <v>6585</v>
      </c>
      <c r="M44" s="13"/>
      <c r="N44" s="13">
        <v>84461</v>
      </c>
      <c r="O44" s="14">
        <v>7026</v>
      </c>
      <c r="P44" s="15">
        <f t="shared" si="25"/>
        <v>107362</v>
      </c>
      <c r="S44" s="155">
        <f>IF(OR(SUM(C44:G44)=0,SUM(G$36:G44)=0),"",IF(SUM(S$36:S43)=0,G44,IFERROR(SUM(S43,C44,-D44),"")))</f>
        <v>2145</v>
      </c>
      <c r="T44" s="156">
        <f t="shared" si="22"/>
        <v>229</v>
      </c>
      <c r="U44" s="155">
        <f>IF(OR(SUM(K44:O44)=0,SUM(O$36:O44)=0),"",IF(SUM(U$36:U43)=0,O44,IFERROR(SUM(U43,K44,-L44),"")))</f>
        <v>7041</v>
      </c>
      <c r="V44" s="156">
        <f t="shared" si="23"/>
        <v>15</v>
      </c>
    </row>
    <row r="45" spans="1:22" x14ac:dyDescent="0.25">
      <c r="A45" s="65" t="str">
        <f>B34</f>
        <v>سرخس</v>
      </c>
      <c r="B45" s="11" t="s">
        <v>17</v>
      </c>
      <c r="C45" s="12">
        <v>1390</v>
      </c>
      <c r="D45" s="13">
        <v>1841</v>
      </c>
      <c r="E45" s="13"/>
      <c r="F45" s="13">
        <v>12000</v>
      </c>
      <c r="G45" s="14">
        <v>2166</v>
      </c>
      <c r="H45" s="15">
        <f t="shared" si="24"/>
        <v>17397</v>
      </c>
      <c r="I45" s="65" t="str">
        <f>J34</f>
        <v>لطف آباد</v>
      </c>
      <c r="J45" s="11" t="s">
        <v>17</v>
      </c>
      <c r="K45" s="12">
        <v>6272</v>
      </c>
      <c r="L45" s="13">
        <v>7302</v>
      </c>
      <c r="M45" s="13"/>
      <c r="N45" s="13">
        <v>84263</v>
      </c>
      <c r="O45" s="14">
        <v>5996</v>
      </c>
      <c r="P45" s="15">
        <f t="shared" si="25"/>
        <v>103833</v>
      </c>
      <c r="S45" s="155">
        <f>IF(OR(SUM(C45:G45)=0,SUM(G$36:G45)=0),"",IF(SUM(S$36:S44)=0,G45,IFERROR(SUM(S44,C45,-D45),"")))</f>
        <v>1694</v>
      </c>
      <c r="T45" s="156">
        <f t="shared" si="22"/>
        <v>-472</v>
      </c>
      <c r="U45" s="155">
        <f>IF(OR(SUM(K45:O45)=0,SUM(O$36:O45)=0),"",IF(SUM(U$36:U44)=0,O45,IFERROR(SUM(U44,K45,-L45),"")))</f>
        <v>6011</v>
      </c>
      <c r="V45" s="156">
        <f t="shared" si="23"/>
        <v>15</v>
      </c>
    </row>
    <row r="46" spans="1:22" x14ac:dyDescent="0.25">
      <c r="A46" s="65" t="str">
        <f>B34</f>
        <v>سرخس</v>
      </c>
      <c r="B46" s="11" t="s">
        <v>18</v>
      </c>
      <c r="C46" s="12">
        <v>1616</v>
      </c>
      <c r="D46" s="13">
        <v>1541</v>
      </c>
      <c r="E46" s="13"/>
      <c r="F46" s="13">
        <v>12868</v>
      </c>
      <c r="G46" s="14">
        <v>1789</v>
      </c>
      <c r="H46" s="15">
        <f t="shared" si="24"/>
        <v>17814</v>
      </c>
      <c r="I46" s="65" t="str">
        <f>J34</f>
        <v>لطف آباد</v>
      </c>
      <c r="J46" s="11" t="s">
        <v>18</v>
      </c>
      <c r="K46" s="12">
        <v>9480</v>
      </c>
      <c r="L46" s="13">
        <v>7171</v>
      </c>
      <c r="M46" s="13"/>
      <c r="N46" s="13">
        <v>84744</v>
      </c>
      <c r="O46" s="14">
        <v>8306</v>
      </c>
      <c r="P46" s="15">
        <f t="shared" si="25"/>
        <v>109701</v>
      </c>
      <c r="S46" s="155">
        <f>IF(OR(SUM(C46:G46)=0,SUM(G$36:G46)=0),"",IF(SUM(S$36:S45)=0,G46,IFERROR(SUM(S45,C46,-D46),"")))</f>
        <v>1769</v>
      </c>
      <c r="T46" s="156">
        <f t="shared" si="22"/>
        <v>-20</v>
      </c>
      <c r="U46" s="155">
        <f>IF(OR(SUM(K46:O46)=0,SUM(O$36:O46)=0),"",IF(SUM(U$36:U45)=0,O46,IFERROR(SUM(U45,K46,-L46),"")))</f>
        <v>8320</v>
      </c>
      <c r="V46" s="156">
        <f t="shared" si="23"/>
        <v>14</v>
      </c>
    </row>
    <row r="47" spans="1:22" ht="20.25" thickBot="1" x14ac:dyDescent="0.3">
      <c r="A47" s="65" t="str">
        <f>B34</f>
        <v>سرخس</v>
      </c>
      <c r="B47" s="16" t="s">
        <v>19</v>
      </c>
      <c r="C47" s="17">
        <v>1285</v>
      </c>
      <c r="D47" s="18">
        <v>1490</v>
      </c>
      <c r="E47" s="18"/>
      <c r="F47" s="18">
        <v>6691</v>
      </c>
      <c r="G47" s="19">
        <v>31</v>
      </c>
      <c r="H47" s="20">
        <f t="shared" si="24"/>
        <v>9497</v>
      </c>
      <c r="I47" s="65" t="str">
        <f>J34</f>
        <v>لطف آباد</v>
      </c>
      <c r="J47" s="16" t="s">
        <v>19</v>
      </c>
      <c r="K47" s="17">
        <v>9660</v>
      </c>
      <c r="L47" s="18">
        <v>8207</v>
      </c>
      <c r="M47" s="18"/>
      <c r="N47" s="18">
        <v>86761</v>
      </c>
      <c r="O47" s="19">
        <v>9759</v>
      </c>
      <c r="P47" s="20">
        <f t="shared" si="25"/>
        <v>114387</v>
      </c>
      <c r="S47" s="155">
        <f>IF(OR(SUM(C47:G47)=0,SUM(G$36:G47)=0),"",IF(SUM(S$36:S46)=0,G47,IFERROR(SUM(S46,C47,-D47),"")))</f>
        <v>1564</v>
      </c>
      <c r="T47" s="156">
        <f t="shared" si="22"/>
        <v>1533</v>
      </c>
      <c r="U47" s="155">
        <f>IF(OR(SUM(K47:O47)=0,SUM(O$36:O47)=0),"",IF(SUM(U$36:U46)=0,O47,IFERROR(SUM(U46,K47,-L47),"")))</f>
        <v>9773</v>
      </c>
      <c r="V47" s="156">
        <f t="shared" si="23"/>
        <v>14</v>
      </c>
    </row>
    <row r="48" spans="1:22" ht="21" thickBot="1" x14ac:dyDescent="0.3">
      <c r="B48" s="53" t="s">
        <v>6</v>
      </c>
      <c r="C48" s="61">
        <f>SUM(C36:C47)</f>
        <v>19496</v>
      </c>
      <c r="D48" s="62">
        <f t="shared" ref="D48:F48" si="26">SUM(D36:D47)</f>
        <v>18949</v>
      </c>
      <c r="E48" s="62">
        <f t="shared" si="26"/>
        <v>0</v>
      </c>
      <c r="F48" s="62">
        <f t="shared" si="26"/>
        <v>81722</v>
      </c>
      <c r="G48" s="63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31</v>
      </c>
      <c r="H48" s="64">
        <f t="shared" ref="H48" si="27">SUM(C48:F48)</f>
        <v>120167</v>
      </c>
      <c r="J48" s="53" t="s">
        <v>6</v>
      </c>
      <c r="K48" s="61">
        <f>SUM(K36:K47)</f>
        <v>92420</v>
      </c>
      <c r="L48" s="62">
        <f t="shared" ref="L48:N48" si="28">SUM(L36:L47)</f>
        <v>85774</v>
      </c>
      <c r="M48" s="62">
        <f t="shared" si="28"/>
        <v>0</v>
      </c>
      <c r="N48" s="62">
        <f t="shared" si="28"/>
        <v>912076</v>
      </c>
      <c r="O48" s="63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9759</v>
      </c>
      <c r="P48" s="64">
        <f t="shared" ref="P48" si="29">SUM(K48:N48)</f>
        <v>1090270</v>
      </c>
    </row>
    <row r="49" spans="1:22" ht="3.95" customHeight="1" thickBot="1" x14ac:dyDescent="0.3"/>
    <row r="50" spans="1:22" ht="26.25" thickBot="1" x14ac:dyDescent="0.3">
      <c r="B50" s="207" t="s">
        <v>25</v>
      </c>
      <c r="C50" s="208"/>
      <c r="D50" s="208"/>
      <c r="E50" s="208"/>
      <c r="F50" s="208"/>
      <c r="G50" s="208"/>
      <c r="H50" s="209"/>
      <c r="J50" s="207" t="s">
        <v>26</v>
      </c>
      <c r="K50" s="208"/>
      <c r="L50" s="208"/>
      <c r="M50" s="208"/>
      <c r="N50" s="208"/>
      <c r="O50" s="208"/>
      <c r="P50" s="209"/>
    </row>
    <row r="51" spans="1:22" ht="21" thickBot="1" x14ac:dyDescent="0.3">
      <c r="B51" s="53" t="s">
        <v>0</v>
      </c>
      <c r="C51" s="54" t="s">
        <v>1</v>
      </c>
      <c r="D51" s="55" t="s">
        <v>2</v>
      </c>
      <c r="E51" s="55" t="s">
        <v>3</v>
      </c>
      <c r="F51" s="55" t="s">
        <v>4</v>
      </c>
      <c r="G51" s="56" t="s">
        <v>5</v>
      </c>
      <c r="H51" s="53" t="s">
        <v>7</v>
      </c>
      <c r="J51" s="53" t="s">
        <v>0</v>
      </c>
      <c r="K51" s="54" t="s">
        <v>1</v>
      </c>
      <c r="L51" s="55" t="s">
        <v>2</v>
      </c>
      <c r="M51" s="55" t="s">
        <v>3</v>
      </c>
      <c r="N51" s="55" t="s">
        <v>4</v>
      </c>
      <c r="O51" s="56" t="s">
        <v>5</v>
      </c>
      <c r="P51" s="53" t="s">
        <v>7</v>
      </c>
    </row>
    <row r="52" spans="1:22" x14ac:dyDescent="0.25">
      <c r="A52" s="65" t="str">
        <f>B50</f>
        <v>نیشابور</v>
      </c>
      <c r="B52" s="6" t="s">
        <v>8</v>
      </c>
      <c r="C52" s="7">
        <v>2040</v>
      </c>
      <c r="D52" s="8">
        <v>3904</v>
      </c>
      <c r="E52" s="8">
        <v>0</v>
      </c>
      <c r="F52" s="8">
        <v>0</v>
      </c>
      <c r="G52" s="9">
        <v>6915</v>
      </c>
      <c r="H52" s="10">
        <f t="shared" ref="H52:H57" si="30">SUM(C52:G52)</f>
        <v>12859</v>
      </c>
      <c r="I52" s="65" t="str">
        <f>J50</f>
        <v>دوغارون</v>
      </c>
      <c r="J52" s="6" t="s">
        <v>8</v>
      </c>
      <c r="K52" s="7">
        <v>5658</v>
      </c>
      <c r="L52" s="8">
        <v>5324</v>
      </c>
      <c r="M52" s="8">
        <v>0</v>
      </c>
      <c r="N52" s="8">
        <v>5084</v>
      </c>
      <c r="O52" s="9">
        <v>9936</v>
      </c>
      <c r="P52" s="10">
        <f t="shared" ref="P52:P57" si="31">SUM(K52:O52)</f>
        <v>26002</v>
      </c>
      <c r="S52" s="155">
        <f>IF(SUM(G52)=0,"",IFERROR(G52,""))</f>
        <v>6915</v>
      </c>
      <c r="T52" s="156">
        <f>IFERROR(S52-G52,"")</f>
        <v>0</v>
      </c>
      <c r="U52" s="155">
        <f>IF(SUM(O52)=0,"",IFERROR(O52,""))</f>
        <v>9936</v>
      </c>
      <c r="V52" s="156">
        <f>IFERROR(U52-O52,"")</f>
        <v>0</v>
      </c>
    </row>
    <row r="53" spans="1:22" x14ac:dyDescent="0.25">
      <c r="A53" s="65" t="str">
        <f>B50</f>
        <v>نیشابور</v>
      </c>
      <c r="B53" s="11" t="s">
        <v>9</v>
      </c>
      <c r="C53" s="12">
        <v>1113</v>
      </c>
      <c r="D53" s="13">
        <v>1823</v>
      </c>
      <c r="E53" s="13">
        <v>0</v>
      </c>
      <c r="F53" s="13">
        <v>0</v>
      </c>
      <c r="G53" s="14">
        <v>6205</v>
      </c>
      <c r="H53" s="15">
        <f t="shared" si="30"/>
        <v>9141</v>
      </c>
      <c r="I53" s="65" t="str">
        <f>J50</f>
        <v>دوغارون</v>
      </c>
      <c r="J53" s="11" t="s">
        <v>9</v>
      </c>
      <c r="K53" s="12">
        <v>3867</v>
      </c>
      <c r="L53" s="13">
        <v>4485</v>
      </c>
      <c r="M53" s="13">
        <v>50</v>
      </c>
      <c r="N53" s="13">
        <v>7806</v>
      </c>
      <c r="O53" s="14">
        <v>9334</v>
      </c>
      <c r="P53" s="15">
        <f t="shared" si="31"/>
        <v>25542</v>
      </c>
      <c r="S53" s="155">
        <f>IF(OR(SUM(C53:G53)=0,SUM(G$52:G53)=0),"",IF(SUM(S$52:S52)=0,G53,IFERROR(SUM(S52,C53,-D53),"")))</f>
        <v>6205</v>
      </c>
      <c r="T53" s="156">
        <f t="shared" ref="T53:T63" si="32">IFERROR(S53-G53,"")</f>
        <v>0</v>
      </c>
      <c r="U53" s="155">
        <f>IF(OR(SUM(K53:O53)=0,SUM(O$52:O53)=0),"",IF(SUM(U$52:U52)=0,O53,IFERROR(SUM(U52,K53,-L53),"")))</f>
        <v>9318</v>
      </c>
      <c r="V53" s="156">
        <f t="shared" ref="V53:V63" si="33">IFERROR(U53-O53,"")</f>
        <v>-16</v>
      </c>
    </row>
    <row r="54" spans="1:22" x14ac:dyDescent="0.25">
      <c r="A54" s="65" t="str">
        <f>B50</f>
        <v>نیشابور</v>
      </c>
      <c r="B54" s="11" t="s">
        <v>10</v>
      </c>
      <c r="C54" s="12">
        <v>381</v>
      </c>
      <c r="D54" s="13">
        <v>1360</v>
      </c>
      <c r="E54" s="13">
        <v>0</v>
      </c>
      <c r="F54" s="13">
        <v>0</v>
      </c>
      <c r="G54" s="14">
        <v>5203</v>
      </c>
      <c r="H54" s="15">
        <f t="shared" si="30"/>
        <v>6944</v>
      </c>
      <c r="I54" s="65" t="str">
        <f>J50</f>
        <v>دوغارون</v>
      </c>
      <c r="J54" s="11" t="s">
        <v>10</v>
      </c>
      <c r="K54" s="12">
        <v>2388</v>
      </c>
      <c r="L54" s="13">
        <v>2588</v>
      </c>
      <c r="M54" s="13">
        <v>0</v>
      </c>
      <c r="N54" s="13">
        <v>5073</v>
      </c>
      <c r="O54" s="14">
        <v>9183</v>
      </c>
      <c r="P54" s="15">
        <f t="shared" si="31"/>
        <v>19232</v>
      </c>
      <c r="S54" s="155">
        <f>IF(OR(SUM(C54:G54)=0,SUM(G$52:G54)=0),"",IF(SUM(S$52:S53)=0,G54,IFERROR(SUM(S53,C54,-D54),"")))</f>
        <v>5226</v>
      </c>
      <c r="T54" s="156">
        <f t="shared" si="32"/>
        <v>23</v>
      </c>
      <c r="U54" s="155">
        <f>IF(OR(SUM(K54:O54)=0,SUM(O$52:O54)=0),"",IF(SUM(U$52:U53)=0,O54,IFERROR(SUM(U53,K54,-L54),"")))</f>
        <v>9118</v>
      </c>
      <c r="V54" s="156">
        <f t="shared" si="33"/>
        <v>-65</v>
      </c>
    </row>
    <row r="55" spans="1:22" x14ac:dyDescent="0.25">
      <c r="A55" s="65" t="str">
        <f>B50</f>
        <v>نیشابور</v>
      </c>
      <c r="B55" s="11" t="s">
        <v>11</v>
      </c>
      <c r="C55" s="12">
        <v>145</v>
      </c>
      <c r="D55" s="13">
        <v>1671</v>
      </c>
      <c r="E55" s="13">
        <v>0</v>
      </c>
      <c r="F55" s="13">
        <v>0</v>
      </c>
      <c r="G55" s="14">
        <v>4080</v>
      </c>
      <c r="H55" s="15">
        <f t="shared" si="30"/>
        <v>5896</v>
      </c>
      <c r="I55" s="65" t="str">
        <f>J50</f>
        <v>دوغارون</v>
      </c>
      <c r="J55" s="11" t="s">
        <v>11</v>
      </c>
      <c r="K55" s="12">
        <v>4354</v>
      </c>
      <c r="L55" s="13">
        <v>4991</v>
      </c>
      <c r="M55" s="13">
        <v>0</v>
      </c>
      <c r="N55" s="13">
        <v>9685</v>
      </c>
      <c r="O55" s="14">
        <v>8698</v>
      </c>
      <c r="P55" s="15">
        <f t="shared" si="31"/>
        <v>27728</v>
      </c>
      <c r="S55" s="155">
        <f>IF(OR(SUM(C55:G55)=0,SUM(G$52:G55)=0),"",IF(SUM(S$52:S54)=0,G55,IFERROR(SUM(S54,C55,-D55),"")))</f>
        <v>3700</v>
      </c>
      <c r="T55" s="156">
        <f t="shared" si="32"/>
        <v>-380</v>
      </c>
      <c r="U55" s="155">
        <f>IF(OR(SUM(K55:O55)=0,SUM(O$52:O55)=0),"",IF(SUM(U$52:U54)=0,O55,IFERROR(SUM(U54,K55,-L55),"")))</f>
        <v>8481</v>
      </c>
      <c r="V55" s="156">
        <f t="shared" si="33"/>
        <v>-217</v>
      </c>
    </row>
    <row r="56" spans="1:22" x14ac:dyDescent="0.25">
      <c r="A56" s="65" t="str">
        <f>B50</f>
        <v>نیشابور</v>
      </c>
      <c r="B56" s="11" t="s">
        <v>12</v>
      </c>
      <c r="C56" s="12">
        <v>627</v>
      </c>
      <c r="D56" s="13">
        <v>1608</v>
      </c>
      <c r="E56" s="13">
        <v>1</v>
      </c>
      <c r="F56" s="13">
        <v>0</v>
      </c>
      <c r="G56" s="14">
        <v>3099</v>
      </c>
      <c r="H56" s="15">
        <f t="shared" si="30"/>
        <v>5335</v>
      </c>
      <c r="I56" s="65" t="str">
        <f>J50</f>
        <v>دوغارون</v>
      </c>
      <c r="J56" s="11" t="s">
        <v>12</v>
      </c>
      <c r="K56" s="12">
        <v>3397</v>
      </c>
      <c r="L56" s="13">
        <v>11289</v>
      </c>
      <c r="M56" s="13">
        <v>0</v>
      </c>
      <c r="N56" s="13">
        <v>9860</v>
      </c>
      <c r="O56" s="14">
        <v>916</v>
      </c>
      <c r="P56" s="15">
        <f t="shared" si="31"/>
        <v>25462</v>
      </c>
      <c r="S56" s="155">
        <f>IF(OR(SUM(C56:G56)=0,SUM(G$52:G56)=0),"",IF(SUM(S$52:S55)=0,G56,IFERROR(SUM(S55,C56,-D56),"")))</f>
        <v>2719</v>
      </c>
      <c r="T56" s="156">
        <f t="shared" si="32"/>
        <v>-380</v>
      </c>
      <c r="U56" s="155">
        <f>IF(OR(SUM(K56:O56)=0,SUM(O$52:O56)=0),"",IF(SUM(U$52:U55)=0,O56,IFERROR(SUM(U55,K56,-L56),"")))</f>
        <v>589</v>
      </c>
      <c r="V56" s="156">
        <f t="shared" si="33"/>
        <v>-327</v>
      </c>
    </row>
    <row r="57" spans="1:22" x14ac:dyDescent="0.25">
      <c r="A57" s="65" t="str">
        <f>B50</f>
        <v>نیشابور</v>
      </c>
      <c r="B57" s="11" t="s">
        <v>13</v>
      </c>
      <c r="C57" s="12">
        <v>542</v>
      </c>
      <c r="D57" s="13">
        <v>460</v>
      </c>
      <c r="E57" s="13">
        <v>0</v>
      </c>
      <c r="F57" s="13">
        <v>0</v>
      </c>
      <c r="G57" s="14">
        <v>3181</v>
      </c>
      <c r="H57" s="15">
        <f t="shared" si="30"/>
        <v>4183</v>
      </c>
      <c r="I57" s="65" t="str">
        <f>J50</f>
        <v>دوغارون</v>
      </c>
      <c r="J57" s="11" t="s">
        <v>13</v>
      </c>
      <c r="K57" s="12">
        <v>4287</v>
      </c>
      <c r="L57" s="13">
        <v>4016</v>
      </c>
      <c r="M57" s="13">
        <v>0</v>
      </c>
      <c r="N57" s="13">
        <v>13031</v>
      </c>
      <c r="O57" s="14">
        <v>1291</v>
      </c>
      <c r="P57" s="15">
        <f t="shared" si="31"/>
        <v>22625</v>
      </c>
      <c r="S57" s="155">
        <f>IF(OR(SUM(C57:G57)=0,SUM(G$52:G57)=0),"",IF(SUM(S$52:S56)=0,G57,IFERROR(SUM(S56,C57,-D57),"")))</f>
        <v>2801</v>
      </c>
      <c r="T57" s="156">
        <f t="shared" si="32"/>
        <v>-380</v>
      </c>
      <c r="U57" s="155">
        <f>IF(OR(SUM(K57:O57)=0,SUM(O$52:O57)=0),"",IF(SUM(U$52:U56)=0,O57,IFERROR(SUM(U56,K57,-L57),"")))</f>
        <v>860</v>
      </c>
      <c r="V57" s="156">
        <f t="shared" si="33"/>
        <v>-431</v>
      </c>
    </row>
    <row r="58" spans="1:22" x14ac:dyDescent="0.25">
      <c r="A58" s="65" t="str">
        <f>B50</f>
        <v>نیشابور</v>
      </c>
      <c r="B58" s="11" t="s">
        <v>14</v>
      </c>
      <c r="C58" s="12">
        <v>791</v>
      </c>
      <c r="D58" s="13">
        <v>408</v>
      </c>
      <c r="E58" s="13">
        <v>0</v>
      </c>
      <c r="F58" s="13">
        <v>0</v>
      </c>
      <c r="G58" s="14">
        <v>3563</v>
      </c>
      <c r="H58" s="15">
        <f>SUM(C58:G58)</f>
        <v>4762</v>
      </c>
      <c r="I58" s="65" t="str">
        <f>J50</f>
        <v>دوغارون</v>
      </c>
      <c r="J58" s="11" t="s">
        <v>14</v>
      </c>
      <c r="K58" s="12">
        <v>4905</v>
      </c>
      <c r="L58" s="13">
        <v>4718</v>
      </c>
      <c r="M58" s="13">
        <v>0</v>
      </c>
      <c r="N58" s="13">
        <v>21917</v>
      </c>
      <c r="O58" s="14">
        <v>1584</v>
      </c>
      <c r="P58" s="15">
        <f t="shared" ref="P58:P63" si="34">SUM(K58:O58)</f>
        <v>33124</v>
      </c>
      <c r="S58" s="155">
        <f>IF(OR(SUM(C58:G58)=0,SUM(G$52:G58)=0),"",IF(SUM(S$52:S57)=0,G58,IFERROR(SUM(S57,C58,-D58),"")))</f>
        <v>3184</v>
      </c>
      <c r="T58" s="156">
        <f t="shared" si="32"/>
        <v>-379</v>
      </c>
      <c r="U58" s="155">
        <f>IF(OR(SUM(K58:O58)=0,SUM(O$52:O58)=0),"",IF(SUM(U$52:U57)=0,O58,IFERROR(SUM(U57,K58,-L58),"")))</f>
        <v>1047</v>
      </c>
      <c r="V58" s="156">
        <f t="shared" si="33"/>
        <v>-537</v>
      </c>
    </row>
    <row r="59" spans="1:22" x14ac:dyDescent="0.25">
      <c r="A59" s="65" t="str">
        <f>B50</f>
        <v>نیشابور</v>
      </c>
      <c r="B59" s="11" t="s">
        <v>15</v>
      </c>
      <c r="C59" s="12">
        <v>2455</v>
      </c>
      <c r="D59" s="13">
        <v>1282</v>
      </c>
      <c r="E59" s="13">
        <v>0</v>
      </c>
      <c r="F59" s="13">
        <v>0</v>
      </c>
      <c r="G59" s="14">
        <v>4736</v>
      </c>
      <c r="H59" s="15">
        <f>SUM(C59:G59)</f>
        <v>8473</v>
      </c>
      <c r="I59" s="65" t="str">
        <f>J50</f>
        <v>دوغارون</v>
      </c>
      <c r="J59" s="11" t="s">
        <v>15</v>
      </c>
      <c r="K59" s="12">
        <v>22631</v>
      </c>
      <c r="L59" s="13">
        <v>7227</v>
      </c>
      <c r="M59" s="13">
        <v>0</v>
      </c>
      <c r="N59" s="13">
        <v>14904</v>
      </c>
      <c r="O59" s="14">
        <v>17079</v>
      </c>
      <c r="P59" s="15">
        <f t="shared" si="34"/>
        <v>61841</v>
      </c>
      <c r="S59" s="155">
        <f>IF(OR(SUM(C59:G59)=0,SUM(G$52:G59)=0),"",IF(SUM(S$52:S58)=0,G59,IFERROR(SUM(S58,C59,-D59),"")))</f>
        <v>4357</v>
      </c>
      <c r="T59" s="156">
        <f t="shared" si="32"/>
        <v>-379</v>
      </c>
      <c r="U59" s="155">
        <f>IF(OR(SUM(K59:O59)=0,SUM(O$52:O59)=0),"",IF(SUM(U$52:U58)=0,O59,IFERROR(SUM(U58,K59,-L59),"")))</f>
        <v>16451</v>
      </c>
      <c r="V59" s="156">
        <f t="shared" si="33"/>
        <v>-628</v>
      </c>
    </row>
    <row r="60" spans="1:22" x14ac:dyDescent="0.25">
      <c r="A60" s="65" t="str">
        <f>B50</f>
        <v>نیشابور</v>
      </c>
      <c r="B60" s="11" t="s">
        <v>16</v>
      </c>
      <c r="C60" s="12">
        <v>962</v>
      </c>
      <c r="D60" s="13">
        <v>1060</v>
      </c>
      <c r="E60" s="13"/>
      <c r="F60" s="13"/>
      <c r="G60" s="14">
        <v>4639</v>
      </c>
      <c r="H60" s="15">
        <f t="shared" ref="H60:H63" si="35">SUM(C60:F60)</f>
        <v>2022</v>
      </c>
      <c r="I60" s="65" t="str">
        <f>J50</f>
        <v>دوغارون</v>
      </c>
      <c r="J60" s="11" t="s">
        <v>16</v>
      </c>
      <c r="K60" s="12">
        <v>11079</v>
      </c>
      <c r="L60" s="13">
        <v>12176</v>
      </c>
      <c r="M60" s="13"/>
      <c r="N60" s="13">
        <v>20843</v>
      </c>
      <c r="O60" s="14">
        <v>16107</v>
      </c>
      <c r="P60" s="15">
        <f t="shared" si="34"/>
        <v>60205</v>
      </c>
      <c r="S60" s="155">
        <f>IF(OR(SUM(C60:G60)=0,SUM(G$52:G60)=0),"",IF(SUM(S$52:S59)=0,G60,IFERROR(SUM(S59,C60,-D60),"")))</f>
        <v>4259</v>
      </c>
      <c r="T60" s="156">
        <f t="shared" si="32"/>
        <v>-380</v>
      </c>
      <c r="U60" s="155">
        <f>IF(OR(SUM(K60:O60)=0,SUM(O$52:O60)=0),"",IF(SUM(U$52:U59)=0,O60,IFERROR(SUM(U59,K60,-L60),"")))</f>
        <v>15354</v>
      </c>
      <c r="V60" s="156">
        <f t="shared" si="33"/>
        <v>-753</v>
      </c>
    </row>
    <row r="61" spans="1:22" x14ac:dyDescent="0.25">
      <c r="A61" s="65" t="str">
        <f>B50</f>
        <v>نیشابور</v>
      </c>
      <c r="B61" s="11" t="s">
        <v>17</v>
      </c>
      <c r="C61" s="12">
        <v>411</v>
      </c>
      <c r="D61" s="13">
        <v>1474</v>
      </c>
      <c r="E61" s="13"/>
      <c r="F61" s="13"/>
      <c r="G61" s="14">
        <v>3576</v>
      </c>
      <c r="H61" s="15">
        <f t="shared" si="35"/>
        <v>1885</v>
      </c>
      <c r="I61" s="65" t="str">
        <f>J50</f>
        <v>دوغارون</v>
      </c>
      <c r="J61" s="11" t="s">
        <v>17</v>
      </c>
      <c r="K61" s="12">
        <v>6907</v>
      </c>
      <c r="L61" s="13">
        <v>13655</v>
      </c>
      <c r="M61" s="13"/>
      <c r="N61" s="13">
        <v>10848</v>
      </c>
      <c r="O61" s="14">
        <v>9605</v>
      </c>
      <c r="P61" s="15">
        <f t="shared" si="34"/>
        <v>41015</v>
      </c>
      <c r="S61" s="155">
        <f>IF(OR(SUM(C61:G61)=0,SUM(G$52:G61)=0),"",IF(SUM(S$52:S60)=0,G61,IFERROR(SUM(S60,C61,-D61),"")))</f>
        <v>3196</v>
      </c>
      <c r="T61" s="156">
        <f t="shared" si="32"/>
        <v>-380</v>
      </c>
      <c r="U61" s="155">
        <f>IF(OR(SUM(K61:O61)=0,SUM(O$52:O61)=0),"",IF(SUM(U$52:U60)=0,O61,IFERROR(SUM(U60,K61,-L61),"")))</f>
        <v>8606</v>
      </c>
      <c r="V61" s="156">
        <f t="shared" si="33"/>
        <v>-999</v>
      </c>
    </row>
    <row r="62" spans="1:22" x14ac:dyDescent="0.25">
      <c r="A62" s="65" t="str">
        <f>B50</f>
        <v>نیشابور</v>
      </c>
      <c r="B62" s="11" t="s">
        <v>18</v>
      </c>
      <c r="C62" s="12">
        <v>565</v>
      </c>
      <c r="D62" s="13">
        <v>1003</v>
      </c>
      <c r="E62" s="13"/>
      <c r="F62" s="13"/>
      <c r="G62" s="14">
        <v>3138</v>
      </c>
      <c r="H62" s="15">
        <f t="shared" si="35"/>
        <v>1568</v>
      </c>
      <c r="I62" s="65" t="str">
        <f>J50</f>
        <v>دوغارون</v>
      </c>
      <c r="J62" s="11" t="s">
        <v>18</v>
      </c>
      <c r="K62" s="12">
        <v>9541</v>
      </c>
      <c r="L62" s="13">
        <v>13236</v>
      </c>
      <c r="M62" s="13"/>
      <c r="N62" s="13">
        <v>19220</v>
      </c>
      <c r="O62" s="14">
        <v>8842</v>
      </c>
      <c r="P62" s="15">
        <f t="shared" si="34"/>
        <v>50839</v>
      </c>
      <c r="S62" s="155">
        <f>IF(OR(SUM(C62:G62)=0,SUM(G$52:G62)=0),"",IF(SUM(S$52:S61)=0,G62,IFERROR(SUM(S61,C62,-D62),"")))</f>
        <v>2758</v>
      </c>
      <c r="T62" s="156">
        <f t="shared" si="32"/>
        <v>-380</v>
      </c>
      <c r="U62" s="155">
        <f>IF(OR(SUM(K62:O62)=0,SUM(O$52:O62)=0),"",IF(SUM(U$52:U61)=0,O62,IFERROR(SUM(U61,K62,-L62),"")))</f>
        <v>4911</v>
      </c>
      <c r="V62" s="156">
        <f t="shared" si="33"/>
        <v>-3931</v>
      </c>
    </row>
    <row r="63" spans="1:22" ht="20.25" thickBot="1" x14ac:dyDescent="0.3">
      <c r="A63" s="65" t="str">
        <f>B50</f>
        <v>نیشابور</v>
      </c>
      <c r="B63" s="16" t="s">
        <v>19</v>
      </c>
      <c r="C63" s="17">
        <v>2171</v>
      </c>
      <c r="D63" s="18">
        <v>473</v>
      </c>
      <c r="E63" s="18"/>
      <c r="F63" s="18"/>
      <c r="G63" s="19">
        <v>4836</v>
      </c>
      <c r="H63" s="20">
        <f t="shared" si="35"/>
        <v>2644</v>
      </c>
      <c r="I63" s="65" t="str">
        <f>J50</f>
        <v>دوغارون</v>
      </c>
      <c r="J63" s="16" t="s">
        <v>19</v>
      </c>
      <c r="K63" s="17">
        <v>8073</v>
      </c>
      <c r="L63" s="18">
        <v>10052</v>
      </c>
      <c r="M63" s="18"/>
      <c r="N63" s="18">
        <v>30750</v>
      </c>
      <c r="O63" s="19">
        <v>4403</v>
      </c>
      <c r="P63" s="20">
        <f t="shared" si="34"/>
        <v>53278</v>
      </c>
      <c r="S63" s="155">
        <f>IF(OR(SUM(C63:G63)=0,SUM(G$52:G63)=0),"",IF(SUM(S$52:S62)=0,G63,IFERROR(SUM(S62,C63,-D63),"")))</f>
        <v>4456</v>
      </c>
      <c r="T63" s="156">
        <f t="shared" si="32"/>
        <v>-380</v>
      </c>
      <c r="U63" s="155">
        <f>IF(OR(SUM(K63:O63)=0,SUM(O$52:O63)=0),"",IF(SUM(U$52:U62)=0,O63,IFERROR(SUM(U62,K63,-L63),"")))</f>
        <v>2932</v>
      </c>
      <c r="V63" s="156">
        <f t="shared" si="33"/>
        <v>-1471</v>
      </c>
    </row>
    <row r="64" spans="1:22" ht="21" thickBot="1" x14ac:dyDescent="0.3">
      <c r="B64" s="53" t="s">
        <v>6</v>
      </c>
      <c r="C64" s="61">
        <f>SUM(C52:C63)</f>
        <v>12203</v>
      </c>
      <c r="D64" s="62">
        <f t="shared" ref="D64:F64" si="36">SUM(D52:D63)</f>
        <v>16526</v>
      </c>
      <c r="E64" s="62">
        <f t="shared" si="36"/>
        <v>1</v>
      </c>
      <c r="F64" s="62">
        <f t="shared" si="36"/>
        <v>0</v>
      </c>
      <c r="G64" s="63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4836</v>
      </c>
      <c r="H64" s="64">
        <f t="shared" ref="H64" si="37">SUM(C64:F64)</f>
        <v>28730</v>
      </c>
      <c r="J64" s="53" t="s">
        <v>6</v>
      </c>
      <c r="K64" s="61">
        <f>SUM(K52:K63)</f>
        <v>87087</v>
      </c>
      <c r="L64" s="62">
        <f t="shared" ref="L64:N64" si="38">SUM(L52:L63)</f>
        <v>93757</v>
      </c>
      <c r="M64" s="62">
        <f t="shared" si="38"/>
        <v>50</v>
      </c>
      <c r="N64" s="62">
        <f t="shared" si="38"/>
        <v>169021</v>
      </c>
      <c r="O64" s="63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4403</v>
      </c>
      <c r="P64" s="64">
        <f t="shared" ref="P64" si="39">SUM(K64:N64)</f>
        <v>349915</v>
      </c>
    </row>
    <row r="65" spans="1:22" ht="3.95" customHeight="1" thickBot="1" x14ac:dyDescent="0.3"/>
    <row r="66" spans="1:22" ht="26.25" thickBot="1" x14ac:dyDescent="0.3">
      <c r="B66" s="207" t="s">
        <v>38</v>
      </c>
      <c r="C66" s="208"/>
      <c r="D66" s="208"/>
      <c r="E66" s="208"/>
      <c r="F66" s="208"/>
      <c r="G66" s="208"/>
      <c r="H66" s="209"/>
      <c r="J66" s="207" t="s">
        <v>40</v>
      </c>
      <c r="K66" s="208"/>
      <c r="L66" s="208"/>
      <c r="M66" s="208"/>
      <c r="N66" s="208"/>
      <c r="O66" s="208"/>
      <c r="P66" s="209"/>
    </row>
    <row r="67" spans="1:22" ht="21" thickBot="1" x14ac:dyDescent="0.3">
      <c r="B67" s="53" t="s">
        <v>0</v>
      </c>
      <c r="C67" s="54" t="s">
        <v>1</v>
      </c>
      <c r="D67" s="55" t="s">
        <v>2</v>
      </c>
      <c r="E67" s="55" t="s">
        <v>3</v>
      </c>
      <c r="F67" s="55" t="s">
        <v>4</v>
      </c>
      <c r="G67" s="56" t="s">
        <v>5</v>
      </c>
      <c r="H67" s="53" t="s">
        <v>7</v>
      </c>
      <c r="J67" s="53" t="s">
        <v>0</v>
      </c>
      <c r="K67" s="54" t="s">
        <v>1</v>
      </c>
      <c r="L67" s="55" t="s">
        <v>2</v>
      </c>
      <c r="M67" s="55" t="s">
        <v>3</v>
      </c>
      <c r="N67" s="55" t="s">
        <v>4</v>
      </c>
      <c r="O67" s="56" t="s">
        <v>5</v>
      </c>
      <c r="P67" s="53" t="s">
        <v>7</v>
      </c>
    </row>
    <row r="68" spans="1:22" x14ac:dyDescent="0.25">
      <c r="A68" s="65" t="str">
        <f>B66</f>
        <v>بجنورد</v>
      </c>
      <c r="B68" s="6" t="s">
        <v>8</v>
      </c>
      <c r="C68" s="7">
        <v>1</v>
      </c>
      <c r="D68" s="8">
        <v>1</v>
      </c>
      <c r="E68" s="8">
        <v>0</v>
      </c>
      <c r="F68" s="8">
        <v>0</v>
      </c>
      <c r="G68" s="9">
        <v>272</v>
      </c>
      <c r="H68" s="10">
        <f t="shared" ref="H68:H76" si="40">SUM(C68:G68)</f>
        <v>274</v>
      </c>
      <c r="I68" s="65" t="str">
        <f>J66</f>
        <v>بیرجند</v>
      </c>
      <c r="J68" s="6" t="s">
        <v>8</v>
      </c>
      <c r="K68" s="7"/>
      <c r="L68" s="8"/>
      <c r="M68" s="8"/>
      <c r="N68" s="8"/>
      <c r="O68" s="9"/>
      <c r="P68" s="10">
        <f>SUM(K68:N68)</f>
        <v>0</v>
      </c>
      <c r="S68" s="155">
        <f>IF(SUM(G68)=0,"",IFERROR(G68,""))</f>
        <v>272</v>
      </c>
      <c r="T68" s="156">
        <f>IFERROR(S68-G68,"")</f>
        <v>0</v>
      </c>
      <c r="U68" s="155" t="str">
        <f>IF(SUM(O68)=0,"",IFERROR(O68,""))</f>
        <v/>
      </c>
      <c r="V68" s="156" t="str">
        <f>IFERROR(U68-O68,"")</f>
        <v/>
      </c>
    </row>
    <row r="69" spans="1:22" x14ac:dyDescent="0.25">
      <c r="A69" s="65" t="str">
        <f>B66</f>
        <v>بجنورد</v>
      </c>
      <c r="B69" s="11" t="s">
        <v>9</v>
      </c>
      <c r="C69" s="12">
        <v>28</v>
      </c>
      <c r="D69" s="13">
        <v>48</v>
      </c>
      <c r="E69" s="13">
        <v>29</v>
      </c>
      <c r="F69" s="13">
        <v>0</v>
      </c>
      <c r="G69" s="14">
        <v>251</v>
      </c>
      <c r="H69" s="15">
        <f t="shared" si="40"/>
        <v>356</v>
      </c>
      <c r="I69" s="65" t="str">
        <f>J66</f>
        <v>بیرجند</v>
      </c>
      <c r="J69" s="11" t="s">
        <v>9</v>
      </c>
      <c r="K69" s="12">
        <v>313</v>
      </c>
      <c r="L69" s="13">
        <v>150</v>
      </c>
      <c r="M69" s="13">
        <v>0</v>
      </c>
      <c r="N69" s="13">
        <v>0</v>
      </c>
      <c r="O69" s="14">
        <v>313</v>
      </c>
      <c r="P69" s="15">
        <f t="shared" ref="P69:P76" si="41">SUM(K69:O69)</f>
        <v>776</v>
      </c>
      <c r="S69" s="155">
        <f>IF(OR(SUM(C69:G69)=0,SUM(G$68:G69)=0),"",IF(SUM(S$68:S68)=0,G69,IFERROR(SUM(S68,C69,-D69),"")))</f>
        <v>252</v>
      </c>
      <c r="T69" s="156">
        <f t="shared" ref="T69:T79" si="42">IFERROR(S69-G69,"")</f>
        <v>1</v>
      </c>
      <c r="U69" s="155">
        <f>IF(OR(SUM(K69:O69)=0,SUM(O$68:O69)=0),"",IF(SUM(U$68:U68)=0,O69,IFERROR(SUM(U68,K69,-L69),"")))</f>
        <v>313</v>
      </c>
      <c r="V69" s="156">
        <f t="shared" ref="V69:V79" si="43">IFERROR(U69-O69,"")</f>
        <v>0</v>
      </c>
    </row>
    <row r="70" spans="1:22" x14ac:dyDescent="0.25">
      <c r="A70" s="65" t="str">
        <f>B66</f>
        <v>بجنورد</v>
      </c>
      <c r="B70" s="11" t="s">
        <v>10</v>
      </c>
      <c r="C70" s="12">
        <v>46</v>
      </c>
      <c r="D70" s="13">
        <v>0</v>
      </c>
      <c r="E70" s="13">
        <v>0</v>
      </c>
      <c r="F70" s="13">
        <v>0</v>
      </c>
      <c r="G70" s="14">
        <v>297</v>
      </c>
      <c r="H70" s="15">
        <f t="shared" si="40"/>
        <v>343</v>
      </c>
      <c r="I70" s="65" t="str">
        <f>J66</f>
        <v>بیرجند</v>
      </c>
      <c r="J70" s="11" t="s">
        <v>10</v>
      </c>
      <c r="K70" s="12">
        <v>198</v>
      </c>
      <c r="L70" s="13">
        <v>75</v>
      </c>
      <c r="M70" s="13">
        <v>0</v>
      </c>
      <c r="N70" s="13">
        <v>0</v>
      </c>
      <c r="O70" s="14">
        <v>313</v>
      </c>
      <c r="P70" s="15">
        <f t="shared" si="41"/>
        <v>586</v>
      </c>
      <c r="S70" s="155">
        <f>IF(OR(SUM(C70:G70)=0,SUM(G$68:G70)=0),"",IF(SUM(S$68:S69)=0,G70,IFERROR(SUM(S69,C70,-D70),"")))</f>
        <v>298</v>
      </c>
      <c r="T70" s="156">
        <f t="shared" si="42"/>
        <v>1</v>
      </c>
      <c r="U70" s="155">
        <f>IF(OR(SUM(K70:O70)=0,SUM(O$68:O70)=0),"",IF(SUM(U$68:U69)=0,O70,IFERROR(SUM(U69,K70,-L70),"")))</f>
        <v>436</v>
      </c>
      <c r="V70" s="156">
        <f t="shared" si="43"/>
        <v>123</v>
      </c>
    </row>
    <row r="71" spans="1:22" x14ac:dyDescent="0.25">
      <c r="A71" s="65" t="str">
        <f>B66</f>
        <v>بجنورد</v>
      </c>
      <c r="B71" s="11" t="s">
        <v>11</v>
      </c>
      <c r="C71" s="12">
        <v>112</v>
      </c>
      <c r="D71" s="13">
        <v>49</v>
      </c>
      <c r="E71" s="13">
        <v>0</v>
      </c>
      <c r="F71" s="13">
        <v>0</v>
      </c>
      <c r="G71" s="14">
        <v>382</v>
      </c>
      <c r="H71" s="15">
        <f t="shared" si="40"/>
        <v>543</v>
      </c>
      <c r="I71" s="65" t="str">
        <f>J66</f>
        <v>بیرجند</v>
      </c>
      <c r="J71" s="11" t="s">
        <v>11</v>
      </c>
      <c r="K71" s="12">
        <v>0</v>
      </c>
      <c r="L71" s="13">
        <v>174</v>
      </c>
      <c r="M71" s="13">
        <v>0</v>
      </c>
      <c r="N71" s="13">
        <v>0</v>
      </c>
      <c r="O71" s="14">
        <v>262</v>
      </c>
      <c r="P71" s="15">
        <f t="shared" si="41"/>
        <v>436</v>
      </c>
      <c r="S71" s="155">
        <f>IF(OR(SUM(C71:G71)=0,SUM(G$68:G71)=0),"",IF(SUM(S$68:S70)=0,G71,IFERROR(SUM(S70,C71,-D71),"")))</f>
        <v>361</v>
      </c>
      <c r="T71" s="156">
        <f t="shared" si="42"/>
        <v>-21</v>
      </c>
      <c r="U71" s="155">
        <f>IF(OR(SUM(K71:O71)=0,SUM(O$68:O71)=0),"",IF(SUM(U$68:U70)=0,O71,IFERROR(SUM(U70,K71,-L71),"")))</f>
        <v>262</v>
      </c>
      <c r="V71" s="156">
        <f t="shared" si="43"/>
        <v>0</v>
      </c>
    </row>
    <row r="72" spans="1:22" x14ac:dyDescent="0.25">
      <c r="A72" s="65" t="str">
        <f>B66</f>
        <v>بجنورد</v>
      </c>
      <c r="B72" s="11" t="s">
        <v>12</v>
      </c>
      <c r="C72" s="12">
        <v>33</v>
      </c>
      <c r="D72" s="13">
        <v>186</v>
      </c>
      <c r="E72" s="13">
        <v>0</v>
      </c>
      <c r="F72" s="13">
        <v>0</v>
      </c>
      <c r="G72" s="14">
        <v>229</v>
      </c>
      <c r="H72" s="15">
        <f t="shared" si="40"/>
        <v>448</v>
      </c>
      <c r="I72" s="65" t="str">
        <f>J66</f>
        <v>بیرجند</v>
      </c>
      <c r="J72" s="11" t="s">
        <v>12</v>
      </c>
      <c r="K72" s="12">
        <v>0</v>
      </c>
      <c r="L72" s="13">
        <v>103</v>
      </c>
      <c r="M72" s="13">
        <v>0</v>
      </c>
      <c r="N72" s="13">
        <v>0</v>
      </c>
      <c r="O72" s="14">
        <v>160</v>
      </c>
      <c r="P72" s="15">
        <f t="shared" si="41"/>
        <v>263</v>
      </c>
      <c r="S72" s="155">
        <f>IF(OR(SUM(C72:G72)=0,SUM(G$68:G72)=0),"",IF(SUM(S$68:S71)=0,G72,IFERROR(SUM(S71,C72,-D72),"")))</f>
        <v>208</v>
      </c>
      <c r="T72" s="156">
        <f t="shared" si="42"/>
        <v>-21</v>
      </c>
      <c r="U72" s="155">
        <f>IF(OR(SUM(K72:O72)=0,SUM(O$68:O72)=0),"",IF(SUM(U$68:U71)=0,O72,IFERROR(SUM(U71,K72,-L72),"")))</f>
        <v>159</v>
      </c>
      <c r="V72" s="156">
        <f t="shared" si="43"/>
        <v>-1</v>
      </c>
    </row>
    <row r="73" spans="1:22" x14ac:dyDescent="0.25">
      <c r="A73" s="65" t="str">
        <f>B66</f>
        <v>بجنورد</v>
      </c>
      <c r="B73" s="11" t="s">
        <v>13</v>
      </c>
      <c r="C73" s="12">
        <v>7</v>
      </c>
      <c r="D73" s="13">
        <v>89</v>
      </c>
      <c r="E73" s="13">
        <v>0</v>
      </c>
      <c r="F73" s="13">
        <v>0</v>
      </c>
      <c r="G73" s="14">
        <v>147</v>
      </c>
      <c r="H73" s="15">
        <f t="shared" si="40"/>
        <v>243</v>
      </c>
      <c r="I73" s="65" t="str">
        <f>J66</f>
        <v>بیرجند</v>
      </c>
      <c r="J73" s="11" t="s">
        <v>13</v>
      </c>
      <c r="K73" s="12">
        <v>86</v>
      </c>
      <c r="L73" s="13">
        <v>124</v>
      </c>
      <c r="M73" s="13">
        <v>0</v>
      </c>
      <c r="N73" s="13">
        <v>0</v>
      </c>
      <c r="O73" s="14">
        <v>313</v>
      </c>
      <c r="P73" s="15">
        <f t="shared" si="41"/>
        <v>523</v>
      </c>
      <c r="S73" s="155">
        <f>IF(OR(SUM(C73:G73)=0,SUM(G$68:G73)=0),"",IF(SUM(S$68:S72)=0,G73,IFERROR(SUM(S72,C73,-D73),"")))</f>
        <v>126</v>
      </c>
      <c r="T73" s="156">
        <f t="shared" si="42"/>
        <v>-21</v>
      </c>
      <c r="U73" s="155">
        <f>IF(OR(SUM(K73:O73)=0,SUM(O$68:O73)=0),"",IF(SUM(U$68:U72)=0,O73,IFERROR(SUM(U72,K73,-L73),"")))</f>
        <v>121</v>
      </c>
      <c r="V73" s="156">
        <f t="shared" si="43"/>
        <v>-192</v>
      </c>
    </row>
    <row r="74" spans="1:22" x14ac:dyDescent="0.25">
      <c r="A74" s="65" t="str">
        <f>B66</f>
        <v>بجنورد</v>
      </c>
      <c r="B74" s="11" t="s">
        <v>14</v>
      </c>
      <c r="C74" s="12">
        <v>55</v>
      </c>
      <c r="D74" s="13">
        <v>62</v>
      </c>
      <c r="E74" s="13">
        <v>0</v>
      </c>
      <c r="F74" s="13">
        <v>0</v>
      </c>
      <c r="G74" s="14">
        <v>139</v>
      </c>
      <c r="H74" s="15">
        <f t="shared" si="40"/>
        <v>256</v>
      </c>
      <c r="I74" s="65" t="str">
        <f>J66</f>
        <v>بیرجند</v>
      </c>
      <c r="J74" s="11" t="s">
        <v>14</v>
      </c>
      <c r="K74" s="12">
        <v>14</v>
      </c>
      <c r="L74" s="13">
        <v>86</v>
      </c>
      <c r="M74" s="13">
        <v>0</v>
      </c>
      <c r="N74" s="13">
        <v>0</v>
      </c>
      <c r="O74" s="14">
        <v>50</v>
      </c>
      <c r="P74" s="15">
        <f t="shared" si="41"/>
        <v>150</v>
      </c>
      <c r="S74" s="155">
        <f>IF(OR(SUM(C74:G74)=0,SUM(G$68:G74)=0),"",IF(SUM(S$68:S73)=0,G74,IFERROR(SUM(S73,C74,-D74),"")))</f>
        <v>119</v>
      </c>
      <c r="T74" s="156">
        <f t="shared" si="42"/>
        <v>-20</v>
      </c>
      <c r="U74" s="155">
        <f>IF(OR(SUM(K74:O74)=0,SUM(O$68:O74)=0),"",IF(SUM(U$68:U73)=0,O74,IFERROR(SUM(U73,K74,-L74),"")))</f>
        <v>49</v>
      </c>
      <c r="V74" s="156">
        <f t="shared" si="43"/>
        <v>-1</v>
      </c>
    </row>
    <row r="75" spans="1:22" x14ac:dyDescent="0.25">
      <c r="A75" s="65" t="str">
        <f>B66</f>
        <v>بجنورد</v>
      </c>
      <c r="B75" s="11" t="s">
        <v>15</v>
      </c>
      <c r="C75" s="12">
        <v>0</v>
      </c>
      <c r="D75" s="13">
        <v>27</v>
      </c>
      <c r="E75" s="13">
        <v>0</v>
      </c>
      <c r="F75" s="13">
        <v>0</v>
      </c>
      <c r="G75" s="14">
        <v>112</v>
      </c>
      <c r="H75" s="15">
        <f t="shared" si="40"/>
        <v>139</v>
      </c>
      <c r="I75" s="65" t="str">
        <f>J66</f>
        <v>بیرجند</v>
      </c>
      <c r="J75" s="11" t="s">
        <v>15</v>
      </c>
      <c r="K75" s="12">
        <v>0</v>
      </c>
      <c r="L75" s="13">
        <v>14</v>
      </c>
      <c r="M75" s="13">
        <v>0</v>
      </c>
      <c r="N75" s="13">
        <v>0</v>
      </c>
      <c r="O75" s="14">
        <v>35</v>
      </c>
      <c r="P75" s="15">
        <f t="shared" si="41"/>
        <v>49</v>
      </c>
      <c r="S75" s="155">
        <f>IF(OR(SUM(C75:G75)=0,SUM(G$68:G75)=0),"",IF(SUM(S$68:S74)=0,G75,IFERROR(SUM(S74,C75,-D75),"")))</f>
        <v>92</v>
      </c>
      <c r="T75" s="156">
        <f t="shared" si="42"/>
        <v>-20</v>
      </c>
      <c r="U75" s="155">
        <f>IF(OR(SUM(K75:O75)=0,SUM(O$68:O75)=0),"",IF(SUM(U$68:U74)=0,O75,IFERROR(SUM(U74,K75,-L75),"")))</f>
        <v>35</v>
      </c>
      <c r="V75" s="156">
        <f t="shared" si="43"/>
        <v>0</v>
      </c>
    </row>
    <row r="76" spans="1:22" x14ac:dyDescent="0.25">
      <c r="A76" s="65" t="str">
        <f>B66</f>
        <v>بجنورد</v>
      </c>
      <c r="B76" s="11" t="s">
        <v>16</v>
      </c>
      <c r="C76" s="12">
        <v>45</v>
      </c>
      <c r="D76" s="13">
        <v>45</v>
      </c>
      <c r="E76" s="13"/>
      <c r="F76" s="13"/>
      <c r="G76" s="14">
        <v>112</v>
      </c>
      <c r="H76" s="15">
        <f t="shared" si="40"/>
        <v>202</v>
      </c>
      <c r="I76" s="65" t="str">
        <f>J66</f>
        <v>بیرجند</v>
      </c>
      <c r="J76" s="11" t="s">
        <v>16</v>
      </c>
      <c r="K76" s="12">
        <v>47</v>
      </c>
      <c r="L76" s="13">
        <v>0</v>
      </c>
      <c r="M76" s="13"/>
      <c r="N76" s="13"/>
      <c r="O76" s="14">
        <v>83</v>
      </c>
      <c r="P76" s="15">
        <f t="shared" si="41"/>
        <v>130</v>
      </c>
      <c r="S76" s="155">
        <f>IF(OR(SUM(C76:G76)=0,SUM(G$68:G76)=0),"",IF(SUM(S$68:S75)=0,G76,IFERROR(SUM(S75,C76,-D76),"")))</f>
        <v>92</v>
      </c>
      <c r="T76" s="156">
        <f t="shared" si="42"/>
        <v>-20</v>
      </c>
      <c r="U76" s="155">
        <f>IF(OR(SUM(K76:O76)=0,SUM(O$68:O76)=0),"",IF(SUM(U$68:U75)=0,O76,IFERROR(SUM(U75,K76,-L76),"")))</f>
        <v>82</v>
      </c>
      <c r="V76" s="156">
        <f t="shared" si="43"/>
        <v>-1</v>
      </c>
    </row>
    <row r="77" spans="1:22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ref="H77:H78" si="44">SUM(C77:F77)</f>
        <v>0</v>
      </c>
      <c r="I77" s="65" t="str">
        <f>J66</f>
        <v>بیرجند</v>
      </c>
      <c r="J77" s="11" t="s">
        <v>17</v>
      </c>
      <c r="K77" s="12">
        <v>251</v>
      </c>
      <c r="L77" s="13">
        <v>48</v>
      </c>
      <c r="M77" s="13"/>
      <c r="N77" s="13"/>
      <c r="O77" s="14">
        <v>286</v>
      </c>
      <c r="P77" s="15">
        <f t="shared" ref="P77:P79" si="45">SUM(K77:N77)</f>
        <v>299</v>
      </c>
      <c r="S77" s="155" t="str">
        <f>IF(OR(SUM(C77:G77)=0,SUM(G$68:G77)=0),"",IF(SUM(S$68:S76)=0,G77,IFERROR(SUM(S76,C77,-D77),"")))</f>
        <v/>
      </c>
      <c r="T77" s="156" t="str">
        <f t="shared" si="42"/>
        <v/>
      </c>
      <c r="U77" s="155">
        <f>IF(OR(SUM(K77:O77)=0,SUM(O$68:O77)=0),"",IF(SUM(U$68:U76)=0,O77,IFERROR(SUM(U76,K77,-L77),"")))</f>
        <v>285</v>
      </c>
      <c r="V77" s="156">
        <f t="shared" si="43"/>
        <v>-1</v>
      </c>
    </row>
    <row r="78" spans="1:22" x14ac:dyDescent="0.25">
      <c r="A78" s="65" t="str">
        <f>B66</f>
        <v>بجنورد</v>
      </c>
      <c r="B78" s="11" t="s">
        <v>18</v>
      </c>
      <c r="C78" s="12">
        <v>19</v>
      </c>
      <c r="D78" s="13"/>
      <c r="E78" s="13"/>
      <c r="F78" s="13"/>
      <c r="G78" s="14">
        <v>131</v>
      </c>
      <c r="H78" s="15">
        <f t="shared" si="44"/>
        <v>19</v>
      </c>
      <c r="I78" s="65" t="str">
        <f>J66</f>
        <v>بیرجند</v>
      </c>
      <c r="J78" s="11" t="s">
        <v>18</v>
      </c>
      <c r="K78" s="12">
        <v>423</v>
      </c>
      <c r="L78" s="13">
        <v>286</v>
      </c>
      <c r="M78" s="13"/>
      <c r="N78" s="13"/>
      <c r="O78" s="14">
        <v>423</v>
      </c>
      <c r="P78" s="15">
        <f t="shared" si="45"/>
        <v>709</v>
      </c>
      <c r="S78" s="155">
        <f>IF(OR(SUM(C78:G78)=0,SUM(G$68:G78)=0),"",IF(SUM(S$68:S77)=0,G78,IFERROR(SUM(S77,C78,-D78),"")))</f>
        <v>19</v>
      </c>
      <c r="T78" s="156">
        <f t="shared" si="42"/>
        <v>-112</v>
      </c>
      <c r="U78" s="155">
        <f>IF(OR(SUM(K78:O78)=0,SUM(O$68:O78)=0),"",IF(SUM(U$68:U77)=0,O78,IFERROR(SUM(U77,K78,-L78),"")))</f>
        <v>422</v>
      </c>
      <c r="V78" s="156">
        <f t="shared" si="43"/>
        <v>-1</v>
      </c>
    </row>
    <row r="79" spans="1:22" ht="20.25" thickBot="1" x14ac:dyDescent="0.3">
      <c r="A79" s="65" t="str">
        <f>B66</f>
        <v>بجنورد</v>
      </c>
      <c r="B79" s="16" t="s">
        <v>19</v>
      </c>
      <c r="C79" s="17">
        <v>26</v>
      </c>
      <c r="D79" s="18">
        <v>129</v>
      </c>
      <c r="E79" s="18"/>
      <c r="F79" s="18"/>
      <c r="G79" s="19">
        <v>28</v>
      </c>
      <c r="H79" s="20">
        <f>SUM(C79:G79)</f>
        <v>183</v>
      </c>
      <c r="I79" s="65" t="str">
        <f>J66</f>
        <v>بیرجند</v>
      </c>
      <c r="J79" s="16" t="s">
        <v>19</v>
      </c>
      <c r="K79" s="17">
        <v>624</v>
      </c>
      <c r="L79" s="18">
        <v>599</v>
      </c>
      <c r="M79" s="18"/>
      <c r="N79" s="18"/>
      <c r="O79" s="19">
        <v>448</v>
      </c>
      <c r="P79" s="20">
        <f t="shared" si="45"/>
        <v>1223</v>
      </c>
      <c r="S79" s="155">
        <f>IF(OR(SUM(C79:G79)=0,SUM(G$68:G79)=0),"",IF(SUM(S$68:S78)=0,G79,IFERROR(SUM(S78,C79,-D79),"")))</f>
        <v>-84</v>
      </c>
      <c r="T79" s="156">
        <f t="shared" si="42"/>
        <v>-112</v>
      </c>
      <c r="U79" s="155">
        <f>IF(OR(SUM(K79:O79)=0,SUM(O$68:O79)=0),"",IF(SUM(U$68:U78)=0,O79,IFERROR(SUM(U78,K79,-L79),"")))</f>
        <v>447</v>
      </c>
      <c r="V79" s="156">
        <f t="shared" si="43"/>
        <v>-1</v>
      </c>
    </row>
    <row r="80" spans="1:22" ht="21" thickBot="1" x14ac:dyDescent="0.3">
      <c r="B80" s="53" t="s">
        <v>6</v>
      </c>
      <c r="C80" s="61">
        <f>SUM(C68:C79)</f>
        <v>372</v>
      </c>
      <c r="D80" s="62">
        <f t="shared" ref="D80:F80" si="46">SUM(D68:D79)</f>
        <v>636</v>
      </c>
      <c r="E80" s="62">
        <f t="shared" si="46"/>
        <v>29</v>
      </c>
      <c r="F80" s="62">
        <f t="shared" si="46"/>
        <v>0</v>
      </c>
      <c r="G80" s="63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28</v>
      </c>
      <c r="H80" s="64">
        <f t="shared" ref="H80" si="47">SUM(C80:F80)</f>
        <v>1037</v>
      </c>
      <c r="J80" s="53" t="s">
        <v>6</v>
      </c>
      <c r="K80" s="61">
        <f>SUM(K68:K79)</f>
        <v>1956</v>
      </c>
      <c r="L80" s="62">
        <f t="shared" ref="L80:N80" si="48">SUM(L68:L79)</f>
        <v>1659</v>
      </c>
      <c r="M80" s="62">
        <f t="shared" si="48"/>
        <v>0</v>
      </c>
      <c r="N80" s="62">
        <f t="shared" si="48"/>
        <v>0</v>
      </c>
      <c r="O80" s="63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448</v>
      </c>
      <c r="P80" s="64">
        <f t="shared" ref="P80" si="49">SUM(K80:N80)</f>
        <v>3615</v>
      </c>
      <c r="S80" s="155"/>
      <c r="U80" s="155"/>
    </row>
    <row r="81" spans="1:22" ht="3.95" customHeight="1" thickBot="1" x14ac:dyDescent="0.3">
      <c r="S81" s="155" t="str">
        <f>IF(OR(SUM(C81:G81)=0,SUM(G$52:G81)=0),"",IF(SUM(S$52:S80)=0,G81,IFERROR(SUM(S80,C81,-D81),"")))</f>
        <v/>
      </c>
      <c r="T81" s="156" t="str">
        <f t="shared" ref="T81:T82" si="50">IFERROR(S81-G81,"")</f>
        <v/>
      </c>
      <c r="U81" s="155" t="str">
        <f>IF(OR(SUM(K81:O81)=0,SUM(O$52:O81)=0),"",IF(SUM(U$52:U80)=0,O81,IFERROR(SUM(U80,K81,-L81),"")))</f>
        <v/>
      </c>
      <c r="V81" s="156" t="str">
        <f t="shared" ref="V81:V82" si="51">IFERROR(U81-O81,"")</f>
        <v/>
      </c>
    </row>
    <row r="82" spans="1:22" ht="26.25" thickBot="1" x14ac:dyDescent="0.3">
      <c r="B82" s="207" t="s">
        <v>41</v>
      </c>
      <c r="C82" s="208"/>
      <c r="D82" s="208"/>
      <c r="E82" s="208"/>
      <c r="F82" s="208"/>
      <c r="G82" s="208"/>
      <c r="H82" s="209"/>
      <c r="J82" s="207" t="s">
        <v>56</v>
      </c>
      <c r="K82" s="208"/>
      <c r="L82" s="208"/>
      <c r="M82" s="208"/>
      <c r="N82" s="208"/>
      <c r="O82" s="208"/>
      <c r="P82" s="209"/>
      <c r="S82" s="155" t="str">
        <f>IF(OR(SUM(C82:G82)=0,SUM(G$52:G82)=0),"",IF(SUM(S$52:S81)=0,G82,IFERROR(SUM(S81,C82,-D82),"")))</f>
        <v/>
      </c>
      <c r="T82" s="156" t="str">
        <f t="shared" si="50"/>
        <v/>
      </c>
      <c r="U82" s="155" t="str">
        <f>IF(OR(SUM(K82:O82)=0,SUM(O$52:O82)=0),"",IF(SUM(U$52:U81)=0,O82,IFERROR(SUM(U81,K82,-L82),"")))</f>
        <v/>
      </c>
      <c r="V82" s="156" t="str">
        <f t="shared" si="51"/>
        <v/>
      </c>
    </row>
    <row r="83" spans="1:22" ht="21" thickBot="1" x14ac:dyDescent="0.3">
      <c r="B83" s="53" t="s">
        <v>0</v>
      </c>
      <c r="C83" s="54" t="s">
        <v>1</v>
      </c>
      <c r="D83" s="55" t="s">
        <v>2</v>
      </c>
      <c r="E83" s="55" t="s">
        <v>3</v>
      </c>
      <c r="F83" s="55" t="s">
        <v>4</v>
      </c>
      <c r="G83" s="56" t="s">
        <v>5</v>
      </c>
      <c r="H83" s="53" t="s">
        <v>7</v>
      </c>
      <c r="J83" s="53" t="s">
        <v>0</v>
      </c>
      <c r="K83" s="54" t="s">
        <v>1</v>
      </c>
      <c r="L83" s="55" t="s">
        <v>2</v>
      </c>
      <c r="M83" s="55" t="s">
        <v>3</v>
      </c>
      <c r="N83" s="55" t="s">
        <v>4</v>
      </c>
      <c r="O83" s="56" t="s">
        <v>5</v>
      </c>
      <c r="P83" s="53" t="s">
        <v>7</v>
      </c>
    </row>
    <row r="84" spans="1:22" x14ac:dyDescent="0.25">
      <c r="A84" s="65" t="str">
        <f>B82</f>
        <v>ماهیرود</v>
      </c>
      <c r="B84" s="6" t="s">
        <v>8</v>
      </c>
      <c r="C84" s="7">
        <v>0</v>
      </c>
      <c r="D84" s="8">
        <v>10</v>
      </c>
      <c r="E84" s="8">
        <v>0</v>
      </c>
      <c r="F84" s="8">
        <v>0</v>
      </c>
      <c r="G84" s="9">
        <v>25</v>
      </c>
      <c r="H84" s="10">
        <f t="shared" ref="H84:H92" si="52">SUM(C84:G84)</f>
        <v>35</v>
      </c>
      <c r="I84" s="65" t="str">
        <f>J82</f>
        <v>باجگیران</v>
      </c>
      <c r="J84" s="6" t="s">
        <v>8</v>
      </c>
      <c r="K84" s="7"/>
      <c r="L84" s="8"/>
      <c r="M84" s="8"/>
      <c r="N84" s="8"/>
      <c r="O84" s="9"/>
      <c r="P84" s="10">
        <f t="shared" ref="P84:P92" si="53">SUM(K84:O84)</f>
        <v>0</v>
      </c>
      <c r="S84" s="155">
        <f>IF(SUM(G84)=0,"",IFERROR(G84,""))</f>
        <v>25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1:22" x14ac:dyDescent="0.25">
      <c r="A85" s="65" t="str">
        <f>B82</f>
        <v>ماهیرود</v>
      </c>
      <c r="B85" s="11" t="s">
        <v>9</v>
      </c>
      <c r="C85" s="12">
        <v>4</v>
      </c>
      <c r="D85" s="13">
        <v>0</v>
      </c>
      <c r="E85" s="13">
        <v>0</v>
      </c>
      <c r="F85" s="13">
        <v>0</v>
      </c>
      <c r="G85" s="14">
        <v>25</v>
      </c>
      <c r="H85" s="15">
        <f t="shared" si="52"/>
        <v>29</v>
      </c>
      <c r="I85" s="65" t="str">
        <f>J82</f>
        <v>باجگیران</v>
      </c>
      <c r="J85" s="11" t="s">
        <v>9</v>
      </c>
      <c r="K85" s="12"/>
      <c r="L85" s="13"/>
      <c r="M85" s="13"/>
      <c r="N85" s="13"/>
      <c r="O85" s="14"/>
      <c r="P85" s="15">
        <f t="shared" si="53"/>
        <v>0</v>
      </c>
      <c r="S85" s="155">
        <f>IF(OR(SUM(C85:G85)=0,SUM(G$68:G85)=0),"",IF(SUM(S$68:S84)=0,G85,IFERROR(SUM(S84,C85,-D85),"")))</f>
        <v>29</v>
      </c>
      <c r="T85" s="156">
        <f t="shared" ref="T85:T95" si="54">IFERROR(S85-G85,"")</f>
        <v>4</v>
      </c>
      <c r="U85" s="155" t="str">
        <f>IF(OR(SUM(K85:O85)=0,SUM(O$68:O85)=0),"",IF(SUM(U$68:U84)=0,O85,IFERROR(SUM(U84,K85,-L85),"")))</f>
        <v/>
      </c>
      <c r="V85" s="156" t="str">
        <f t="shared" ref="V85:V95" si="55">IFERROR(U85-O85,"")</f>
        <v/>
      </c>
    </row>
    <row r="86" spans="1:22" x14ac:dyDescent="0.25">
      <c r="A86" s="65" t="str">
        <f>B82</f>
        <v>ماهیرود</v>
      </c>
      <c r="B86" s="11" t="s">
        <v>10</v>
      </c>
      <c r="C86" s="12">
        <v>0</v>
      </c>
      <c r="D86" s="13">
        <v>2</v>
      </c>
      <c r="E86" s="13">
        <v>0</v>
      </c>
      <c r="F86" s="13">
        <v>0</v>
      </c>
      <c r="G86" s="14">
        <v>23</v>
      </c>
      <c r="H86" s="15">
        <f t="shared" si="52"/>
        <v>25</v>
      </c>
      <c r="I86" s="65" t="str">
        <f>J82</f>
        <v>باجگیران</v>
      </c>
      <c r="J86" s="11" t="s">
        <v>10</v>
      </c>
      <c r="K86" s="12"/>
      <c r="L86" s="13"/>
      <c r="M86" s="13"/>
      <c r="N86" s="13"/>
      <c r="O86" s="14"/>
      <c r="P86" s="15">
        <f t="shared" si="53"/>
        <v>0</v>
      </c>
      <c r="S86" s="155">
        <f>IF(OR(SUM(C86:G86)=0,SUM(G$68:G86)=0),"",IF(SUM(S$68:S85)=0,G86,IFERROR(SUM(S85,C86,-D86),"")))</f>
        <v>27</v>
      </c>
      <c r="T86" s="156">
        <f t="shared" si="54"/>
        <v>4</v>
      </c>
      <c r="U86" s="155" t="str">
        <f>IF(OR(SUM(K86:O86)=0,SUM(O$68:O86)=0),"",IF(SUM(U$68:U85)=0,O86,IFERROR(SUM(U85,K86,-L86),"")))</f>
        <v/>
      </c>
      <c r="V86" s="156" t="str">
        <f t="shared" si="55"/>
        <v/>
      </c>
    </row>
    <row r="87" spans="1:22" x14ac:dyDescent="0.25">
      <c r="A87" s="65" t="str">
        <f>B82</f>
        <v>ماهیرود</v>
      </c>
      <c r="B87" s="11" t="s">
        <v>11</v>
      </c>
      <c r="C87" s="12">
        <v>3</v>
      </c>
      <c r="D87" s="13">
        <v>0</v>
      </c>
      <c r="E87" s="13">
        <v>0</v>
      </c>
      <c r="F87" s="13">
        <v>0</v>
      </c>
      <c r="G87" s="14">
        <v>25</v>
      </c>
      <c r="H87" s="15">
        <f t="shared" si="52"/>
        <v>28</v>
      </c>
      <c r="I87" s="65" t="str">
        <f>J82</f>
        <v>باجگیران</v>
      </c>
      <c r="J87" s="11" t="s">
        <v>11</v>
      </c>
      <c r="K87" s="12"/>
      <c r="L87" s="13"/>
      <c r="M87" s="13"/>
      <c r="N87" s="13"/>
      <c r="O87" s="14"/>
      <c r="P87" s="15">
        <f t="shared" si="53"/>
        <v>0</v>
      </c>
      <c r="S87" s="155">
        <f>IF(OR(SUM(C87:G87)=0,SUM(G$68:G87)=0),"",IF(SUM(S$68:S86)=0,G87,IFERROR(SUM(S86,C87,-D87),"")))</f>
        <v>30</v>
      </c>
      <c r="T87" s="156">
        <f t="shared" si="54"/>
        <v>5</v>
      </c>
      <c r="U87" s="155" t="str">
        <f>IF(OR(SUM(K87:O87)=0,SUM(O$68:O87)=0),"",IF(SUM(U$68:U86)=0,O87,IFERROR(SUM(U86,K87,-L87),"")))</f>
        <v/>
      </c>
      <c r="V87" s="156" t="str">
        <f t="shared" si="55"/>
        <v/>
      </c>
    </row>
    <row r="88" spans="1:22" x14ac:dyDescent="0.25">
      <c r="A88" s="65" t="str">
        <f>B82</f>
        <v>ماهیرود</v>
      </c>
      <c r="B88" s="11" t="s">
        <v>12</v>
      </c>
      <c r="C88" s="12">
        <v>5</v>
      </c>
      <c r="D88" s="13">
        <v>5</v>
      </c>
      <c r="E88" s="13">
        <v>0</v>
      </c>
      <c r="F88" s="13">
        <v>0</v>
      </c>
      <c r="G88" s="14">
        <v>25</v>
      </c>
      <c r="H88" s="15">
        <f t="shared" si="52"/>
        <v>35</v>
      </c>
      <c r="I88" s="65" t="str">
        <f>J82</f>
        <v>باجگیران</v>
      </c>
      <c r="J88" s="11" t="s">
        <v>12</v>
      </c>
      <c r="K88" s="12"/>
      <c r="L88" s="13"/>
      <c r="M88" s="13"/>
      <c r="N88" s="13"/>
      <c r="O88" s="14"/>
      <c r="P88" s="15">
        <f t="shared" si="53"/>
        <v>0</v>
      </c>
      <c r="S88" s="155">
        <f>IF(OR(SUM(C88:G88)=0,SUM(G$68:G88)=0),"",IF(SUM(S$68:S87)=0,G88,IFERROR(SUM(S87,C88,-D88),"")))</f>
        <v>30</v>
      </c>
      <c r="T88" s="156">
        <f t="shared" si="54"/>
        <v>5</v>
      </c>
      <c r="U88" s="155" t="str">
        <f>IF(OR(SUM(K88:O88)=0,SUM(O$68:O88)=0),"",IF(SUM(U$68:U87)=0,O88,IFERROR(SUM(U87,K88,-L88),"")))</f>
        <v/>
      </c>
      <c r="V88" s="156" t="str">
        <f t="shared" si="55"/>
        <v/>
      </c>
    </row>
    <row r="89" spans="1:22" x14ac:dyDescent="0.25">
      <c r="A89" s="65" t="str">
        <f>B82</f>
        <v>ماهیرود</v>
      </c>
      <c r="B89" s="11" t="s">
        <v>13</v>
      </c>
      <c r="C89" s="12">
        <v>5</v>
      </c>
      <c r="D89" s="13">
        <v>3</v>
      </c>
      <c r="E89" s="13">
        <v>0</v>
      </c>
      <c r="F89" s="13">
        <v>0</v>
      </c>
      <c r="G89" s="14">
        <v>23</v>
      </c>
      <c r="H89" s="15">
        <f t="shared" si="52"/>
        <v>31</v>
      </c>
      <c r="I89" s="65" t="str">
        <f>J82</f>
        <v>باجگیران</v>
      </c>
      <c r="J89" s="11" t="s">
        <v>13</v>
      </c>
      <c r="K89" s="12"/>
      <c r="L89" s="13"/>
      <c r="M89" s="13"/>
      <c r="N89" s="13"/>
      <c r="O89" s="14"/>
      <c r="P89" s="15">
        <f t="shared" si="53"/>
        <v>0</v>
      </c>
      <c r="S89" s="155">
        <f>IF(OR(SUM(C89:G89)=0,SUM(G$68:G89)=0),"",IF(SUM(S$68:S88)=0,G89,IFERROR(SUM(S88,C89,-D89),"")))</f>
        <v>32</v>
      </c>
      <c r="T89" s="156">
        <f t="shared" si="54"/>
        <v>9</v>
      </c>
      <c r="U89" s="155" t="str">
        <f>IF(OR(SUM(K89:O89)=0,SUM(O$68:O89)=0),"",IF(SUM(U$68:U88)=0,O89,IFERROR(SUM(U88,K89,-L89),"")))</f>
        <v/>
      </c>
      <c r="V89" s="156" t="str">
        <f t="shared" si="55"/>
        <v/>
      </c>
    </row>
    <row r="90" spans="1:22" x14ac:dyDescent="0.25">
      <c r="A90" s="65" t="str">
        <f>B82</f>
        <v>ماهیرود</v>
      </c>
      <c r="B90" s="11" t="s">
        <v>14</v>
      </c>
      <c r="C90" s="12">
        <v>3</v>
      </c>
      <c r="D90" s="13">
        <v>3</v>
      </c>
      <c r="E90" s="13">
        <v>0</v>
      </c>
      <c r="F90" s="13">
        <v>0</v>
      </c>
      <c r="G90" s="14">
        <v>28</v>
      </c>
      <c r="H90" s="15">
        <f t="shared" si="52"/>
        <v>34</v>
      </c>
      <c r="I90" s="65" t="str">
        <f>J82</f>
        <v>باجگیران</v>
      </c>
      <c r="J90" s="11" t="s">
        <v>14</v>
      </c>
      <c r="K90" s="12"/>
      <c r="L90" s="13"/>
      <c r="M90" s="13"/>
      <c r="N90" s="13"/>
      <c r="O90" s="14"/>
      <c r="P90" s="15">
        <f t="shared" si="53"/>
        <v>0</v>
      </c>
      <c r="S90" s="155">
        <f>IF(OR(SUM(C90:G90)=0,SUM(G$68:G90)=0),"",IF(SUM(S$68:S89)=0,G90,IFERROR(SUM(S89,C90,-D90),"")))</f>
        <v>32</v>
      </c>
      <c r="T90" s="156">
        <f t="shared" si="54"/>
        <v>4</v>
      </c>
      <c r="U90" s="155" t="str">
        <f>IF(OR(SUM(K90:O90)=0,SUM(O$68:O90)=0),"",IF(SUM(U$68:U89)=0,O90,IFERROR(SUM(U89,K90,-L90),"")))</f>
        <v/>
      </c>
      <c r="V90" s="156" t="str">
        <f t="shared" si="55"/>
        <v/>
      </c>
    </row>
    <row r="91" spans="1:22" x14ac:dyDescent="0.25">
      <c r="A91" s="65" t="str">
        <f>B82</f>
        <v>ماهیرود</v>
      </c>
      <c r="B91" s="11" t="s">
        <v>15</v>
      </c>
      <c r="C91" s="12">
        <v>0</v>
      </c>
      <c r="D91" s="13">
        <v>4</v>
      </c>
      <c r="E91" s="13">
        <v>0</v>
      </c>
      <c r="F91" s="13">
        <v>0</v>
      </c>
      <c r="G91" s="14">
        <v>24</v>
      </c>
      <c r="H91" s="15">
        <f t="shared" si="52"/>
        <v>28</v>
      </c>
      <c r="I91" s="65" t="str">
        <f>J82</f>
        <v>باجگیران</v>
      </c>
      <c r="J91" s="11" t="s">
        <v>15</v>
      </c>
      <c r="K91" s="12"/>
      <c r="L91" s="13"/>
      <c r="M91" s="13"/>
      <c r="N91" s="13"/>
      <c r="O91" s="14"/>
      <c r="P91" s="15">
        <f t="shared" si="53"/>
        <v>0</v>
      </c>
      <c r="S91" s="155">
        <f>IF(OR(SUM(C91:G91)=0,SUM(G$68:G91)=0),"",IF(SUM(S$68:S90)=0,G91,IFERROR(SUM(S90,C91,-D91),"")))</f>
        <v>28</v>
      </c>
      <c r="T91" s="156">
        <f t="shared" si="54"/>
        <v>4</v>
      </c>
      <c r="U91" s="155" t="str">
        <f>IF(OR(SUM(K91:O91)=0,SUM(O$68:O91)=0),"",IF(SUM(U$68:U90)=0,O91,IFERROR(SUM(U90,K91,-L91),"")))</f>
        <v/>
      </c>
      <c r="V91" s="156" t="str">
        <f t="shared" si="55"/>
        <v/>
      </c>
    </row>
    <row r="92" spans="1:22" x14ac:dyDescent="0.25">
      <c r="A92" s="65" t="str">
        <f>B82</f>
        <v>ماهیرود</v>
      </c>
      <c r="B92" s="11" t="s">
        <v>16</v>
      </c>
      <c r="C92" s="12">
        <v>56</v>
      </c>
      <c r="D92" s="13">
        <v>55</v>
      </c>
      <c r="E92" s="13"/>
      <c r="F92" s="13"/>
      <c r="G92" s="14">
        <v>24</v>
      </c>
      <c r="H92" s="15">
        <f t="shared" si="52"/>
        <v>135</v>
      </c>
      <c r="I92" s="65" t="str">
        <f>J82</f>
        <v>باجگیران</v>
      </c>
      <c r="J92" s="11" t="s">
        <v>16</v>
      </c>
      <c r="K92" s="12"/>
      <c r="L92" s="13"/>
      <c r="M92" s="13"/>
      <c r="N92" s="13"/>
      <c r="O92" s="14"/>
      <c r="P92" s="15">
        <f t="shared" si="53"/>
        <v>0</v>
      </c>
      <c r="S92" s="155">
        <f>IF(OR(SUM(C92:G92)=0,SUM(G$68:G92)=0),"",IF(SUM(S$68:S91)=0,G92,IFERROR(SUM(S91,C92,-D92),"")))</f>
        <v>29</v>
      </c>
      <c r="T92" s="156">
        <f t="shared" si="54"/>
        <v>5</v>
      </c>
      <c r="U92" s="155" t="str">
        <f>IF(OR(SUM(K92:O92)=0,SUM(O$68:O92)=0),"",IF(SUM(U$68:U91)=0,O92,IFERROR(SUM(U91,K92,-L92),"")))</f>
        <v/>
      </c>
      <c r="V92" s="156" t="str">
        <f t="shared" si="55"/>
        <v/>
      </c>
    </row>
    <row r="93" spans="1:22" x14ac:dyDescent="0.25">
      <c r="A93" s="65" t="str">
        <f>B82</f>
        <v>ماهیرود</v>
      </c>
      <c r="B93" s="11" t="s">
        <v>17</v>
      </c>
      <c r="C93" s="12">
        <v>281</v>
      </c>
      <c r="D93" s="13">
        <v>106</v>
      </c>
      <c r="E93" s="13"/>
      <c r="F93" s="13"/>
      <c r="G93" s="14">
        <v>200</v>
      </c>
      <c r="H93" s="15">
        <f t="shared" ref="H93:H95" si="56">SUM(C93:F93)</f>
        <v>387</v>
      </c>
      <c r="I93" s="65" t="str">
        <f>J82</f>
        <v>باجگیران</v>
      </c>
      <c r="J93" s="11" t="s">
        <v>17</v>
      </c>
      <c r="K93" s="12"/>
      <c r="L93" s="13"/>
      <c r="M93" s="13"/>
      <c r="N93" s="13"/>
      <c r="O93" s="14"/>
      <c r="P93" s="15">
        <f t="shared" ref="P93:P95" si="57">SUM(K93:N93)</f>
        <v>0</v>
      </c>
      <c r="S93" s="155">
        <f>IF(OR(SUM(C93:G93)=0,SUM(G$68:G93)=0),"",IF(SUM(S$68:S92)=0,G93,IFERROR(SUM(S92,C93,-D93),"")))</f>
        <v>204</v>
      </c>
      <c r="T93" s="156">
        <f t="shared" si="54"/>
        <v>4</v>
      </c>
      <c r="U93" s="155" t="str">
        <f>IF(OR(SUM(K93:O93)=0,SUM(O$68:O93)=0),"",IF(SUM(U$68:U92)=0,O93,IFERROR(SUM(U92,K93,-L93),"")))</f>
        <v/>
      </c>
      <c r="V93" s="156" t="str">
        <f t="shared" si="55"/>
        <v/>
      </c>
    </row>
    <row r="94" spans="1:22" x14ac:dyDescent="0.25">
      <c r="A94" s="65" t="str">
        <f>B82</f>
        <v>ماهیرود</v>
      </c>
      <c r="B94" s="11" t="s">
        <v>18</v>
      </c>
      <c r="C94" s="12">
        <v>710</v>
      </c>
      <c r="D94" s="13">
        <v>109</v>
      </c>
      <c r="E94" s="13"/>
      <c r="F94" s="13"/>
      <c r="G94" s="14">
        <v>802</v>
      </c>
      <c r="H94" s="15">
        <f t="shared" si="56"/>
        <v>819</v>
      </c>
      <c r="I94" s="65" t="str">
        <f>J82</f>
        <v>باجگیران</v>
      </c>
      <c r="J94" s="11" t="s">
        <v>18</v>
      </c>
      <c r="K94" s="12"/>
      <c r="L94" s="13"/>
      <c r="M94" s="13"/>
      <c r="N94" s="13"/>
      <c r="O94" s="14"/>
      <c r="P94" s="15">
        <f t="shared" si="57"/>
        <v>0</v>
      </c>
      <c r="S94" s="155">
        <f>IF(OR(SUM(C94:G94)=0,SUM(G$68:G94)=0),"",IF(SUM(S$68:S93)=0,G94,IFERROR(SUM(S93,C94,-D94),"")))</f>
        <v>805</v>
      </c>
      <c r="T94" s="156">
        <f t="shared" si="54"/>
        <v>3</v>
      </c>
      <c r="U94" s="155" t="str">
        <f>IF(OR(SUM(K94:O94)=0,SUM(O$68:O94)=0),"",IF(SUM(U$68:U93)=0,O94,IFERROR(SUM(U93,K94,-L94),"")))</f>
        <v/>
      </c>
      <c r="V94" s="156" t="str">
        <f t="shared" si="55"/>
        <v/>
      </c>
    </row>
    <row r="95" spans="1:22" ht="20.25" thickBot="1" x14ac:dyDescent="0.3">
      <c r="A95" s="65" t="str">
        <f>B82</f>
        <v>ماهیرود</v>
      </c>
      <c r="B95" s="16" t="s">
        <v>19</v>
      </c>
      <c r="C95" s="17">
        <v>471</v>
      </c>
      <c r="D95" s="18">
        <v>556</v>
      </c>
      <c r="E95" s="18"/>
      <c r="F95" s="18"/>
      <c r="G95" s="19">
        <v>716</v>
      </c>
      <c r="H95" s="20">
        <f t="shared" si="56"/>
        <v>1027</v>
      </c>
      <c r="I95" s="65" t="str">
        <f>J82</f>
        <v>باجگیران</v>
      </c>
      <c r="J95" s="16" t="s">
        <v>19</v>
      </c>
      <c r="K95" s="17"/>
      <c r="L95" s="18"/>
      <c r="M95" s="18"/>
      <c r="N95" s="18"/>
      <c r="O95" s="19"/>
      <c r="P95" s="20">
        <f t="shared" si="57"/>
        <v>0</v>
      </c>
      <c r="S95" s="155">
        <f>IF(OR(SUM(C95:G95)=0,SUM(G$68:G95)=0),"",IF(SUM(S$68:S94)=0,G95,IFERROR(SUM(S94,C95,-D95),"")))</f>
        <v>720</v>
      </c>
      <c r="T95" s="156">
        <f t="shared" si="54"/>
        <v>4</v>
      </c>
      <c r="U95" s="155" t="str">
        <f>IF(OR(SUM(K95:O95)=0,SUM(O$68:O95)=0),"",IF(SUM(U$68:U94)=0,O95,IFERROR(SUM(U94,K95,-L95),"")))</f>
        <v/>
      </c>
      <c r="V95" s="156" t="str">
        <f t="shared" si="55"/>
        <v/>
      </c>
    </row>
    <row r="96" spans="1:22" ht="21" thickBot="1" x14ac:dyDescent="0.3">
      <c r="B96" s="53" t="s">
        <v>6</v>
      </c>
      <c r="C96" s="61">
        <f>SUM(C84:C95)</f>
        <v>1538</v>
      </c>
      <c r="D96" s="62">
        <f t="shared" ref="D96:F96" si="58">SUM(D84:D95)</f>
        <v>853</v>
      </c>
      <c r="E96" s="62">
        <f t="shared" si="58"/>
        <v>0</v>
      </c>
      <c r="F96" s="62">
        <f t="shared" si="58"/>
        <v>0</v>
      </c>
      <c r="G96" s="63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716</v>
      </c>
      <c r="H96" s="64">
        <f t="shared" ref="H96" si="59">SUM(C96:F96)</f>
        <v>2391</v>
      </c>
      <c r="J96" s="53" t="s">
        <v>6</v>
      </c>
      <c r="K96" s="61">
        <f>SUM(K84:K95)</f>
        <v>0</v>
      </c>
      <c r="L96" s="62">
        <f t="shared" ref="L96:N96" si="60">SUM(L84:L95)</f>
        <v>0</v>
      </c>
      <c r="M96" s="62">
        <f t="shared" si="60"/>
        <v>0</v>
      </c>
      <c r="N96" s="62">
        <f t="shared" si="60"/>
        <v>0</v>
      </c>
      <c r="O96" s="63" t="str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/>
      </c>
      <c r="P96" s="64">
        <f t="shared" ref="P96" si="61">SUM(K96:N96)</f>
        <v>0</v>
      </c>
    </row>
  </sheetData>
  <sheetProtection algorithmName="SHA-512" hashValue="UfOBdNEiR4OkViN4CUHEQBOY+h9iEg8cbkzVXCk74jMEsVnCnwFCoN1Rpkx73SoawjuzkjmHrkV54j2nh89Pgw==" saltValue="M2uD+u9jb3Oahl0lTyHZSA==" spinCount="100000" sheet="1" selectLockedCells="1" selectUn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H4:H1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{CF667BCD-CC07-4216-9A1D-45DB238B116D}</x14:id>
        </ext>
      </extLst>
    </cfRule>
  </conditionalFormatting>
  <conditionalFormatting sqref="H20:H3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{4F25323E-73B5-44FF-81A9-65FDCB27465E}</x14:id>
        </ext>
      </extLst>
    </cfRule>
  </conditionalFormatting>
  <conditionalFormatting sqref="H36:H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{6E58290C-BBAF-4D71-9AC3-97304AEB9B48}</x14:id>
        </ext>
      </extLst>
    </cfRule>
  </conditionalFormatting>
  <conditionalFormatting sqref="H52:H6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{260B0E92-9469-450D-B4AC-3C8321B5C3AA}</x14:id>
        </ext>
      </extLst>
    </cfRule>
  </conditionalFormatting>
  <conditionalFormatting sqref="H68:H7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{78BA72B0-2A06-4EC0-8518-D13ED4D70C20}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{DBD64FE7-256A-4827-BD55-58B5BC521817}</x14:id>
        </ext>
      </extLst>
    </cfRule>
  </conditionalFormatting>
  <conditionalFormatting sqref="H9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{73892F02-96F7-43B5-886A-F84913FD997E}</x14:id>
        </ext>
      </extLst>
    </cfRule>
  </conditionalFormatting>
  <conditionalFormatting sqref="P4:P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{8BBBC47E-1E0C-4194-BE84-15E8511A870F}</x14:id>
        </ext>
      </extLst>
    </cfRule>
  </conditionalFormatting>
  <conditionalFormatting sqref="P16 H32 P32 P48 H48 H64 P64 H8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{356E01A2-946D-42CE-BDA2-D2C2EFA97C6D}</x14:id>
        </ext>
      </extLst>
    </cfRule>
  </conditionalFormatting>
  <conditionalFormatting sqref="P20:P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{96581295-A6EC-4CBD-8A3D-EEA6D6D08191}</x14:id>
        </ext>
      </extLst>
    </cfRule>
  </conditionalFormatting>
  <conditionalFormatting sqref="P36:P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{8D370F7D-7130-41EB-8DF8-E939A4BEA95D}</x14:id>
        </ext>
      </extLst>
    </cfRule>
  </conditionalFormatting>
  <conditionalFormatting sqref="P52:P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{5A0592E8-5EBE-4EDC-952F-330D310B947D}</x14:id>
        </ext>
      </extLst>
    </cfRule>
  </conditionalFormatting>
  <conditionalFormatting sqref="P68:P7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{7A709DB6-2F0F-4695-984C-58918AC0EA91}</x14:id>
        </ext>
      </extLst>
    </cfRule>
  </conditionalFormatting>
  <conditionalFormatting sqref="P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{FA90D56A-F3CF-4EB9-ACB1-DB1007D8FE4D}</x14:id>
        </ext>
      </extLst>
    </cfRule>
  </conditionalFormatting>
  <conditionalFormatting sqref="A1:XFD83 A96:XFD1048576 W84:XFD95 A84:R95">
    <cfRule type="cellIs" dxfId="218" priority="4" operator="equal">
      <formula>0</formula>
    </cfRule>
  </conditionalFormatting>
  <conditionalFormatting sqref="P84:P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{6061FAC0-36D2-402B-9D35-D30B4F5D69C7}</x14:id>
        </ext>
      </extLst>
    </cfRule>
  </conditionalFormatting>
  <conditionalFormatting sqref="P9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{FA9C58AC-5B1A-4243-8380-C2BC278760A9}</x14:id>
        </ext>
      </extLst>
    </cfRule>
  </conditionalFormatting>
  <conditionalFormatting sqref="S84:V95">
    <cfRule type="cellIs" dxfId="217" priority="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67BCD-CC07-4216-9A1D-45DB238B11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4F25323E-73B5-44FF-81A9-65FDCB274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E58290C-BBAF-4D71-9AC3-97304AEB9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260B0E92-9469-450D-B4AC-3C8321B5C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78BA72B0-2A06-4EC0-8518-D13ED4D70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BD64FE7-256A-4827-BD55-58B5BC5218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73892F02-96F7-43B5-886A-F84913FD9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8BBBC47E-1E0C-4194-BE84-15E8511A8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356E01A2-946D-42CE-BDA2-D2C2EFA97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6581295-A6EC-4CBD-8A3D-EEA6D6D081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8D370F7D-7130-41EB-8DF8-E939A4BEA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5A0592E8-5EBE-4EDC-952F-330D310B9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7A709DB6-2F0F-4695-984C-58918AC0E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FA90D56A-F3CF-4EB9-ACB1-DB1007D8F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6061FAC0-36D2-402B-9D35-D30B4F5D69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FA9C58AC-5B1A-4243-8380-C2BC27876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6"/>
  <sheetViews>
    <sheetView showRowColHeaders="0" rightToLeft="1" topLeftCell="A70" zoomScale="80" zoomScaleNormal="80" workbookViewId="0">
      <selection activeCell="M95" sqref="M95"/>
    </sheetView>
  </sheetViews>
  <sheetFormatPr defaultColWidth="9.140625" defaultRowHeight="19.5" x14ac:dyDescent="0.2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1:22" ht="12" customHeight="1" thickBot="1" x14ac:dyDescent="0.3"/>
    <row r="2" spans="1:22" ht="26.25" thickBot="1" x14ac:dyDescent="0.3">
      <c r="B2" s="207" t="s">
        <v>27</v>
      </c>
      <c r="C2" s="208"/>
      <c r="D2" s="208"/>
      <c r="E2" s="208"/>
      <c r="F2" s="208"/>
      <c r="G2" s="208"/>
      <c r="H2" s="209"/>
      <c r="J2" s="207" t="s">
        <v>20</v>
      </c>
      <c r="K2" s="208"/>
      <c r="L2" s="208"/>
      <c r="M2" s="208"/>
      <c r="N2" s="208"/>
      <c r="O2" s="208"/>
      <c r="P2" s="209"/>
    </row>
    <row r="3" spans="1:22" ht="21" thickBot="1" x14ac:dyDescent="0.3">
      <c r="B3" s="33" t="s">
        <v>0</v>
      </c>
      <c r="C3" s="34" t="s">
        <v>1</v>
      </c>
      <c r="D3" s="35" t="s">
        <v>2</v>
      </c>
      <c r="E3" s="35" t="s">
        <v>3</v>
      </c>
      <c r="F3" s="35" t="s">
        <v>4</v>
      </c>
      <c r="G3" s="36" t="s">
        <v>5</v>
      </c>
      <c r="H3" s="33" t="s">
        <v>7</v>
      </c>
      <c r="J3" s="37" t="s">
        <v>0</v>
      </c>
      <c r="K3" s="38" t="s">
        <v>1</v>
      </c>
      <c r="L3" s="39" t="s">
        <v>2</v>
      </c>
      <c r="M3" s="39" t="s">
        <v>3</v>
      </c>
      <c r="N3" s="39" t="s">
        <v>4</v>
      </c>
      <c r="O3" s="40" t="s">
        <v>5</v>
      </c>
      <c r="P3" s="37" t="s">
        <v>7</v>
      </c>
      <c r="S3" s="1" t="s">
        <v>39</v>
      </c>
      <c r="T3" s="156"/>
      <c r="V3" s="156"/>
    </row>
    <row r="4" spans="1:22" x14ac:dyDescent="0.25">
      <c r="A4" s="65" t="str">
        <f>B2</f>
        <v>صادرات مجتمع خراسان</v>
      </c>
      <c r="B4" s="6" t="s">
        <v>8</v>
      </c>
      <c r="C4" s="7">
        <f>IF(SUM(K4,C20,K20,C36,K36,C52,K52,C68,K68,C84)=0,"",SUM(K4,C20,K20,C36,K36,C52,K52,C68,K68,C84,K84))</f>
        <v>2522</v>
      </c>
      <c r="D4" s="8">
        <f t="shared" ref="D4:G4" si="0">IF(SUM(L4,D20,L20,D36,L36,D52,L52,D68,L68,D84)=0,"",SUM(L4,D20,L20,D36,L36,D52,L52,D68,L68,D84,L84))</f>
        <v>3038</v>
      </c>
      <c r="E4" s="8" t="str">
        <f t="shared" si="0"/>
        <v/>
      </c>
      <c r="F4" s="8">
        <f t="shared" si="0"/>
        <v>35731</v>
      </c>
      <c r="G4" s="9">
        <f t="shared" si="0"/>
        <v>3721</v>
      </c>
      <c r="H4" s="10">
        <f>SUM(C4:F4)</f>
        <v>41291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3721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 x14ac:dyDescent="0.25">
      <c r="A5" s="65" t="str">
        <f>B2</f>
        <v>صادرات مجتمع خراسان</v>
      </c>
      <c r="B5" s="11" t="s">
        <v>9</v>
      </c>
      <c r="C5" s="12">
        <f t="shared" ref="C5:G15" si="1">IF(SUM(K5,C21,K21,C37,K37,C53,K53,C69,K69,C85)=0,"",SUM(K5,C21,K21,C37,K37,C53,K53,C69,K69,C85,K85))</f>
        <v>3329</v>
      </c>
      <c r="D5" s="13">
        <f t="shared" si="1"/>
        <v>4584</v>
      </c>
      <c r="E5" s="13" t="str">
        <f t="shared" si="1"/>
        <v/>
      </c>
      <c r="F5" s="13">
        <f t="shared" si="1"/>
        <v>54049</v>
      </c>
      <c r="G5" s="14">
        <f t="shared" si="1"/>
        <v>3939</v>
      </c>
      <c r="H5" s="15">
        <f t="shared" ref="H5:H16" si="2">SUM(C5:F5)</f>
        <v>61962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2466</v>
      </c>
      <c r="T5" s="156">
        <f t="shared" ref="T5:T15" si="4">IFERROR(S5-G5,"")</f>
        <v>-1473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1:22" x14ac:dyDescent="0.25">
      <c r="A6" s="65" t="str">
        <f>B2</f>
        <v>صادرات مجتمع خراسان</v>
      </c>
      <c r="B6" s="11" t="s">
        <v>10</v>
      </c>
      <c r="C6" s="12">
        <f t="shared" si="1"/>
        <v>2317</v>
      </c>
      <c r="D6" s="13">
        <f t="shared" si="1"/>
        <v>2552</v>
      </c>
      <c r="E6" s="13" t="str">
        <f t="shared" si="1"/>
        <v/>
      </c>
      <c r="F6" s="13">
        <f t="shared" si="1"/>
        <v>45135</v>
      </c>
      <c r="G6" s="14">
        <f t="shared" si="1"/>
        <v>3720</v>
      </c>
      <c r="H6" s="15">
        <f t="shared" si="2"/>
        <v>50004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2231</v>
      </c>
      <c r="T6" s="156">
        <f t="shared" si="4"/>
        <v>-1489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1:22" x14ac:dyDescent="0.25">
      <c r="A7" s="65" t="str">
        <f>B2</f>
        <v>صادرات مجتمع خراسان</v>
      </c>
      <c r="B7" s="11" t="s">
        <v>11</v>
      </c>
      <c r="C7" s="12">
        <f t="shared" si="1"/>
        <v>2908</v>
      </c>
      <c r="D7" s="13">
        <f t="shared" si="1"/>
        <v>3351</v>
      </c>
      <c r="E7" s="13" t="str">
        <f t="shared" si="1"/>
        <v/>
      </c>
      <c r="F7" s="13">
        <f t="shared" si="1"/>
        <v>83791</v>
      </c>
      <c r="G7" s="14">
        <f t="shared" si="1"/>
        <v>3509</v>
      </c>
      <c r="H7" s="15">
        <f t="shared" si="2"/>
        <v>90050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1788</v>
      </c>
      <c r="T7" s="156">
        <f t="shared" si="4"/>
        <v>-1721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1:22" x14ac:dyDescent="0.25">
      <c r="A8" s="65" t="str">
        <f>B2</f>
        <v>صادرات مجتمع خراسان</v>
      </c>
      <c r="B8" s="11" t="s">
        <v>12</v>
      </c>
      <c r="C8" s="12">
        <f t="shared" si="1"/>
        <v>7312</v>
      </c>
      <c r="D8" s="13">
        <f t="shared" si="1"/>
        <v>4861</v>
      </c>
      <c r="E8" s="13" t="str">
        <f t="shared" si="1"/>
        <v/>
      </c>
      <c r="F8" s="13">
        <f t="shared" si="1"/>
        <v>78725</v>
      </c>
      <c r="G8" s="14">
        <f t="shared" si="1"/>
        <v>7180</v>
      </c>
      <c r="H8" s="15">
        <f t="shared" si="2"/>
        <v>90898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4239</v>
      </c>
      <c r="T8" s="156">
        <f t="shared" si="4"/>
        <v>-2941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1:22" x14ac:dyDescent="0.25">
      <c r="A9" s="65" t="str">
        <f>B2</f>
        <v>صادرات مجتمع خراسان</v>
      </c>
      <c r="B9" s="11" t="s">
        <v>13</v>
      </c>
      <c r="C9" s="12">
        <f t="shared" si="1"/>
        <v>6573</v>
      </c>
      <c r="D9" s="13">
        <f t="shared" si="1"/>
        <v>7970</v>
      </c>
      <c r="E9" s="13">
        <f t="shared" si="1"/>
        <v>18</v>
      </c>
      <c r="F9" s="13">
        <f t="shared" si="1"/>
        <v>81319</v>
      </c>
      <c r="G9" s="14">
        <f t="shared" si="1"/>
        <v>4644</v>
      </c>
      <c r="H9" s="15">
        <f t="shared" si="2"/>
        <v>95880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2842</v>
      </c>
      <c r="T9" s="156">
        <f t="shared" si="4"/>
        <v>-1802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1:22" x14ac:dyDescent="0.25">
      <c r="A10" s="65" t="str">
        <f>B2</f>
        <v>صادرات مجتمع خراسان</v>
      </c>
      <c r="B10" s="11" t="s">
        <v>14</v>
      </c>
      <c r="C10" s="12">
        <f t="shared" si="1"/>
        <v>6018</v>
      </c>
      <c r="D10" s="13">
        <f t="shared" si="1"/>
        <v>4942</v>
      </c>
      <c r="E10" s="13" t="str">
        <f t="shared" si="1"/>
        <v/>
      </c>
      <c r="F10" s="13">
        <f t="shared" si="1"/>
        <v>81957</v>
      </c>
      <c r="G10" s="14">
        <f t="shared" si="1"/>
        <v>5643</v>
      </c>
      <c r="H10" s="15">
        <f t="shared" si="2"/>
        <v>92917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>
        <f>IF(OR(SUM(C10:G10)=0,SUM(G$4:G10)=0),"",IF(SUM(S$4:S9)=0,G10,IFERROR(SUM(S9,C10,-D10),"")))</f>
        <v>3918</v>
      </c>
      <c r="T10" s="156">
        <f t="shared" si="4"/>
        <v>-1725</v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1:22" x14ac:dyDescent="0.25">
      <c r="A11" s="65" t="str">
        <f>B2</f>
        <v>صادرات مجتمع خراسان</v>
      </c>
      <c r="B11" s="11" t="s">
        <v>15</v>
      </c>
      <c r="C11" s="12">
        <f t="shared" si="1"/>
        <v>5221</v>
      </c>
      <c r="D11" s="13">
        <f t="shared" si="1"/>
        <v>6646</v>
      </c>
      <c r="E11" s="13" t="str">
        <f t="shared" si="1"/>
        <v/>
      </c>
      <c r="F11" s="13">
        <f t="shared" si="1"/>
        <v>77237</v>
      </c>
      <c r="G11" s="14">
        <f t="shared" si="1"/>
        <v>3370</v>
      </c>
      <c r="H11" s="15">
        <f t="shared" si="2"/>
        <v>89104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>
        <f>IF(OR(SUM(C11:G11)=0,SUM(G$4:G11)=0),"",IF(SUM(S$4:S10)=0,G11,IFERROR(SUM(S10,C11,-D11),"")))</f>
        <v>2493</v>
      </c>
      <c r="T11" s="156">
        <f t="shared" si="4"/>
        <v>-877</v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1:22" x14ac:dyDescent="0.25">
      <c r="A12" s="65" t="str">
        <f>B2</f>
        <v>صادرات مجتمع خراسان</v>
      </c>
      <c r="B12" s="11" t="s">
        <v>16</v>
      </c>
      <c r="C12" s="12">
        <f t="shared" si="1"/>
        <v>4310</v>
      </c>
      <c r="D12" s="13">
        <f t="shared" si="1"/>
        <v>4251</v>
      </c>
      <c r="E12" s="13" t="str">
        <f t="shared" si="1"/>
        <v/>
      </c>
      <c r="F12" s="13">
        <f t="shared" si="1"/>
        <v>54303</v>
      </c>
      <c r="G12" s="14">
        <f t="shared" si="1"/>
        <v>3237</v>
      </c>
      <c r="H12" s="15">
        <f t="shared" si="2"/>
        <v>62864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>
        <f>IF(OR(SUM(C12:G12)=0,SUM(G$4:G12)=0),"",IF(SUM(S$4:S11)=0,G12,IFERROR(SUM(S11,C12,-D12),"")))</f>
        <v>2552</v>
      </c>
      <c r="T12" s="156">
        <f t="shared" si="4"/>
        <v>-685</v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1:22" x14ac:dyDescent="0.25">
      <c r="A13" s="65" t="str">
        <f>B2</f>
        <v>صادرات مجتمع خراسان</v>
      </c>
      <c r="B13" s="11" t="s">
        <v>17</v>
      </c>
      <c r="C13" s="12">
        <f t="shared" si="1"/>
        <v>3090</v>
      </c>
      <c r="D13" s="13">
        <f t="shared" si="1"/>
        <v>3004</v>
      </c>
      <c r="E13" s="13" t="str">
        <f t="shared" si="1"/>
        <v/>
      </c>
      <c r="F13" s="13">
        <f t="shared" si="1"/>
        <v>45217</v>
      </c>
      <c r="G13" s="14">
        <f t="shared" si="1"/>
        <v>3567</v>
      </c>
      <c r="H13" s="15">
        <f t="shared" si="2"/>
        <v>51311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>
        <f>IF(OR(SUM(C13:G13)=0,SUM(G$4:G13)=0),"",IF(SUM(S$4:S12)=0,G13,IFERROR(SUM(S12,C13,-D13),"")))</f>
        <v>2638</v>
      </c>
      <c r="T13" s="156">
        <f t="shared" si="4"/>
        <v>-929</v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1:22" x14ac:dyDescent="0.25">
      <c r="A14" s="65" t="str">
        <f>B2</f>
        <v>صادرات مجتمع خراسان</v>
      </c>
      <c r="B14" s="11" t="s">
        <v>18</v>
      </c>
      <c r="C14" s="12">
        <f t="shared" si="1"/>
        <v>2981.7579999999998</v>
      </c>
      <c r="D14" s="13">
        <f t="shared" si="1"/>
        <v>3841.1370000000002</v>
      </c>
      <c r="E14" s="13" t="str">
        <f t="shared" si="1"/>
        <v/>
      </c>
      <c r="F14" s="13">
        <f t="shared" si="1"/>
        <v>69924</v>
      </c>
      <c r="G14" s="14">
        <f t="shared" si="1"/>
        <v>2797.6210000000001</v>
      </c>
      <c r="H14" s="15">
        <f t="shared" si="2"/>
        <v>76746.895000000004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>
        <f>IF(OR(SUM(C14:G14)=0,SUM(G$4:G14)=0),"",IF(SUM(S$4:S13)=0,G14,IFERROR(SUM(S13,C14,-D14),"")))</f>
        <v>1778.6209999999996</v>
      </c>
      <c r="T14" s="156">
        <f t="shared" si="4"/>
        <v>-1019.0000000000005</v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1:22" ht="20.25" thickBot="1" x14ac:dyDescent="0.3">
      <c r="A15" s="65" t="str">
        <f>B2</f>
        <v>صادرات مجتمع خراسان</v>
      </c>
      <c r="B15" s="16" t="s">
        <v>19</v>
      </c>
      <c r="C15" s="17">
        <f t="shared" si="1"/>
        <v>3255</v>
      </c>
      <c r="D15" s="18">
        <f t="shared" si="1"/>
        <v>3181</v>
      </c>
      <c r="E15" s="18" t="str">
        <f t="shared" si="1"/>
        <v/>
      </c>
      <c r="F15" s="18">
        <f t="shared" si="1"/>
        <v>50463</v>
      </c>
      <c r="G15" s="19">
        <f>IF(SUM(O15,G31,O31,G47,O47,G63,O63,G79,O79,G95)=0,"",SUM(O15,G31,O31,G47,O47,G63,O63,G79,O79,G95,O95))</f>
        <v>3334</v>
      </c>
      <c r="H15" s="20">
        <f t="shared" si="2"/>
        <v>56899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>
        <f>IF(OR(SUM(C15:G15)=0,SUM(G$4:G15)=0),"",IF(SUM(S$4:S14)=0,G15,IFERROR(SUM(S14,C15,-D15),"")))</f>
        <v>1852.6209999999992</v>
      </c>
      <c r="T15" s="156">
        <f t="shared" si="4"/>
        <v>-1481.3790000000008</v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1:22" ht="21" thickBot="1" x14ac:dyDescent="0.3">
      <c r="A16" s="65"/>
      <c r="B16" s="33" t="s">
        <v>6</v>
      </c>
      <c r="C16" s="41">
        <f>SUM(C4:C15)</f>
        <v>49836.758000000002</v>
      </c>
      <c r="D16" s="42">
        <f t="shared" ref="D16:F16" si="6">SUM(D4:D15)</f>
        <v>52221.137000000002</v>
      </c>
      <c r="E16" s="42">
        <f t="shared" si="6"/>
        <v>18</v>
      </c>
      <c r="F16" s="42">
        <f t="shared" si="6"/>
        <v>757851</v>
      </c>
      <c r="G16" s="4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3334</v>
      </c>
      <c r="H16" s="44">
        <f t="shared" si="2"/>
        <v>859926.89500000002</v>
      </c>
      <c r="I16" s="65"/>
      <c r="J16" s="37" t="s">
        <v>6</v>
      </c>
      <c r="K16" s="45">
        <f>SUM(K4:K15)</f>
        <v>0</v>
      </c>
      <c r="L16" s="46">
        <f t="shared" ref="L16:N16" si="7">SUM(L4:L15)</f>
        <v>0</v>
      </c>
      <c r="M16" s="46">
        <f t="shared" si="7"/>
        <v>0</v>
      </c>
      <c r="N16" s="46">
        <f t="shared" si="7"/>
        <v>0</v>
      </c>
      <c r="O16" s="47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48">
        <f t="shared" ref="P16" si="8">SUM(K16:N16)</f>
        <v>0</v>
      </c>
      <c r="T16" s="156"/>
      <c r="V16" s="156"/>
    </row>
    <row r="17" spans="1:22" ht="3.95" customHeight="1" thickBot="1" x14ac:dyDescent="0.3">
      <c r="A17" s="65"/>
      <c r="I17" s="65"/>
      <c r="T17" s="156"/>
      <c r="V17" s="156"/>
    </row>
    <row r="18" spans="1:22" ht="26.25" thickBot="1" x14ac:dyDescent="0.3">
      <c r="A18" s="65"/>
      <c r="B18" s="207" t="s">
        <v>21</v>
      </c>
      <c r="C18" s="208"/>
      <c r="D18" s="208"/>
      <c r="E18" s="208"/>
      <c r="F18" s="208"/>
      <c r="G18" s="208"/>
      <c r="H18" s="209"/>
      <c r="I18" s="65"/>
      <c r="J18" s="207" t="s">
        <v>22</v>
      </c>
      <c r="K18" s="208"/>
      <c r="L18" s="208"/>
      <c r="M18" s="208"/>
      <c r="N18" s="208"/>
      <c r="O18" s="208"/>
      <c r="P18" s="209"/>
      <c r="T18" s="156"/>
      <c r="V18" s="156"/>
    </row>
    <row r="19" spans="1:22" ht="21" thickBot="1" x14ac:dyDescent="0.3">
      <c r="A19" s="65"/>
      <c r="B19" s="37" t="s">
        <v>0</v>
      </c>
      <c r="C19" s="38" t="s">
        <v>1</v>
      </c>
      <c r="D19" s="39" t="s">
        <v>2</v>
      </c>
      <c r="E19" s="39" t="s">
        <v>3</v>
      </c>
      <c r="F19" s="39" t="s">
        <v>4</v>
      </c>
      <c r="G19" s="40" t="s">
        <v>5</v>
      </c>
      <c r="H19" s="37" t="s">
        <v>7</v>
      </c>
      <c r="I19" s="65"/>
      <c r="J19" s="37" t="s">
        <v>0</v>
      </c>
      <c r="K19" s="38" t="s">
        <v>1</v>
      </c>
      <c r="L19" s="39" t="s">
        <v>2</v>
      </c>
      <c r="M19" s="39" t="s">
        <v>3</v>
      </c>
      <c r="N19" s="39" t="s">
        <v>4</v>
      </c>
      <c r="O19" s="40" t="s">
        <v>5</v>
      </c>
      <c r="P19" s="37" t="s">
        <v>7</v>
      </c>
      <c r="T19" s="156"/>
      <c r="V19" s="156"/>
    </row>
    <row r="20" spans="1:22" x14ac:dyDescent="0.25">
      <c r="A20" s="65" t="str">
        <f>B18</f>
        <v>شهید کاوه</v>
      </c>
      <c r="B20" s="6" t="s">
        <v>8</v>
      </c>
      <c r="C20" s="7"/>
      <c r="D20" s="8"/>
      <c r="E20" s="8"/>
      <c r="F20" s="8"/>
      <c r="G20" s="9"/>
      <c r="H20" s="10">
        <f t="shared" ref="H20:H26" si="9">SUM(C20:G20)</f>
        <v>0</v>
      </c>
      <c r="I20" s="65" t="str">
        <f>J18</f>
        <v>مطهری</v>
      </c>
      <c r="J20" s="6" t="s">
        <v>8</v>
      </c>
      <c r="K20" s="7">
        <v>1360</v>
      </c>
      <c r="L20" s="8">
        <v>2370</v>
      </c>
      <c r="M20" s="8">
        <v>0</v>
      </c>
      <c r="N20" s="8">
        <v>34498</v>
      </c>
      <c r="O20" s="9">
        <v>2596</v>
      </c>
      <c r="P20" s="10">
        <f t="shared" ref="P20:P25" si="10">SUM(K20:O20)</f>
        <v>40824</v>
      </c>
      <c r="S20" s="155" t="str">
        <f>IF(SUM(G20)=0,"",IFERROR(G20,""))</f>
        <v/>
      </c>
      <c r="T20" s="156" t="str">
        <f>IFERROR(S20-G20,"")</f>
        <v/>
      </c>
      <c r="U20" s="155">
        <f>IF(SUM(O20)=0,"",IFERROR(O20,""))</f>
        <v>2596</v>
      </c>
      <c r="V20" s="156">
        <f>IFERROR(U20-O20,"")</f>
        <v>0</v>
      </c>
    </row>
    <row r="21" spans="1:22" x14ac:dyDescent="0.25">
      <c r="A21" s="65" t="str">
        <f>B18</f>
        <v>شهید کاوه</v>
      </c>
      <c r="B21" s="11" t="s">
        <v>9</v>
      </c>
      <c r="C21" s="12">
        <v>4</v>
      </c>
      <c r="D21" s="13">
        <v>4</v>
      </c>
      <c r="E21" s="13">
        <v>0</v>
      </c>
      <c r="F21" s="13">
        <v>0</v>
      </c>
      <c r="G21" s="14">
        <v>3</v>
      </c>
      <c r="H21" s="15">
        <f t="shared" si="9"/>
        <v>11</v>
      </c>
      <c r="I21" s="65" t="str">
        <f>J18</f>
        <v>مطهری</v>
      </c>
      <c r="J21" s="11" t="s">
        <v>9</v>
      </c>
      <c r="K21" s="12">
        <v>2211</v>
      </c>
      <c r="L21" s="13">
        <v>2901</v>
      </c>
      <c r="M21" s="13">
        <v>0</v>
      </c>
      <c r="N21" s="13">
        <v>50468</v>
      </c>
      <c r="O21" s="14">
        <v>1733</v>
      </c>
      <c r="P21" s="15">
        <f t="shared" si="10"/>
        <v>57313</v>
      </c>
      <c r="S21" s="155">
        <f>IF(OR(SUM(C21:G21)=0,SUM(G$20:G21)=0),"",IF(SUM(S$20:S20)=0,G21,IFERROR(SUM(S20,C21,-D21),"")))</f>
        <v>3</v>
      </c>
      <c r="T21" s="156">
        <f t="shared" ref="T21:T31" si="11">IFERROR(S21-G21,"")</f>
        <v>0</v>
      </c>
      <c r="U21" s="155">
        <f>IF(OR(SUM(K21:O21)=0,SUM(O$20:O21)=0),"",IF(SUM(U$20:U20)=0,O21,IFERROR(SUM(U20,K21,-L21),"")))</f>
        <v>1906</v>
      </c>
      <c r="V21" s="156">
        <f t="shared" ref="V21:V31" si="12">IFERROR(U21-O21,"")</f>
        <v>173</v>
      </c>
    </row>
    <row r="22" spans="1:22" x14ac:dyDescent="0.25">
      <c r="A22" s="65" t="str">
        <f>B18</f>
        <v>شهید کاوه</v>
      </c>
      <c r="B22" s="11" t="s">
        <v>10</v>
      </c>
      <c r="C22" s="12">
        <v>9</v>
      </c>
      <c r="D22" s="13">
        <v>0</v>
      </c>
      <c r="E22" s="13">
        <v>0</v>
      </c>
      <c r="F22" s="13">
        <v>0</v>
      </c>
      <c r="G22" s="14">
        <v>11</v>
      </c>
      <c r="H22" s="15">
        <f t="shared" si="9"/>
        <v>20</v>
      </c>
      <c r="I22" s="65" t="str">
        <f>J18</f>
        <v>مطهری</v>
      </c>
      <c r="J22" s="11" t="s">
        <v>10</v>
      </c>
      <c r="K22" s="12">
        <v>1744</v>
      </c>
      <c r="L22" s="13">
        <v>2021</v>
      </c>
      <c r="M22" s="13">
        <v>0</v>
      </c>
      <c r="N22" s="13">
        <v>42125</v>
      </c>
      <c r="O22" s="14">
        <v>1456</v>
      </c>
      <c r="P22" s="15">
        <f t="shared" si="10"/>
        <v>47346</v>
      </c>
      <c r="S22" s="155">
        <f>IF(OR(SUM(C22:G22)=0,SUM(G$20:G22)=0),"",IF(SUM(S$20:S21)=0,G22,IFERROR(SUM(S21,C22,-D22),"")))</f>
        <v>12</v>
      </c>
      <c r="T22" s="156">
        <f t="shared" si="11"/>
        <v>1</v>
      </c>
      <c r="U22" s="155">
        <f>IF(OR(SUM(K22:O22)=0,SUM(O$20:O22)=0),"",IF(SUM(U$20:U21)=0,O22,IFERROR(SUM(U21,K22,-L22),"")))</f>
        <v>1629</v>
      </c>
      <c r="V22" s="156">
        <f t="shared" si="12"/>
        <v>173</v>
      </c>
    </row>
    <row r="23" spans="1:22" x14ac:dyDescent="0.25">
      <c r="A23" s="65" t="str">
        <f>B18</f>
        <v>شهید کاوه</v>
      </c>
      <c r="B23" s="11" t="s">
        <v>11</v>
      </c>
      <c r="C23" s="12">
        <v>3</v>
      </c>
      <c r="D23" s="13">
        <v>12</v>
      </c>
      <c r="E23" s="13">
        <v>0</v>
      </c>
      <c r="F23" s="13">
        <v>0</v>
      </c>
      <c r="G23" s="14">
        <v>3</v>
      </c>
      <c r="H23" s="15">
        <f t="shared" si="9"/>
        <v>18</v>
      </c>
      <c r="I23" s="65" t="str">
        <f>J18</f>
        <v>مطهری</v>
      </c>
      <c r="J23" s="11" t="s">
        <v>11</v>
      </c>
      <c r="K23" s="12">
        <v>2331</v>
      </c>
      <c r="L23" s="13">
        <v>2334</v>
      </c>
      <c r="M23" s="13">
        <v>0</v>
      </c>
      <c r="N23" s="13">
        <v>80132</v>
      </c>
      <c r="O23" s="14">
        <v>1361</v>
      </c>
      <c r="P23" s="15">
        <f t="shared" si="10"/>
        <v>86158</v>
      </c>
      <c r="S23" s="155">
        <f>IF(OR(SUM(C23:G23)=0,SUM(G$20:G23)=0),"",IF(SUM(S$20:S22)=0,G23,IFERROR(SUM(S22,C23,-D23),"")))</f>
        <v>3</v>
      </c>
      <c r="T23" s="156">
        <f t="shared" si="11"/>
        <v>0</v>
      </c>
      <c r="U23" s="155">
        <f>IF(OR(SUM(K23:O23)=0,SUM(O$20:O23)=0),"",IF(SUM(U$20:U22)=0,O23,IFERROR(SUM(U22,K23,-L23),"")))</f>
        <v>1626</v>
      </c>
      <c r="V23" s="156">
        <f t="shared" si="12"/>
        <v>265</v>
      </c>
    </row>
    <row r="24" spans="1:22" x14ac:dyDescent="0.25">
      <c r="A24" s="65" t="str">
        <f>B18</f>
        <v>شهید کاوه</v>
      </c>
      <c r="B24" s="11" t="s">
        <v>12</v>
      </c>
      <c r="C24" s="12">
        <v>2</v>
      </c>
      <c r="D24" s="13">
        <v>0</v>
      </c>
      <c r="E24" s="13">
        <v>0</v>
      </c>
      <c r="F24" s="13">
        <v>0</v>
      </c>
      <c r="G24" s="14">
        <v>4</v>
      </c>
      <c r="H24" s="15">
        <f t="shared" si="9"/>
        <v>6</v>
      </c>
      <c r="I24" s="65" t="str">
        <f>J18</f>
        <v>مطهری</v>
      </c>
      <c r="J24" s="11" t="s">
        <v>12</v>
      </c>
      <c r="K24" s="12">
        <v>4352</v>
      </c>
      <c r="L24" s="13">
        <v>3259</v>
      </c>
      <c r="M24" s="13">
        <v>0</v>
      </c>
      <c r="N24" s="13">
        <v>72070</v>
      </c>
      <c r="O24" s="14">
        <v>2461</v>
      </c>
      <c r="P24" s="15">
        <f t="shared" si="10"/>
        <v>82142</v>
      </c>
      <c r="S24" s="155">
        <f>IF(OR(SUM(C24:G24)=0,SUM(G$20:G24)=0),"",IF(SUM(S$20:S23)=0,G24,IFERROR(SUM(S23,C24,-D24),"")))</f>
        <v>5</v>
      </c>
      <c r="T24" s="156">
        <f t="shared" si="11"/>
        <v>1</v>
      </c>
      <c r="U24" s="155">
        <f>IF(OR(SUM(K24:O24)=0,SUM(O$20:O24)=0),"",IF(SUM(U$20:U23)=0,O24,IFERROR(SUM(U23,K24,-L24),"")))</f>
        <v>2719</v>
      </c>
      <c r="V24" s="156">
        <f t="shared" si="12"/>
        <v>258</v>
      </c>
    </row>
    <row r="25" spans="1:22" x14ac:dyDescent="0.25">
      <c r="A25" s="65" t="str">
        <f>B18</f>
        <v>شهید کاوه</v>
      </c>
      <c r="B25" s="11" t="s">
        <v>13</v>
      </c>
      <c r="C25" s="12">
        <v>25</v>
      </c>
      <c r="D25" s="13">
        <v>3</v>
      </c>
      <c r="E25" s="13">
        <v>18</v>
      </c>
      <c r="F25" s="13">
        <v>0</v>
      </c>
      <c r="G25" s="14">
        <v>27</v>
      </c>
      <c r="H25" s="15">
        <f t="shared" si="9"/>
        <v>73</v>
      </c>
      <c r="I25" s="65" t="str">
        <f>J18</f>
        <v>مطهری</v>
      </c>
      <c r="J25" s="11" t="s">
        <v>13</v>
      </c>
      <c r="K25" s="12">
        <v>4871</v>
      </c>
      <c r="L25" s="13">
        <v>4805</v>
      </c>
      <c r="M25" s="13">
        <v>0</v>
      </c>
      <c r="N25" s="13">
        <v>72358</v>
      </c>
      <c r="O25" s="14">
        <v>2525</v>
      </c>
      <c r="P25" s="15">
        <f t="shared" si="10"/>
        <v>84559</v>
      </c>
      <c r="S25" s="155">
        <f>IF(OR(SUM(C25:G25)=0,SUM(G$20:G25)=0),"",IF(SUM(S$20:S24)=0,G25,IFERROR(SUM(S24,C25,-D25),"")))</f>
        <v>27</v>
      </c>
      <c r="T25" s="156">
        <f t="shared" si="11"/>
        <v>0</v>
      </c>
      <c r="U25" s="155">
        <f>IF(OR(SUM(K25:O25)=0,SUM(O$20:O25)=0),"",IF(SUM(U$20:U24)=0,O25,IFERROR(SUM(U24,K25,-L25),"")))</f>
        <v>2785</v>
      </c>
      <c r="V25" s="156">
        <f t="shared" si="12"/>
        <v>260</v>
      </c>
    </row>
    <row r="26" spans="1:22" x14ac:dyDescent="0.25">
      <c r="A26" s="65" t="str">
        <f>B18</f>
        <v>شهید کاوه</v>
      </c>
      <c r="B26" s="11" t="s">
        <v>14</v>
      </c>
      <c r="C26" s="12">
        <v>0</v>
      </c>
      <c r="D26" s="13">
        <v>31</v>
      </c>
      <c r="E26" s="13">
        <v>0</v>
      </c>
      <c r="F26" s="13">
        <v>0</v>
      </c>
      <c r="G26" s="14">
        <v>1</v>
      </c>
      <c r="H26" s="15">
        <f t="shared" si="9"/>
        <v>32</v>
      </c>
      <c r="I26" s="65" t="str">
        <f>J18</f>
        <v>مطهری</v>
      </c>
      <c r="J26" s="11" t="s">
        <v>14</v>
      </c>
      <c r="K26" s="12">
        <v>3832</v>
      </c>
      <c r="L26" s="13">
        <v>3516</v>
      </c>
      <c r="M26" s="13">
        <v>0</v>
      </c>
      <c r="N26" s="13">
        <v>73749</v>
      </c>
      <c r="O26" s="14">
        <v>2841</v>
      </c>
      <c r="P26" s="15">
        <f t="shared" ref="P26:P31" si="13">SUM(K26:O26)</f>
        <v>83938</v>
      </c>
      <c r="S26" s="155">
        <f>IF(OR(SUM(C26:G26)=0,SUM(G$20:G26)=0),"",IF(SUM(S$20:S25)=0,G26,IFERROR(SUM(S25,C26,-D26),"")))</f>
        <v>-4</v>
      </c>
      <c r="T26" s="156">
        <f t="shared" si="11"/>
        <v>-5</v>
      </c>
      <c r="U26" s="155">
        <f>IF(OR(SUM(K26:O26)=0,SUM(O$20:O26)=0),"",IF(SUM(U$20:U25)=0,O26,IFERROR(SUM(U25,K26,-L26),"")))</f>
        <v>3101</v>
      </c>
      <c r="V26" s="156">
        <f t="shared" si="12"/>
        <v>260</v>
      </c>
    </row>
    <row r="27" spans="1:22" x14ac:dyDescent="0.25">
      <c r="A27" s="65" t="str">
        <f>B18</f>
        <v>شهید کاوه</v>
      </c>
      <c r="B27" s="11" t="s">
        <v>15</v>
      </c>
      <c r="C27" s="12">
        <v>14</v>
      </c>
      <c r="D27" s="13">
        <v>0</v>
      </c>
      <c r="E27" s="13">
        <v>0</v>
      </c>
      <c r="F27" s="13">
        <v>0</v>
      </c>
      <c r="G27" s="14">
        <v>15</v>
      </c>
      <c r="H27" s="15">
        <f>SUM(C27:G27)</f>
        <v>29</v>
      </c>
      <c r="I27" s="65" t="str">
        <f>J18</f>
        <v>مطهری</v>
      </c>
      <c r="J27" s="11" t="s">
        <v>15</v>
      </c>
      <c r="K27" s="12">
        <v>2496</v>
      </c>
      <c r="L27" s="13">
        <v>3698</v>
      </c>
      <c r="M27" s="13">
        <v>0</v>
      </c>
      <c r="N27" s="13">
        <v>69673</v>
      </c>
      <c r="O27" s="14">
        <v>1632</v>
      </c>
      <c r="P27" s="15">
        <f t="shared" si="13"/>
        <v>77499</v>
      </c>
      <c r="S27" s="155">
        <f>IF(OR(SUM(C27:G27)=0,SUM(G$20:G27)=0),"",IF(SUM(S$20:S26)=0,G27,IFERROR(SUM(S26,C27,-D27),"")))</f>
        <v>10</v>
      </c>
      <c r="T27" s="156">
        <f t="shared" si="11"/>
        <v>-5</v>
      </c>
      <c r="U27" s="155">
        <f>IF(OR(SUM(K27:O27)=0,SUM(O$20:O27)=0),"",IF(SUM(U$20:U26)=0,O27,IFERROR(SUM(U26,K27,-L27),"")))</f>
        <v>1899</v>
      </c>
      <c r="V27" s="156">
        <f t="shared" si="12"/>
        <v>267</v>
      </c>
    </row>
    <row r="28" spans="1:22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>
        <v>15</v>
      </c>
      <c r="H28" s="15">
        <f t="shared" ref="H28" si="14">SUM(C28:F28)</f>
        <v>0</v>
      </c>
      <c r="I28" s="65" t="str">
        <f>J18</f>
        <v>مطهری</v>
      </c>
      <c r="J28" s="11" t="s">
        <v>16</v>
      </c>
      <c r="K28" s="12">
        <v>2884</v>
      </c>
      <c r="L28" s="13">
        <v>1685</v>
      </c>
      <c r="M28" s="13"/>
      <c r="N28" s="13">
        <v>47213</v>
      </c>
      <c r="O28" s="14">
        <v>2830</v>
      </c>
      <c r="P28" s="15">
        <f t="shared" si="13"/>
        <v>54612</v>
      </c>
      <c r="S28" s="155">
        <f>IF(OR(SUM(C28:G28)=0,SUM(G$20:G28)=0),"",IF(SUM(S$20:S27)=0,G28,IFERROR(SUM(S27,C28,-D28),"")))</f>
        <v>10</v>
      </c>
      <c r="T28" s="156">
        <f t="shared" si="11"/>
        <v>-5</v>
      </c>
      <c r="U28" s="155">
        <f>IF(OR(SUM(K28:O28)=0,SUM(O$20:O28)=0),"",IF(SUM(U$20:U27)=0,O28,IFERROR(SUM(U27,K28,-L28),"")))</f>
        <v>3098</v>
      </c>
      <c r="V28" s="156">
        <f t="shared" si="12"/>
        <v>268</v>
      </c>
    </row>
    <row r="29" spans="1:22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>
        <v>15</v>
      </c>
      <c r="H29" s="15">
        <f>SUM(C29:G29)</f>
        <v>15</v>
      </c>
      <c r="I29" s="65" t="str">
        <f>J18</f>
        <v>مطهری</v>
      </c>
      <c r="J29" s="11" t="s">
        <v>17</v>
      </c>
      <c r="K29" s="12">
        <v>1750</v>
      </c>
      <c r="L29" s="13">
        <v>2075</v>
      </c>
      <c r="M29" s="13"/>
      <c r="N29" s="13">
        <v>39588</v>
      </c>
      <c r="O29" s="14">
        <v>2506</v>
      </c>
      <c r="P29" s="15">
        <f t="shared" si="13"/>
        <v>45919</v>
      </c>
      <c r="S29" s="155">
        <f>IF(OR(SUM(C29:G29)=0,SUM(G$20:G29)=0),"",IF(SUM(S$20:S28)=0,G29,IFERROR(SUM(S28,C29,-D29),"")))</f>
        <v>10</v>
      </c>
      <c r="T29" s="156">
        <f t="shared" si="11"/>
        <v>-5</v>
      </c>
      <c r="U29" s="155">
        <f>IF(OR(SUM(K29:O29)=0,SUM(O$20:O29)=0),"",IF(SUM(U$20:U28)=0,O29,IFERROR(SUM(U28,K29,-L29),"")))</f>
        <v>2773</v>
      </c>
      <c r="V29" s="156">
        <f t="shared" si="12"/>
        <v>267</v>
      </c>
    </row>
    <row r="30" spans="1:22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>
        <v>15</v>
      </c>
      <c r="H30" s="15">
        <f>SUM(C30:G30)</f>
        <v>15</v>
      </c>
      <c r="I30" s="65" t="str">
        <f>J18</f>
        <v>مطهری</v>
      </c>
      <c r="J30" s="11" t="s">
        <v>18</v>
      </c>
      <c r="K30" s="12">
        <v>1445</v>
      </c>
      <c r="L30" s="13">
        <v>2150</v>
      </c>
      <c r="M30" s="13"/>
      <c r="N30" s="13">
        <v>64157</v>
      </c>
      <c r="O30" s="14">
        <v>1803</v>
      </c>
      <c r="P30" s="15">
        <f t="shared" si="13"/>
        <v>69555</v>
      </c>
      <c r="S30" s="155">
        <f>IF(OR(SUM(C30:G30)=0,SUM(G$20:G30)=0),"",IF(SUM(S$20:S29)=0,G30,IFERROR(SUM(S29,C30,-D30),"")))</f>
        <v>10</v>
      </c>
      <c r="T30" s="156">
        <f t="shared" si="11"/>
        <v>-5</v>
      </c>
      <c r="U30" s="155">
        <f>IF(OR(SUM(K30:O30)=0,SUM(O$20:O30)=0),"",IF(SUM(U$20:U29)=0,O30,IFERROR(SUM(U29,K30,-L30),"")))</f>
        <v>2068</v>
      </c>
      <c r="V30" s="156">
        <f t="shared" si="12"/>
        <v>265</v>
      </c>
    </row>
    <row r="31" spans="1:22" ht="20.25" thickBot="1" x14ac:dyDescent="0.3">
      <c r="A31" s="65" t="str">
        <f>B18</f>
        <v>شهید کاوه</v>
      </c>
      <c r="B31" s="16" t="s">
        <v>19</v>
      </c>
      <c r="C31" s="17"/>
      <c r="D31" s="18">
        <v>15</v>
      </c>
      <c r="E31" s="18"/>
      <c r="F31" s="18"/>
      <c r="G31" s="19">
        <v>1</v>
      </c>
      <c r="H31" s="20">
        <f>SUM(C31:G31)</f>
        <v>16</v>
      </c>
      <c r="I31" s="65" t="str">
        <f>J18</f>
        <v>مطهری</v>
      </c>
      <c r="J31" s="16" t="s">
        <v>19</v>
      </c>
      <c r="K31" s="17">
        <v>2232</v>
      </c>
      <c r="L31" s="18">
        <v>1807</v>
      </c>
      <c r="M31" s="18"/>
      <c r="N31" s="18">
        <v>47203</v>
      </c>
      <c r="O31" s="19">
        <v>2464</v>
      </c>
      <c r="P31" s="20">
        <f t="shared" si="13"/>
        <v>53706</v>
      </c>
      <c r="S31" s="155">
        <f>IF(OR(SUM(C31:G31)=0,SUM(G$20:G31)=0),"",IF(SUM(S$20:S30)=0,G31,IFERROR(SUM(S30,C31,-D31),"")))</f>
        <v>-5</v>
      </c>
      <c r="T31" s="156">
        <f t="shared" si="11"/>
        <v>-6</v>
      </c>
      <c r="U31" s="155">
        <f>IF(OR(SUM(K31:O31)=0,SUM(O$20:O31)=0),"",IF(SUM(U$20:U30)=0,O31,IFERROR(SUM(U30,K31,-L31),"")))</f>
        <v>2493</v>
      </c>
      <c r="V31" s="156">
        <f t="shared" si="12"/>
        <v>29</v>
      </c>
    </row>
    <row r="32" spans="1:22" ht="21" thickBot="1" x14ac:dyDescent="0.3">
      <c r="A32" s="65"/>
      <c r="B32" s="37" t="s">
        <v>6</v>
      </c>
      <c r="C32" s="45">
        <f>SUM(C20:C31)</f>
        <v>57</v>
      </c>
      <c r="D32" s="46">
        <f t="shared" ref="D32:F32" si="15">SUM(D20:D31)</f>
        <v>65</v>
      </c>
      <c r="E32" s="46">
        <f t="shared" si="15"/>
        <v>18</v>
      </c>
      <c r="F32" s="46">
        <f t="shared" si="15"/>
        <v>0</v>
      </c>
      <c r="G32" s="47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1</v>
      </c>
      <c r="H32" s="48">
        <f t="shared" ref="H32" si="16">SUM(C32:F32)</f>
        <v>140</v>
      </c>
      <c r="I32" s="65"/>
      <c r="J32" s="37" t="s">
        <v>6</v>
      </c>
      <c r="K32" s="45">
        <f>SUM(K20:K31)</f>
        <v>31508</v>
      </c>
      <c r="L32" s="46">
        <f t="shared" ref="L32:N32" si="17">SUM(L20:L31)</f>
        <v>32621</v>
      </c>
      <c r="M32" s="46">
        <f t="shared" si="17"/>
        <v>0</v>
      </c>
      <c r="N32" s="46">
        <f t="shared" si="17"/>
        <v>693234</v>
      </c>
      <c r="O32" s="47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2464</v>
      </c>
      <c r="P32" s="48">
        <f t="shared" ref="P32" si="18">SUM(K32:N32)</f>
        <v>757363</v>
      </c>
      <c r="T32" s="156"/>
      <c r="V32" s="156"/>
    </row>
    <row r="33" spans="1:22" ht="3.95" customHeight="1" thickBot="1" x14ac:dyDescent="0.3">
      <c r="A33" s="65"/>
      <c r="I33" s="65"/>
      <c r="T33" s="156"/>
      <c r="V33" s="156"/>
    </row>
    <row r="34" spans="1:22" ht="26.25" thickBot="1" x14ac:dyDescent="0.3">
      <c r="A34" s="65"/>
      <c r="B34" s="207" t="s">
        <v>23</v>
      </c>
      <c r="C34" s="208"/>
      <c r="D34" s="208"/>
      <c r="E34" s="208"/>
      <c r="F34" s="208"/>
      <c r="G34" s="208"/>
      <c r="H34" s="209"/>
      <c r="I34" s="65"/>
      <c r="J34" s="207" t="s">
        <v>24</v>
      </c>
      <c r="K34" s="208"/>
      <c r="L34" s="208"/>
      <c r="M34" s="208"/>
      <c r="N34" s="208"/>
      <c r="O34" s="208"/>
      <c r="P34" s="209"/>
      <c r="T34" s="156"/>
      <c r="V34" s="156"/>
    </row>
    <row r="35" spans="1:22" ht="21" thickBot="1" x14ac:dyDescent="0.3">
      <c r="A35" s="65"/>
      <c r="B35" s="37" t="s">
        <v>0</v>
      </c>
      <c r="C35" s="38" t="s">
        <v>1</v>
      </c>
      <c r="D35" s="39" t="s">
        <v>2</v>
      </c>
      <c r="E35" s="39" t="s">
        <v>3</v>
      </c>
      <c r="F35" s="39" t="s">
        <v>4</v>
      </c>
      <c r="G35" s="40" t="s">
        <v>5</v>
      </c>
      <c r="H35" s="37" t="s">
        <v>7</v>
      </c>
      <c r="I35" s="65"/>
      <c r="J35" s="37" t="s">
        <v>0</v>
      </c>
      <c r="K35" s="38" t="s">
        <v>1</v>
      </c>
      <c r="L35" s="39" t="s">
        <v>2</v>
      </c>
      <c r="M35" s="39" t="s">
        <v>3</v>
      </c>
      <c r="N35" s="39" t="s">
        <v>4</v>
      </c>
      <c r="O35" s="40" t="s">
        <v>5</v>
      </c>
      <c r="P35" s="37" t="s">
        <v>7</v>
      </c>
      <c r="T35" s="156"/>
      <c r="V35" s="156"/>
    </row>
    <row r="36" spans="1:22" x14ac:dyDescent="0.25">
      <c r="A36" s="65" t="str">
        <f>B34</f>
        <v>سرخس</v>
      </c>
      <c r="B36" s="6" t="s">
        <v>8</v>
      </c>
      <c r="C36" s="7">
        <v>351</v>
      </c>
      <c r="D36" s="8">
        <v>116</v>
      </c>
      <c r="E36" s="8">
        <v>0</v>
      </c>
      <c r="F36" s="8">
        <v>1233</v>
      </c>
      <c r="G36" s="9">
        <v>346</v>
      </c>
      <c r="H36" s="10">
        <f>SUM(C36:G36)</f>
        <v>2046</v>
      </c>
      <c r="I36" s="65" t="str">
        <f>J34</f>
        <v>لطف آباد</v>
      </c>
      <c r="J36" s="6" t="s">
        <v>8</v>
      </c>
      <c r="K36" s="7">
        <v>0</v>
      </c>
      <c r="L36" s="8">
        <v>0</v>
      </c>
      <c r="M36" s="8">
        <v>0</v>
      </c>
      <c r="N36" s="8">
        <v>0</v>
      </c>
      <c r="O36" s="9">
        <v>62</v>
      </c>
      <c r="P36" s="10">
        <f t="shared" ref="P36:P41" si="19">SUM(K36:O36)</f>
        <v>62</v>
      </c>
      <c r="S36" s="155">
        <f>IF(SUM(G36)=0,"",IFERROR(G36,""))</f>
        <v>346</v>
      </c>
      <c r="T36" s="156">
        <f>IFERROR(S36-G36,"")</f>
        <v>0</v>
      </c>
      <c r="U36" s="155">
        <f>IF(SUM(O36)=0,"",IFERROR(O36,""))</f>
        <v>62</v>
      </c>
      <c r="V36" s="156">
        <f>IFERROR(U36-O36,"")</f>
        <v>0</v>
      </c>
    </row>
    <row r="37" spans="1:22" x14ac:dyDescent="0.25">
      <c r="A37" s="65" t="str">
        <f>B34</f>
        <v>سرخس</v>
      </c>
      <c r="B37" s="11" t="s">
        <v>9</v>
      </c>
      <c r="C37" s="12">
        <v>925</v>
      </c>
      <c r="D37" s="13">
        <v>1209</v>
      </c>
      <c r="E37" s="13">
        <v>0</v>
      </c>
      <c r="F37" s="13">
        <v>3581</v>
      </c>
      <c r="G37" s="14">
        <v>62</v>
      </c>
      <c r="H37" s="15">
        <f t="shared" ref="H37:H42" si="20">SUM(C37:G37)</f>
        <v>5777</v>
      </c>
      <c r="I37" s="65" t="str">
        <f>J34</f>
        <v>لطف آباد</v>
      </c>
      <c r="J37" s="11" t="s">
        <v>9</v>
      </c>
      <c r="K37" s="12">
        <v>15</v>
      </c>
      <c r="L37" s="13">
        <v>46</v>
      </c>
      <c r="M37" s="13">
        <v>0</v>
      </c>
      <c r="N37" s="13">
        <v>0</v>
      </c>
      <c r="O37" s="14">
        <v>62</v>
      </c>
      <c r="P37" s="15">
        <f t="shared" si="19"/>
        <v>123</v>
      </c>
      <c r="S37" s="155">
        <f>IF(OR(SUM(C37:G37)=0,SUM(G$36:G37)=0),"",IF(SUM(S$36:S36)=0,G37,IFERROR(SUM(S36,C37,-D37),"")))</f>
        <v>62</v>
      </c>
      <c r="T37" s="156">
        <f t="shared" ref="T37:T47" si="21">IFERROR(S37-G37,"")</f>
        <v>0</v>
      </c>
      <c r="U37" s="155">
        <f>IF(OR(SUM(K37:O37)=0,SUM(O$36:O37)=0),"",IF(SUM(U$36:U36)=0,O37,IFERROR(SUM(U36,K37,-L37),"")))</f>
        <v>31</v>
      </c>
      <c r="V37" s="156">
        <f t="shared" ref="V37:V47" si="22">IFERROR(U37-O37,"")</f>
        <v>-31</v>
      </c>
    </row>
    <row r="38" spans="1:22" x14ac:dyDescent="0.25">
      <c r="A38" s="65" t="str">
        <f>B34</f>
        <v>سرخس</v>
      </c>
      <c r="B38" s="11" t="s">
        <v>10</v>
      </c>
      <c r="C38" s="12">
        <v>110</v>
      </c>
      <c r="D38" s="13">
        <v>133</v>
      </c>
      <c r="E38" s="13">
        <v>0</v>
      </c>
      <c r="F38" s="13">
        <v>3010</v>
      </c>
      <c r="G38" s="14">
        <v>40</v>
      </c>
      <c r="H38" s="15">
        <f t="shared" si="20"/>
        <v>3293</v>
      </c>
      <c r="I38" s="65" t="str">
        <f>J34</f>
        <v>لطف آباد</v>
      </c>
      <c r="J38" s="11" t="s">
        <v>10</v>
      </c>
      <c r="K38" s="12">
        <v>0</v>
      </c>
      <c r="L38" s="13">
        <v>26</v>
      </c>
      <c r="M38" s="13">
        <v>0</v>
      </c>
      <c r="N38" s="13">
        <v>0</v>
      </c>
      <c r="O38" s="14">
        <v>51</v>
      </c>
      <c r="P38" s="15">
        <f t="shared" si="19"/>
        <v>77</v>
      </c>
      <c r="S38" s="155">
        <f>IF(OR(SUM(C38:G38)=0,SUM(G$36:G38)=0),"",IF(SUM(S$36:S37)=0,G38,IFERROR(SUM(S37,C38,-D38),"")))</f>
        <v>39</v>
      </c>
      <c r="T38" s="156">
        <f t="shared" si="21"/>
        <v>-1</v>
      </c>
      <c r="U38" s="155">
        <f>IF(OR(SUM(K38:O38)=0,SUM(O$36:O38)=0),"",IF(SUM(U$36:U37)=0,O38,IFERROR(SUM(U37,K38,-L38),"")))</f>
        <v>5</v>
      </c>
      <c r="V38" s="156">
        <f t="shared" si="22"/>
        <v>-46</v>
      </c>
    </row>
    <row r="39" spans="1:22" x14ac:dyDescent="0.25">
      <c r="A39" s="65" t="str">
        <f>B34</f>
        <v>سرخس</v>
      </c>
      <c r="B39" s="11" t="s">
        <v>11</v>
      </c>
      <c r="C39" s="12">
        <v>395</v>
      </c>
      <c r="D39" s="13">
        <v>398</v>
      </c>
      <c r="E39" s="13">
        <v>0</v>
      </c>
      <c r="F39" s="13">
        <v>3659</v>
      </c>
      <c r="G39" s="14">
        <v>341</v>
      </c>
      <c r="H39" s="15">
        <f t="shared" si="20"/>
        <v>4793</v>
      </c>
      <c r="I39" s="65" t="str">
        <f>J34</f>
        <v>لطف آباد</v>
      </c>
      <c r="J39" s="11" t="s">
        <v>11</v>
      </c>
      <c r="K39" s="12">
        <v>63</v>
      </c>
      <c r="L39" s="13">
        <v>41</v>
      </c>
      <c r="M39" s="13">
        <v>0</v>
      </c>
      <c r="N39" s="13">
        <v>0</v>
      </c>
      <c r="O39" s="14">
        <v>95</v>
      </c>
      <c r="P39" s="15">
        <f t="shared" si="19"/>
        <v>199</v>
      </c>
      <c r="S39" s="155">
        <f>IF(OR(SUM(C39:G39)=0,SUM(G$36:G39)=0),"",IF(SUM(S$36:S38)=0,G39,IFERROR(SUM(S38,C39,-D39),"")))</f>
        <v>36</v>
      </c>
      <c r="T39" s="156">
        <f t="shared" si="21"/>
        <v>-305</v>
      </c>
      <c r="U39" s="155">
        <f>IF(OR(SUM(K39:O39)=0,SUM(O$36:O39)=0),"",IF(SUM(U$36:U38)=0,O39,IFERROR(SUM(U38,K39,-L39),"")))</f>
        <v>27</v>
      </c>
      <c r="V39" s="156">
        <f t="shared" si="22"/>
        <v>-68</v>
      </c>
    </row>
    <row r="40" spans="1:22" x14ac:dyDescent="0.25">
      <c r="A40" s="65" t="str">
        <f>B34</f>
        <v>سرخس</v>
      </c>
      <c r="B40" s="11" t="s">
        <v>12</v>
      </c>
      <c r="C40" s="12">
        <v>2529</v>
      </c>
      <c r="D40" s="13">
        <v>1075</v>
      </c>
      <c r="E40" s="13">
        <v>0</v>
      </c>
      <c r="F40" s="13">
        <v>6655</v>
      </c>
      <c r="G40" s="14">
        <v>3573</v>
      </c>
      <c r="H40" s="15">
        <f t="shared" si="20"/>
        <v>13832</v>
      </c>
      <c r="I40" s="65" t="str">
        <f>J34</f>
        <v>لطف آباد</v>
      </c>
      <c r="J40" s="11" t="s">
        <v>12</v>
      </c>
      <c r="K40" s="12">
        <v>343</v>
      </c>
      <c r="L40" s="13">
        <v>348</v>
      </c>
      <c r="M40" s="13">
        <v>0</v>
      </c>
      <c r="N40" s="13">
        <v>0</v>
      </c>
      <c r="O40" s="14">
        <v>105</v>
      </c>
      <c r="P40" s="15">
        <f t="shared" si="19"/>
        <v>796</v>
      </c>
      <c r="S40" s="155">
        <f>IF(OR(SUM(C40:G40)=0,SUM(G$36:G40)=0),"",IF(SUM(S$36:S39)=0,G40,IFERROR(SUM(S39,C40,-D40),"")))</f>
        <v>1490</v>
      </c>
      <c r="T40" s="156">
        <f t="shared" si="21"/>
        <v>-2083</v>
      </c>
      <c r="U40" s="155">
        <f>IF(OR(SUM(K40:O40)=0,SUM(O$36:O40)=0),"",IF(SUM(U$36:U39)=0,O40,IFERROR(SUM(U39,K40,-L40),"")))</f>
        <v>22</v>
      </c>
      <c r="V40" s="156">
        <f t="shared" si="22"/>
        <v>-83</v>
      </c>
    </row>
    <row r="41" spans="1:22" x14ac:dyDescent="0.25">
      <c r="A41" s="65" t="str">
        <f>B34</f>
        <v>سرخس</v>
      </c>
      <c r="B41" s="11" t="s">
        <v>13</v>
      </c>
      <c r="C41" s="12">
        <v>971</v>
      </c>
      <c r="D41" s="13">
        <v>2215</v>
      </c>
      <c r="E41" s="13">
        <v>0</v>
      </c>
      <c r="F41" s="13">
        <v>8961</v>
      </c>
      <c r="G41" s="14">
        <v>576</v>
      </c>
      <c r="H41" s="15">
        <f t="shared" si="20"/>
        <v>12723</v>
      </c>
      <c r="I41" s="65" t="str">
        <f>J34</f>
        <v>لطف آباد</v>
      </c>
      <c r="J41" s="11" t="s">
        <v>13</v>
      </c>
      <c r="K41" s="12">
        <v>674</v>
      </c>
      <c r="L41" s="13">
        <v>535</v>
      </c>
      <c r="M41" s="13">
        <v>0</v>
      </c>
      <c r="N41" s="13">
        <v>0</v>
      </c>
      <c r="O41" s="14">
        <v>278</v>
      </c>
      <c r="P41" s="15">
        <f t="shared" si="19"/>
        <v>1487</v>
      </c>
      <c r="S41" s="155">
        <f>IF(OR(SUM(C41:G41)=0,SUM(G$36:G41)=0),"",IF(SUM(S$36:S40)=0,G41,IFERROR(SUM(S40,C41,-D41),"")))</f>
        <v>246</v>
      </c>
      <c r="T41" s="156">
        <f t="shared" si="21"/>
        <v>-330</v>
      </c>
      <c r="U41" s="155">
        <f>IF(OR(SUM(K41:O41)=0,SUM(O$36:O41)=0),"",IF(SUM(U$36:U40)=0,O41,IFERROR(SUM(U40,K41,-L41),"")))</f>
        <v>161</v>
      </c>
      <c r="V41" s="156">
        <f t="shared" si="22"/>
        <v>-117</v>
      </c>
    </row>
    <row r="42" spans="1:22" x14ac:dyDescent="0.25">
      <c r="A42" s="65" t="str">
        <f>B34</f>
        <v>سرخس</v>
      </c>
      <c r="B42" s="11" t="s">
        <v>14</v>
      </c>
      <c r="C42" s="12">
        <v>1072</v>
      </c>
      <c r="D42" s="13">
        <v>757</v>
      </c>
      <c r="E42" s="13">
        <v>0</v>
      </c>
      <c r="F42" s="13">
        <v>8208</v>
      </c>
      <c r="G42" s="14">
        <v>891</v>
      </c>
      <c r="H42" s="15">
        <f t="shared" si="20"/>
        <v>10928</v>
      </c>
      <c r="I42" s="65" t="str">
        <f>J34</f>
        <v>لطف آباد</v>
      </c>
      <c r="J42" s="11" t="s">
        <v>14</v>
      </c>
      <c r="K42" s="12">
        <v>775</v>
      </c>
      <c r="L42" s="13">
        <v>629</v>
      </c>
      <c r="M42" s="13">
        <v>0</v>
      </c>
      <c r="N42" s="13">
        <v>0</v>
      </c>
      <c r="O42" s="14">
        <v>454</v>
      </c>
      <c r="P42" s="15">
        <f>SUM(K42:O42)</f>
        <v>1858</v>
      </c>
      <c r="S42" s="155">
        <f>IF(OR(SUM(C42:G42)=0,SUM(G$36:G42)=0),"",IF(SUM(S$36:S41)=0,G42,IFERROR(SUM(S41,C42,-D42),"")))</f>
        <v>561</v>
      </c>
      <c r="T42" s="156">
        <f t="shared" si="21"/>
        <v>-330</v>
      </c>
      <c r="U42" s="155">
        <f>IF(OR(SUM(K42:O42)=0,SUM(O$36:O42)=0),"",IF(SUM(U$36:U41)=0,O42,IFERROR(SUM(U41,K42,-L42),"")))</f>
        <v>307</v>
      </c>
      <c r="V42" s="156">
        <f t="shared" si="22"/>
        <v>-147</v>
      </c>
    </row>
    <row r="43" spans="1:22" x14ac:dyDescent="0.25">
      <c r="A43" s="65" t="str">
        <f>B34</f>
        <v>سرخس</v>
      </c>
      <c r="B43" s="11" t="s">
        <v>15</v>
      </c>
      <c r="C43" s="12">
        <v>2056</v>
      </c>
      <c r="D43" s="13">
        <v>1833</v>
      </c>
      <c r="E43" s="13">
        <v>0</v>
      </c>
      <c r="F43" s="13">
        <v>7564</v>
      </c>
      <c r="G43" s="14">
        <v>1088</v>
      </c>
      <c r="H43" s="15">
        <f>SUM(C43:G43)</f>
        <v>12541</v>
      </c>
      <c r="I43" s="65" t="str">
        <f>J34</f>
        <v>لطف آباد</v>
      </c>
      <c r="J43" s="11" t="s">
        <v>15</v>
      </c>
      <c r="K43" s="12">
        <v>370</v>
      </c>
      <c r="L43" s="13">
        <v>654</v>
      </c>
      <c r="M43" s="13">
        <v>0</v>
      </c>
      <c r="N43" s="13">
        <v>0</v>
      </c>
      <c r="O43" s="14">
        <v>264</v>
      </c>
      <c r="P43" s="15">
        <f>SUM(K43:O43)</f>
        <v>1288</v>
      </c>
      <c r="S43" s="155">
        <f>IF(OR(SUM(C43:G43)=0,SUM(G$36:G43)=0),"",IF(SUM(S$36:S42)=0,G43,IFERROR(SUM(S42,C43,-D43),"")))</f>
        <v>784</v>
      </c>
      <c r="T43" s="156">
        <f t="shared" si="21"/>
        <v>-304</v>
      </c>
      <c r="U43" s="155">
        <f>IF(OR(SUM(K43:O43)=0,SUM(O$36:O43)=0),"",IF(SUM(U$36:U42)=0,O43,IFERROR(SUM(U42,K43,-L43),"")))</f>
        <v>23</v>
      </c>
      <c r="V43" s="156">
        <f t="shared" si="22"/>
        <v>-241</v>
      </c>
    </row>
    <row r="44" spans="1:22" x14ac:dyDescent="0.25">
      <c r="A44" s="65" t="str">
        <f>B34</f>
        <v>سرخس</v>
      </c>
      <c r="B44" s="11" t="s">
        <v>16</v>
      </c>
      <c r="C44" s="12">
        <v>606</v>
      </c>
      <c r="D44" s="13">
        <v>1589</v>
      </c>
      <c r="E44" s="13"/>
      <c r="F44" s="13">
        <v>7090</v>
      </c>
      <c r="G44" s="14">
        <v>108</v>
      </c>
      <c r="H44" s="15">
        <f>SUM(C44:G44)</f>
        <v>9393</v>
      </c>
      <c r="I44" s="65" t="str">
        <f>J34</f>
        <v>لطف آباد</v>
      </c>
      <c r="J44" s="11" t="s">
        <v>16</v>
      </c>
      <c r="K44" s="12">
        <v>240</v>
      </c>
      <c r="L44" s="13">
        <v>361</v>
      </c>
      <c r="M44" s="13"/>
      <c r="N44" s="13"/>
      <c r="O44" s="14">
        <v>158</v>
      </c>
      <c r="P44" s="15">
        <f t="shared" ref="P44:P47" si="23">SUM(K44:N44)</f>
        <v>601</v>
      </c>
      <c r="S44" s="155">
        <f>IF(OR(SUM(C44:G44)=0,SUM(G$36:G44)=0),"",IF(SUM(S$36:S43)=0,G44,IFERROR(SUM(S43,C44,-D44),"")))</f>
        <v>-199</v>
      </c>
      <c r="T44" s="156">
        <f t="shared" si="21"/>
        <v>-307</v>
      </c>
      <c r="U44" s="155">
        <f>IF(OR(SUM(K44:O44)=0,SUM(O$36:O44)=0),"",IF(SUM(U$36:U43)=0,O44,IFERROR(SUM(U43,K44,-L44),"")))</f>
        <v>-98</v>
      </c>
      <c r="V44" s="156">
        <f t="shared" si="22"/>
        <v>-256</v>
      </c>
    </row>
    <row r="45" spans="1:22" x14ac:dyDescent="0.25">
      <c r="A45" s="65" t="str">
        <f>B34</f>
        <v>سرخس</v>
      </c>
      <c r="B45" s="11" t="s">
        <v>17</v>
      </c>
      <c r="C45" s="12">
        <v>619</v>
      </c>
      <c r="D45" s="13">
        <v>399</v>
      </c>
      <c r="E45" s="13"/>
      <c r="F45" s="13">
        <v>5629</v>
      </c>
      <c r="G45" s="14">
        <v>318</v>
      </c>
      <c r="H45" s="15">
        <f>SUM(C45:G45)</f>
        <v>6965</v>
      </c>
      <c r="I45" s="65" t="str">
        <f>J34</f>
        <v>لطف آباد</v>
      </c>
      <c r="J45" s="11" t="s">
        <v>17</v>
      </c>
      <c r="K45" s="12">
        <v>31</v>
      </c>
      <c r="L45" s="13">
        <v>146</v>
      </c>
      <c r="M45" s="13"/>
      <c r="N45" s="13"/>
      <c r="O45" s="14">
        <v>81</v>
      </c>
      <c r="P45" s="15">
        <f t="shared" si="23"/>
        <v>177</v>
      </c>
      <c r="S45" s="155">
        <f>IF(OR(SUM(C45:G45)=0,SUM(G$36:G45)=0),"",IF(SUM(S$36:S44)=0,G45,IFERROR(SUM(S44,C45,-D45),"")))</f>
        <v>21</v>
      </c>
      <c r="T45" s="156">
        <f t="shared" si="21"/>
        <v>-297</v>
      </c>
      <c r="U45" s="155">
        <f>IF(OR(SUM(K45:O45)=0,SUM(O$36:O45)=0),"",IF(SUM(U$36:U44)=0,O45,IFERROR(SUM(U44,K45,-L45),"")))</f>
        <v>-213</v>
      </c>
      <c r="V45" s="156">
        <f t="shared" si="22"/>
        <v>-294</v>
      </c>
    </row>
    <row r="46" spans="1:22" x14ac:dyDescent="0.25">
      <c r="A46" s="65" t="str">
        <f>B34</f>
        <v>سرخس</v>
      </c>
      <c r="B46" s="11" t="s">
        <v>18</v>
      </c>
      <c r="C46" s="12">
        <v>926</v>
      </c>
      <c r="D46" s="13">
        <v>784</v>
      </c>
      <c r="E46" s="13"/>
      <c r="F46" s="13">
        <v>5767</v>
      </c>
      <c r="G46" s="14">
        <v>460</v>
      </c>
      <c r="H46" s="15">
        <f>SUM(C46:G46)</f>
        <v>7937</v>
      </c>
      <c r="I46" s="65" t="str">
        <f>J34</f>
        <v>لطف آباد</v>
      </c>
      <c r="J46" s="11" t="s">
        <v>18</v>
      </c>
      <c r="K46" s="12">
        <v>297</v>
      </c>
      <c r="L46" s="13">
        <v>319</v>
      </c>
      <c r="M46" s="13"/>
      <c r="N46" s="13"/>
      <c r="O46" s="14">
        <v>59</v>
      </c>
      <c r="P46" s="15">
        <f t="shared" si="23"/>
        <v>616</v>
      </c>
      <c r="S46" s="155">
        <f>IF(OR(SUM(C46:G46)=0,SUM(G$36:G46)=0),"",IF(SUM(S$36:S45)=0,G46,IFERROR(SUM(S45,C46,-D46),"")))</f>
        <v>163</v>
      </c>
      <c r="T46" s="156">
        <f t="shared" si="21"/>
        <v>-297</v>
      </c>
      <c r="U46" s="155">
        <f>IF(OR(SUM(K46:O46)=0,SUM(O$36:O46)=0),"",IF(SUM(U$36:U45)=0,O46,IFERROR(SUM(U45,K46,-L46),"")))</f>
        <v>-235</v>
      </c>
      <c r="V46" s="156">
        <f t="shared" si="22"/>
        <v>-294</v>
      </c>
    </row>
    <row r="47" spans="1:22" ht="20.25" thickBot="1" x14ac:dyDescent="0.3">
      <c r="A47" s="65" t="str">
        <f>B34</f>
        <v>سرخس</v>
      </c>
      <c r="B47" s="16" t="s">
        <v>19</v>
      </c>
      <c r="C47" s="17">
        <v>417</v>
      </c>
      <c r="D47" s="18">
        <v>847</v>
      </c>
      <c r="E47" s="18"/>
      <c r="F47" s="18">
        <v>3260</v>
      </c>
      <c r="G47" s="19">
        <v>249</v>
      </c>
      <c r="H47" s="20">
        <f>SUM(C47:G47)</f>
        <v>4773</v>
      </c>
      <c r="I47" s="65" t="str">
        <f>J34</f>
        <v>لطف آباد</v>
      </c>
      <c r="J47" s="16" t="s">
        <v>19</v>
      </c>
      <c r="K47" s="17">
        <v>428</v>
      </c>
      <c r="L47" s="18">
        <v>389</v>
      </c>
      <c r="M47" s="18"/>
      <c r="N47" s="18"/>
      <c r="O47" s="19">
        <v>113</v>
      </c>
      <c r="P47" s="20">
        <f t="shared" si="23"/>
        <v>817</v>
      </c>
      <c r="S47" s="155">
        <f>IF(OR(SUM(C47:G47)=0,SUM(G$36:G47)=0),"",IF(SUM(S$36:S46)=0,G47,IFERROR(SUM(S46,C47,-D47),"")))</f>
        <v>-267</v>
      </c>
      <c r="T47" s="156">
        <f t="shared" si="21"/>
        <v>-516</v>
      </c>
      <c r="U47" s="155">
        <f>IF(OR(SUM(K47:O47)=0,SUM(O$36:O47)=0),"",IF(SUM(U$36:U46)=0,O47,IFERROR(SUM(U46,K47,-L47),"")))</f>
        <v>-196</v>
      </c>
      <c r="V47" s="156">
        <f t="shared" si="22"/>
        <v>-309</v>
      </c>
    </row>
    <row r="48" spans="1:22" ht="21" thickBot="1" x14ac:dyDescent="0.3">
      <c r="A48" s="65"/>
      <c r="B48" s="37" t="s">
        <v>6</v>
      </c>
      <c r="C48" s="45">
        <f>SUM(C36:C47)</f>
        <v>10977</v>
      </c>
      <c r="D48" s="46">
        <f t="shared" ref="D48:F48" si="24">SUM(D36:D47)</f>
        <v>11355</v>
      </c>
      <c r="E48" s="46">
        <f t="shared" si="24"/>
        <v>0</v>
      </c>
      <c r="F48" s="46">
        <f t="shared" si="24"/>
        <v>64617</v>
      </c>
      <c r="G48" s="47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249</v>
      </c>
      <c r="H48" s="48">
        <f t="shared" ref="H48" si="25">SUM(C48:F48)</f>
        <v>86949</v>
      </c>
      <c r="I48" s="65"/>
      <c r="J48" s="37" t="s">
        <v>6</v>
      </c>
      <c r="K48" s="45">
        <f>SUM(K36:K47)</f>
        <v>3236</v>
      </c>
      <c r="L48" s="46">
        <f t="shared" ref="L48:N48" si="26">SUM(L36:L47)</f>
        <v>3494</v>
      </c>
      <c r="M48" s="46">
        <f t="shared" si="26"/>
        <v>0</v>
      </c>
      <c r="N48" s="46">
        <f t="shared" si="26"/>
        <v>0</v>
      </c>
      <c r="O48" s="47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113</v>
      </c>
      <c r="P48" s="48">
        <f t="shared" ref="P48" si="27">SUM(K48:N48)</f>
        <v>6730</v>
      </c>
      <c r="T48" s="156"/>
      <c r="V48" s="156"/>
    </row>
    <row r="49" spans="1:22" ht="3.95" customHeight="1" thickBot="1" x14ac:dyDescent="0.3">
      <c r="A49" s="65"/>
      <c r="I49" s="65"/>
      <c r="T49" s="156"/>
      <c r="V49" s="156"/>
    </row>
    <row r="50" spans="1:22" ht="26.25" thickBot="1" x14ac:dyDescent="0.3">
      <c r="A50" s="65"/>
      <c r="B50" s="207" t="s">
        <v>25</v>
      </c>
      <c r="C50" s="208"/>
      <c r="D50" s="208"/>
      <c r="E50" s="208"/>
      <c r="F50" s="208"/>
      <c r="G50" s="208"/>
      <c r="H50" s="209"/>
      <c r="I50" s="65"/>
      <c r="J50" s="207" t="s">
        <v>26</v>
      </c>
      <c r="K50" s="208"/>
      <c r="L50" s="208"/>
      <c r="M50" s="208"/>
      <c r="N50" s="208"/>
      <c r="O50" s="208"/>
      <c r="P50" s="209"/>
      <c r="T50" s="156"/>
      <c r="V50" s="156"/>
    </row>
    <row r="51" spans="1:22" ht="21" thickBot="1" x14ac:dyDescent="0.3">
      <c r="A51" s="65"/>
      <c r="B51" s="37" t="s">
        <v>0</v>
      </c>
      <c r="C51" s="38" t="s">
        <v>1</v>
      </c>
      <c r="D51" s="39" t="s">
        <v>2</v>
      </c>
      <c r="E51" s="39" t="s">
        <v>3</v>
      </c>
      <c r="F51" s="39" t="s">
        <v>4</v>
      </c>
      <c r="G51" s="40" t="s">
        <v>5</v>
      </c>
      <c r="H51" s="37" t="s">
        <v>7</v>
      </c>
      <c r="I51" s="65"/>
      <c r="J51" s="37" t="s">
        <v>0</v>
      </c>
      <c r="K51" s="38" t="s">
        <v>1</v>
      </c>
      <c r="L51" s="39" t="s">
        <v>2</v>
      </c>
      <c r="M51" s="39" t="s">
        <v>3</v>
      </c>
      <c r="N51" s="39" t="s">
        <v>4</v>
      </c>
      <c r="O51" s="40" t="s">
        <v>5</v>
      </c>
      <c r="P51" s="37" t="s">
        <v>7</v>
      </c>
      <c r="T51" s="156"/>
      <c r="V51" s="156"/>
    </row>
    <row r="52" spans="1:22" x14ac:dyDescent="0.25">
      <c r="A52" s="65" t="str">
        <f>B50</f>
        <v>نیشابور</v>
      </c>
      <c r="B52" s="6" t="s">
        <v>8</v>
      </c>
      <c r="C52" s="7">
        <v>0</v>
      </c>
      <c r="D52" s="8">
        <v>0</v>
      </c>
      <c r="E52" s="8">
        <v>0</v>
      </c>
      <c r="F52" s="8">
        <v>0</v>
      </c>
      <c r="G52" s="9">
        <v>0</v>
      </c>
      <c r="H52" s="10">
        <f>SUM(C52:G52)</f>
        <v>0</v>
      </c>
      <c r="I52" s="65" t="str">
        <f>J50</f>
        <v>دوغارون</v>
      </c>
      <c r="J52" s="6" t="s">
        <v>8</v>
      </c>
      <c r="K52" s="7">
        <v>101</v>
      </c>
      <c r="L52" s="8">
        <v>70</v>
      </c>
      <c r="M52" s="8">
        <v>0</v>
      </c>
      <c r="N52" s="8">
        <v>0</v>
      </c>
      <c r="O52" s="9">
        <v>235</v>
      </c>
      <c r="P52" s="10">
        <f t="shared" ref="P52:P57" si="28">SUM(K52:O52)</f>
        <v>406</v>
      </c>
      <c r="S52" s="155" t="str">
        <f>IF(SUM(G52)=0,"",IFERROR(G52,""))</f>
        <v/>
      </c>
      <c r="T52" s="156" t="str">
        <f>IFERROR(S52-G52,"")</f>
        <v/>
      </c>
      <c r="U52" s="155">
        <f>IF(SUM(O52)=0,"",IFERROR(O52,""))</f>
        <v>235</v>
      </c>
      <c r="V52" s="156">
        <f>IFERROR(U52-O52,"")</f>
        <v>0</v>
      </c>
    </row>
    <row r="53" spans="1:22" x14ac:dyDescent="0.25">
      <c r="A53" s="65" t="str">
        <f>B50</f>
        <v>نیشابور</v>
      </c>
      <c r="B53" s="11" t="s">
        <v>9</v>
      </c>
      <c r="C53" s="12">
        <v>0</v>
      </c>
      <c r="D53" s="13">
        <v>0</v>
      </c>
      <c r="E53" s="13">
        <v>0</v>
      </c>
      <c r="F53" s="13">
        <v>0</v>
      </c>
      <c r="G53" s="14">
        <v>0</v>
      </c>
      <c r="H53" s="15">
        <f>SUM(C53:G53)</f>
        <v>0</v>
      </c>
      <c r="I53" s="65" t="str">
        <f>J50</f>
        <v>دوغارون</v>
      </c>
      <c r="J53" s="11" t="s">
        <v>9</v>
      </c>
      <c r="K53" s="12">
        <v>127</v>
      </c>
      <c r="L53" s="13">
        <v>114</v>
      </c>
      <c r="M53" s="13">
        <v>0</v>
      </c>
      <c r="N53" s="13">
        <v>0</v>
      </c>
      <c r="O53" s="14">
        <v>187</v>
      </c>
      <c r="P53" s="15">
        <f t="shared" si="28"/>
        <v>428</v>
      </c>
      <c r="S53" s="155" t="str">
        <f>IF(OR(SUM(C53:G53)=0,SUM(G$52:G53)=0),"",IF(SUM(S$52:S52)=0,G53,IFERROR(SUM(S52,C53,-D53),"")))</f>
        <v/>
      </c>
      <c r="T53" s="156" t="str">
        <f t="shared" ref="T53:T63" si="29">IFERROR(S53-G53,"")</f>
        <v/>
      </c>
      <c r="U53" s="155">
        <f>IF(OR(SUM(K53:O53)=0,SUM(O$52:O53)=0),"",IF(SUM(U$52:U52)=0,O53,IFERROR(SUM(U52,K53,-L53),"")))</f>
        <v>248</v>
      </c>
      <c r="V53" s="156">
        <f t="shared" ref="V53:V63" si="30">IFERROR(U53-O53,"")</f>
        <v>61</v>
      </c>
    </row>
    <row r="54" spans="1:22" x14ac:dyDescent="0.25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ref="H54:H63" si="31">SUM(C54:F54)</f>
        <v>0</v>
      </c>
      <c r="I54" s="65" t="str">
        <f>J50</f>
        <v>دوغارون</v>
      </c>
      <c r="J54" s="11" t="s">
        <v>10</v>
      </c>
      <c r="K54" s="12">
        <v>71</v>
      </c>
      <c r="L54" s="13">
        <v>126</v>
      </c>
      <c r="M54" s="13">
        <v>0</v>
      </c>
      <c r="N54" s="13">
        <v>0</v>
      </c>
      <c r="O54" s="14">
        <v>131</v>
      </c>
      <c r="P54" s="15">
        <f t="shared" si="28"/>
        <v>328</v>
      </c>
      <c r="S54" s="155" t="str">
        <f>IF(OR(SUM(C54:G54)=0,SUM(G$52:G54)=0),"",IF(SUM(S$52:S53)=0,G54,IFERROR(SUM(S53,C54,-D54),"")))</f>
        <v/>
      </c>
      <c r="T54" s="156" t="str">
        <f t="shared" si="29"/>
        <v/>
      </c>
      <c r="U54" s="155">
        <f>IF(OR(SUM(K54:O54)=0,SUM(O$52:O54)=0),"",IF(SUM(U$52:U53)=0,O54,IFERROR(SUM(U53,K54,-L54),"")))</f>
        <v>193</v>
      </c>
      <c r="V54" s="156">
        <f t="shared" si="30"/>
        <v>62</v>
      </c>
    </row>
    <row r="55" spans="1:22" x14ac:dyDescent="0.25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31"/>
        <v>0</v>
      </c>
      <c r="I55" s="65" t="str">
        <f>J50</f>
        <v>دوغارون</v>
      </c>
      <c r="J55" s="11" t="s">
        <v>11</v>
      </c>
      <c r="K55" s="12">
        <v>62</v>
      </c>
      <c r="L55" s="13">
        <v>73</v>
      </c>
      <c r="M55" s="13">
        <v>0</v>
      </c>
      <c r="N55" s="13">
        <v>0</v>
      </c>
      <c r="O55" s="14">
        <v>117</v>
      </c>
      <c r="P55" s="15">
        <f t="shared" si="28"/>
        <v>252</v>
      </c>
      <c r="S55" s="155" t="str">
        <f>IF(OR(SUM(C55:G55)=0,SUM(G$52:G55)=0),"",IF(SUM(S$52:S54)=0,G55,IFERROR(SUM(S54,C55,-D55),"")))</f>
        <v/>
      </c>
      <c r="T55" s="156" t="str">
        <f t="shared" si="29"/>
        <v/>
      </c>
      <c r="U55" s="155">
        <f>IF(OR(SUM(K55:O55)=0,SUM(O$52:O55)=0),"",IF(SUM(U$52:U54)=0,O55,IFERROR(SUM(U54,K55,-L55),"")))</f>
        <v>182</v>
      </c>
      <c r="V55" s="156">
        <f t="shared" si="30"/>
        <v>65</v>
      </c>
    </row>
    <row r="56" spans="1:22" x14ac:dyDescent="0.25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31"/>
        <v>0</v>
      </c>
      <c r="I56" s="65" t="str">
        <f>J50</f>
        <v>دوغارون</v>
      </c>
      <c r="J56" s="11" t="s">
        <v>12</v>
      </c>
      <c r="K56" s="12">
        <v>11</v>
      </c>
      <c r="L56" s="13">
        <v>25</v>
      </c>
      <c r="M56" s="13">
        <v>0</v>
      </c>
      <c r="N56" s="13">
        <v>0</v>
      </c>
      <c r="O56" s="14">
        <v>103</v>
      </c>
      <c r="P56" s="15">
        <f t="shared" si="28"/>
        <v>139</v>
      </c>
      <c r="S56" s="155" t="str">
        <f>IF(OR(SUM(C56:G56)=0,SUM(G$52:G56)=0),"",IF(SUM(S$52:S55)=0,G56,IFERROR(SUM(S55,C56,-D56),"")))</f>
        <v/>
      </c>
      <c r="T56" s="156" t="str">
        <f t="shared" si="29"/>
        <v/>
      </c>
      <c r="U56" s="155">
        <f>IF(OR(SUM(K56:O56)=0,SUM(O$52:O56)=0),"",IF(SUM(U$52:U55)=0,O56,IFERROR(SUM(U55,K56,-L56),"")))</f>
        <v>168</v>
      </c>
      <c r="V56" s="156">
        <f t="shared" si="30"/>
        <v>65</v>
      </c>
    </row>
    <row r="57" spans="1:22" x14ac:dyDescent="0.25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31"/>
        <v>0</v>
      </c>
      <c r="I57" s="65" t="str">
        <f>J50</f>
        <v>دوغارون</v>
      </c>
      <c r="J57" s="11" t="s">
        <v>13</v>
      </c>
      <c r="K57" s="12">
        <v>30</v>
      </c>
      <c r="L57" s="13">
        <v>11</v>
      </c>
      <c r="M57" s="13">
        <v>0</v>
      </c>
      <c r="N57" s="13">
        <v>0</v>
      </c>
      <c r="O57" s="14">
        <v>122</v>
      </c>
      <c r="P57" s="15">
        <f t="shared" si="28"/>
        <v>163</v>
      </c>
      <c r="S57" s="155" t="str">
        <f>IF(OR(SUM(C57:G57)=0,SUM(G$52:G57)=0),"",IF(SUM(S$52:S56)=0,G57,IFERROR(SUM(S56,C57,-D57),"")))</f>
        <v/>
      </c>
      <c r="T57" s="156" t="str">
        <f t="shared" si="29"/>
        <v/>
      </c>
      <c r="U57" s="155">
        <f>IF(OR(SUM(K57:O57)=0,SUM(O$52:O57)=0),"",IF(SUM(U$52:U56)=0,O57,IFERROR(SUM(U56,K57,-L57),"")))</f>
        <v>187</v>
      </c>
      <c r="V57" s="156">
        <f t="shared" si="30"/>
        <v>65</v>
      </c>
    </row>
    <row r="58" spans="1:22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31"/>
        <v>0</v>
      </c>
      <c r="I58" s="65" t="str">
        <f>J50</f>
        <v>دوغارون</v>
      </c>
      <c r="J58" s="11" t="s">
        <v>14</v>
      </c>
      <c r="K58" s="12">
        <v>32</v>
      </c>
      <c r="L58" s="13">
        <v>7</v>
      </c>
      <c r="M58" s="13">
        <v>0</v>
      </c>
      <c r="N58" s="13">
        <v>0</v>
      </c>
      <c r="O58" s="14">
        <v>147</v>
      </c>
      <c r="P58" s="15">
        <f>SUM(K58:O58)</f>
        <v>186</v>
      </c>
      <c r="S58" s="155" t="str">
        <f>IF(OR(SUM(C58:G58)=0,SUM(G$52:G58)=0),"",IF(SUM(S$52:S57)=0,G58,IFERROR(SUM(S57,C58,-D58),"")))</f>
        <v/>
      </c>
      <c r="T58" s="156" t="str">
        <f t="shared" si="29"/>
        <v/>
      </c>
      <c r="U58" s="155">
        <f>IF(OR(SUM(K58:O58)=0,SUM(O$52:O58)=0),"",IF(SUM(U$52:U57)=0,O58,IFERROR(SUM(U57,K58,-L58),"")))</f>
        <v>212</v>
      </c>
      <c r="V58" s="156">
        <f t="shared" si="30"/>
        <v>65</v>
      </c>
    </row>
    <row r="59" spans="1:22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31"/>
        <v>0</v>
      </c>
      <c r="I59" s="65" t="str">
        <f>J50</f>
        <v>دوغارون</v>
      </c>
      <c r="J59" s="11" t="s">
        <v>15</v>
      </c>
      <c r="K59" s="12">
        <v>40</v>
      </c>
      <c r="L59" s="13">
        <v>47</v>
      </c>
      <c r="M59" s="13">
        <v>0</v>
      </c>
      <c r="N59" s="13">
        <v>0</v>
      </c>
      <c r="O59" s="14">
        <v>140</v>
      </c>
      <c r="P59" s="15">
        <f>SUM(K59:O59)</f>
        <v>227</v>
      </c>
      <c r="S59" s="155" t="str">
        <f>IF(OR(SUM(C59:G59)=0,SUM(G$52:G59)=0),"",IF(SUM(S$52:S58)=0,G59,IFERROR(SUM(S58,C59,-D59),"")))</f>
        <v/>
      </c>
      <c r="T59" s="156" t="str">
        <f t="shared" si="29"/>
        <v/>
      </c>
      <c r="U59" s="155">
        <f>IF(OR(SUM(K59:O59)=0,SUM(O$52:O59)=0),"",IF(SUM(U$52:U58)=0,O59,IFERROR(SUM(U58,K59,-L59),"")))</f>
        <v>205</v>
      </c>
      <c r="V59" s="156">
        <f t="shared" si="30"/>
        <v>65</v>
      </c>
    </row>
    <row r="60" spans="1:22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31"/>
        <v>0</v>
      </c>
      <c r="I60" s="65" t="str">
        <f>J50</f>
        <v>دوغارون</v>
      </c>
      <c r="J60" s="11" t="s">
        <v>16</v>
      </c>
      <c r="K60" s="12">
        <v>1</v>
      </c>
      <c r="L60" s="13">
        <v>37</v>
      </c>
      <c r="M60" s="13"/>
      <c r="N60" s="13"/>
      <c r="O60" s="14">
        <v>114</v>
      </c>
      <c r="P60" s="15">
        <f t="shared" ref="P60:P63" si="32">SUM(K60:N60)</f>
        <v>38</v>
      </c>
      <c r="S60" s="155" t="str">
        <f>IF(OR(SUM(C60:G60)=0,SUM(G$52:G60)=0),"",IF(SUM(S$52:S59)=0,G60,IFERROR(SUM(S59,C60,-D60),"")))</f>
        <v/>
      </c>
      <c r="T60" s="156" t="str">
        <f t="shared" si="29"/>
        <v/>
      </c>
      <c r="U60" s="155">
        <f>IF(OR(SUM(K60:O60)=0,SUM(O$52:O60)=0),"",IF(SUM(U$52:U59)=0,O60,IFERROR(SUM(U59,K60,-L60),"")))</f>
        <v>169</v>
      </c>
      <c r="V60" s="156">
        <f t="shared" si="30"/>
        <v>55</v>
      </c>
    </row>
    <row r="61" spans="1:22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31"/>
        <v>0</v>
      </c>
      <c r="I61" s="65" t="str">
        <f>J50</f>
        <v>دوغارون</v>
      </c>
      <c r="J61" s="11" t="s">
        <v>17</v>
      </c>
      <c r="K61" s="12">
        <v>63</v>
      </c>
      <c r="L61" s="13">
        <v>50</v>
      </c>
      <c r="M61" s="13"/>
      <c r="N61" s="13"/>
      <c r="O61" s="14">
        <v>127</v>
      </c>
      <c r="P61" s="15">
        <f>SUM(K61:O61)</f>
        <v>240</v>
      </c>
      <c r="S61" s="155" t="str">
        <f>IF(OR(SUM(C61:G61)=0,SUM(G$52:G61)=0),"",IF(SUM(S$52:S60)=0,G61,IFERROR(SUM(S60,C61,-D61),"")))</f>
        <v/>
      </c>
      <c r="T61" s="156" t="str">
        <f t="shared" si="29"/>
        <v/>
      </c>
      <c r="U61" s="155">
        <f>IF(OR(SUM(K61:O61)=0,SUM(O$52:O61)=0),"",IF(SUM(U$52:U60)=0,O61,IFERROR(SUM(U60,K61,-L61),"")))</f>
        <v>182</v>
      </c>
      <c r="V61" s="156">
        <f t="shared" si="30"/>
        <v>55</v>
      </c>
    </row>
    <row r="62" spans="1:22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31"/>
        <v>0</v>
      </c>
      <c r="I62" s="65" t="str">
        <f>J50</f>
        <v>دوغارون</v>
      </c>
      <c r="J62" s="11" t="s">
        <v>18</v>
      </c>
      <c r="K62" s="12">
        <v>101</v>
      </c>
      <c r="L62" s="13">
        <v>40</v>
      </c>
      <c r="M62" s="13"/>
      <c r="N62" s="13"/>
      <c r="O62" s="14">
        <v>188</v>
      </c>
      <c r="P62" s="15">
        <f t="shared" si="32"/>
        <v>141</v>
      </c>
      <c r="S62" s="155" t="str">
        <f>IF(OR(SUM(C62:G62)=0,SUM(G$52:G62)=0),"",IF(SUM(S$52:S61)=0,G62,IFERROR(SUM(S61,C62,-D62),"")))</f>
        <v/>
      </c>
      <c r="T62" s="156" t="str">
        <f t="shared" si="29"/>
        <v/>
      </c>
      <c r="U62" s="155">
        <f>IF(OR(SUM(K62:O62)=0,SUM(O$52:O62)=0),"",IF(SUM(U$52:U61)=0,O62,IFERROR(SUM(U61,K62,-L62),"")))</f>
        <v>243</v>
      </c>
      <c r="V62" s="156">
        <f t="shared" si="30"/>
        <v>55</v>
      </c>
    </row>
    <row r="63" spans="1:22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31"/>
        <v>0</v>
      </c>
      <c r="I63" s="65" t="str">
        <f>J50</f>
        <v>دوغارون</v>
      </c>
      <c r="J63" s="16" t="s">
        <v>19</v>
      </c>
      <c r="K63" s="17">
        <v>10</v>
      </c>
      <c r="L63" s="18">
        <v>6</v>
      </c>
      <c r="M63" s="18"/>
      <c r="N63" s="18"/>
      <c r="O63" s="19">
        <v>192</v>
      </c>
      <c r="P63" s="20">
        <f t="shared" si="32"/>
        <v>16</v>
      </c>
      <c r="S63" s="155" t="str">
        <f>IF(OR(SUM(C63:G63)=0,SUM(G$52:G63)=0),"",IF(SUM(S$52:S62)=0,G63,IFERROR(SUM(S62,C63,-D63),"")))</f>
        <v/>
      </c>
      <c r="T63" s="156" t="str">
        <f t="shared" si="29"/>
        <v/>
      </c>
      <c r="U63" s="155">
        <f>IF(OR(SUM(K63:O63)=0,SUM(O$52:O63)=0),"",IF(SUM(U$52:U62)=0,O63,IFERROR(SUM(U62,K63,-L63),"")))</f>
        <v>247</v>
      </c>
      <c r="V63" s="156">
        <f t="shared" si="30"/>
        <v>55</v>
      </c>
    </row>
    <row r="64" spans="1:22" ht="21" thickBot="1" x14ac:dyDescent="0.3">
      <c r="A64" s="65"/>
      <c r="B64" s="37" t="s">
        <v>6</v>
      </c>
      <c r="C64" s="45">
        <f>SUM(C52:C63)</f>
        <v>0</v>
      </c>
      <c r="D64" s="46">
        <f t="shared" ref="D64:F64" si="33">SUM(D52:D63)</f>
        <v>0</v>
      </c>
      <c r="E64" s="46">
        <f t="shared" si="33"/>
        <v>0</v>
      </c>
      <c r="F64" s="46">
        <f t="shared" si="33"/>
        <v>0</v>
      </c>
      <c r="G64" s="47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0</v>
      </c>
      <c r="H64" s="48">
        <f t="shared" ref="H64" si="34">SUM(C64:F64)</f>
        <v>0</v>
      </c>
      <c r="I64" s="65"/>
      <c r="J64" s="37" t="s">
        <v>6</v>
      </c>
      <c r="K64" s="45">
        <f>SUM(K52:K63)</f>
        <v>649</v>
      </c>
      <c r="L64" s="46">
        <f t="shared" ref="L64:N64" si="35">SUM(L52:L63)</f>
        <v>606</v>
      </c>
      <c r="M64" s="46">
        <f t="shared" si="35"/>
        <v>0</v>
      </c>
      <c r="N64" s="46">
        <f t="shared" si="35"/>
        <v>0</v>
      </c>
      <c r="O64" s="47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192</v>
      </c>
      <c r="P64" s="48">
        <f t="shared" ref="P64" si="36">SUM(K64:N64)</f>
        <v>1255</v>
      </c>
      <c r="T64" s="156"/>
      <c r="V64" s="156"/>
    </row>
    <row r="65" spans="1:22" ht="3.95" customHeight="1" thickBot="1" x14ac:dyDescent="0.3">
      <c r="T65" s="156"/>
      <c r="V65" s="156"/>
    </row>
    <row r="66" spans="1:22" ht="26.25" thickBot="1" x14ac:dyDescent="0.3">
      <c r="B66" s="207" t="s">
        <v>38</v>
      </c>
      <c r="C66" s="208"/>
      <c r="D66" s="208"/>
      <c r="E66" s="208"/>
      <c r="F66" s="208"/>
      <c r="G66" s="208"/>
      <c r="H66" s="209"/>
      <c r="J66" s="207" t="s">
        <v>40</v>
      </c>
      <c r="K66" s="208"/>
      <c r="L66" s="208"/>
      <c r="M66" s="208"/>
      <c r="N66" s="208"/>
      <c r="O66" s="208"/>
      <c r="P66" s="209"/>
      <c r="T66" s="156"/>
      <c r="V66" s="156"/>
    </row>
    <row r="67" spans="1:22" ht="21" thickBot="1" x14ac:dyDescent="0.3">
      <c r="B67" s="37" t="s">
        <v>0</v>
      </c>
      <c r="C67" s="38" t="s">
        <v>1</v>
      </c>
      <c r="D67" s="39" t="s">
        <v>2</v>
      </c>
      <c r="E67" s="39" t="s">
        <v>3</v>
      </c>
      <c r="F67" s="39" t="s">
        <v>4</v>
      </c>
      <c r="G67" s="40" t="s">
        <v>5</v>
      </c>
      <c r="H67" s="37" t="s">
        <v>7</v>
      </c>
      <c r="J67" s="37" t="s">
        <v>0</v>
      </c>
      <c r="K67" s="38" t="s">
        <v>1</v>
      </c>
      <c r="L67" s="39" t="s">
        <v>2</v>
      </c>
      <c r="M67" s="39" t="s">
        <v>3</v>
      </c>
      <c r="N67" s="39" t="s">
        <v>4</v>
      </c>
      <c r="O67" s="40" t="s">
        <v>5</v>
      </c>
      <c r="P67" s="37" t="s">
        <v>7</v>
      </c>
      <c r="T67" s="156"/>
      <c r="V67" s="156"/>
    </row>
    <row r="68" spans="1:22" x14ac:dyDescent="0.25">
      <c r="A68" s="65" t="str">
        <f>B66</f>
        <v>بجنورد</v>
      </c>
      <c r="B68" s="6" t="s">
        <v>8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  <c r="H68" s="10">
        <f>SUM(C68:G68)</f>
        <v>0</v>
      </c>
      <c r="I68" s="65" t="str">
        <f>J66</f>
        <v>بیرجند</v>
      </c>
      <c r="J68" s="6" t="s">
        <v>8</v>
      </c>
      <c r="K68" s="7"/>
      <c r="L68" s="8"/>
      <c r="M68" s="8"/>
      <c r="N68" s="8"/>
      <c r="O68" s="9"/>
      <c r="P68" s="10">
        <f>SUM(K68:N68)</f>
        <v>0</v>
      </c>
      <c r="S68" s="155" t="str">
        <f>IF(SUM(G68)=0,"",IFERROR(G68,""))</f>
        <v/>
      </c>
      <c r="T68" s="156" t="str">
        <f>IFERROR(S68-G68,"")</f>
        <v/>
      </c>
      <c r="U68" s="155" t="str">
        <f>IF(SUM(O68)=0,"",IFERROR(O68,""))</f>
        <v/>
      </c>
      <c r="V68" s="156" t="str">
        <f>IFERROR(U68-O68,"")</f>
        <v/>
      </c>
    </row>
    <row r="69" spans="1:22" x14ac:dyDescent="0.25">
      <c r="A69" s="65" t="str">
        <f>B66</f>
        <v>بجنورد</v>
      </c>
      <c r="B69" s="11" t="s">
        <v>9</v>
      </c>
      <c r="C69" s="12">
        <v>0</v>
      </c>
      <c r="D69" s="13">
        <v>0</v>
      </c>
      <c r="E69" s="13">
        <v>0</v>
      </c>
      <c r="F69" s="13">
        <v>0</v>
      </c>
      <c r="G69" s="14">
        <v>0</v>
      </c>
      <c r="H69" s="15">
        <f>SUM(C69:G69)</f>
        <v>0</v>
      </c>
      <c r="I69" s="65" t="str">
        <f>J66</f>
        <v>بیرجند</v>
      </c>
      <c r="J69" s="11" t="s">
        <v>9</v>
      </c>
      <c r="K69" s="12">
        <v>0</v>
      </c>
      <c r="L69" s="13">
        <v>0</v>
      </c>
      <c r="M69" s="13">
        <v>0</v>
      </c>
      <c r="N69" s="13">
        <v>0</v>
      </c>
      <c r="O69" s="14">
        <v>909</v>
      </c>
      <c r="P69" s="15">
        <f>SUM(K69:O69)</f>
        <v>909</v>
      </c>
      <c r="S69" s="155" t="str">
        <f>IF(OR(SUM(C69:G69)=0,SUM(G$68:G69)=0),"",IF(SUM(S$68:S68)=0,G69,IFERROR(SUM(S68,C69,-D69),"")))</f>
        <v/>
      </c>
      <c r="T69" s="156" t="str">
        <f t="shared" ref="T69:T79" si="37">IFERROR(S69-G69,"")</f>
        <v/>
      </c>
      <c r="U69" s="155">
        <f>IF(OR(SUM(K69:O69)=0,SUM(O$68:O69)=0),"",IF(SUM(U$68:U68)=0,O69,IFERROR(SUM(U68,K69,-L69),"")))</f>
        <v>909</v>
      </c>
      <c r="V69" s="156">
        <f t="shared" ref="V69:V79" si="38">IFERROR(U69-O69,"")</f>
        <v>0</v>
      </c>
    </row>
    <row r="70" spans="1:22" x14ac:dyDescent="0.25">
      <c r="A70" s="65" t="str">
        <f>B66</f>
        <v>بجنورد</v>
      </c>
      <c r="B70" s="11" t="s">
        <v>10</v>
      </c>
      <c r="C70" s="12">
        <v>0</v>
      </c>
      <c r="D70" s="13">
        <v>0</v>
      </c>
      <c r="E70" s="13">
        <v>0</v>
      </c>
      <c r="F70" s="13">
        <v>0</v>
      </c>
      <c r="G70" s="14">
        <v>0</v>
      </c>
      <c r="H70" s="15">
        <f t="shared" ref="H70:H79" si="39">SUM(C70:F70)</f>
        <v>0</v>
      </c>
      <c r="I70" s="65" t="str">
        <f>J66</f>
        <v>بیرجند</v>
      </c>
      <c r="J70" s="11" t="s">
        <v>10</v>
      </c>
      <c r="K70" s="12">
        <v>0</v>
      </c>
      <c r="L70" s="13">
        <v>0</v>
      </c>
      <c r="M70" s="13">
        <v>0</v>
      </c>
      <c r="N70" s="13">
        <v>0</v>
      </c>
      <c r="O70" s="14">
        <v>909</v>
      </c>
      <c r="P70" s="15">
        <f t="shared" ref="P70:P72" si="40">SUM(K70:N70)</f>
        <v>0</v>
      </c>
      <c r="S70" s="155" t="str">
        <f>IF(OR(SUM(C70:G70)=0,SUM(G$68:G70)=0),"",IF(SUM(S$68:S69)=0,G70,IFERROR(SUM(S69,C70,-D70),"")))</f>
        <v/>
      </c>
      <c r="T70" s="156" t="str">
        <f t="shared" si="37"/>
        <v/>
      </c>
      <c r="U70" s="155">
        <f>IF(OR(SUM(K70:O70)=0,SUM(O$68:O70)=0),"",IF(SUM(U$68:U69)=0,O70,IFERROR(SUM(U69,K70,-L70),"")))</f>
        <v>909</v>
      </c>
      <c r="V70" s="156">
        <f t="shared" si="38"/>
        <v>0</v>
      </c>
    </row>
    <row r="71" spans="1:22" x14ac:dyDescent="0.25">
      <c r="A71" s="65" t="str">
        <f>B66</f>
        <v>بجنورد</v>
      </c>
      <c r="B71" s="11" t="s">
        <v>11</v>
      </c>
      <c r="C71" s="12">
        <v>0</v>
      </c>
      <c r="D71" s="13">
        <v>0</v>
      </c>
      <c r="E71" s="13">
        <v>0</v>
      </c>
      <c r="F71" s="13">
        <v>0</v>
      </c>
      <c r="G71" s="14">
        <v>0</v>
      </c>
      <c r="H71" s="15">
        <v>0</v>
      </c>
      <c r="I71" s="65" t="str">
        <f>J66</f>
        <v>بیرجند</v>
      </c>
      <c r="J71" s="11" t="s">
        <v>11</v>
      </c>
      <c r="K71" s="12">
        <v>0</v>
      </c>
      <c r="L71" s="13">
        <v>0</v>
      </c>
      <c r="M71" s="13">
        <v>0</v>
      </c>
      <c r="N71" s="13">
        <v>0</v>
      </c>
      <c r="O71" s="14">
        <v>909</v>
      </c>
      <c r="P71" s="15">
        <f t="shared" si="40"/>
        <v>0</v>
      </c>
      <c r="S71" s="155" t="str">
        <f>IF(OR(SUM(C71:G71)=0,SUM(G$68:G71)=0),"",IF(SUM(S$68:S70)=0,G71,IFERROR(SUM(S70,C71,-D71),"")))</f>
        <v/>
      </c>
      <c r="T71" s="156" t="str">
        <f t="shared" si="37"/>
        <v/>
      </c>
      <c r="U71" s="155">
        <f>IF(OR(SUM(K71:O71)=0,SUM(O$68:O71)=0),"",IF(SUM(U$68:U70)=0,O71,IFERROR(SUM(U70,K71,-L71),"")))</f>
        <v>909</v>
      </c>
      <c r="V71" s="156">
        <f t="shared" si="38"/>
        <v>0</v>
      </c>
    </row>
    <row r="72" spans="1:22" x14ac:dyDescent="0.25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39"/>
        <v>0</v>
      </c>
      <c r="I72" s="65" t="str">
        <f>J66</f>
        <v>بیرجند</v>
      </c>
      <c r="J72" s="11" t="s">
        <v>12</v>
      </c>
      <c r="K72" s="12">
        <v>0</v>
      </c>
      <c r="L72" s="13">
        <v>0</v>
      </c>
      <c r="M72" s="13">
        <v>0</v>
      </c>
      <c r="N72" s="13">
        <v>0</v>
      </c>
      <c r="O72" s="14">
        <v>909</v>
      </c>
      <c r="P72" s="15">
        <f t="shared" si="40"/>
        <v>0</v>
      </c>
      <c r="S72" s="155" t="str">
        <f>IF(OR(SUM(C72:G72)=0,SUM(G$68:G72)=0),"",IF(SUM(S$68:S71)=0,G72,IFERROR(SUM(S71,C72,-D72),"")))</f>
        <v/>
      </c>
      <c r="T72" s="156" t="str">
        <f t="shared" si="37"/>
        <v/>
      </c>
      <c r="U72" s="155">
        <f>IF(OR(SUM(K72:O72)=0,SUM(O$68:O72)=0),"",IF(SUM(U$68:U71)=0,O72,IFERROR(SUM(U71,K72,-L72),"")))</f>
        <v>909</v>
      </c>
      <c r="V72" s="156">
        <f t="shared" si="38"/>
        <v>0</v>
      </c>
    </row>
    <row r="73" spans="1:22" x14ac:dyDescent="0.25">
      <c r="A73" s="65" t="str">
        <f>B66</f>
        <v>بجنورد</v>
      </c>
      <c r="B73" s="11" t="s">
        <v>13</v>
      </c>
      <c r="C73" s="12"/>
      <c r="D73" s="13"/>
      <c r="E73" s="13"/>
      <c r="F73" s="13"/>
      <c r="G73" s="14"/>
      <c r="H73" s="15">
        <f>SUM(C73:G73)</f>
        <v>0</v>
      </c>
      <c r="I73" s="65" t="str">
        <f>J66</f>
        <v>بیرجند</v>
      </c>
      <c r="J73" s="11" t="s">
        <v>13</v>
      </c>
      <c r="K73" s="12">
        <v>0</v>
      </c>
      <c r="L73" s="13">
        <v>0</v>
      </c>
      <c r="M73" s="13">
        <v>0</v>
      </c>
      <c r="N73" s="13">
        <v>0</v>
      </c>
      <c r="O73" s="14">
        <v>909</v>
      </c>
      <c r="P73" s="15">
        <f>SUM(K73:O73)</f>
        <v>909</v>
      </c>
      <c r="S73" s="155" t="str">
        <f>IF(OR(SUM(C73:G73)=0,SUM(G$68:G73)=0),"",IF(SUM(S$68:S72)=0,G73,IFERROR(SUM(S72,C73,-D73),"")))</f>
        <v/>
      </c>
      <c r="T73" s="156" t="str">
        <f t="shared" si="37"/>
        <v/>
      </c>
      <c r="U73" s="155">
        <f>IF(OR(SUM(K73:O73)=0,SUM(O$68:O73)=0),"",IF(SUM(U$68:U72)=0,O73,IFERROR(SUM(U72,K73,-L73),"")))</f>
        <v>909</v>
      </c>
      <c r="V73" s="156">
        <f t="shared" si="38"/>
        <v>0</v>
      </c>
    </row>
    <row r="74" spans="1:22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39"/>
        <v>0</v>
      </c>
      <c r="I74" s="65" t="str">
        <f>J66</f>
        <v>بیرجند</v>
      </c>
      <c r="J74" s="11" t="s">
        <v>14</v>
      </c>
      <c r="K74" s="12">
        <v>0</v>
      </c>
      <c r="L74" s="13">
        <v>0</v>
      </c>
      <c r="M74" s="13">
        <v>0</v>
      </c>
      <c r="N74" s="13">
        <v>0</v>
      </c>
      <c r="O74" s="14">
        <v>909</v>
      </c>
      <c r="P74" s="15">
        <f>SUM(K74:O74)</f>
        <v>909</v>
      </c>
      <c r="S74" s="155" t="str">
        <f>IF(OR(SUM(C74:G74)=0,SUM(G$68:G74)=0),"",IF(SUM(S$68:S73)=0,G74,IFERROR(SUM(S73,C74,-D74),"")))</f>
        <v/>
      </c>
      <c r="T74" s="156" t="str">
        <f t="shared" si="37"/>
        <v/>
      </c>
      <c r="U74" s="155">
        <f>IF(OR(SUM(K74:O74)=0,SUM(O$68:O74)=0),"",IF(SUM(U$68:U73)=0,O74,IFERROR(SUM(U73,K74,-L74),"")))</f>
        <v>909</v>
      </c>
      <c r="V74" s="156">
        <f t="shared" si="38"/>
        <v>0</v>
      </c>
    </row>
    <row r="75" spans="1:22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39"/>
        <v>0</v>
      </c>
      <c r="I75" s="65" t="str">
        <f>J66</f>
        <v>بیرجند</v>
      </c>
      <c r="J75" s="11" t="s">
        <v>15</v>
      </c>
      <c r="K75" s="12"/>
      <c r="L75" s="13"/>
      <c r="M75" s="13"/>
      <c r="N75" s="13"/>
      <c r="O75" s="14"/>
      <c r="P75" s="15">
        <f t="shared" ref="P75:P79" si="41">SUM(K75:N75)</f>
        <v>0</v>
      </c>
      <c r="S75" s="155" t="str">
        <f>IF(OR(SUM(C75:G75)=0,SUM(G$68:G75)=0),"",IF(SUM(S$68:S74)=0,G75,IFERROR(SUM(S74,C75,-D75),"")))</f>
        <v/>
      </c>
      <c r="T75" s="156" t="str">
        <f t="shared" si="37"/>
        <v/>
      </c>
      <c r="U75" s="155" t="str">
        <f>IF(OR(SUM(K75:O75)=0,SUM(O$68:O75)=0),"",IF(SUM(U$68:U74)=0,O75,IFERROR(SUM(U74,K75,-L75),"")))</f>
        <v/>
      </c>
      <c r="V75" s="156" t="str">
        <f t="shared" si="38"/>
        <v/>
      </c>
    </row>
    <row r="76" spans="1:22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39"/>
        <v>0</v>
      </c>
      <c r="I76" s="65" t="str">
        <f>J66</f>
        <v>بیرجند</v>
      </c>
      <c r="J76" s="11" t="s">
        <v>16</v>
      </c>
      <c r="K76" s="12">
        <v>93</v>
      </c>
      <c r="L76" s="13">
        <v>81</v>
      </c>
      <c r="M76" s="13"/>
      <c r="N76" s="13"/>
      <c r="O76" s="14">
        <v>12</v>
      </c>
      <c r="P76" s="15">
        <f t="shared" si="41"/>
        <v>174</v>
      </c>
      <c r="S76" s="155" t="str">
        <f>IF(OR(SUM(C76:G76)=0,SUM(G$68:G76)=0),"",IF(SUM(S$68:S75)=0,G76,IFERROR(SUM(S75,C76,-D76),"")))</f>
        <v/>
      </c>
      <c r="T76" s="156" t="str">
        <f t="shared" si="37"/>
        <v/>
      </c>
      <c r="U76" s="155">
        <f>IF(OR(SUM(K76:O76)=0,SUM(O$68:O76)=0),"",IF(SUM(U$68:U75)=0,O76,IFERROR(SUM(U75,K76,-L76),"")))</f>
        <v>12</v>
      </c>
      <c r="V76" s="156">
        <f t="shared" si="38"/>
        <v>0</v>
      </c>
    </row>
    <row r="77" spans="1:22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39"/>
        <v>0</v>
      </c>
      <c r="I77" s="65" t="str">
        <f>J66</f>
        <v>بیرجند</v>
      </c>
      <c r="J77" s="11" t="s">
        <v>17</v>
      </c>
      <c r="K77" s="12"/>
      <c r="L77" s="13"/>
      <c r="M77" s="13"/>
      <c r="N77" s="13"/>
      <c r="O77" s="14">
        <v>8</v>
      </c>
      <c r="P77" s="15">
        <f t="shared" si="41"/>
        <v>0</v>
      </c>
      <c r="S77" s="155" t="str">
        <f>IF(OR(SUM(C77:G77)=0,SUM(G$68:G77)=0),"",IF(SUM(S$68:S76)=0,G77,IFERROR(SUM(S76,C77,-D77),"")))</f>
        <v/>
      </c>
      <c r="T77" s="156" t="str">
        <f t="shared" si="37"/>
        <v/>
      </c>
      <c r="U77" s="155">
        <f>IF(OR(SUM(K77:O77)=0,SUM(O$68:O77)=0),"",IF(SUM(U$68:U76)=0,O77,IFERROR(SUM(U76,K77,-L77),"")))</f>
        <v>12</v>
      </c>
      <c r="V77" s="156">
        <f t="shared" si="38"/>
        <v>4</v>
      </c>
    </row>
    <row r="78" spans="1:22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39"/>
        <v>0</v>
      </c>
      <c r="I78" s="65" t="str">
        <f>J66</f>
        <v>بیرجند</v>
      </c>
      <c r="J78" s="11" t="s">
        <v>18</v>
      </c>
      <c r="K78" s="12"/>
      <c r="L78" s="13"/>
      <c r="M78" s="13"/>
      <c r="N78" s="13"/>
      <c r="O78" s="14">
        <v>8</v>
      </c>
      <c r="P78" s="15">
        <f t="shared" si="41"/>
        <v>0</v>
      </c>
      <c r="S78" s="155" t="str">
        <f>IF(OR(SUM(C78:G78)=0,SUM(G$68:G78)=0),"",IF(SUM(S$68:S77)=0,G78,IFERROR(SUM(S77,C78,-D78),"")))</f>
        <v/>
      </c>
      <c r="T78" s="156" t="str">
        <f t="shared" si="37"/>
        <v/>
      </c>
      <c r="U78" s="155">
        <f>IF(OR(SUM(K78:O78)=0,SUM(O$68:O78)=0),"",IF(SUM(U$68:U77)=0,O78,IFERROR(SUM(U77,K78,-L78),"")))</f>
        <v>12</v>
      </c>
      <c r="V78" s="156">
        <f t="shared" si="38"/>
        <v>4</v>
      </c>
    </row>
    <row r="79" spans="1:22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39"/>
        <v>0</v>
      </c>
      <c r="I79" s="65" t="str">
        <f>J66</f>
        <v>بیرجند</v>
      </c>
      <c r="J79" s="16" t="s">
        <v>19</v>
      </c>
      <c r="K79" s="17"/>
      <c r="L79" s="18"/>
      <c r="M79" s="18"/>
      <c r="N79" s="18"/>
      <c r="O79" s="19"/>
      <c r="P79" s="20">
        <f t="shared" si="41"/>
        <v>0</v>
      </c>
      <c r="S79" s="155" t="str">
        <f>IF(OR(SUM(C79:G79)=0,SUM(G$68:G79)=0),"",IF(SUM(S$68:S78)=0,G79,IFERROR(SUM(S78,C79,-D79),"")))</f>
        <v/>
      </c>
      <c r="T79" s="156" t="str">
        <f t="shared" si="37"/>
        <v/>
      </c>
      <c r="U79" s="155" t="str">
        <f>IF(OR(SUM(K79:O79)=0,SUM(O$68:O79)=0),"",IF(SUM(U$68:U78)=0,O79,IFERROR(SUM(U78,K79,-L79),"")))</f>
        <v/>
      </c>
      <c r="V79" s="156" t="str">
        <f t="shared" si="38"/>
        <v/>
      </c>
    </row>
    <row r="80" spans="1:22" ht="21" thickBot="1" x14ac:dyDescent="0.3">
      <c r="B80" s="37" t="s">
        <v>6</v>
      </c>
      <c r="C80" s="45">
        <f>SUM(C68:C79)</f>
        <v>0</v>
      </c>
      <c r="D80" s="46">
        <f t="shared" ref="D80:F80" si="42">SUM(D68:D79)</f>
        <v>0</v>
      </c>
      <c r="E80" s="46">
        <f t="shared" si="42"/>
        <v>0</v>
      </c>
      <c r="F80" s="46">
        <f t="shared" si="42"/>
        <v>0</v>
      </c>
      <c r="G80" s="47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0</v>
      </c>
      <c r="H80" s="48">
        <f t="shared" ref="H80" si="43">SUM(C80:F80)</f>
        <v>0</v>
      </c>
      <c r="J80" s="37" t="s">
        <v>6</v>
      </c>
      <c r="K80" s="45">
        <f>SUM(K68:K79)</f>
        <v>93</v>
      </c>
      <c r="L80" s="46">
        <f t="shared" ref="L80:N80" si="44">SUM(L68:L79)</f>
        <v>81</v>
      </c>
      <c r="M80" s="46">
        <f t="shared" si="44"/>
        <v>0</v>
      </c>
      <c r="N80" s="46">
        <f t="shared" si="44"/>
        <v>0</v>
      </c>
      <c r="O80" s="47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8</v>
      </c>
      <c r="P80" s="48">
        <f t="shared" ref="P80" si="45">SUM(K80:N80)</f>
        <v>174</v>
      </c>
      <c r="T80" s="156"/>
      <c r="V80" s="156"/>
    </row>
    <row r="81" spans="1:22" ht="3.95" customHeight="1" thickBot="1" x14ac:dyDescent="0.3"/>
    <row r="82" spans="1:22" ht="26.25" thickBot="1" x14ac:dyDescent="0.3">
      <c r="B82" s="207" t="s">
        <v>41</v>
      </c>
      <c r="C82" s="208"/>
      <c r="D82" s="208"/>
      <c r="E82" s="208"/>
      <c r="F82" s="208"/>
      <c r="G82" s="208"/>
      <c r="H82" s="209"/>
      <c r="J82" s="207" t="s">
        <v>56</v>
      </c>
      <c r="K82" s="208"/>
      <c r="L82" s="208"/>
      <c r="M82" s="208"/>
      <c r="N82" s="208"/>
      <c r="O82" s="208"/>
      <c r="P82" s="209"/>
    </row>
    <row r="83" spans="1:22" ht="21" thickBot="1" x14ac:dyDescent="0.3">
      <c r="B83" s="37" t="s">
        <v>0</v>
      </c>
      <c r="C83" s="38" t="s">
        <v>1</v>
      </c>
      <c r="D83" s="39" t="s">
        <v>2</v>
      </c>
      <c r="E83" s="39" t="s">
        <v>3</v>
      </c>
      <c r="F83" s="39" t="s">
        <v>4</v>
      </c>
      <c r="G83" s="40" t="s">
        <v>5</v>
      </c>
      <c r="H83" s="37" t="s">
        <v>7</v>
      </c>
      <c r="J83" s="37" t="s">
        <v>0</v>
      </c>
      <c r="K83" s="38" t="s">
        <v>1</v>
      </c>
      <c r="L83" s="39" t="s">
        <v>2</v>
      </c>
      <c r="M83" s="39" t="s">
        <v>3</v>
      </c>
      <c r="N83" s="39" t="s">
        <v>4</v>
      </c>
      <c r="O83" s="40" t="s">
        <v>5</v>
      </c>
      <c r="P83" s="37" t="s">
        <v>7</v>
      </c>
    </row>
    <row r="84" spans="1:22" x14ac:dyDescent="0.25">
      <c r="A84" s="65" t="str">
        <f>B82</f>
        <v>ماهیرود</v>
      </c>
      <c r="B84" s="6" t="s">
        <v>8</v>
      </c>
      <c r="C84" s="7">
        <v>710</v>
      </c>
      <c r="D84" s="8">
        <v>482</v>
      </c>
      <c r="E84" s="8">
        <v>0</v>
      </c>
      <c r="F84" s="8">
        <v>0</v>
      </c>
      <c r="G84" s="9">
        <v>482</v>
      </c>
      <c r="H84" s="10">
        <f t="shared" ref="H84:H90" si="46">SUM(C84:G84)</f>
        <v>1674</v>
      </c>
      <c r="I84" s="65" t="str">
        <f>J82</f>
        <v>باجگیران</v>
      </c>
      <c r="J84" s="6" t="s">
        <v>8</v>
      </c>
      <c r="K84" s="195"/>
      <c r="L84" s="196"/>
      <c r="M84" s="196"/>
      <c r="N84" s="196"/>
      <c r="O84" s="197"/>
      <c r="P84" s="198">
        <f t="shared" ref="P84:P90" si="47">SUM(K84:O84)</f>
        <v>0</v>
      </c>
      <c r="S84" s="155">
        <f>IF(SUM(G84)=0,"",IFERROR(G84,""))</f>
        <v>482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1:22" x14ac:dyDescent="0.25">
      <c r="A85" s="65" t="str">
        <f>B82</f>
        <v>ماهیرود</v>
      </c>
      <c r="B85" s="11" t="s">
        <v>9</v>
      </c>
      <c r="C85" s="12">
        <v>47</v>
      </c>
      <c r="D85" s="13">
        <v>310</v>
      </c>
      <c r="E85" s="13">
        <v>0</v>
      </c>
      <c r="F85" s="13">
        <v>0</v>
      </c>
      <c r="G85" s="14">
        <v>983</v>
      </c>
      <c r="H85" s="15">
        <f t="shared" si="46"/>
        <v>1340</v>
      </c>
      <c r="I85" s="65" t="str">
        <f>J82</f>
        <v>باجگیران</v>
      </c>
      <c r="J85" s="11" t="s">
        <v>9</v>
      </c>
      <c r="K85" s="199"/>
      <c r="L85" s="200"/>
      <c r="M85" s="200"/>
      <c r="N85" s="200"/>
      <c r="O85" s="201"/>
      <c r="P85" s="202">
        <f t="shared" si="47"/>
        <v>0</v>
      </c>
      <c r="S85" s="155">
        <f>IF(OR(SUM(C85:G85)=0,SUM(G$68:G85)=0),"",IF(SUM(S$68:S84)=0,G85,IFERROR(SUM(S84,C85,-D85),"")))</f>
        <v>219</v>
      </c>
      <c r="T85" s="156">
        <f t="shared" ref="T85:T95" si="48">IFERROR(S85-G85,"")</f>
        <v>-764</v>
      </c>
      <c r="U85" s="155" t="str">
        <f>IF(OR(SUM(K85:O85)=0,SUM(O$68:O85)=0),"",IF(SUM(U$68:U84)=0,O85,IFERROR(SUM(U84,K85,-L85),"")))</f>
        <v/>
      </c>
      <c r="V85" s="156" t="str">
        <f t="shared" ref="V85:V95" si="49">IFERROR(U85-O85,"")</f>
        <v/>
      </c>
    </row>
    <row r="86" spans="1:22" x14ac:dyDescent="0.25">
      <c r="A86" s="65" t="str">
        <f>B82</f>
        <v>ماهیرود</v>
      </c>
      <c r="B86" s="11" t="s">
        <v>10</v>
      </c>
      <c r="C86" s="12">
        <v>383</v>
      </c>
      <c r="D86" s="13">
        <v>246</v>
      </c>
      <c r="E86" s="13">
        <v>0</v>
      </c>
      <c r="F86" s="13">
        <v>0</v>
      </c>
      <c r="G86" s="14">
        <v>1122</v>
      </c>
      <c r="H86" s="15">
        <f t="shared" si="46"/>
        <v>1751</v>
      </c>
      <c r="I86" s="65" t="str">
        <f>J82</f>
        <v>باجگیران</v>
      </c>
      <c r="J86" s="11" t="s">
        <v>10</v>
      </c>
      <c r="K86" s="199"/>
      <c r="L86" s="200"/>
      <c r="M86" s="200"/>
      <c r="N86" s="200"/>
      <c r="O86" s="201"/>
      <c r="P86" s="202">
        <f t="shared" si="47"/>
        <v>0</v>
      </c>
      <c r="S86" s="155">
        <f>IF(OR(SUM(C86:G86)=0,SUM(G$68:G86)=0),"",IF(SUM(S$68:S85)=0,G86,IFERROR(SUM(S85,C86,-D86),"")))</f>
        <v>356</v>
      </c>
      <c r="T86" s="156">
        <f t="shared" si="48"/>
        <v>-766</v>
      </c>
      <c r="U86" s="155" t="str">
        <f>IF(OR(SUM(K86:O86)=0,SUM(O$68:O86)=0),"",IF(SUM(U$68:U85)=0,O86,IFERROR(SUM(U85,K86,-L86),"")))</f>
        <v/>
      </c>
      <c r="V86" s="156" t="str">
        <f t="shared" si="49"/>
        <v/>
      </c>
    </row>
    <row r="87" spans="1:22" x14ac:dyDescent="0.25">
      <c r="A87" s="65" t="str">
        <f>B82</f>
        <v>ماهیرود</v>
      </c>
      <c r="B87" s="11" t="s">
        <v>11</v>
      </c>
      <c r="C87" s="12">
        <v>54</v>
      </c>
      <c r="D87" s="13">
        <v>493</v>
      </c>
      <c r="E87" s="13">
        <v>0</v>
      </c>
      <c r="F87" s="13">
        <v>0</v>
      </c>
      <c r="G87" s="14">
        <v>683</v>
      </c>
      <c r="H87" s="15">
        <f t="shared" si="46"/>
        <v>1230</v>
      </c>
      <c r="I87" s="65" t="str">
        <f>J82</f>
        <v>باجگیران</v>
      </c>
      <c r="J87" s="11" t="s">
        <v>11</v>
      </c>
      <c r="K87" s="199"/>
      <c r="L87" s="200"/>
      <c r="M87" s="200"/>
      <c r="N87" s="200"/>
      <c r="O87" s="201"/>
      <c r="P87" s="202">
        <f t="shared" si="47"/>
        <v>0</v>
      </c>
      <c r="S87" s="155">
        <f>IF(OR(SUM(C87:G87)=0,SUM(G$68:G87)=0),"",IF(SUM(S$68:S86)=0,G87,IFERROR(SUM(S86,C87,-D87),"")))</f>
        <v>-83</v>
      </c>
      <c r="T87" s="156">
        <f t="shared" si="48"/>
        <v>-766</v>
      </c>
      <c r="U87" s="155" t="str">
        <f>IF(OR(SUM(K87:O87)=0,SUM(O$68:O87)=0),"",IF(SUM(U$68:U86)=0,O87,IFERROR(SUM(U86,K87,-L87),"")))</f>
        <v/>
      </c>
      <c r="V87" s="156" t="str">
        <f t="shared" si="49"/>
        <v/>
      </c>
    </row>
    <row r="88" spans="1:22" x14ac:dyDescent="0.25">
      <c r="A88" s="65" t="str">
        <f>B82</f>
        <v>ماهیرود</v>
      </c>
      <c r="B88" s="11" t="s">
        <v>12</v>
      </c>
      <c r="C88" s="12">
        <v>75</v>
      </c>
      <c r="D88" s="13">
        <v>154</v>
      </c>
      <c r="E88" s="13">
        <v>0</v>
      </c>
      <c r="F88" s="13">
        <v>0</v>
      </c>
      <c r="G88" s="14">
        <v>25</v>
      </c>
      <c r="H88" s="15">
        <f t="shared" si="46"/>
        <v>254</v>
      </c>
      <c r="I88" s="65" t="str">
        <f>J82</f>
        <v>باجگیران</v>
      </c>
      <c r="J88" s="11" t="s">
        <v>12</v>
      </c>
      <c r="K88" s="199"/>
      <c r="L88" s="200"/>
      <c r="M88" s="200"/>
      <c r="N88" s="200"/>
      <c r="O88" s="201"/>
      <c r="P88" s="202">
        <f t="shared" si="47"/>
        <v>0</v>
      </c>
      <c r="S88" s="155">
        <f>IF(OR(SUM(C88:G88)=0,SUM(G$68:G88)=0),"",IF(SUM(S$68:S87)=0,G88,IFERROR(SUM(S87,C88,-D88),"")))</f>
        <v>-162</v>
      </c>
      <c r="T88" s="156">
        <f t="shared" si="48"/>
        <v>-187</v>
      </c>
      <c r="U88" s="155" t="str">
        <f>IF(OR(SUM(K88:O88)=0,SUM(O$68:O88)=0),"",IF(SUM(U$68:U87)=0,O88,IFERROR(SUM(U87,K88,-L88),"")))</f>
        <v/>
      </c>
      <c r="V88" s="156" t="str">
        <f t="shared" si="49"/>
        <v/>
      </c>
    </row>
    <row r="89" spans="1:22" x14ac:dyDescent="0.25">
      <c r="A89" s="65" t="str">
        <f>B82</f>
        <v>ماهیرود</v>
      </c>
      <c r="B89" s="11" t="s">
        <v>13</v>
      </c>
      <c r="C89" s="12">
        <v>2</v>
      </c>
      <c r="D89" s="13">
        <v>401</v>
      </c>
      <c r="E89" s="13">
        <v>0</v>
      </c>
      <c r="F89" s="13">
        <v>0</v>
      </c>
      <c r="G89" s="14">
        <v>207</v>
      </c>
      <c r="H89" s="15">
        <f t="shared" si="46"/>
        <v>610</v>
      </c>
      <c r="I89" s="65" t="str">
        <f>J82</f>
        <v>باجگیران</v>
      </c>
      <c r="J89" s="11" t="s">
        <v>13</v>
      </c>
      <c r="K89" s="199"/>
      <c r="L89" s="200"/>
      <c r="M89" s="200"/>
      <c r="N89" s="200"/>
      <c r="O89" s="201"/>
      <c r="P89" s="202">
        <f t="shared" si="47"/>
        <v>0</v>
      </c>
      <c r="S89" s="155">
        <f>IF(OR(SUM(C89:G89)=0,SUM(G$68:G89)=0),"",IF(SUM(S$68:S88)=0,G89,IFERROR(SUM(S88,C89,-D89),"")))</f>
        <v>-561</v>
      </c>
      <c r="T89" s="156">
        <f t="shared" si="48"/>
        <v>-768</v>
      </c>
      <c r="U89" s="155" t="str">
        <f>IF(OR(SUM(K89:O89)=0,SUM(O$68:O89)=0),"",IF(SUM(U$68:U88)=0,O89,IFERROR(SUM(U88,K89,-L89),"")))</f>
        <v/>
      </c>
      <c r="V89" s="156" t="str">
        <f t="shared" si="49"/>
        <v/>
      </c>
    </row>
    <row r="90" spans="1:22" x14ac:dyDescent="0.25">
      <c r="A90" s="65" t="str">
        <f>B82</f>
        <v>ماهیرود</v>
      </c>
      <c r="B90" s="11" t="s">
        <v>14</v>
      </c>
      <c r="C90" s="12">
        <v>307</v>
      </c>
      <c r="D90" s="13">
        <v>2</v>
      </c>
      <c r="E90" s="13">
        <v>0</v>
      </c>
      <c r="F90" s="13">
        <v>0</v>
      </c>
      <c r="G90" s="14">
        <v>400</v>
      </c>
      <c r="H90" s="15">
        <f t="shared" si="46"/>
        <v>709</v>
      </c>
      <c r="I90" s="65" t="str">
        <f>J82</f>
        <v>باجگیران</v>
      </c>
      <c r="J90" s="11" t="s">
        <v>14</v>
      </c>
      <c r="K90" s="199"/>
      <c r="L90" s="200"/>
      <c r="M90" s="200"/>
      <c r="N90" s="200"/>
      <c r="O90" s="201"/>
      <c r="P90" s="202">
        <f t="shared" si="47"/>
        <v>0</v>
      </c>
      <c r="S90" s="155">
        <f>IF(OR(SUM(C90:G90)=0,SUM(G$68:G90)=0),"",IF(SUM(S$68:S89)=0,G90,IFERROR(SUM(S89,C90,-D90),"")))</f>
        <v>-256</v>
      </c>
      <c r="T90" s="156">
        <f t="shared" si="48"/>
        <v>-656</v>
      </c>
      <c r="U90" s="155" t="str">
        <f>IF(OR(SUM(K90:O90)=0,SUM(O$68:O90)=0),"",IF(SUM(U$68:U89)=0,O90,IFERROR(SUM(U89,K90,-L90),"")))</f>
        <v/>
      </c>
      <c r="V90" s="156" t="str">
        <f t="shared" si="49"/>
        <v/>
      </c>
    </row>
    <row r="91" spans="1:22" x14ac:dyDescent="0.25">
      <c r="A91" s="65" t="str">
        <f>B82</f>
        <v>ماهیرود</v>
      </c>
      <c r="B91" s="11" t="s">
        <v>15</v>
      </c>
      <c r="C91" s="12">
        <v>245</v>
      </c>
      <c r="D91" s="13">
        <v>414</v>
      </c>
      <c r="E91" s="13">
        <v>0</v>
      </c>
      <c r="F91" s="13">
        <v>0</v>
      </c>
      <c r="G91" s="14">
        <v>231</v>
      </c>
      <c r="H91" s="15">
        <f>SUM(C91:G91)</f>
        <v>890</v>
      </c>
      <c r="I91" s="65" t="str">
        <f>J82</f>
        <v>باجگیران</v>
      </c>
      <c r="J91" s="11" t="s">
        <v>15</v>
      </c>
      <c r="K91" s="199"/>
      <c r="L91" s="200"/>
      <c r="M91" s="200"/>
      <c r="N91" s="200"/>
      <c r="O91" s="201"/>
      <c r="P91" s="202">
        <f>SUM(K91:O91)</f>
        <v>0</v>
      </c>
      <c r="S91" s="155">
        <f>IF(OR(SUM(C91:G91)=0,SUM(G$68:G91)=0),"",IF(SUM(S$68:S90)=0,G91,IFERROR(SUM(S90,C91,-D91),"")))</f>
        <v>-425</v>
      </c>
      <c r="T91" s="156">
        <f t="shared" si="48"/>
        <v>-656</v>
      </c>
      <c r="U91" s="155" t="str">
        <f>IF(OR(SUM(K91:O91)=0,SUM(O$68:O91)=0),"",IF(SUM(U$68:U90)=0,O91,IFERROR(SUM(U90,K91,-L91),"")))</f>
        <v/>
      </c>
      <c r="V91" s="156" t="str">
        <f t="shared" si="49"/>
        <v/>
      </c>
    </row>
    <row r="92" spans="1:22" x14ac:dyDescent="0.25">
      <c r="A92" s="65" t="str">
        <f>B82</f>
        <v>ماهیرود</v>
      </c>
      <c r="B92" s="11" t="s">
        <v>16</v>
      </c>
      <c r="C92" s="12">
        <v>486</v>
      </c>
      <c r="D92" s="13">
        <v>498</v>
      </c>
      <c r="E92" s="13"/>
      <c r="F92" s="13"/>
      <c r="G92" s="14"/>
      <c r="H92" s="15">
        <f t="shared" ref="H92:H95" si="50">SUM(C92:F92)</f>
        <v>984</v>
      </c>
      <c r="I92" s="65" t="str">
        <f>J82</f>
        <v>باجگیران</v>
      </c>
      <c r="J92" s="11" t="s">
        <v>16</v>
      </c>
      <c r="K92" s="199"/>
      <c r="L92" s="200"/>
      <c r="M92" s="200"/>
      <c r="N92" s="200"/>
      <c r="O92" s="201"/>
      <c r="P92" s="202">
        <f t="shared" ref="P92:P95" si="51">SUM(K92:N92)</f>
        <v>0</v>
      </c>
      <c r="S92" s="155">
        <f>IF(OR(SUM(C92:G92)=0,SUM(G$68:G92)=0),"",IF(SUM(S$68:S91)=0,G92,IFERROR(SUM(S91,C92,-D92),"")))</f>
        <v>-437</v>
      </c>
      <c r="T92" s="156">
        <f t="shared" si="48"/>
        <v>-437</v>
      </c>
      <c r="U92" s="155" t="str">
        <f>IF(OR(SUM(K92:O92)=0,SUM(O$68:O92)=0),"",IF(SUM(U$68:U91)=0,O92,IFERROR(SUM(U91,K92,-L92),"")))</f>
        <v/>
      </c>
      <c r="V92" s="156" t="str">
        <f t="shared" si="49"/>
        <v/>
      </c>
    </row>
    <row r="93" spans="1:22" x14ac:dyDescent="0.25">
      <c r="A93" s="65" t="str">
        <f>B82</f>
        <v>ماهیرود</v>
      </c>
      <c r="B93" s="11" t="s">
        <v>17</v>
      </c>
      <c r="C93" s="12">
        <v>627</v>
      </c>
      <c r="D93" s="13">
        <v>334</v>
      </c>
      <c r="E93" s="13"/>
      <c r="F93" s="13"/>
      <c r="G93" s="14">
        <v>512</v>
      </c>
      <c r="H93" s="15">
        <f t="shared" si="50"/>
        <v>961</v>
      </c>
      <c r="I93" s="65" t="str">
        <f>J82</f>
        <v>باجگیران</v>
      </c>
      <c r="J93" s="11" t="s">
        <v>17</v>
      </c>
      <c r="K93" s="199"/>
      <c r="L93" s="200"/>
      <c r="M93" s="200"/>
      <c r="N93" s="200"/>
      <c r="O93" s="201"/>
      <c r="P93" s="202">
        <f t="shared" si="51"/>
        <v>0</v>
      </c>
      <c r="S93" s="155">
        <f>IF(OR(SUM(C93:G93)=0,SUM(G$68:G93)=0),"",IF(SUM(S$68:S92)=0,G93,IFERROR(SUM(S92,C93,-D93),"")))</f>
        <v>-144</v>
      </c>
      <c r="T93" s="156">
        <f t="shared" si="48"/>
        <v>-656</v>
      </c>
      <c r="U93" s="155" t="str">
        <f>IF(OR(SUM(K93:O93)=0,SUM(O$68:O93)=0),"",IF(SUM(U$68:U92)=0,O93,IFERROR(SUM(U92,K93,-L93),"")))</f>
        <v/>
      </c>
      <c r="V93" s="156" t="str">
        <f t="shared" si="49"/>
        <v/>
      </c>
    </row>
    <row r="94" spans="1:22" x14ac:dyDescent="0.25">
      <c r="A94" s="65" t="str">
        <f>B82</f>
        <v>ماهیرود</v>
      </c>
      <c r="B94" s="11" t="s">
        <v>18</v>
      </c>
      <c r="C94" s="12">
        <v>212</v>
      </c>
      <c r="D94" s="13">
        <v>548</v>
      </c>
      <c r="E94" s="13"/>
      <c r="F94" s="13"/>
      <c r="G94" s="14">
        <v>264</v>
      </c>
      <c r="H94" s="15">
        <f t="shared" si="50"/>
        <v>760</v>
      </c>
      <c r="I94" s="65" t="str">
        <f>J82</f>
        <v>باجگیران</v>
      </c>
      <c r="J94" s="11" t="s">
        <v>18</v>
      </c>
      <c r="K94" s="199">
        <f>0.758</f>
        <v>0.75800000000000001</v>
      </c>
      <c r="L94" s="200">
        <f>0.137</f>
        <v>0.13700000000000001</v>
      </c>
      <c r="M94" s="200"/>
      <c r="N94" s="200"/>
      <c r="O94" s="201">
        <v>0.621</v>
      </c>
      <c r="P94" s="202">
        <f t="shared" si="51"/>
        <v>0.89500000000000002</v>
      </c>
      <c r="S94" s="155">
        <f>IF(OR(SUM(C94:G94)=0,SUM(G$68:G94)=0),"",IF(SUM(S$68:S93)=0,G94,IFERROR(SUM(S93,C94,-D94),"")))</f>
        <v>-480</v>
      </c>
      <c r="T94" s="156">
        <f t="shared" si="48"/>
        <v>-744</v>
      </c>
      <c r="U94" s="155">
        <f>IF(OR(SUM(K94:O94)=0,SUM(O$68:O94)=0),"",IF(SUM(U$68:U93)=0,O94,IFERROR(SUM(U93,K94,-L94),"")))</f>
        <v>0.621</v>
      </c>
      <c r="V94" s="156">
        <f t="shared" si="49"/>
        <v>0</v>
      </c>
    </row>
    <row r="95" spans="1:22" ht="20.25" thickBot="1" x14ac:dyDescent="0.3">
      <c r="A95" s="65" t="str">
        <f>B82</f>
        <v>ماهیرود</v>
      </c>
      <c r="B95" s="16" t="s">
        <v>19</v>
      </c>
      <c r="C95" s="17">
        <v>166</v>
      </c>
      <c r="D95" s="18">
        <v>116</v>
      </c>
      <c r="E95" s="18"/>
      <c r="F95" s="18"/>
      <c r="G95" s="19">
        <v>314</v>
      </c>
      <c r="H95" s="20">
        <f t="shared" si="50"/>
        <v>282</v>
      </c>
      <c r="I95" s="65" t="str">
        <f>J82</f>
        <v>باجگیران</v>
      </c>
      <c r="J95" s="16" t="s">
        <v>19</v>
      </c>
      <c r="K95" s="203">
        <v>2</v>
      </c>
      <c r="L95" s="204">
        <v>1</v>
      </c>
      <c r="M95" s="204"/>
      <c r="N95" s="204"/>
      <c r="O95" s="205">
        <v>1</v>
      </c>
      <c r="P95" s="206">
        <f t="shared" si="51"/>
        <v>3</v>
      </c>
      <c r="S95" s="155">
        <f>IF(OR(SUM(C95:G95)=0,SUM(G$68:G95)=0),"",IF(SUM(S$68:S94)=0,G95,IFERROR(SUM(S94,C95,-D95),"")))</f>
        <v>-430</v>
      </c>
      <c r="T95" s="156">
        <f t="shared" si="48"/>
        <v>-744</v>
      </c>
      <c r="U95" s="155">
        <f>IF(OR(SUM(K95:O95)=0,SUM(O$68:O95)=0),"",IF(SUM(U$68:U94)=0,O95,IFERROR(SUM(U94,K95,-L95),"")))</f>
        <v>1.621</v>
      </c>
      <c r="V95" s="156">
        <f t="shared" si="49"/>
        <v>0.621</v>
      </c>
    </row>
    <row r="96" spans="1:22" ht="21" thickBot="1" x14ac:dyDescent="0.3">
      <c r="B96" s="37" t="s">
        <v>6</v>
      </c>
      <c r="C96" s="45">
        <f>SUM(C84:C95)</f>
        <v>3314</v>
      </c>
      <c r="D96" s="46">
        <f t="shared" ref="D96:F96" si="52">SUM(D84:D95)</f>
        <v>3998</v>
      </c>
      <c r="E96" s="46">
        <f t="shared" si="52"/>
        <v>0</v>
      </c>
      <c r="F96" s="46">
        <f t="shared" si="52"/>
        <v>0</v>
      </c>
      <c r="G96" s="47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314</v>
      </c>
      <c r="H96" s="48">
        <f t="shared" ref="H96" si="53">SUM(C96:F96)</f>
        <v>7312</v>
      </c>
      <c r="J96" s="37" t="s">
        <v>6</v>
      </c>
      <c r="K96" s="45">
        <f>SUM(K84:K95)</f>
        <v>2.758</v>
      </c>
      <c r="L96" s="46">
        <f t="shared" ref="L96:N96" si="54">SUM(L84:L95)</f>
        <v>1.137</v>
      </c>
      <c r="M96" s="46">
        <f t="shared" si="54"/>
        <v>0</v>
      </c>
      <c r="N96" s="46">
        <f t="shared" si="54"/>
        <v>0</v>
      </c>
      <c r="O96" s="47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>1</v>
      </c>
      <c r="P96" s="48">
        <f t="shared" ref="P96" si="55">SUM(K96:N96)</f>
        <v>3.895</v>
      </c>
    </row>
  </sheetData>
  <sheetProtection selectLockedCells="1" selectUn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H4:H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{90F9DBA6-C321-47DA-995B-5731F50D66AF}</x14:id>
        </ext>
      </extLst>
    </cfRule>
  </conditionalFormatting>
  <conditionalFormatting sqref="H20:H3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{7DF53C6E-8C29-41F2-8D09-ACEB9E01CED0}</x14:id>
        </ext>
      </extLst>
    </cfRule>
  </conditionalFormatting>
  <conditionalFormatting sqref="H36:H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{0CCAC8F3-DAE9-4DFA-BC9C-C676DC511F1E}</x14:id>
        </ext>
      </extLst>
    </cfRule>
  </conditionalFormatting>
  <conditionalFormatting sqref="H52:H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{7F6FAB8D-A27B-4DF5-975B-463CAD4F57CD}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{DC0AF765-6224-4C22-943B-090E59F77CC7}</x14:id>
        </ext>
      </extLst>
    </cfRule>
  </conditionalFormatting>
  <conditionalFormatting sqref="H84:H9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{95C95E5C-15B8-4708-B933-45B83090757B}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{B60DDFE8-3407-4BE3-9A83-E337A460F341}</x14:id>
        </ext>
      </extLst>
    </cfRule>
  </conditionalFormatting>
  <conditionalFormatting sqref="P4:P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{C5A08D87-85EC-4864-8298-6F3EA2E01523}</x14:id>
        </ext>
      </extLst>
    </cfRule>
  </conditionalFormatting>
  <conditionalFormatting sqref="P16 H32 P32 P48 H48 H64 P64 H8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{4B541BE4-952F-4BAA-8E5C-2F4776F275FD}</x14:id>
        </ext>
      </extLst>
    </cfRule>
  </conditionalFormatting>
  <conditionalFormatting sqref="P20:P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{2ED1DB4B-27A8-448B-BBB7-DDE08BBEC6B9}</x14:id>
        </ext>
      </extLst>
    </cfRule>
  </conditionalFormatting>
  <conditionalFormatting sqref="P36:P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{062EBF35-425B-4215-B59C-37B16854BC38}</x14:id>
        </ext>
      </extLst>
    </cfRule>
  </conditionalFormatting>
  <conditionalFormatting sqref="P52:P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{1CF7A08B-B028-4251-8BD3-B946A7B7B902}</x14:id>
        </ext>
      </extLst>
    </cfRule>
  </conditionalFormatting>
  <conditionalFormatting sqref="P68:P7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{8395FCD7-3767-4F5C-B284-539FCF44BF68}</x14:id>
        </ext>
      </extLst>
    </cfRule>
  </conditionalFormatting>
  <conditionalFormatting sqref="P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{D4783923-064A-45B6-BF5D-E7484884E0EB}</x14:id>
        </ext>
      </extLst>
    </cfRule>
  </conditionalFormatting>
  <conditionalFormatting sqref="A1:XFD1048576">
    <cfRule type="cellIs" dxfId="216" priority="3" operator="equal">
      <formula>0</formula>
    </cfRule>
  </conditionalFormatting>
  <conditionalFormatting sqref="P84:P9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{F5278EA2-E8CB-4739-9CBA-C61F295A921E}</x14:id>
        </ext>
      </extLst>
    </cfRule>
  </conditionalFormatting>
  <conditionalFormatting sqref="P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{7359009A-5295-429C-A7A5-5F2BC536263D}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F9DBA6-C321-47DA-995B-5731F50D66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DF53C6E-8C29-41F2-8D09-ACEB9E01CE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0CCAC8F3-DAE9-4DFA-BC9C-C676DC511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7F6FAB8D-A27B-4DF5-975B-463CAD4F57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C0AF765-6224-4C22-943B-090E59F77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95C95E5C-15B8-4708-B933-45B830907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0DDFE8-3407-4BE3-9A83-E337A460F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C5A08D87-85EC-4864-8298-6F3EA2E015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4B541BE4-952F-4BAA-8E5C-2F4776F27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2ED1DB4B-27A8-448B-BBB7-DDE08BBEC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062EBF35-425B-4215-B59C-37B16854B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1CF7A08B-B028-4251-8BD3-B946A7B7B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8395FCD7-3767-4F5C-B284-539FCF44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D4783923-064A-45B6-BF5D-E7484884E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F5278EA2-E8CB-4739-9CBA-C61F295A9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7359009A-5295-429C-A7A5-5F2BC5362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6"/>
  <sheetViews>
    <sheetView showRowColHeaders="0" rightToLeft="1" tabSelected="1" topLeftCell="A61" zoomScale="80" zoomScaleNormal="80" workbookViewId="0">
      <selection activeCell="N95" sqref="N95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7109375" style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10" t="s">
        <v>31</v>
      </c>
      <c r="C2" s="211"/>
      <c r="D2" s="211"/>
      <c r="E2" s="211"/>
      <c r="F2" s="211"/>
      <c r="G2" s="211"/>
      <c r="H2" s="211"/>
      <c r="I2" s="211"/>
      <c r="J2" s="212"/>
      <c r="L2" s="210" t="s">
        <v>20</v>
      </c>
      <c r="M2" s="211"/>
      <c r="N2" s="211"/>
      <c r="O2" s="211"/>
      <c r="P2" s="211"/>
      <c r="Q2" s="211"/>
      <c r="R2" s="211"/>
      <c r="S2" s="211"/>
      <c r="T2" s="212"/>
    </row>
    <row r="3" spans="1:20" ht="21" thickBot="1" x14ac:dyDescent="0.3">
      <c r="B3" s="83" t="s">
        <v>0</v>
      </c>
      <c r="C3" s="84" t="s">
        <v>1</v>
      </c>
      <c r="D3" s="85" t="s">
        <v>2</v>
      </c>
      <c r="E3" s="85" t="s">
        <v>3</v>
      </c>
      <c r="F3" s="85" t="s">
        <v>4</v>
      </c>
      <c r="G3" s="86" t="s">
        <v>5</v>
      </c>
      <c r="H3" s="83" t="s">
        <v>7</v>
      </c>
      <c r="I3" s="83" t="s">
        <v>32</v>
      </c>
      <c r="J3" s="87" t="s">
        <v>30</v>
      </c>
      <c r="L3" s="124" t="s">
        <v>0</v>
      </c>
      <c r="M3" s="125" t="s">
        <v>1</v>
      </c>
      <c r="N3" s="126" t="s">
        <v>2</v>
      </c>
      <c r="O3" s="126" t="s">
        <v>3</v>
      </c>
      <c r="P3" s="126" t="s">
        <v>4</v>
      </c>
      <c r="Q3" s="127" t="s">
        <v>5</v>
      </c>
      <c r="R3" s="124" t="s">
        <v>7</v>
      </c>
      <c r="S3" s="124" t="s">
        <v>32</v>
      </c>
      <c r="T3" s="124" t="s">
        <v>30</v>
      </c>
    </row>
    <row r="4" spans="1:20" x14ac:dyDescent="0.25">
      <c r="A4" s="65" t="str">
        <f>B2</f>
        <v>انبار مسقف مجتمع خراسان</v>
      </c>
      <c r="B4" s="6" t="s">
        <v>8</v>
      </c>
      <c r="C4" s="7">
        <f>IF(SUM(M4,C20,M20,C36,M36,C52,M52,C68,M68,C84)=0,"",SUM(M4,C20,M20,C36,M36,C52,M52,C68,M68,C84,M84))</f>
        <v>6011</v>
      </c>
      <c r="D4" s="8">
        <f t="shared" ref="D4:G4" si="0">IF(SUM(N4,D20,N20,D36,N36,D52,N52,D68,N68,D84)=0,"",SUM(N4,D20,N20,D36,N36,D52,N52,D68,N68,D84,N84))</f>
        <v>8047</v>
      </c>
      <c r="E4" s="8" t="str">
        <f t="shared" si="0"/>
        <v/>
      </c>
      <c r="F4" s="8" t="str">
        <f t="shared" si="0"/>
        <v/>
      </c>
      <c r="G4" s="9">
        <f t="shared" si="0"/>
        <v>3779</v>
      </c>
      <c r="H4" s="10">
        <f>SUM(C4:F4)</f>
        <v>14058</v>
      </c>
      <c r="I4" s="10">
        <f t="shared" ref="I4:I15" si="1">IF(SUM(S4,I20,S20,I36,S36,I52,S52,I68,S68,I84)=0,"",SUM(S4,I20,S20,I36,S36,I52,S52,I68,S68,I84,S84))</f>
        <v>22250</v>
      </c>
      <c r="J4" s="66">
        <f>IFERROR(SUM(S4*T4,I20*J20,S20*T20,I36*J36,S36*T36,I52*J52,S52*T52,J68*I68,T68*S68,J84*I84,S84*T84)/I4,"")</f>
        <v>0.67921348314606744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مسقف مجتمع خراسان</v>
      </c>
      <c r="B5" s="11" t="s">
        <v>9</v>
      </c>
      <c r="C5" s="12">
        <f t="shared" ref="C5:G5" si="2">IF(SUM(M5,C21,M21,C37,M37,C53,M53,C69,M69,C85)=0,"",SUM(M5,C21,M21,C37,M37,C53,M53,C69,M69,C85,M85))</f>
        <v>4569</v>
      </c>
      <c r="D5" s="13">
        <f t="shared" si="2"/>
        <v>5822</v>
      </c>
      <c r="E5" s="13" t="str">
        <f t="shared" si="2"/>
        <v/>
      </c>
      <c r="F5" s="13" t="str">
        <f t="shared" si="2"/>
        <v/>
      </c>
      <c r="G5" s="14">
        <f t="shared" si="2"/>
        <v>3197</v>
      </c>
      <c r="H5" s="15">
        <f t="shared" ref="H5:H16" si="3">SUM(C5:F5)</f>
        <v>10391</v>
      </c>
      <c r="I5" s="15">
        <f t="shared" si="1"/>
        <v>18650</v>
      </c>
      <c r="J5" s="67">
        <f t="shared" ref="J5:J15" si="4">IFERROR(SUM(S5*T5,I21*J21,S21*T21,I37*J37,S37*T37,I53*J53,S53*T53,J69*I69,T69*S69,J85*I85,S85*T85)/I5,"")</f>
        <v>0.59289544235924929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5">SUM(M5:P5)</f>
        <v>0</v>
      </c>
      <c r="S5" s="15"/>
      <c r="T5" s="67"/>
    </row>
    <row r="6" spans="1:20" x14ac:dyDescent="0.25">
      <c r="A6" s="65" t="str">
        <f>B2</f>
        <v>انبار مسقف مجتمع خراسان</v>
      </c>
      <c r="B6" s="11" t="s">
        <v>10</v>
      </c>
      <c r="C6" s="12">
        <f t="shared" ref="C6:G6" si="6">IF(SUM(M6,C22,M22,C38,M38,C54,M54,C70,M70,C86)=0,"",SUM(M6,C22,M22,C38,M38,C54,M54,C70,M70,C86,M86))</f>
        <v>5778</v>
      </c>
      <c r="D6" s="13">
        <f t="shared" si="6"/>
        <v>4434</v>
      </c>
      <c r="E6" s="13" t="str">
        <f t="shared" si="6"/>
        <v/>
      </c>
      <c r="F6" s="13" t="str">
        <f t="shared" si="6"/>
        <v/>
      </c>
      <c r="G6" s="14">
        <f t="shared" si="6"/>
        <v>3379</v>
      </c>
      <c r="H6" s="15">
        <f t="shared" si="3"/>
        <v>10212</v>
      </c>
      <c r="I6" s="15">
        <f t="shared" si="1"/>
        <v>18650</v>
      </c>
      <c r="J6" s="67">
        <f t="shared" si="4"/>
        <v>0.63833780160857911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5"/>
        <v>0</v>
      </c>
      <c r="S6" s="15"/>
      <c r="T6" s="67"/>
    </row>
    <row r="7" spans="1:20" x14ac:dyDescent="0.25">
      <c r="A7" s="65" t="str">
        <f>B2</f>
        <v>انبار مسقف مجتمع خراسان</v>
      </c>
      <c r="B7" s="11" t="s">
        <v>11</v>
      </c>
      <c r="C7" s="12">
        <f t="shared" ref="C7:G7" si="7">IF(SUM(M7,C23,M23,C39,M39,C55,M55,C71,M71,C87)=0,"",SUM(M7,C23,M23,C39,M39,C55,M55,C71,M71,C87,M87))</f>
        <v>2097</v>
      </c>
      <c r="D7" s="13">
        <f t="shared" si="7"/>
        <v>6287</v>
      </c>
      <c r="E7" s="13" t="str">
        <f t="shared" si="7"/>
        <v/>
      </c>
      <c r="F7" s="13" t="str">
        <f t="shared" si="7"/>
        <v/>
      </c>
      <c r="G7" s="14">
        <f t="shared" si="7"/>
        <v>2909</v>
      </c>
      <c r="H7" s="15">
        <f t="shared" si="3"/>
        <v>8384</v>
      </c>
      <c r="I7" s="15">
        <f t="shared" si="1"/>
        <v>19850</v>
      </c>
      <c r="J7" s="67">
        <f t="shared" si="4"/>
        <v>0.45100755667506298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5"/>
        <v>0</v>
      </c>
      <c r="S7" s="15"/>
      <c r="T7" s="67"/>
    </row>
    <row r="8" spans="1:20" x14ac:dyDescent="0.25">
      <c r="A8" s="65" t="str">
        <f>B2</f>
        <v>انبار مسقف مجتمع خراسان</v>
      </c>
      <c r="B8" s="11" t="s">
        <v>12</v>
      </c>
      <c r="C8" s="12">
        <f t="shared" ref="C8:G8" si="8">IF(SUM(M8,C24,M24,C40,M40,C56,M56,C72,M72,C88)=0,"",SUM(M8,C24,M24,C40,M40,C56,M56,C72,M72,C88,M88))</f>
        <v>3283</v>
      </c>
      <c r="D8" s="13">
        <f t="shared" si="8"/>
        <v>5213</v>
      </c>
      <c r="E8" s="13" t="str">
        <f t="shared" si="8"/>
        <v/>
      </c>
      <c r="F8" s="13" t="str">
        <f t="shared" si="8"/>
        <v/>
      </c>
      <c r="G8" s="14">
        <f t="shared" si="8"/>
        <v>2115</v>
      </c>
      <c r="H8" s="15">
        <f t="shared" si="3"/>
        <v>8496</v>
      </c>
      <c r="I8" s="15">
        <f t="shared" si="1"/>
        <v>19850</v>
      </c>
      <c r="J8" s="67">
        <f t="shared" si="4"/>
        <v>0.44332493702770781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5"/>
        <v>0</v>
      </c>
      <c r="S8" s="15"/>
      <c r="T8" s="67"/>
    </row>
    <row r="9" spans="1:20" x14ac:dyDescent="0.25">
      <c r="A9" s="65" t="str">
        <f>B2</f>
        <v>انبار مسقف مجتمع خراسان</v>
      </c>
      <c r="B9" s="11" t="s">
        <v>13</v>
      </c>
      <c r="C9" s="12">
        <f t="shared" ref="C9:G9" si="9">IF(SUM(M9,C25,M25,C41,M41,C57,M57,C73,M73,C89)=0,"",SUM(M9,C25,M25,C41,M41,C57,M57,C73,M73,C89,M89))</f>
        <v>7053</v>
      </c>
      <c r="D9" s="13">
        <f t="shared" si="9"/>
        <v>3312</v>
      </c>
      <c r="E9" s="13" t="str">
        <f t="shared" si="9"/>
        <v/>
      </c>
      <c r="F9" s="13" t="str">
        <f t="shared" si="9"/>
        <v/>
      </c>
      <c r="G9" s="14">
        <f t="shared" si="9"/>
        <v>5414</v>
      </c>
      <c r="H9" s="15">
        <f t="shared" si="3"/>
        <v>10365</v>
      </c>
      <c r="I9" s="15">
        <f t="shared" si="1"/>
        <v>19850</v>
      </c>
      <c r="J9" s="67">
        <f t="shared" si="4"/>
        <v>0.46725440806045337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5"/>
        <v>0</v>
      </c>
      <c r="S9" s="15"/>
      <c r="T9" s="67"/>
    </row>
    <row r="10" spans="1:20" x14ac:dyDescent="0.25">
      <c r="A10" s="65" t="str">
        <f>B2</f>
        <v>انبار مسقف مجتمع خراسان</v>
      </c>
      <c r="B10" s="11" t="s">
        <v>14</v>
      </c>
      <c r="C10" s="12">
        <f t="shared" ref="C10:G10" si="10">IF(SUM(M10,C26,M26,C42,M42,C58,M58,C74,M74,C90)=0,"",SUM(M10,C26,M26,C42,M42,C58,M58,C74,M74,C90,M90))</f>
        <v>4891</v>
      </c>
      <c r="D10" s="13">
        <f t="shared" si="10"/>
        <v>6263</v>
      </c>
      <c r="E10" s="13" t="str">
        <f t="shared" si="10"/>
        <v/>
      </c>
      <c r="F10" s="13" t="str">
        <f t="shared" si="10"/>
        <v/>
      </c>
      <c r="G10" s="14">
        <f t="shared" si="10"/>
        <v>3679</v>
      </c>
      <c r="H10" s="15">
        <f t="shared" si="3"/>
        <v>11154</v>
      </c>
      <c r="I10" s="15">
        <f t="shared" si="1"/>
        <v>19650</v>
      </c>
      <c r="J10" s="67">
        <f t="shared" si="4"/>
        <v>0.54376590330788799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5"/>
        <v>0</v>
      </c>
      <c r="S10" s="15"/>
      <c r="T10" s="67"/>
    </row>
    <row r="11" spans="1:20" x14ac:dyDescent="0.25">
      <c r="A11" s="65" t="str">
        <f>B2</f>
        <v>انبار مسقف مجتمع خراسان</v>
      </c>
      <c r="B11" s="11" t="s">
        <v>15</v>
      </c>
      <c r="C11" s="12">
        <f t="shared" ref="C11:G11" si="11">IF(SUM(M11,C27,M27,C43,M43,C59,M59,C75,M75,C91)=0,"",SUM(M11,C27,M27,C43,M43,C59,M59,C75,M75,C91,M91))</f>
        <v>4376</v>
      </c>
      <c r="D11" s="13">
        <f t="shared" si="11"/>
        <v>4291</v>
      </c>
      <c r="E11" s="13" t="str">
        <f t="shared" si="11"/>
        <v/>
      </c>
      <c r="F11" s="13" t="str">
        <f t="shared" si="11"/>
        <v/>
      </c>
      <c r="G11" s="14">
        <f t="shared" si="11"/>
        <v>2968</v>
      </c>
      <c r="H11" s="15">
        <f t="shared" si="3"/>
        <v>8667</v>
      </c>
      <c r="I11" s="15">
        <f t="shared" si="1"/>
        <v>19650</v>
      </c>
      <c r="J11" s="67">
        <f t="shared" si="4"/>
        <v>0.60229007633587783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5"/>
        <v>0</v>
      </c>
      <c r="S11" s="15"/>
      <c r="T11" s="67"/>
    </row>
    <row r="12" spans="1:20" x14ac:dyDescent="0.25">
      <c r="A12" s="65" t="str">
        <f>B2</f>
        <v>انبار مسقف مجتمع خراسان</v>
      </c>
      <c r="B12" s="11" t="s">
        <v>16</v>
      </c>
      <c r="C12" s="12">
        <f t="shared" ref="C12:G12" si="12">IF(SUM(M12,C28,M28,C44,M44,C60,M60,C76,M76,C92)=0,"",SUM(M12,C28,M28,C44,M44,C60,M60,C76,M76,C92,M92))</f>
        <v>4221</v>
      </c>
      <c r="D12" s="13">
        <f t="shared" si="12"/>
        <v>4625</v>
      </c>
      <c r="E12" s="13" t="str">
        <f t="shared" si="12"/>
        <v/>
      </c>
      <c r="F12" s="13" t="str">
        <f t="shared" si="12"/>
        <v/>
      </c>
      <c r="G12" s="14">
        <f t="shared" si="12"/>
        <v>3295</v>
      </c>
      <c r="H12" s="15">
        <f t="shared" si="3"/>
        <v>8846</v>
      </c>
      <c r="I12" s="15">
        <f t="shared" si="1"/>
        <v>19650</v>
      </c>
      <c r="J12" s="67">
        <f t="shared" si="4"/>
        <v>0.60419847328244269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5"/>
        <v>0</v>
      </c>
      <c r="S12" s="15"/>
      <c r="T12" s="67"/>
    </row>
    <row r="13" spans="1:20" x14ac:dyDescent="0.25">
      <c r="A13" s="65" t="str">
        <f>B2</f>
        <v>انبار مسقف مجتمع خراسان</v>
      </c>
      <c r="B13" s="11" t="s">
        <v>17</v>
      </c>
      <c r="C13" s="12">
        <f t="shared" ref="C13:G13" si="13">IF(SUM(M13,C29,M29,C45,M45,C61,M61,C77,M77,C93)=0,"",SUM(M13,C29,M29,C45,M45,C61,M61,C77,M77,C93,M93))</f>
        <v>3895</v>
      </c>
      <c r="D13" s="13">
        <f t="shared" si="13"/>
        <v>3751</v>
      </c>
      <c r="E13" s="13" t="str">
        <f t="shared" si="13"/>
        <v/>
      </c>
      <c r="F13" s="13" t="str">
        <f t="shared" si="13"/>
        <v/>
      </c>
      <c r="G13" s="14">
        <f t="shared" si="13"/>
        <v>2877</v>
      </c>
      <c r="H13" s="15">
        <f t="shared" si="3"/>
        <v>7646</v>
      </c>
      <c r="I13" s="15">
        <f t="shared" si="1"/>
        <v>19650</v>
      </c>
      <c r="J13" s="67">
        <f t="shared" si="4"/>
        <v>0.59300254452926204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5"/>
        <v>0</v>
      </c>
      <c r="S13" s="15"/>
      <c r="T13" s="67"/>
    </row>
    <row r="14" spans="1:20" x14ac:dyDescent="0.25">
      <c r="A14" s="65" t="str">
        <f>B2</f>
        <v>انبار مسقف مجتمع خراسان</v>
      </c>
      <c r="B14" s="11" t="s">
        <v>18</v>
      </c>
      <c r="C14" s="12">
        <f t="shared" ref="C14:G14" si="14">IF(SUM(M14,C30,M30,C46,M46,C62,M62,C78,M78,C94)=0,"",SUM(M14,C30,M30,C46,M46,C62,M62,C78,M78,C94,M94))</f>
        <v>4170.7579999999998</v>
      </c>
      <c r="D14" s="13">
        <f t="shared" si="14"/>
        <v>4254.1369999999997</v>
      </c>
      <c r="E14" s="13" t="str">
        <f t="shared" si="14"/>
        <v/>
      </c>
      <c r="F14" s="13" t="str">
        <f t="shared" si="14"/>
        <v/>
      </c>
      <c r="G14" s="14">
        <f t="shared" si="14"/>
        <v>2243.6210000000001</v>
      </c>
      <c r="H14" s="15">
        <f t="shared" si="3"/>
        <v>8424.8950000000004</v>
      </c>
      <c r="I14" s="15">
        <f t="shared" si="1"/>
        <v>20462</v>
      </c>
      <c r="J14" s="67">
        <f t="shared" si="4"/>
        <v>0.58509920828853479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5"/>
        <v>0</v>
      </c>
      <c r="S14" s="15"/>
      <c r="T14" s="67"/>
    </row>
    <row r="15" spans="1:20" ht="20.25" thickBot="1" x14ac:dyDescent="0.3">
      <c r="A15" s="65" t="str">
        <f>B2</f>
        <v>انبار مسقف مجتمع خراسان</v>
      </c>
      <c r="B15" s="16" t="s">
        <v>19</v>
      </c>
      <c r="C15" s="17">
        <f t="shared" ref="C15:G15" si="15">IF(SUM(M15,C31,M31,C47,M47,C63,M63,C79,M79,C95)=0,"",SUM(M15,C31,M31,C47,M47,C63,M63,C79,M79,C95,M95))</f>
        <v>4009</v>
      </c>
      <c r="D15" s="18">
        <f t="shared" si="15"/>
        <v>4212</v>
      </c>
      <c r="E15" s="18" t="str">
        <f t="shared" si="15"/>
        <v/>
      </c>
      <c r="F15" s="18" t="str">
        <f t="shared" si="15"/>
        <v/>
      </c>
      <c r="G15" s="19">
        <f t="shared" si="15"/>
        <v>2222</v>
      </c>
      <c r="H15" s="20">
        <f t="shared" si="3"/>
        <v>8221</v>
      </c>
      <c r="I15" s="20">
        <f t="shared" si="1"/>
        <v>19950</v>
      </c>
      <c r="J15" s="68">
        <f t="shared" si="4"/>
        <v>0.68671679197994984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5"/>
        <v>0</v>
      </c>
      <c r="S15" s="20"/>
      <c r="T15" s="67"/>
    </row>
    <row r="16" spans="1:20" ht="21" thickBot="1" x14ac:dyDescent="0.3">
      <c r="A16" s="65"/>
      <c r="B16" s="87" t="s">
        <v>6</v>
      </c>
      <c r="C16" s="88">
        <f>SUM(C4:C15)</f>
        <v>54353.758000000002</v>
      </c>
      <c r="D16" s="89">
        <f t="shared" ref="D16:F16" si="16">SUM(D4:D15)</f>
        <v>60511.137000000002</v>
      </c>
      <c r="E16" s="89">
        <f t="shared" si="16"/>
        <v>0</v>
      </c>
      <c r="F16" s="89">
        <f t="shared" si="16"/>
        <v>0</v>
      </c>
      <c r="G16" s="9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2222</v>
      </c>
      <c r="H16" s="91">
        <f t="shared" si="3"/>
        <v>114864.895</v>
      </c>
      <c r="I16" s="91">
        <f>IFERROR(SUM(I4:I15)/COUNTIF(I4:I15,"&gt;"&amp;0),"")</f>
        <v>19842.666666666668</v>
      </c>
      <c r="J16" s="92">
        <f>IFERROR((SUMPRODUCT(J4:J15,I4:I15)/COUNTIF(I4:I15,"&gt;"&amp;0))/I16,"")</f>
        <v>0.57460270796935886</v>
      </c>
      <c r="K16" s="65"/>
      <c r="L16" s="128" t="s">
        <v>6</v>
      </c>
      <c r="M16" s="129">
        <f>SUM(M4:M15)</f>
        <v>0</v>
      </c>
      <c r="N16" s="130">
        <f t="shared" ref="N16:P16" si="17">SUM(N4:N15)</f>
        <v>0</v>
      </c>
      <c r="O16" s="130">
        <f t="shared" si="17"/>
        <v>0</v>
      </c>
      <c r="P16" s="130">
        <f t="shared" si="17"/>
        <v>0</v>
      </c>
      <c r="Q16" s="13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32">
        <f t="shared" ref="R16" si="18">SUM(M16:P16)</f>
        <v>0</v>
      </c>
      <c r="S16" s="132" t="str">
        <f>IFERROR(SUM(S4:S15)/COUNTIF(S4:S15,"&gt;"&amp;0),"")</f>
        <v/>
      </c>
      <c r="T16" s="133" t="str">
        <f>IFERROR(SUMPRODUCT(T4:T15,S4:S15)/S16,"")</f>
        <v/>
      </c>
    </row>
    <row r="17" spans="1:20" ht="3.95" customHeight="1" thickBot="1" x14ac:dyDescent="0.3">
      <c r="A17" s="65"/>
      <c r="I17" s="103">
        <f>IFERROR(I16*J16,"")</f>
        <v>11401.65</v>
      </c>
      <c r="K17" s="65"/>
      <c r="S17" s="103" t="str">
        <f>IFERROR(S16*T16,"")</f>
        <v/>
      </c>
    </row>
    <row r="18" spans="1:20" ht="26.25" thickBot="1" x14ac:dyDescent="0.3">
      <c r="A18" s="65"/>
      <c r="B18" s="210" t="s">
        <v>21</v>
      </c>
      <c r="C18" s="211"/>
      <c r="D18" s="211"/>
      <c r="E18" s="211"/>
      <c r="F18" s="211"/>
      <c r="G18" s="211"/>
      <c r="H18" s="211"/>
      <c r="I18" s="211"/>
      <c r="J18" s="212"/>
      <c r="K18" s="65"/>
      <c r="L18" s="210" t="s">
        <v>22</v>
      </c>
      <c r="M18" s="211"/>
      <c r="N18" s="211"/>
      <c r="O18" s="211"/>
      <c r="P18" s="211"/>
      <c r="Q18" s="211"/>
      <c r="R18" s="211"/>
      <c r="S18" s="211"/>
      <c r="T18" s="212"/>
    </row>
    <row r="19" spans="1:20" ht="21" thickBot="1" x14ac:dyDescent="0.3">
      <c r="A19" s="65"/>
      <c r="B19" s="124" t="s">
        <v>0</v>
      </c>
      <c r="C19" s="125" t="s">
        <v>1</v>
      </c>
      <c r="D19" s="126" t="s">
        <v>2</v>
      </c>
      <c r="E19" s="126" t="s">
        <v>3</v>
      </c>
      <c r="F19" s="126" t="s">
        <v>4</v>
      </c>
      <c r="G19" s="127" t="s">
        <v>5</v>
      </c>
      <c r="H19" s="124" t="s">
        <v>7</v>
      </c>
      <c r="I19" s="124" t="s">
        <v>32</v>
      </c>
      <c r="J19" s="128" t="s">
        <v>30</v>
      </c>
      <c r="K19" s="65"/>
      <c r="L19" s="124" t="s">
        <v>0</v>
      </c>
      <c r="M19" s="125" t="s">
        <v>1</v>
      </c>
      <c r="N19" s="126" t="s">
        <v>2</v>
      </c>
      <c r="O19" s="126" t="s">
        <v>3</v>
      </c>
      <c r="P19" s="126" t="s">
        <v>4</v>
      </c>
      <c r="Q19" s="127" t="s">
        <v>5</v>
      </c>
      <c r="R19" s="124" t="s">
        <v>7</v>
      </c>
      <c r="S19" s="124" t="s">
        <v>32</v>
      </c>
      <c r="T19" s="124" t="s">
        <v>30</v>
      </c>
    </row>
    <row r="20" spans="1:20" x14ac:dyDescent="0.25">
      <c r="A20" s="65" t="str">
        <f>B18</f>
        <v>شهید کاوه</v>
      </c>
      <c r="B20" s="6" t="s">
        <v>8</v>
      </c>
      <c r="C20" s="7">
        <v>86</v>
      </c>
      <c r="D20" s="8">
        <v>406</v>
      </c>
      <c r="E20" s="8"/>
      <c r="F20" s="8"/>
      <c r="G20" s="9"/>
      <c r="H20" s="10">
        <f>SUM(C20:G20)</f>
        <v>492</v>
      </c>
      <c r="I20" s="10">
        <v>1600</v>
      </c>
      <c r="J20" s="66">
        <v>0.75</v>
      </c>
      <c r="K20" s="65" t="str">
        <f>L18</f>
        <v>مطهری</v>
      </c>
      <c r="L20" s="6" t="s">
        <v>8</v>
      </c>
      <c r="M20" s="7">
        <v>2333</v>
      </c>
      <c r="N20" s="8">
        <v>2191</v>
      </c>
      <c r="O20" s="8"/>
      <c r="P20" s="8"/>
      <c r="Q20" s="9">
        <v>3673</v>
      </c>
      <c r="R20" s="10">
        <f>SUM(M20:Q20)</f>
        <v>8197</v>
      </c>
      <c r="S20" s="10">
        <v>4900</v>
      </c>
      <c r="T20" s="66">
        <v>0.55000000000000004</v>
      </c>
    </row>
    <row r="21" spans="1:20" x14ac:dyDescent="0.25">
      <c r="A21" s="65" t="str">
        <f>B18</f>
        <v>شهید کاوه</v>
      </c>
      <c r="B21" s="11" t="s">
        <v>9</v>
      </c>
      <c r="C21" s="12">
        <v>648</v>
      </c>
      <c r="D21" s="13">
        <v>511</v>
      </c>
      <c r="E21" s="13"/>
      <c r="F21" s="13"/>
      <c r="G21" s="14"/>
      <c r="H21" s="15">
        <f>SUM(C21:G21)</f>
        <v>1159</v>
      </c>
      <c r="I21" s="15">
        <v>1600</v>
      </c>
      <c r="J21" s="67">
        <v>0.85</v>
      </c>
      <c r="K21" s="65" t="str">
        <f>L18</f>
        <v>مطهری</v>
      </c>
      <c r="L21" s="11" t="s">
        <v>9</v>
      </c>
      <c r="M21" s="12">
        <v>1486</v>
      </c>
      <c r="N21" s="13">
        <v>2096</v>
      </c>
      <c r="O21" s="13"/>
      <c r="P21" s="13"/>
      <c r="Q21" s="14">
        <v>3068</v>
      </c>
      <c r="R21" s="15">
        <f>SUM(M21:Q21)</f>
        <v>6650</v>
      </c>
      <c r="S21" s="15">
        <v>4900</v>
      </c>
      <c r="T21" s="67">
        <v>0.45</v>
      </c>
    </row>
    <row r="22" spans="1:20" x14ac:dyDescent="0.25">
      <c r="A22" s="65" t="str">
        <f>B18</f>
        <v>شهید کاوه</v>
      </c>
      <c r="B22" s="11" t="s">
        <v>10</v>
      </c>
      <c r="C22" s="12">
        <v>376</v>
      </c>
      <c r="D22" s="13">
        <v>480</v>
      </c>
      <c r="E22" s="13"/>
      <c r="F22" s="13"/>
      <c r="G22" s="14"/>
      <c r="H22" s="15">
        <f t="shared" ref="H22:H31" si="19">SUM(C22:F22)</f>
        <v>856</v>
      </c>
      <c r="I22" s="15">
        <v>1600</v>
      </c>
      <c r="J22" s="67">
        <v>0.75</v>
      </c>
      <c r="K22" s="65" t="str">
        <f>L18</f>
        <v>مطهری</v>
      </c>
      <c r="L22" s="11" t="s">
        <v>10</v>
      </c>
      <c r="M22" s="12">
        <v>3186</v>
      </c>
      <c r="N22" s="13">
        <v>1913</v>
      </c>
      <c r="O22" s="13"/>
      <c r="P22" s="13"/>
      <c r="Q22" s="14">
        <v>3116</v>
      </c>
      <c r="R22" s="15">
        <f t="shared" ref="R22:R31" si="20">SUM(M22:P22)</f>
        <v>5099</v>
      </c>
      <c r="S22" s="15">
        <v>4900</v>
      </c>
      <c r="T22" s="67">
        <v>0.85</v>
      </c>
    </row>
    <row r="23" spans="1:20" x14ac:dyDescent="0.25">
      <c r="A23" s="65" t="str">
        <f>B18</f>
        <v>شهید کاوه</v>
      </c>
      <c r="B23" s="11" t="s">
        <v>11</v>
      </c>
      <c r="C23" s="12">
        <v>262</v>
      </c>
      <c r="D23" s="13">
        <v>524</v>
      </c>
      <c r="E23" s="13"/>
      <c r="F23" s="13"/>
      <c r="G23" s="14"/>
      <c r="H23" s="15">
        <f t="shared" si="19"/>
        <v>786</v>
      </c>
      <c r="I23" s="15">
        <v>1600</v>
      </c>
      <c r="J23" s="67">
        <v>0.6</v>
      </c>
      <c r="K23" s="65" t="str">
        <f>L18</f>
        <v>مطهری</v>
      </c>
      <c r="L23" s="11" t="s">
        <v>11</v>
      </c>
      <c r="M23" s="12">
        <v>863</v>
      </c>
      <c r="N23" s="13">
        <v>2392</v>
      </c>
      <c r="O23" s="13"/>
      <c r="P23" s="13"/>
      <c r="Q23" s="14">
        <v>2814</v>
      </c>
      <c r="R23" s="15">
        <f t="shared" si="20"/>
        <v>3255</v>
      </c>
      <c r="S23" s="15">
        <v>4900</v>
      </c>
      <c r="T23" s="67">
        <v>0.3</v>
      </c>
    </row>
    <row r="24" spans="1:20" x14ac:dyDescent="0.25">
      <c r="A24" s="65" t="str">
        <f>B18</f>
        <v>شهید کاوه</v>
      </c>
      <c r="B24" s="11" t="s">
        <v>12</v>
      </c>
      <c r="C24" s="12">
        <v>370</v>
      </c>
      <c r="D24" s="13">
        <v>728</v>
      </c>
      <c r="E24" s="13"/>
      <c r="F24" s="13"/>
      <c r="G24" s="14"/>
      <c r="H24" s="15">
        <f t="shared" si="19"/>
        <v>1098</v>
      </c>
      <c r="I24" s="15">
        <v>1600</v>
      </c>
      <c r="J24" s="67">
        <v>0.75</v>
      </c>
      <c r="K24" s="65" t="str">
        <f>L18</f>
        <v>مطهری</v>
      </c>
      <c r="L24" s="11" t="s">
        <v>12</v>
      </c>
      <c r="M24" s="12">
        <v>803</v>
      </c>
      <c r="N24" s="13">
        <v>1638</v>
      </c>
      <c r="O24" s="13"/>
      <c r="P24" s="13"/>
      <c r="Q24" s="14">
        <v>1979</v>
      </c>
      <c r="R24" s="15">
        <f t="shared" si="20"/>
        <v>2441</v>
      </c>
      <c r="S24" s="15">
        <v>4900</v>
      </c>
      <c r="T24" s="67">
        <v>0.15</v>
      </c>
    </row>
    <row r="25" spans="1:20" x14ac:dyDescent="0.25">
      <c r="A25" s="65" t="str">
        <f>B18</f>
        <v>شهید کاوه</v>
      </c>
      <c r="B25" s="11" t="s">
        <v>13</v>
      </c>
      <c r="C25" s="12">
        <v>226</v>
      </c>
      <c r="D25" s="13">
        <v>294</v>
      </c>
      <c r="E25" s="13"/>
      <c r="F25" s="13"/>
      <c r="G25" s="14"/>
      <c r="H25" s="15">
        <f t="shared" si="19"/>
        <v>520</v>
      </c>
      <c r="I25" s="15">
        <v>1600</v>
      </c>
      <c r="J25" s="67">
        <v>0.85</v>
      </c>
      <c r="K25" s="65" t="str">
        <f>L18</f>
        <v>مطهری</v>
      </c>
      <c r="L25" s="11" t="s">
        <v>13</v>
      </c>
      <c r="M25" s="12">
        <v>4803</v>
      </c>
      <c r="N25" s="13">
        <v>1525</v>
      </c>
      <c r="O25" s="13"/>
      <c r="P25" s="13"/>
      <c r="Q25" s="14">
        <v>5254</v>
      </c>
      <c r="R25" s="15">
        <f t="shared" si="20"/>
        <v>6328</v>
      </c>
      <c r="S25" s="15">
        <v>4900</v>
      </c>
      <c r="T25" s="67">
        <v>0.35</v>
      </c>
    </row>
    <row r="26" spans="1:20" x14ac:dyDescent="0.25">
      <c r="A26" s="65" t="str">
        <f>B18</f>
        <v>شهید کاوه</v>
      </c>
      <c r="B26" s="11" t="s">
        <v>14</v>
      </c>
      <c r="C26" s="12">
        <v>202</v>
      </c>
      <c r="D26" s="13">
        <v>335</v>
      </c>
      <c r="E26" s="13"/>
      <c r="F26" s="13"/>
      <c r="G26" s="14"/>
      <c r="H26" s="15">
        <f t="shared" si="19"/>
        <v>537</v>
      </c>
      <c r="I26" s="15">
        <v>1600</v>
      </c>
      <c r="J26" s="67">
        <v>0.75</v>
      </c>
      <c r="K26" s="65" t="str">
        <f>L18</f>
        <v>مطهری</v>
      </c>
      <c r="L26" s="11" t="s">
        <v>14</v>
      </c>
      <c r="M26" s="12">
        <v>2029</v>
      </c>
      <c r="N26" s="13">
        <v>3783</v>
      </c>
      <c r="O26" s="13"/>
      <c r="P26" s="13"/>
      <c r="Q26" s="14">
        <v>3499</v>
      </c>
      <c r="R26" s="15">
        <f t="shared" si="20"/>
        <v>5812</v>
      </c>
      <c r="S26" s="15">
        <v>4900</v>
      </c>
      <c r="T26" s="67">
        <v>0.45</v>
      </c>
    </row>
    <row r="27" spans="1:20" x14ac:dyDescent="0.25">
      <c r="A27" s="65" t="str">
        <f>B18</f>
        <v>شهید کاوه</v>
      </c>
      <c r="B27" s="11" t="s">
        <v>15</v>
      </c>
      <c r="C27" s="12">
        <v>260</v>
      </c>
      <c r="D27" s="13">
        <v>175</v>
      </c>
      <c r="E27" s="13"/>
      <c r="F27" s="13"/>
      <c r="G27" s="14"/>
      <c r="H27" s="15">
        <f t="shared" si="19"/>
        <v>435</v>
      </c>
      <c r="I27" s="15">
        <v>1600</v>
      </c>
      <c r="J27" s="67">
        <v>0.85</v>
      </c>
      <c r="K27" s="65" t="str">
        <f>L18</f>
        <v>مطهری</v>
      </c>
      <c r="L27" s="11" t="s">
        <v>15</v>
      </c>
      <c r="M27" s="12">
        <v>737</v>
      </c>
      <c r="N27" s="13">
        <v>1444</v>
      </c>
      <c r="O27" s="13"/>
      <c r="P27" s="13"/>
      <c r="Q27" s="14">
        <v>2776</v>
      </c>
      <c r="R27" s="15">
        <f t="shared" si="20"/>
        <v>2181</v>
      </c>
      <c r="S27" s="15">
        <v>4900</v>
      </c>
      <c r="T27" s="67">
        <v>0.35</v>
      </c>
    </row>
    <row r="28" spans="1:20" x14ac:dyDescent="0.25">
      <c r="A28" s="65" t="str">
        <f>B18</f>
        <v>شهید کاوه</v>
      </c>
      <c r="B28" s="11" t="s">
        <v>16</v>
      </c>
      <c r="C28" s="12">
        <v>142</v>
      </c>
      <c r="D28" s="13">
        <v>213</v>
      </c>
      <c r="E28" s="13"/>
      <c r="F28" s="13"/>
      <c r="G28" s="14"/>
      <c r="H28" s="15">
        <f t="shared" si="19"/>
        <v>355</v>
      </c>
      <c r="I28" s="15">
        <v>1600</v>
      </c>
      <c r="J28" s="67">
        <v>0.9</v>
      </c>
      <c r="K28" s="65" t="str">
        <f>L18</f>
        <v>مطهری</v>
      </c>
      <c r="L28" s="11" t="s">
        <v>16</v>
      </c>
      <c r="M28" s="12">
        <v>1982</v>
      </c>
      <c r="N28" s="13">
        <v>1632</v>
      </c>
      <c r="O28" s="13"/>
      <c r="P28" s="13"/>
      <c r="Q28" s="14">
        <v>3136</v>
      </c>
      <c r="R28" s="15">
        <f t="shared" si="20"/>
        <v>3614</v>
      </c>
      <c r="S28" s="15">
        <v>4900</v>
      </c>
      <c r="T28" s="67">
        <v>0.6</v>
      </c>
    </row>
    <row r="29" spans="1:20" x14ac:dyDescent="0.25">
      <c r="A29" s="65" t="str">
        <f>B18</f>
        <v>شهید کاوه</v>
      </c>
      <c r="B29" s="11" t="s">
        <v>17</v>
      </c>
      <c r="C29" s="12">
        <v>141</v>
      </c>
      <c r="D29" s="13">
        <v>172</v>
      </c>
      <c r="E29" s="13"/>
      <c r="F29" s="13"/>
      <c r="G29" s="14"/>
      <c r="H29" s="15">
        <f t="shared" si="19"/>
        <v>313</v>
      </c>
      <c r="I29" s="15">
        <v>1600</v>
      </c>
      <c r="J29" s="67">
        <v>0.8</v>
      </c>
      <c r="K29" s="65" t="str">
        <f>L18</f>
        <v>مطهری</v>
      </c>
      <c r="L29" s="11" t="s">
        <v>17</v>
      </c>
      <c r="M29" s="12">
        <v>1075</v>
      </c>
      <c r="N29" s="13">
        <v>1547</v>
      </c>
      <c r="O29" s="13"/>
      <c r="P29" s="13"/>
      <c r="Q29" s="14">
        <v>2690</v>
      </c>
      <c r="R29" s="15">
        <f t="shared" si="20"/>
        <v>2622</v>
      </c>
      <c r="S29" s="15">
        <v>4900</v>
      </c>
      <c r="T29" s="67">
        <v>0.55000000000000004</v>
      </c>
    </row>
    <row r="30" spans="1:20" x14ac:dyDescent="0.25">
      <c r="A30" s="65" t="str">
        <f>B18</f>
        <v>شهید کاوه</v>
      </c>
      <c r="B30" s="11" t="s">
        <v>18</v>
      </c>
      <c r="C30" s="12">
        <v>39</v>
      </c>
      <c r="D30" s="13">
        <v>121</v>
      </c>
      <c r="E30" s="13"/>
      <c r="F30" s="13"/>
      <c r="G30" s="14"/>
      <c r="H30" s="15">
        <f t="shared" si="19"/>
        <v>160</v>
      </c>
      <c r="I30" s="15">
        <v>1600</v>
      </c>
      <c r="J30" s="67">
        <v>0.7</v>
      </c>
      <c r="K30" s="65" t="str">
        <f>L18</f>
        <v>مطهری</v>
      </c>
      <c r="L30" s="11" t="s">
        <v>18</v>
      </c>
      <c r="M30" s="12">
        <v>890</v>
      </c>
      <c r="N30" s="13">
        <v>1533</v>
      </c>
      <c r="O30" s="13"/>
      <c r="P30" s="13"/>
      <c r="Q30" s="14">
        <v>2048</v>
      </c>
      <c r="R30" s="15">
        <f t="shared" si="20"/>
        <v>2423</v>
      </c>
      <c r="S30" s="15">
        <v>4900</v>
      </c>
      <c r="T30" s="67">
        <v>0.5</v>
      </c>
    </row>
    <row r="31" spans="1:20" ht="20.25" thickBot="1" x14ac:dyDescent="0.3">
      <c r="A31" s="65" t="str">
        <f>B18</f>
        <v>شهید کاوه</v>
      </c>
      <c r="B31" s="16" t="s">
        <v>19</v>
      </c>
      <c r="C31" s="17">
        <v>19</v>
      </c>
      <c r="D31" s="18">
        <v>174</v>
      </c>
      <c r="E31" s="18"/>
      <c r="F31" s="18"/>
      <c r="G31" s="19"/>
      <c r="H31" s="20">
        <f t="shared" si="19"/>
        <v>193</v>
      </c>
      <c r="I31" s="20"/>
      <c r="J31" s="68"/>
      <c r="K31" s="65" t="str">
        <f>L18</f>
        <v>مطهری</v>
      </c>
      <c r="L31" s="16" t="s">
        <v>19</v>
      </c>
      <c r="M31" s="17">
        <v>975</v>
      </c>
      <c r="N31" s="18">
        <v>1049</v>
      </c>
      <c r="O31" s="18"/>
      <c r="P31" s="18"/>
      <c r="Q31" s="19">
        <v>2005</v>
      </c>
      <c r="R31" s="20">
        <f t="shared" si="20"/>
        <v>2024</v>
      </c>
      <c r="S31" s="20">
        <v>4900</v>
      </c>
      <c r="T31" s="68">
        <v>0.6</v>
      </c>
    </row>
    <row r="32" spans="1:20" ht="21" thickBot="1" x14ac:dyDescent="0.3">
      <c r="A32" s="65"/>
      <c r="B32" s="128" t="s">
        <v>6</v>
      </c>
      <c r="C32" s="129">
        <f>SUM(C20:C31)</f>
        <v>2771</v>
      </c>
      <c r="D32" s="130">
        <f t="shared" ref="D32:F32" si="21">SUM(D20:D31)</f>
        <v>4133</v>
      </c>
      <c r="E32" s="130">
        <f t="shared" si="21"/>
        <v>0</v>
      </c>
      <c r="F32" s="130">
        <f t="shared" si="21"/>
        <v>0</v>
      </c>
      <c r="G32" s="13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32">
        <f t="shared" ref="H32" si="22">SUM(C32:F32)</f>
        <v>6904</v>
      </c>
      <c r="I32" s="132">
        <f>IFERROR(SUM(I20:I31)/COUNTIF(I20:I31,"&gt;"&amp;0),"")</f>
        <v>1600</v>
      </c>
      <c r="J32" s="133">
        <f>IFERROR(SUMPRODUCT(J20:J31,I20:I31)/I32,"")</f>
        <v>8.5500000000000007</v>
      </c>
      <c r="K32" s="65"/>
      <c r="L32" s="128" t="s">
        <v>6</v>
      </c>
      <c r="M32" s="129">
        <f>SUM(M20:M31)</f>
        <v>21162</v>
      </c>
      <c r="N32" s="130">
        <f t="shared" ref="N32:P32" si="23">SUM(N20:N31)</f>
        <v>22743</v>
      </c>
      <c r="O32" s="130">
        <f t="shared" si="23"/>
        <v>0</v>
      </c>
      <c r="P32" s="130">
        <f t="shared" si="23"/>
        <v>0</v>
      </c>
      <c r="Q32" s="13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2005</v>
      </c>
      <c r="R32" s="132">
        <f t="shared" ref="R32" si="24">SUM(M32:P32)</f>
        <v>43905</v>
      </c>
      <c r="S32" s="132">
        <f>IFERROR(SUM(S20:S31)/COUNTIF(S20:S31,"&gt;"&amp;0),"")</f>
        <v>4900</v>
      </c>
      <c r="T32" s="133">
        <f>IFERROR(SUMPRODUCT(T20:T31,S20:S31)/S32,"")</f>
        <v>5.7</v>
      </c>
    </row>
    <row r="33" spans="1:20" ht="3.95" customHeight="1" thickBot="1" x14ac:dyDescent="0.3">
      <c r="A33" s="65"/>
      <c r="I33" s="103">
        <f>IFERROR(I32*J32,"")</f>
        <v>13680.000000000002</v>
      </c>
      <c r="K33" s="65"/>
      <c r="S33" s="103">
        <f>IFERROR(S32*T32,"")</f>
        <v>27930</v>
      </c>
    </row>
    <row r="34" spans="1:20" ht="26.25" thickBot="1" x14ac:dyDescent="0.3">
      <c r="A34" s="65"/>
      <c r="B34" s="210" t="s">
        <v>23</v>
      </c>
      <c r="C34" s="211"/>
      <c r="D34" s="211"/>
      <c r="E34" s="211"/>
      <c r="F34" s="211"/>
      <c r="G34" s="211"/>
      <c r="H34" s="211"/>
      <c r="I34" s="211"/>
      <c r="J34" s="212"/>
      <c r="K34" s="65"/>
      <c r="L34" s="210" t="s">
        <v>24</v>
      </c>
      <c r="M34" s="211"/>
      <c r="N34" s="211"/>
      <c r="O34" s="211"/>
      <c r="P34" s="211"/>
      <c r="Q34" s="211"/>
      <c r="R34" s="211"/>
      <c r="S34" s="211"/>
      <c r="T34" s="212"/>
    </row>
    <row r="35" spans="1:20" ht="21" thickBot="1" x14ac:dyDescent="0.3">
      <c r="A35" s="65"/>
      <c r="B35" s="124" t="s">
        <v>0</v>
      </c>
      <c r="C35" s="125" t="s">
        <v>1</v>
      </c>
      <c r="D35" s="126" t="s">
        <v>2</v>
      </c>
      <c r="E35" s="126" t="s">
        <v>3</v>
      </c>
      <c r="F35" s="126" t="s">
        <v>4</v>
      </c>
      <c r="G35" s="127" t="s">
        <v>5</v>
      </c>
      <c r="H35" s="124" t="s">
        <v>7</v>
      </c>
      <c r="I35" s="124" t="s">
        <v>32</v>
      </c>
      <c r="J35" s="124" t="s">
        <v>30</v>
      </c>
      <c r="K35" s="65"/>
      <c r="L35" s="124" t="s">
        <v>0</v>
      </c>
      <c r="M35" s="125" t="s">
        <v>1</v>
      </c>
      <c r="N35" s="126" t="s">
        <v>2</v>
      </c>
      <c r="O35" s="126" t="s">
        <v>3</v>
      </c>
      <c r="P35" s="126" t="s">
        <v>4</v>
      </c>
      <c r="Q35" s="127" t="s">
        <v>5</v>
      </c>
      <c r="R35" s="124" t="s">
        <v>7</v>
      </c>
      <c r="S35" s="124" t="s">
        <v>32</v>
      </c>
      <c r="T35" s="124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945</v>
      </c>
      <c r="D36" s="8">
        <v>480</v>
      </c>
      <c r="E36" s="8"/>
      <c r="F36" s="8"/>
      <c r="G36" s="9"/>
      <c r="H36" s="10">
        <f>SUM(C36:F36)</f>
        <v>1425</v>
      </c>
      <c r="I36" s="10">
        <v>1600</v>
      </c>
      <c r="J36" s="66">
        <v>1</v>
      </c>
      <c r="K36" s="65" t="str">
        <f>L34</f>
        <v>لطف آباد</v>
      </c>
      <c r="L36" s="6" t="s">
        <v>8</v>
      </c>
      <c r="M36" s="7">
        <v>110</v>
      </c>
      <c r="N36" s="8">
        <v>281</v>
      </c>
      <c r="O36" s="8"/>
      <c r="P36" s="8"/>
      <c r="Q36" s="9">
        <v>106</v>
      </c>
      <c r="R36" s="10">
        <f>SUM(M36:P36)</f>
        <v>391</v>
      </c>
      <c r="S36" s="10">
        <v>450</v>
      </c>
      <c r="T36" s="66">
        <v>0.75</v>
      </c>
    </row>
    <row r="37" spans="1:20" x14ac:dyDescent="0.25">
      <c r="A37" s="65" t="str">
        <f>B34</f>
        <v>سرخس</v>
      </c>
      <c r="B37" s="11" t="s">
        <v>9</v>
      </c>
      <c r="C37" s="12">
        <v>834</v>
      </c>
      <c r="D37" s="13">
        <v>729</v>
      </c>
      <c r="E37" s="13"/>
      <c r="F37" s="13"/>
      <c r="G37" s="14"/>
      <c r="H37" s="15">
        <f>SUM(C37:G37)</f>
        <v>1563</v>
      </c>
      <c r="I37" s="15">
        <v>1600</v>
      </c>
      <c r="J37" s="67">
        <v>0.95</v>
      </c>
      <c r="K37" s="65" t="str">
        <f>L34</f>
        <v>لطف آباد</v>
      </c>
      <c r="L37" s="11" t="s">
        <v>9</v>
      </c>
      <c r="M37" s="12">
        <v>41</v>
      </c>
      <c r="N37" s="13">
        <v>18</v>
      </c>
      <c r="O37" s="13"/>
      <c r="P37" s="13"/>
      <c r="Q37" s="14">
        <v>129</v>
      </c>
      <c r="R37" s="15">
        <f t="shared" ref="R37:R47" si="25">SUM(M37:P37)</f>
        <v>59</v>
      </c>
      <c r="S37" s="15">
        <v>450</v>
      </c>
      <c r="T37" s="67">
        <v>0.85</v>
      </c>
    </row>
    <row r="38" spans="1:20" x14ac:dyDescent="0.25">
      <c r="A38" s="65" t="str">
        <f>B34</f>
        <v>سرخس</v>
      </c>
      <c r="B38" s="11" t="s">
        <v>10</v>
      </c>
      <c r="C38" s="12">
        <v>935</v>
      </c>
      <c r="D38" s="13">
        <v>1044</v>
      </c>
      <c r="E38" s="13"/>
      <c r="F38" s="13"/>
      <c r="G38" s="14"/>
      <c r="H38" s="15">
        <f t="shared" ref="H38:H47" si="26">SUM(C38:F38)</f>
        <v>1979</v>
      </c>
      <c r="I38" s="15">
        <v>1600</v>
      </c>
      <c r="J38" s="67">
        <v>0.95</v>
      </c>
      <c r="K38" s="65" t="str">
        <f>L34</f>
        <v>لطف آباد</v>
      </c>
      <c r="L38" s="11" t="s">
        <v>10</v>
      </c>
      <c r="M38" s="12">
        <v>155</v>
      </c>
      <c r="N38" s="13">
        <v>20</v>
      </c>
      <c r="O38" s="13"/>
      <c r="P38" s="13"/>
      <c r="Q38" s="14">
        <v>263</v>
      </c>
      <c r="R38" s="15">
        <f t="shared" si="25"/>
        <v>175</v>
      </c>
      <c r="S38" s="15">
        <v>450</v>
      </c>
      <c r="T38" s="67">
        <v>1</v>
      </c>
    </row>
    <row r="39" spans="1:20" x14ac:dyDescent="0.25">
      <c r="A39" s="65" t="str">
        <f>B34</f>
        <v>سرخس</v>
      </c>
      <c r="B39" s="11" t="s">
        <v>11</v>
      </c>
      <c r="C39" s="12">
        <v>456</v>
      </c>
      <c r="D39" s="13">
        <v>1088</v>
      </c>
      <c r="E39" s="13"/>
      <c r="F39" s="13"/>
      <c r="G39" s="14"/>
      <c r="H39" s="15">
        <f t="shared" si="26"/>
        <v>1544</v>
      </c>
      <c r="I39" s="15">
        <v>1600</v>
      </c>
      <c r="J39" s="67">
        <v>0.65</v>
      </c>
      <c r="K39" s="65" t="str">
        <f>L34</f>
        <v>لطف آباد</v>
      </c>
      <c r="L39" s="11" t="s">
        <v>11</v>
      </c>
      <c r="M39" s="12">
        <v>74</v>
      </c>
      <c r="N39" s="13">
        <v>242</v>
      </c>
      <c r="O39" s="13"/>
      <c r="P39" s="13"/>
      <c r="Q39" s="14">
        <v>95</v>
      </c>
      <c r="R39" s="15">
        <f t="shared" si="25"/>
        <v>316</v>
      </c>
      <c r="S39" s="15">
        <v>450</v>
      </c>
      <c r="T39" s="67">
        <v>0.85</v>
      </c>
    </row>
    <row r="40" spans="1:20" x14ac:dyDescent="0.25">
      <c r="A40" s="65" t="str">
        <f>B34</f>
        <v>سرخس</v>
      </c>
      <c r="B40" s="11" t="s">
        <v>12</v>
      </c>
      <c r="C40" s="12">
        <v>851</v>
      </c>
      <c r="D40" s="13">
        <v>616</v>
      </c>
      <c r="E40" s="13"/>
      <c r="F40" s="13"/>
      <c r="G40" s="14"/>
      <c r="H40" s="15">
        <f t="shared" si="26"/>
        <v>1467</v>
      </c>
      <c r="I40" s="15">
        <v>1600</v>
      </c>
      <c r="J40" s="67">
        <v>0.95</v>
      </c>
      <c r="K40" s="65" t="str">
        <f>L34</f>
        <v>لطف آباد</v>
      </c>
      <c r="L40" s="11" t="s">
        <v>12</v>
      </c>
      <c r="M40" s="12">
        <v>247</v>
      </c>
      <c r="N40" s="13">
        <v>224</v>
      </c>
      <c r="O40" s="13"/>
      <c r="P40" s="13"/>
      <c r="Q40" s="14">
        <v>136</v>
      </c>
      <c r="R40" s="15">
        <f t="shared" si="25"/>
        <v>471</v>
      </c>
      <c r="S40" s="15">
        <v>450</v>
      </c>
      <c r="T40" s="67">
        <v>0.9</v>
      </c>
    </row>
    <row r="41" spans="1:20" x14ac:dyDescent="0.25">
      <c r="A41" s="65" t="str">
        <f>B34</f>
        <v>سرخس</v>
      </c>
      <c r="B41" s="11" t="s">
        <v>13</v>
      </c>
      <c r="C41" s="12">
        <v>936</v>
      </c>
      <c r="D41" s="13">
        <v>532</v>
      </c>
      <c r="E41" s="13"/>
      <c r="F41" s="13"/>
      <c r="G41" s="14"/>
      <c r="H41" s="15">
        <f t="shared" si="26"/>
        <v>1468</v>
      </c>
      <c r="I41" s="15">
        <v>1600</v>
      </c>
      <c r="J41" s="67">
        <v>0.95</v>
      </c>
      <c r="K41" s="65" t="str">
        <f>L34</f>
        <v>لطف آباد</v>
      </c>
      <c r="L41" s="11" t="s">
        <v>13</v>
      </c>
      <c r="M41" s="12">
        <v>53</v>
      </c>
      <c r="N41" s="13">
        <v>32</v>
      </c>
      <c r="O41" s="13"/>
      <c r="P41" s="13"/>
      <c r="Q41" s="14">
        <v>160</v>
      </c>
      <c r="R41" s="15">
        <f t="shared" si="25"/>
        <v>85</v>
      </c>
      <c r="S41" s="15">
        <v>450</v>
      </c>
      <c r="T41" s="67">
        <v>1</v>
      </c>
    </row>
    <row r="42" spans="1:20" x14ac:dyDescent="0.25">
      <c r="A42" s="65" t="str">
        <f>B34</f>
        <v>سرخس</v>
      </c>
      <c r="B42" s="11" t="s">
        <v>14</v>
      </c>
      <c r="C42" s="12">
        <v>1070</v>
      </c>
      <c r="D42" s="13">
        <v>1136</v>
      </c>
      <c r="E42" s="13"/>
      <c r="F42" s="13"/>
      <c r="G42" s="14"/>
      <c r="H42" s="15">
        <f t="shared" si="26"/>
        <v>2206</v>
      </c>
      <c r="I42" s="15">
        <v>1600</v>
      </c>
      <c r="J42" s="67">
        <v>1</v>
      </c>
      <c r="K42" s="65" t="str">
        <f>L34</f>
        <v>لطف آباد</v>
      </c>
      <c r="L42" s="11" t="s">
        <v>14</v>
      </c>
      <c r="M42" s="12">
        <v>127</v>
      </c>
      <c r="N42" s="13">
        <v>107</v>
      </c>
      <c r="O42" s="13"/>
      <c r="P42" s="13"/>
      <c r="Q42" s="14">
        <v>180</v>
      </c>
      <c r="R42" s="15">
        <f t="shared" si="25"/>
        <v>234</v>
      </c>
      <c r="S42" s="15">
        <v>450</v>
      </c>
      <c r="T42" s="67">
        <v>1</v>
      </c>
    </row>
    <row r="43" spans="1:20" x14ac:dyDescent="0.25">
      <c r="A43" s="65" t="str">
        <f>B34</f>
        <v>سرخس</v>
      </c>
      <c r="B43" s="11" t="s">
        <v>15</v>
      </c>
      <c r="C43" s="12">
        <v>1183</v>
      </c>
      <c r="D43" s="13">
        <v>913</v>
      </c>
      <c r="E43" s="13"/>
      <c r="F43" s="13"/>
      <c r="G43" s="14"/>
      <c r="H43" s="15">
        <f t="shared" si="26"/>
        <v>2096</v>
      </c>
      <c r="I43" s="15">
        <v>1600</v>
      </c>
      <c r="J43" s="67">
        <v>0.95</v>
      </c>
      <c r="K43" s="65" t="str">
        <f>L34</f>
        <v>لطف آباد</v>
      </c>
      <c r="L43" s="11" t="s">
        <v>15</v>
      </c>
      <c r="M43" s="12">
        <v>142</v>
      </c>
      <c r="N43" s="13">
        <v>128</v>
      </c>
      <c r="O43" s="13"/>
      <c r="P43" s="13"/>
      <c r="Q43" s="14">
        <v>192</v>
      </c>
      <c r="R43" s="15">
        <f t="shared" si="25"/>
        <v>270</v>
      </c>
      <c r="S43" s="15">
        <v>450</v>
      </c>
      <c r="T43" s="67">
        <v>1</v>
      </c>
    </row>
    <row r="44" spans="1:20" x14ac:dyDescent="0.25">
      <c r="A44" s="65" t="str">
        <f>B34</f>
        <v>سرخس</v>
      </c>
      <c r="B44" s="11" t="s">
        <v>16</v>
      </c>
      <c r="C44" s="12">
        <v>682</v>
      </c>
      <c r="D44" s="13">
        <v>1039</v>
      </c>
      <c r="E44" s="13"/>
      <c r="F44" s="13"/>
      <c r="G44" s="14"/>
      <c r="H44" s="15">
        <f t="shared" si="26"/>
        <v>1721</v>
      </c>
      <c r="I44" s="15">
        <v>1600</v>
      </c>
      <c r="J44" s="67">
        <v>0.85</v>
      </c>
      <c r="K44" s="65" t="str">
        <f>L34</f>
        <v>لطف آباد</v>
      </c>
      <c r="L44" s="11" t="s">
        <v>16</v>
      </c>
      <c r="M44" s="12">
        <v>91</v>
      </c>
      <c r="N44" s="13">
        <v>123</v>
      </c>
      <c r="O44" s="13"/>
      <c r="P44" s="13"/>
      <c r="Q44" s="14">
        <f>156+3</f>
        <v>159</v>
      </c>
      <c r="R44" s="15">
        <f t="shared" si="25"/>
        <v>214</v>
      </c>
      <c r="S44" s="15">
        <v>450</v>
      </c>
      <c r="T44" s="67">
        <v>0.85</v>
      </c>
    </row>
    <row r="45" spans="1:20" x14ac:dyDescent="0.25">
      <c r="A45" s="65" t="str">
        <f>B34</f>
        <v>سرخس</v>
      </c>
      <c r="B45" s="11" t="s">
        <v>17</v>
      </c>
      <c r="C45" s="12">
        <v>627</v>
      </c>
      <c r="D45" s="13">
        <v>606</v>
      </c>
      <c r="E45" s="13"/>
      <c r="F45" s="13"/>
      <c r="G45" s="14"/>
      <c r="H45" s="15">
        <f t="shared" si="26"/>
        <v>1233</v>
      </c>
      <c r="I45" s="15">
        <v>1600</v>
      </c>
      <c r="J45" s="67">
        <v>0.8</v>
      </c>
      <c r="K45" s="65" t="str">
        <f>L34</f>
        <v>لطف آباد</v>
      </c>
      <c r="L45" s="11" t="s">
        <v>17</v>
      </c>
      <c r="M45" s="12">
        <v>121</v>
      </c>
      <c r="N45" s="13">
        <v>93</v>
      </c>
      <c r="O45" s="13"/>
      <c r="P45" s="13"/>
      <c r="Q45" s="14">
        <v>187</v>
      </c>
      <c r="R45" s="15">
        <f t="shared" si="25"/>
        <v>214</v>
      </c>
      <c r="S45" s="15">
        <v>450</v>
      </c>
      <c r="T45" s="67">
        <v>0.95</v>
      </c>
    </row>
    <row r="46" spans="1:20" x14ac:dyDescent="0.25">
      <c r="A46" s="65" t="str">
        <f>B34</f>
        <v>سرخس</v>
      </c>
      <c r="B46" s="11" t="s">
        <v>18</v>
      </c>
      <c r="C46" s="12">
        <v>1011</v>
      </c>
      <c r="D46" s="13">
        <v>725</v>
      </c>
      <c r="E46" s="13"/>
      <c r="F46" s="13"/>
      <c r="G46" s="14"/>
      <c r="H46" s="15">
        <f t="shared" si="26"/>
        <v>1736</v>
      </c>
      <c r="I46" s="15">
        <v>1600</v>
      </c>
      <c r="J46" s="67">
        <v>1</v>
      </c>
      <c r="K46" s="65" t="str">
        <f>L34</f>
        <v>لطف آباد</v>
      </c>
      <c r="L46" s="11" t="s">
        <v>18</v>
      </c>
      <c r="M46" s="12">
        <v>29</v>
      </c>
      <c r="N46" s="13">
        <v>23</v>
      </c>
      <c r="O46" s="13"/>
      <c r="P46" s="13"/>
      <c r="Q46" s="14">
        <v>195</v>
      </c>
      <c r="R46" s="15">
        <f t="shared" si="25"/>
        <v>52</v>
      </c>
      <c r="S46" s="15">
        <v>450</v>
      </c>
      <c r="T46" s="67">
        <v>0.95</v>
      </c>
    </row>
    <row r="47" spans="1:20" ht="20.25" thickBot="1" x14ac:dyDescent="0.3">
      <c r="A47" s="65" t="str">
        <f>B34</f>
        <v>سرخس</v>
      </c>
      <c r="B47" s="16" t="s">
        <v>19</v>
      </c>
      <c r="C47" s="17">
        <v>819</v>
      </c>
      <c r="D47" s="18">
        <v>970</v>
      </c>
      <c r="E47" s="18"/>
      <c r="F47" s="18"/>
      <c r="G47" s="19"/>
      <c r="H47" s="20">
        <f t="shared" si="26"/>
        <v>1789</v>
      </c>
      <c r="I47" s="20">
        <v>1600</v>
      </c>
      <c r="J47" s="68">
        <v>0.95</v>
      </c>
      <c r="K47" s="65" t="str">
        <f>L34</f>
        <v>لطف آباد</v>
      </c>
      <c r="L47" s="16" t="s">
        <v>19</v>
      </c>
      <c r="M47" s="17">
        <v>83</v>
      </c>
      <c r="N47" s="18">
        <v>62</v>
      </c>
      <c r="O47" s="18"/>
      <c r="P47" s="18"/>
      <c r="Q47" s="19">
        <v>216</v>
      </c>
      <c r="R47" s="20">
        <f t="shared" si="25"/>
        <v>145</v>
      </c>
      <c r="S47" s="20">
        <v>450</v>
      </c>
      <c r="T47" s="68">
        <v>1</v>
      </c>
    </row>
    <row r="48" spans="1:20" ht="21" thickBot="1" x14ac:dyDescent="0.3">
      <c r="A48" s="65"/>
      <c r="B48" s="128" t="s">
        <v>6</v>
      </c>
      <c r="C48" s="129">
        <f>SUM(C36:C47)</f>
        <v>10349</v>
      </c>
      <c r="D48" s="130">
        <f t="shared" ref="D48:F48" si="27">SUM(D36:D47)</f>
        <v>9878</v>
      </c>
      <c r="E48" s="130">
        <f t="shared" si="27"/>
        <v>0</v>
      </c>
      <c r="F48" s="130">
        <f t="shared" si="27"/>
        <v>0</v>
      </c>
      <c r="G48" s="13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32">
        <f t="shared" ref="H48" si="28">SUM(C48:F48)</f>
        <v>20227</v>
      </c>
      <c r="I48" s="132">
        <f>IFERROR(SUM(I36:I47)/COUNTIF(I36:I47,"&gt;"&amp;0),"")</f>
        <v>1600</v>
      </c>
      <c r="J48" s="133">
        <f>IFERROR(SUMPRODUCT(J36:J47,I36:I47)/I48,"")</f>
        <v>11</v>
      </c>
      <c r="K48" s="65"/>
      <c r="L48" s="128" t="s">
        <v>6</v>
      </c>
      <c r="M48" s="129">
        <f>SUM(M36:M47)</f>
        <v>1273</v>
      </c>
      <c r="N48" s="130">
        <f t="shared" ref="N48:P48" si="29">SUM(N36:N47)</f>
        <v>1353</v>
      </c>
      <c r="O48" s="130">
        <f t="shared" si="29"/>
        <v>0</v>
      </c>
      <c r="P48" s="130">
        <f t="shared" si="29"/>
        <v>0</v>
      </c>
      <c r="Q48" s="13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216</v>
      </c>
      <c r="R48" s="132">
        <f t="shared" ref="R48" si="30">SUM(M48:P48)</f>
        <v>2626</v>
      </c>
      <c r="S48" s="132">
        <f>IFERROR(SUM(S36:S47)/COUNTIF(S36:S47,"&gt;"&amp;0),"")</f>
        <v>450</v>
      </c>
      <c r="T48" s="133">
        <f>IFERROR(SUMPRODUCT(T36:T47,S36:S47)/S48,"")</f>
        <v>11.1</v>
      </c>
    </row>
    <row r="49" spans="1:20" ht="3.95" customHeight="1" thickBot="1" x14ac:dyDescent="0.3">
      <c r="A49" s="65"/>
      <c r="I49" s="103">
        <f>IFERROR(I48*J48,"")</f>
        <v>17600</v>
      </c>
      <c r="K49" s="65"/>
      <c r="S49" s="103">
        <f>IFERROR(S48*T48,"")</f>
        <v>4995</v>
      </c>
    </row>
    <row r="50" spans="1:20" ht="26.25" thickBot="1" x14ac:dyDescent="0.3">
      <c r="A50" s="65"/>
      <c r="B50" s="210" t="s">
        <v>25</v>
      </c>
      <c r="C50" s="211"/>
      <c r="D50" s="211"/>
      <c r="E50" s="211"/>
      <c r="F50" s="211"/>
      <c r="G50" s="211"/>
      <c r="H50" s="211"/>
      <c r="I50" s="211"/>
      <c r="J50" s="212"/>
      <c r="K50" s="65"/>
      <c r="L50" s="210" t="s">
        <v>26</v>
      </c>
      <c r="M50" s="211"/>
      <c r="N50" s="211"/>
      <c r="O50" s="211"/>
      <c r="P50" s="211"/>
      <c r="Q50" s="211"/>
      <c r="R50" s="211"/>
      <c r="S50" s="211"/>
      <c r="T50" s="212"/>
    </row>
    <row r="51" spans="1:20" ht="21" thickBot="1" x14ac:dyDescent="0.3">
      <c r="A51" s="65"/>
      <c r="B51" s="124" t="s">
        <v>0</v>
      </c>
      <c r="C51" s="125" t="s">
        <v>1</v>
      </c>
      <c r="D51" s="126" t="s">
        <v>2</v>
      </c>
      <c r="E51" s="126" t="s">
        <v>3</v>
      </c>
      <c r="F51" s="126" t="s">
        <v>4</v>
      </c>
      <c r="G51" s="127" t="s">
        <v>5</v>
      </c>
      <c r="H51" s="124" t="s">
        <v>7</v>
      </c>
      <c r="I51" s="124" t="s">
        <v>32</v>
      </c>
      <c r="J51" s="124" t="s">
        <v>30</v>
      </c>
      <c r="K51" s="65"/>
      <c r="L51" s="124" t="s">
        <v>0</v>
      </c>
      <c r="M51" s="125" t="s">
        <v>1</v>
      </c>
      <c r="N51" s="126" t="s">
        <v>2</v>
      </c>
      <c r="O51" s="126" t="s">
        <v>3</v>
      </c>
      <c r="P51" s="126" t="s">
        <v>4</v>
      </c>
      <c r="Q51" s="127" t="s">
        <v>5</v>
      </c>
      <c r="R51" s="124" t="s">
        <v>7</v>
      </c>
      <c r="S51" s="124" t="s">
        <v>32</v>
      </c>
      <c r="T51" s="124" t="s">
        <v>30</v>
      </c>
    </row>
    <row r="52" spans="1:20" x14ac:dyDescent="0.25">
      <c r="A52" s="65" t="str">
        <f>B50</f>
        <v>نیشابور</v>
      </c>
      <c r="B52" s="6" t="s">
        <v>8</v>
      </c>
      <c r="C52" s="7">
        <v>1610</v>
      </c>
      <c r="D52" s="8">
        <v>3904</v>
      </c>
      <c r="E52" s="8"/>
      <c r="F52" s="8"/>
      <c r="G52" s="9"/>
      <c r="H52" s="10">
        <f>SUM(C52:F52)</f>
        <v>5514</v>
      </c>
      <c r="I52" s="10">
        <v>8000</v>
      </c>
      <c r="J52" s="66">
        <v>0.95</v>
      </c>
      <c r="K52" s="65" t="str">
        <f>L50</f>
        <v>دوغارون</v>
      </c>
      <c r="L52" s="6" t="s">
        <v>8</v>
      </c>
      <c r="M52" s="7">
        <v>216</v>
      </c>
      <c r="N52" s="8">
        <v>389</v>
      </c>
      <c r="O52" s="8"/>
      <c r="P52" s="8"/>
      <c r="Q52" s="9"/>
      <c r="R52" s="10">
        <f>SUM(M52:P52)</f>
        <v>605</v>
      </c>
      <c r="S52" s="10">
        <v>1400</v>
      </c>
      <c r="T52" s="66">
        <v>0.75</v>
      </c>
    </row>
    <row r="53" spans="1:20" x14ac:dyDescent="0.25">
      <c r="A53" s="65" t="str">
        <f>B50</f>
        <v>نیشابور</v>
      </c>
      <c r="B53" s="11" t="s">
        <v>9</v>
      </c>
      <c r="C53" s="12">
        <v>914</v>
      </c>
      <c r="D53" s="13">
        <v>1828</v>
      </c>
      <c r="E53" s="13"/>
      <c r="F53" s="13"/>
      <c r="G53" s="14"/>
      <c r="H53" s="15">
        <f t="shared" ref="H53:H63" si="31">SUM(C53:F53)</f>
        <v>2742</v>
      </c>
      <c r="I53" s="15">
        <v>4000</v>
      </c>
      <c r="J53" s="67">
        <v>0.8</v>
      </c>
      <c r="K53" s="65" t="str">
        <f>L50</f>
        <v>دوغارون</v>
      </c>
      <c r="L53" s="11" t="s">
        <v>9</v>
      </c>
      <c r="M53" s="12">
        <v>325</v>
      </c>
      <c r="N53" s="13">
        <v>174</v>
      </c>
      <c r="O53" s="13"/>
      <c r="P53" s="13"/>
      <c r="Q53" s="14"/>
      <c r="R53" s="15">
        <f t="shared" ref="R53:R63" si="32">SUM(M53:P53)</f>
        <v>499</v>
      </c>
      <c r="S53" s="15">
        <v>1400</v>
      </c>
      <c r="T53" s="67">
        <v>0.8</v>
      </c>
    </row>
    <row r="54" spans="1:20" x14ac:dyDescent="0.25">
      <c r="A54" s="65" t="str">
        <f>B50</f>
        <v>نیشابور</v>
      </c>
      <c r="B54" s="11" t="s">
        <v>10</v>
      </c>
      <c r="C54" s="12">
        <v>381</v>
      </c>
      <c r="D54" s="13">
        <v>602</v>
      </c>
      <c r="E54" s="13"/>
      <c r="F54" s="13"/>
      <c r="G54" s="14"/>
      <c r="H54" s="15">
        <f t="shared" si="31"/>
        <v>983</v>
      </c>
      <c r="I54" s="15">
        <v>4000</v>
      </c>
      <c r="J54" s="67">
        <v>0.7</v>
      </c>
      <c r="K54" s="65" t="str">
        <f>L50</f>
        <v>دوغارون</v>
      </c>
      <c r="L54" s="11" t="s">
        <v>10</v>
      </c>
      <c r="M54" s="12">
        <v>164</v>
      </c>
      <c r="N54" s="13">
        <v>262</v>
      </c>
      <c r="O54" s="13"/>
      <c r="P54" s="13"/>
      <c r="Q54" s="14"/>
      <c r="R54" s="15">
        <f t="shared" si="32"/>
        <v>426</v>
      </c>
      <c r="S54" s="15">
        <v>1400</v>
      </c>
      <c r="T54" s="67">
        <v>0.7</v>
      </c>
    </row>
    <row r="55" spans="1:20" x14ac:dyDescent="0.25">
      <c r="A55" s="65" t="str">
        <f>B50</f>
        <v>نیشابور</v>
      </c>
      <c r="B55" s="11" t="s">
        <v>11</v>
      </c>
      <c r="C55" s="12">
        <v>116</v>
      </c>
      <c r="D55" s="13">
        <v>1249</v>
      </c>
      <c r="E55" s="13"/>
      <c r="F55" s="13"/>
      <c r="G55" s="14"/>
      <c r="H55" s="15">
        <f t="shared" si="31"/>
        <v>1365</v>
      </c>
      <c r="I55" s="15">
        <v>5200</v>
      </c>
      <c r="J55" s="67">
        <v>0.6</v>
      </c>
      <c r="K55" s="65" t="str">
        <f>L50</f>
        <v>دوغارون</v>
      </c>
      <c r="L55" s="11" t="s">
        <v>11</v>
      </c>
      <c r="M55" s="12">
        <v>268</v>
      </c>
      <c r="N55" s="13">
        <v>221</v>
      </c>
      <c r="O55" s="13"/>
      <c r="P55" s="13"/>
      <c r="Q55" s="14"/>
      <c r="R55" s="15">
        <f t="shared" si="32"/>
        <v>489</v>
      </c>
      <c r="S55" s="15">
        <v>1400</v>
      </c>
      <c r="T55" s="67">
        <v>0.85</v>
      </c>
    </row>
    <row r="56" spans="1:20" x14ac:dyDescent="0.25">
      <c r="A56" s="65" t="str">
        <f>B50</f>
        <v>نیشابور</v>
      </c>
      <c r="B56" s="11" t="s">
        <v>12</v>
      </c>
      <c r="C56" s="12">
        <v>586</v>
      </c>
      <c r="D56" s="13">
        <v>1512</v>
      </c>
      <c r="E56" s="13"/>
      <c r="F56" s="13"/>
      <c r="G56" s="14"/>
      <c r="H56" s="15">
        <f t="shared" si="31"/>
        <v>2098</v>
      </c>
      <c r="I56" s="15">
        <v>5200</v>
      </c>
      <c r="J56" s="67">
        <v>0.6</v>
      </c>
      <c r="K56" s="65" t="str">
        <f>L50</f>
        <v>دوغارون</v>
      </c>
      <c r="L56" s="11" t="s">
        <v>12</v>
      </c>
      <c r="M56" s="12">
        <v>318</v>
      </c>
      <c r="N56" s="13">
        <v>205</v>
      </c>
      <c r="O56" s="13"/>
      <c r="P56" s="13"/>
      <c r="Q56" s="14"/>
      <c r="R56" s="15">
        <f t="shared" si="32"/>
        <v>523</v>
      </c>
      <c r="S56" s="15">
        <v>1400</v>
      </c>
      <c r="T56" s="67">
        <v>0.85</v>
      </c>
    </row>
    <row r="57" spans="1:20" x14ac:dyDescent="0.25">
      <c r="A57" s="65" t="str">
        <f>B50</f>
        <v>نیشابور</v>
      </c>
      <c r="B57" s="11" t="s">
        <v>13</v>
      </c>
      <c r="C57" s="12">
        <v>542</v>
      </c>
      <c r="D57" s="13">
        <v>387</v>
      </c>
      <c r="E57" s="13"/>
      <c r="F57" s="13"/>
      <c r="G57" s="14"/>
      <c r="H57" s="15">
        <f t="shared" si="31"/>
        <v>929</v>
      </c>
      <c r="I57" s="15">
        <v>5200</v>
      </c>
      <c r="J57" s="67">
        <v>0.5</v>
      </c>
      <c r="K57" s="65" t="str">
        <f>L50</f>
        <v>دوغارون</v>
      </c>
      <c r="L57" s="11" t="s">
        <v>13</v>
      </c>
      <c r="M57" s="12">
        <v>393</v>
      </c>
      <c r="N57" s="13">
        <v>398</v>
      </c>
      <c r="O57" s="13"/>
      <c r="P57" s="13"/>
      <c r="Q57" s="14"/>
      <c r="R57" s="15">
        <f t="shared" si="32"/>
        <v>791</v>
      </c>
      <c r="S57" s="15">
        <v>1400</v>
      </c>
      <c r="T57" s="67">
        <v>0.6</v>
      </c>
    </row>
    <row r="58" spans="1:20" x14ac:dyDescent="0.25">
      <c r="A58" s="65" t="str">
        <f>B50</f>
        <v>نیشابور</v>
      </c>
      <c r="B58" s="11" t="s">
        <v>14</v>
      </c>
      <c r="C58" s="12">
        <v>791</v>
      </c>
      <c r="D58" s="13">
        <v>372</v>
      </c>
      <c r="E58" s="13"/>
      <c r="F58" s="13"/>
      <c r="G58" s="14"/>
      <c r="H58" s="15">
        <f t="shared" si="31"/>
        <v>1163</v>
      </c>
      <c r="I58" s="15">
        <v>5200</v>
      </c>
      <c r="J58" s="67">
        <v>0.7</v>
      </c>
      <c r="K58" s="65" t="str">
        <f>L50</f>
        <v>دوغارون</v>
      </c>
      <c r="L58" s="11" t="s">
        <v>14</v>
      </c>
      <c r="M58" s="12">
        <v>293</v>
      </c>
      <c r="N58" s="13">
        <v>377</v>
      </c>
      <c r="O58" s="13"/>
      <c r="P58" s="13"/>
      <c r="Q58" s="14"/>
      <c r="R58" s="15">
        <f t="shared" si="32"/>
        <v>670</v>
      </c>
      <c r="S58" s="15">
        <v>1200</v>
      </c>
      <c r="T58" s="67">
        <v>0.8</v>
      </c>
    </row>
    <row r="59" spans="1:20" x14ac:dyDescent="0.25">
      <c r="A59" s="65" t="str">
        <f>B50</f>
        <v>نیشابور</v>
      </c>
      <c r="B59" s="11" t="s">
        <v>15</v>
      </c>
      <c r="C59" s="12">
        <v>1464</v>
      </c>
      <c r="D59" s="13">
        <v>940</v>
      </c>
      <c r="E59" s="13"/>
      <c r="F59" s="13"/>
      <c r="G59" s="14"/>
      <c r="H59" s="15">
        <f t="shared" si="31"/>
        <v>2404</v>
      </c>
      <c r="I59" s="15">
        <v>5200</v>
      </c>
      <c r="J59" s="67">
        <v>1</v>
      </c>
      <c r="K59" s="65" t="str">
        <f>L50</f>
        <v>دوغارون</v>
      </c>
      <c r="L59" s="11" t="s">
        <v>15</v>
      </c>
      <c r="M59" s="12">
        <v>345</v>
      </c>
      <c r="N59" s="13">
        <v>232</v>
      </c>
      <c r="O59" s="13"/>
      <c r="P59" s="13"/>
      <c r="Q59" s="14"/>
      <c r="R59" s="15">
        <f t="shared" si="32"/>
        <v>577</v>
      </c>
      <c r="S59" s="15">
        <v>1200</v>
      </c>
      <c r="T59" s="67">
        <v>0.8</v>
      </c>
    </row>
    <row r="60" spans="1:20" x14ac:dyDescent="0.25">
      <c r="A60" s="65" t="str">
        <f>B50</f>
        <v>نیشابور</v>
      </c>
      <c r="B60" s="11" t="s">
        <v>16</v>
      </c>
      <c r="C60" s="12">
        <v>483</v>
      </c>
      <c r="D60" s="13">
        <v>712</v>
      </c>
      <c r="E60" s="13"/>
      <c r="F60" s="13"/>
      <c r="G60" s="14"/>
      <c r="H60" s="15">
        <f t="shared" si="31"/>
        <v>1195</v>
      </c>
      <c r="I60" s="15">
        <v>5200</v>
      </c>
      <c r="J60" s="67">
        <v>0.8</v>
      </c>
      <c r="K60" s="65" t="str">
        <f>L50</f>
        <v>دوغارون</v>
      </c>
      <c r="L60" s="11" t="s">
        <v>16</v>
      </c>
      <c r="M60" s="12">
        <v>161</v>
      </c>
      <c r="N60" s="13">
        <v>227</v>
      </c>
      <c r="O60" s="13"/>
      <c r="P60" s="13"/>
      <c r="Q60" s="14"/>
      <c r="R60" s="15">
        <f t="shared" si="32"/>
        <v>388</v>
      </c>
      <c r="S60" s="15">
        <v>1200</v>
      </c>
      <c r="T60" s="67">
        <v>0.8</v>
      </c>
    </row>
    <row r="61" spans="1:20" x14ac:dyDescent="0.25">
      <c r="A61" s="65" t="str">
        <f>B50</f>
        <v>نیشابور</v>
      </c>
      <c r="B61" s="11" t="s">
        <v>17</v>
      </c>
      <c r="C61" s="12">
        <v>411</v>
      </c>
      <c r="D61" s="13">
        <v>551</v>
      </c>
      <c r="E61" s="13"/>
      <c r="F61" s="13"/>
      <c r="G61" s="14"/>
      <c r="H61" s="15">
        <f t="shared" si="31"/>
        <v>962</v>
      </c>
      <c r="I61" s="15">
        <v>5200</v>
      </c>
      <c r="J61" s="67">
        <v>0.7</v>
      </c>
      <c r="K61" s="65" t="str">
        <f>L50</f>
        <v>دوغارون</v>
      </c>
      <c r="L61" s="11" t="s">
        <v>17</v>
      </c>
      <c r="M61" s="12">
        <v>361</v>
      </c>
      <c r="N61" s="13">
        <v>341</v>
      </c>
      <c r="O61" s="13"/>
      <c r="P61" s="13"/>
      <c r="Q61" s="14"/>
      <c r="R61" s="15">
        <f t="shared" si="32"/>
        <v>702</v>
      </c>
      <c r="S61" s="15">
        <v>1200</v>
      </c>
      <c r="T61" s="67">
        <v>0.75</v>
      </c>
    </row>
    <row r="62" spans="1:20" x14ac:dyDescent="0.25">
      <c r="A62" s="65" t="str">
        <f>B50</f>
        <v>نیشابور</v>
      </c>
      <c r="B62" s="11" t="s">
        <v>18</v>
      </c>
      <c r="C62" s="12">
        <v>565</v>
      </c>
      <c r="D62" s="13">
        <v>519</v>
      </c>
      <c r="E62" s="13"/>
      <c r="F62" s="13"/>
      <c r="G62" s="14"/>
      <c r="H62" s="15">
        <f t="shared" si="31"/>
        <v>1084</v>
      </c>
      <c r="I62" s="15">
        <v>5200</v>
      </c>
      <c r="J62" s="67">
        <v>0.8</v>
      </c>
      <c r="K62" s="65" t="str">
        <f>L50</f>
        <v>دوغارون</v>
      </c>
      <c r="L62" s="11" t="s">
        <v>18</v>
      </c>
      <c r="M62" s="12">
        <v>272</v>
      </c>
      <c r="N62" s="13">
        <v>390</v>
      </c>
      <c r="O62" s="13"/>
      <c r="P62" s="13"/>
      <c r="Q62" s="14"/>
      <c r="R62" s="15">
        <f t="shared" si="32"/>
        <v>662</v>
      </c>
      <c r="S62" s="15">
        <v>1200</v>
      </c>
      <c r="T62" s="67">
        <v>0.65</v>
      </c>
    </row>
    <row r="63" spans="1:20" ht="20.25" thickBot="1" x14ac:dyDescent="0.3">
      <c r="A63" s="65" t="str">
        <f>B50</f>
        <v>نیشابور</v>
      </c>
      <c r="B63" s="16" t="s">
        <v>19</v>
      </c>
      <c r="C63" s="17">
        <v>502</v>
      </c>
      <c r="D63" s="18">
        <v>386</v>
      </c>
      <c r="E63" s="18"/>
      <c r="F63" s="18"/>
      <c r="G63" s="19"/>
      <c r="H63" s="20">
        <f t="shared" si="31"/>
        <v>888</v>
      </c>
      <c r="I63" s="20">
        <v>5200</v>
      </c>
      <c r="J63" s="68">
        <v>1</v>
      </c>
      <c r="K63" s="65" t="str">
        <f>L50</f>
        <v>دوغارون</v>
      </c>
      <c r="L63" s="16" t="s">
        <v>19</v>
      </c>
      <c r="M63" s="17">
        <v>396</v>
      </c>
      <c r="N63" s="18">
        <v>232</v>
      </c>
      <c r="O63" s="18"/>
      <c r="P63" s="18"/>
      <c r="Q63" s="19"/>
      <c r="R63" s="20">
        <f t="shared" si="32"/>
        <v>628</v>
      </c>
      <c r="S63" s="20">
        <v>2300</v>
      </c>
      <c r="T63" s="68">
        <v>0.8</v>
      </c>
    </row>
    <row r="64" spans="1:20" ht="21" thickBot="1" x14ac:dyDescent="0.3">
      <c r="A64" s="65"/>
      <c r="B64" s="128" t="s">
        <v>6</v>
      </c>
      <c r="C64" s="129">
        <f>SUM(C52:C63)</f>
        <v>8365</v>
      </c>
      <c r="D64" s="130">
        <f t="shared" ref="D64:F64" si="33">SUM(D52:D63)</f>
        <v>12962</v>
      </c>
      <c r="E64" s="130">
        <f t="shared" si="33"/>
        <v>0</v>
      </c>
      <c r="F64" s="130">
        <f t="shared" si="33"/>
        <v>0</v>
      </c>
      <c r="G64" s="13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32">
        <f t="shared" ref="H64" si="34">SUM(C64:F64)</f>
        <v>21327</v>
      </c>
      <c r="I64" s="132">
        <f>IFERROR(SUM(I52:I63)/COUNTIF(I52:I63,"&gt;"&amp;0),"")</f>
        <v>5233.333333333333</v>
      </c>
      <c r="J64" s="133">
        <f>IFERROR(SUMPRODUCT(J52:J63,I52:I63)/I64,"")</f>
        <v>9.2560509554140129</v>
      </c>
      <c r="K64" s="65"/>
      <c r="L64" s="128" t="s">
        <v>6</v>
      </c>
      <c r="M64" s="129">
        <f>SUM(M52:M63)</f>
        <v>3512</v>
      </c>
      <c r="N64" s="130">
        <f t="shared" ref="N64:P64" si="35">SUM(N52:N63)</f>
        <v>3448</v>
      </c>
      <c r="O64" s="130">
        <f t="shared" si="35"/>
        <v>0</v>
      </c>
      <c r="P64" s="130">
        <f t="shared" si="35"/>
        <v>0</v>
      </c>
      <c r="Q64" s="13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32">
        <f t="shared" ref="R64" si="36">SUM(M64:P64)</f>
        <v>6960</v>
      </c>
      <c r="S64" s="132">
        <f>IFERROR(SUM(S52:S63)/COUNTIF(S52:S63,"&gt;"&amp;0),"")</f>
        <v>1391.6666666666667</v>
      </c>
      <c r="T64" s="133">
        <f>IFERROR(SUMPRODUCT(T52:T63,S52:S63)/S64,"")</f>
        <v>9.1760479041916163</v>
      </c>
    </row>
    <row r="65" spans="1:20" ht="3.95" customHeight="1" thickBot="1" x14ac:dyDescent="0.3">
      <c r="I65" s="103">
        <f>IFERROR(I64*J64,"")</f>
        <v>48440</v>
      </c>
      <c r="S65" s="103">
        <f>IFERROR(S64*T64,"")</f>
        <v>12770</v>
      </c>
    </row>
    <row r="66" spans="1:20" ht="26.25" thickBot="1" x14ac:dyDescent="0.3">
      <c r="B66" s="210" t="s">
        <v>38</v>
      </c>
      <c r="C66" s="211"/>
      <c r="D66" s="211"/>
      <c r="E66" s="211"/>
      <c r="F66" s="211"/>
      <c r="G66" s="211"/>
      <c r="H66" s="211"/>
      <c r="I66" s="211"/>
      <c r="J66" s="212"/>
      <c r="L66" s="210" t="s">
        <v>40</v>
      </c>
      <c r="M66" s="211"/>
      <c r="N66" s="211"/>
      <c r="O66" s="211"/>
      <c r="P66" s="211"/>
      <c r="Q66" s="211"/>
      <c r="R66" s="211"/>
      <c r="S66" s="211"/>
      <c r="T66" s="212"/>
    </row>
    <row r="67" spans="1:20" ht="21" thickBot="1" x14ac:dyDescent="0.3">
      <c r="B67" s="124" t="s">
        <v>0</v>
      </c>
      <c r="C67" s="125" t="s">
        <v>1</v>
      </c>
      <c r="D67" s="126" t="s">
        <v>2</v>
      </c>
      <c r="E67" s="126" t="s">
        <v>3</v>
      </c>
      <c r="F67" s="126" t="s">
        <v>4</v>
      </c>
      <c r="G67" s="127" t="s">
        <v>5</v>
      </c>
      <c r="H67" s="124" t="s">
        <v>7</v>
      </c>
      <c r="I67" s="124" t="s">
        <v>32</v>
      </c>
      <c r="J67" s="124" t="s">
        <v>30</v>
      </c>
      <c r="L67" s="124" t="s">
        <v>0</v>
      </c>
      <c r="M67" s="125" t="s">
        <v>1</v>
      </c>
      <c r="N67" s="126" t="s">
        <v>2</v>
      </c>
      <c r="O67" s="126" t="s">
        <v>3</v>
      </c>
      <c r="P67" s="126" t="s">
        <v>4</v>
      </c>
      <c r="Q67" s="127" t="s">
        <v>5</v>
      </c>
      <c r="R67" s="124" t="s">
        <v>7</v>
      </c>
      <c r="S67" s="124" t="s">
        <v>32</v>
      </c>
      <c r="T67" s="124" t="s">
        <v>30</v>
      </c>
    </row>
    <row r="68" spans="1:20" x14ac:dyDescent="0.25">
      <c r="A68" s="65" t="str">
        <f>B66</f>
        <v>بجنورد</v>
      </c>
      <c r="B68" s="6" t="s">
        <v>8</v>
      </c>
      <c r="C68" s="7">
        <v>1</v>
      </c>
      <c r="D68" s="8">
        <v>1</v>
      </c>
      <c r="E68" s="8"/>
      <c r="F68" s="8"/>
      <c r="G68" s="9"/>
      <c r="H68" s="10">
        <f>SUM(C68:F68)</f>
        <v>2</v>
      </c>
      <c r="I68" s="10">
        <v>1500</v>
      </c>
      <c r="J68" s="66">
        <v>0.1</v>
      </c>
      <c r="K68" s="65" t="str">
        <f>L66</f>
        <v>بیرجند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>
        <v>1600</v>
      </c>
      <c r="T68" s="66"/>
    </row>
    <row r="69" spans="1:20" x14ac:dyDescent="0.25">
      <c r="A69" s="65" t="str">
        <f>B66</f>
        <v>بجنورد</v>
      </c>
      <c r="B69" s="11" t="s">
        <v>9</v>
      </c>
      <c r="C69" s="12"/>
      <c r="D69" s="13"/>
      <c r="E69" s="13"/>
      <c r="F69" s="13"/>
      <c r="G69" s="14"/>
      <c r="H69" s="15">
        <f t="shared" ref="H69:H79" si="37">SUM(C69:F69)</f>
        <v>0</v>
      </c>
      <c r="I69" s="15">
        <v>1500</v>
      </c>
      <c r="J69" s="67">
        <v>0.1</v>
      </c>
      <c r="K69" s="65" t="str">
        <f>L66</f>
        <v>بیرجند</v>
      </c>
      <c r="L69" s="11" t="s">
        <v>9</v>
      </c>
      <c r="M69" s="12">
        <v>313</v>
      </c>
      <c r="N69" s="13">
        <v>150</v>
      </c>
      <c r="O69" s="13"/>
      <c r="P69" s="13"/>
      <c r="Q69" s="14"/>
      <c r="R69" s="15">
        <f t="shared" ref="R69:R79" si="38">SUM(M69:P69)</f>
        <v>463</v>
      </c>
      <c r="S69" s="15">
        <v>1600</v>
      </c>
      <c r="T69" s="67">
        <v>0.2</v>
      </c>
    </row>
    <row r="70" spans="1:20" x14ac:dyDescent="0.25">
      <c r="A70" s="65" t="str">
        <f>B66</f>
        <v>بجنورد</v>
      </c>
      <c r="B70" s="11" t="s">
        <v>10</v>
      </c>
      <c r="C70" s="12"/>
      <c r="D70" s="13"/>
      <c r="E70" s="13"/>
      <c r="F70" s="13"/>
      <c r="G70" s="14"/>
      <c r="H70" s="15">
        <f t="shared" si="37"/>
        <v>0</v>
      </c>
      <c r="I70" s="15">
        <v>1500</v>
      </c>
      <c r="J70" s="67">
        <v>0.1</v>
      </c>
      <c r="K70" s="65" t="str">
        <f>L66</f>
        <v>بیرجند</v>
      </c>
      <c r="L70" s="11" t="s">
        <v>10</v>
      </c>
      <c r="M70" s="12">
        <v>198</v>
      </c>
      <c r="N70" s="13">
        <v>75</v>
      </c>
      <c r="O70" s="13"/>
      <c r="P70" s="13"/>
      <c r="Q70" s="14"/>
      <c r="R70" s="15">
        <f t="shared" si="38"/>
        <v>273</v>
      </c>
      <c r="S70" s="15">
        <v>1600</v>
      </c>
      <c r="T70" s="67">
        <v>0.2</v>
      </c>
    </row>
    <row r="71" spans="1:20" x14ac:dyDescent="0.25">
      <c r="A71" s="65" t="str">
        <f>B66</f>
        <v>بجنورد</v>
      </c>
      <c r="B71" s="11" t="s">
        <v>11</v>
      </c>
      <c r="C71" s="12">
        <v>1</v>
      </c>
      <c r="D71" s="13">
        <v>49</v>
      </c>
      <c r="E71" s="13"/>
      <c r="F71" s="13"/>
      <c r="G71" s="14"/>
      <c r="H71" s="15">
        <f t="shared" si="37"/>
        <v>50</v>
      </c>
      <c r="I71" s="15">
        <v>1500</v>
      </c>
      <c r="J71" s="67">
        <v>0.1</v>
      </c>
      <c r="K71" s="65" t="str">
        <f>L66</f>
        <v>بیرجند</v>
      </c>
      <c r="L71" s="11" t="s">
        <v>11</v>
      </c>
      <c r="M71" s="12">
        <v>0</v>
      </c>
      <c r="N71" s="13">
        <v>174</v>
      </c>
      <c r="O71" s="13"/>
      <c r="P71" s="13"/>
      <c r="Q71" s="14"/>
      <c r="R71" s="15">
        <f t="shared" si="38"/>
        <v>174</v>
      </c>
      <c r="S71" s="15">
        <v>1600</v>
      </c>
      <c r="T71" s="67">
        <v>0.1</v>
      </c>
    </row>
    <row r="72" spans="1:20" x14ac:dyDescent="0.25">
      <c r="A72" s="65" t="str">
        <f>B66</f>
        <v>بجنورد</v>
      </c>
      <c r="B72" s="11" t="s">
        <v>12</v>
      </c>
      <c r="C72" s="12">
        <v>28</v>
      </c>
      <c r="D72" s="13">
        <v>28</v>
      </c>
      <c r="E72" s="13"/>
      <c r="F72" s="13"/>
      <c r="G72" s="14"/>
      <c r="H72" s="15">
        <f t="shared" si="37"/>
        <v>56</v>
      </c>
      <c r="I72" s="15">
        <v>1500</v>
      </c>
      <c r="J72" s="67">
        <v>0.1</v>
      </c>
      <c r="K72" s="65" t="str">
        <f>L66</f>
        <v>بیرجند</v>
      </c>
      <c r="L72" s="11" t="s">
        <v>12</v>
      </c>
      <c r="M72" s="12">
        <v>0</v>
      </c>
      <c r="N72" s="13">
        <v>103</v>
      </c>
      <c r="O72" s="13"/>
      <c r="P72" s="13"/>
      <c r="Q72" s="14"/>
      <c r="R72" s="15">
        <f t="shared" si="38"/>
        <v>103</v>
      </c>
      <c r="S72" s="15">
        <v>1600</v>
      </c>
      <c r="T72" s="67">
        <v>0.1</v>
      </c>
    </row>
    <row r="73" spans="1:20" x14ac:dyDescent="0.25">
      <c r="A73" s="65" t="str">
        <f>B66</f>
        <v>بجنورد</v>
      </c>
      <c r="B73" s="11" t="s">
        <v>13</v>
      </c>
      <c r="C73" s="12">
        <v>7</v>
      </c>
      <c r="D73" s="13">
        <v>0</v>
      </c>
      <c r="E73" s="13"/>
      <c r="F73" s="13"/>
      <c r="G73" s="14"/>
      <c r="H73" s="15">
        <f t="shared" si="37"/>
        <v>7</v>
      </c>
      <c r="I73" s="15">
        <v>1500</v>
      </c>
      <c r="J73" s="67">
        <v>0.1</v>
      </c>
      <c r="K73" s="65" t="str">
        <f>L66</f>
        <v>بیرجند</v>
      </c>
      <c r="L73" s="11" t="s">
        <v>13</v>
      </c>
      <c r="M73" s="12">
        <v>86</v>
      </c>
      <c r="N73" s="13">
        <v>124</v>
      </c>
      <c r="O73" s="13"/>
      <c r="P73" s="13"/>
      <c r="Q73" s="14"/>
      <c r="R73" s="15">
        <f t="shared" si="38"/>
        <v>210</v>
      </c>
      <c r="S73" s="15">
        <v>1600</v>
      </c>
      <c r="T73" s="67">
        <v>0.2</v>
      </c>
    </row>
    <row r="74" spans="1:20" x14ac:dyDescent="0.25">
      <c r="A74" s="65" t="str">
        <f>B66</f>
        <v>بجنورد</v>
      </c>
      <c r="B74" s="11" t="s">
        <v>14</v>
      </c>
      <c r="C74" s="12">
        <v>55</v>
      </c>
      <c r="D74" s="13">
        <v>62</v>
      </c>
      <c r="E74" s="13"/>
      <c r="F74" s="13"/>
      <c r="G74" s="14"/>
      <c r="H74" s="15">
        <f t="shared" si="37"/>
        <v>117</v>
      </c>
      <c r="I74" s="15">
        <v>1500</v>
      </c>
      <c r="J74" s="67">
        <v>0.1</v>
      </c>
      <c r="K74" s="65" t="str">
        <f>L66</f>
        <v>بیرجند</v>
      </c>
      <c r="L74" s="11" t="s">
        <v>14</v>
      </c>
      <c r="M74" s="12">
        <v>14</v>
      </c>
      <c r="N74" s="13">
        <v>86</v>
      </c>
      <c r="O74" s="13"/>
      <c r="P74" s="13"/>
      <c r="Q74" s="14"/>
      <c r="R74" s="15">
        <f t="shared" si="38"/>
        <v>100</v>
      </c>
      <c r="S74" s="15">
        <v>1600</v>
      </c>
      <c r="T74" s="67">
        <v>0.1</v>
      </c>
    </row>
    <row r="75" spans="1:20" x14ac:dyDescent="0.25">
      <c r="A75" s="65" t="str">
        <f>B66</f>
        <v>بجنورد</v>
      </c>
      <c r="B75" s="11" t="s">
        <v>15</v>
      </c>
      <c r="C75" s="12">
        <v>0</v>
      </c>
      <c r="D75" s="13">
        <v>27</v>
      </c>
      <c r="E75" s="13"/>
      <c r="F75" s="13"/>
      <c r="G75" s="14">
        <v>0</v>
      </c>
      <c r="H75" s="15">
        <f t="shared" si="37"/>
        <v>27</v>
      </c>
      <c r="I75" s="15">
        <v>1500</v>
      </c>
      <c r="J75" s="67">
        <v>0.1</v>
      </c>
      <c r="K75" s="65" t="str">
        <f>L66</f>
        <v>بیرجند</v>
      </c>
      <c r="L75" s="11" t="s">
        <v>15</v>
      </c>
      <c r="M75" s="12">
        <v>0</v>
      </c>
      <c r="N75" s="13">
        <v>14</v>
      </c>
      <c r="O75" s="13"/>
      <c r="P75" s="13"/>
      <c r="Q75" s="14"/>
      <c r="R75" s="15">
        <f t="shared" si="38"/>
        <v>14</v>
      </c>
      <c r="S75" s="15">
        <v>1600</v>
      </c>
      <c r="T75" s="67">
        <v>0.1</v>
      </c>
    </row>
    <row r="76" spans="1:20" x14ac:dyDescent="0.25">
      <c r="A76" s="65" t="str">
        <f>B66</f>
        <v>بجنورد</v>
      </c>
      <c r="B76" s="11" t="s">
        <v>16</v>
      </c>
      <c r="C76" s="12">
        <v>45</v>
      </c>
      <c r="D76" s="13">
        <v>45</v>
      </c>
      <c r="E76" s="13"/>
      <c r="F76" s="13"/>
      <c r="G76" s="14"/>
      <c r="H76" s="15">
        <f t="shared" si="37"/>
        <v>90</v>
      </c>
      <c r="I76" s="15">
        <v>1500</v>
      </c>
      <c r="J76" s="67">
        <v>0.1</v>
      </c>
      <c r="K76" s="65" t="str">
        <f>L66</f>
        <v>بیرجند</v>
      </c>
      <c r="L76" s="11" t="s">
        <v>16</v>
      </c>
      <c r="M76" s="12">
        <v>93</v>
      </c>
      <c r="N76" s="13">
        <v>81</v>
      </c>
      <c r="O76" s="13"/>
      <c r="P76" s="13"/>
      <c r="Q76" s="14"/>
      <c r="R76" s="15">
        <f t="shared" si="38"/>
        <v>174</v>
      </c>
      <c r="S76" s="15">
        <v>1600</v>
      </c>
      <c r="T76" s="67">
        <v>0.1</v>
      </c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37"/>
        <v>0</v>
      </c>
      <c r="I77" s="15">
        <v>1500</v>
      </c>
      <c r="J77" s="67">
        <v>0.1</v>
      </c>
      <c r="K77" s="65" t="str">
        <f>L66</f>
        <v>بیرجند</v>
      </c>
      <c r="L77" s="11" t="s">
        <v>17</v>
      </c>
      <c r="M77" s="12">
        <v>251</v>
      </c>
      <c r="N77" s="13">
        <v>1</v>
      </c>
      <c r="O77" s="13"/>
      <c r="P77" s="13"/>
      <c r="Q77" s="14"/>
      <c r="R77" s="15">
        <f t="shared" si="38"/>
        <v>252</v>
      </c>
      <c r="S77" s="15">
        <v>1600</v>
      </c>
      <c r="T77" s="67">
        <v>0.1</v>
      </c>
    </row>
    <row r="78" spans="1:20" x14ac:dyDescent="0.25">
      <c r="A78" s="65" t="str">
        <f>B66</f>
        <v>بجنورد</v>
      </c>
      <c r="B78" s="11" t="s">
        <v>18</v>
      </c>
      <c r="C78" s="12">
        <v>19</v>
      </c>
      <c r="D78" s="13"/>
      <c r="E78" s="13"/>
      <c r="F78" s="13"/>
      <c r="G78" s="14"/>
      <c r="H78" s="15">
        <f t="shared" si="37"/>
        <v>19</v>
      </c>
      <c r="I78" s="15">
        <v>1500</v>
      </c>
      <c r="J78" s="67">
        <v>0.1</v>
      </c>
      <c r="K78" s="65" t="str">
        <f>L66</f>
        <v>بیرجند</v>
      </c>
      <c r="L78" s="11" t="s">
        <v>18</v>
      </c>
      <c r="M78" s="12">
        <v>423</v>
      </c>
      <c r="N78" s="13">
        <v>286</v>
      </c>
      <c r="O78" s="13"/>
      <c r="P78" s="13"/>
      <c r="Q78" s="14"/>
      <c r="R78" s="15">
        <f t="shared" si="38"/>
        <v>709</v>
      </c>
      <c r="S78" s="15">
        <v>2400</v>
      </c>
      <c r="T78" s="67">
        <v>0.2</v>
      </c>
    </row>
    <row r="79" spans="1:20" ht="20.25" thickBot="1" x14ac:dyDescent="0.3">
      <c r="A79" s="65" t="str">
        <f>B66</f>
        <v>بجنورد</v>
      </c>
      <c r="B79" s="16" t="s">
        <v>19</v>
      </c>
      <c r="C79" s="17">
        <v>26</v>
      </c>
      <c r="D79" s="18">
        <v>67</v>
      </c>
      <c r="E79" s="18"/>
      <c r="F79" s="18"/>
      <c r="G79" s="19"/>
      <c r="H79" s="20">
        <f t="shared" si="37"/>
        <v>93</v>
      </c>
      <c r="I79" s="20">
        <v>1500</v>
      </c>
      <c r="J79" s="68">
        <v>0.1</v>
      </c>
      <c r="K79" s="65" t="str">
        <f>L66</f>
        <v>بیرجند</v>
      </c>
      <c r="L79" s="16" t="s">
        <v>19</v>
      </c>
      <c r="M79" s="17">
        <v>550</v>
      </c>
      <c r="N79" s="18">
        <v>599</v>
      </c>
      <c r="O79" s="18"/>
      <c r="P79" s="18"/>
      <c r="Q79" s="19"/>
      <c r="R79" s="20">
        <f t="shared" si="38"/>
        <v>1149</v>
      </c>
      <c r="S79" s="20">
        <v>2400</v>
      </c>
      <c r="T79" s="68">
        <v>0.2</v>
      </c>
    </row>
    <row r="80" spans="1:20" ht="21" thickBot="1" x14ac:dyDescent="0.3">
      <c r="B80" s="128" t="s">
        <v>6</v>
      </c>
      <c r="C80" s="129">
        <f>SUM(C68:C79)</f>
        <v>182</v>
      </c>
      <c r="D80" s="130">
        <f t="shared" ref="D80:F80" si="39">SUM(D68:D79)</f>
        <v>279</v>
      </c>
      <c r="E80" s="130">
        <f t="shared" si="39"/>
        <v>0</v>
      </c>
      <c r="F80" s="130">
        <f t="shared" si="39"/>
        <v>0</v>
      </c>
      <c r="G80" s="131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0</v>
      </c>
      <c r="H80" s="132">
        <f t="shared" ref="H80" si="40">SUM(C80:F80)</f>
        <v>461</v>
      </c>
      <c r="I80" s="132">
        <f>IFERROR(SUM(I68:I79)/COUNTIF(I68:I79,"&gt;"&amp;0),"")</f>
        <v>1500</v>
      </c>
      <c r="J80" s="133">
        <f>IFERROR(SUMPRODUCT(J68:J79,I68:I79)/I80,"")</f>
        <v>1.2</v>
      </c>
      <c r="L80" s="128" t="s">
        <v>6</v>
      </c>
      <c r="M80" s="129">
        <f>SUM(M68:M79)</f>
        <v>1928</v>
      </c>
      <c r="N80" s="130">
        <f t="shared" ref="N80:P80" si="41">SUM(N68:N79)</f>
        <v>1693</v>
      </c>
      <c r="O80" s="130">
        <f t="shared" si="41"/>
        <v>0</v>
      </c>
      <c r="P80" s="130">
        <f t="shared" si="41"/>
        <v>0</v>
      </c>
      <c r="Q80" s="13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32">
        <f t="shared" ref="R80" si="42">SUM(M80:P80)</f>
        <v>3621</v>
      </c>
      <c r="S80" s="132">
        <f>IFERROR(SUM(S68:S79)/COUNTIF(S68:S79,"&gt;"&amp;0),"")</f>
        <v>1733.3333333333333</v>
      </c>
      <c r="T80" s="133">
        <f>IFERROR(SUMPRODUCT(T68:T79,S68:S79)/S80,"")</f>
        <v>1.6615384615384616</v>
      </c>
    </row>
    <row r="81" spans="1:20" ht="3.95" customHeight="1" thickBot="1" x14ac:dyDescent="0.3"/>
    <row r="82" spans="1:20" ht="26.25" thickBot="1" x14ac:dyDescent="0.3">
      <c r="B82" s="210" t="s">
        <v>41</v>
      </c>
      <c r="C82" s="211"/>
      <c r="D82" s="211"/>
      <c r="E82" s="211"/>
      <c r="F82" s="211"/>
      <c r="G82" s="211"/>
      <c r="H82" s="211"/>
      <c r="I82" s="211"/>
      <c r="J82" s="212"/>
      <c r="L82" s="210" t="s">
        <v>56</v>
      </c>
      <c r="M82" s="211"/>
      <c r="N82" s="211"/>
      <c r="O82" s="211"/>
      <c r="P82" s="211"/>
      <c r="Q82" s="211"/>
      <c r="R82" s="211"/>
      <c r="S82" s="211"/>
      <c r="T82" s="212"/>
    </row>
    <row r="83" spans="1:20" ht="21" thickBot="1" x14ac:dyDescent="0.3">
      <c r="B83" s="124" t="s">
        <v>0</v>
      </c>
      <c r="C83" s="125" t="s">
        <v>1</v>
      </c>
      <c r="D83" s="126" t="s">
        <v>2</v>
      </c>
      <c r="E83" s="126" t="s">
        <v>3</v>
      </c>
      <c r="F83" s="126" t="s">
        <v>4</v>
      </c>
      <c r="G83" s="127" t="s">
        <v>5</v>
      </c>
      <c r="H83" s="124" t="s">
        <v>7</v>
      </c>
      <c r="I83" s="124" t="s">
        <v>32</v>
      </c>
      <c r="J83" s="124" t="s">
        <v>30</v>
      </c>
      <c r="L83" s="124" t="s">
        <v>0</v>
      </c>
      <c r="M83" s="125" t="s">
        <v>1</v>
      </c>
      <c r="N83" s="126" t="s">
        <v>2</v>
      </c>
      <c r="O83" s="126" t="s">
        <v>3</v>
      </c>
      <c r="P83" s="126" t="s">
        <v>4</v>
      </c>
      <c r="Q83" s="127" t="s">
        <v>5</v>
      </c>
      <c r="R83" s="124" t="s">
        <v>7</v>
      </c>
      <c r="S83" s="124" t="s">
        <v>32</v>
      </c>
      <c r="T83" s="124" t="s">
        <v>30</v>
      </c>
    </row>
    <row r="84" spans="1:20" x14ac:dyDescent="0.25">
      <c r="A84" s="65" t="str">
        <f>B82</f>
        <v>ماهیرود</v>
      </c>
      <c r="B84" s="6" t="s">
        <v>8</v>
      </c>
      <c r="C84" s="7">
        <v>710</v>
      </c>
      <c r="D84" s="8">
        <v>395</v>
      </c>
      <c r="E84" s="8"/>
      <c r="F84" s="8"/>
      <c r="G84" s="9"/>
      <c r="H84" s="10">
        <f>SUM(C84:F84)</f>
        <v>1105</v>
      </c>
      <c r="I84" s="10">
        <v>1200</v>
      </c>
      <c r="J84" s="66">
        <v>0.4</v>
      </c>
      <c r="K84" s="65" t="str">
        <f>L82</f>
        <v>باجگیران</v>
      </c>
      <c r="L84" s="6" t="s">
        <v>8</v>
      </c>
      <c r="M84" s="7"/>
      <c r="N84" s="8"/>
      <c r="O84" s="8"/>
      <c r="P84" s="8"/>
      <c r="Q84" s="9"/>
      <c r="R84" s="10">
        <f>SUM(M84:P84)</f>
        <v>0</v>
      </c>
      <c r="S84" s="10"/>
      <c r="T84" s="66"/>
    </row>
    <row r="85" spans="1:20" x14ac:dyDescent="0.25">
      <c r="A85" s="65" t="str">
        <f>B82</f>
        <v>ماهیرود</v>
      </c>
      <c r="B85" s="11" t="s">
        <v>9</v>
      </c>
      <c r="C85" s="12">
        <v>8</v>
      </c>
      <c r="D85" s="13">
        <v>316</v>
      </c>
      <c r="E85" s="13"/>
      <c r="F85" s="13"/>
      <c r="G85" s="14"/>
      <c r="H85" s="15">
        <f t="shared" ref="H85:H95" si="43">SUM(C85:F85)</f>
        <v>324</v>
      </c>
      <c r="I85" s="15">
        <v>1600</v>
      </c>
      <c r="J85" s="67">
        <v>0.5</v>
      </c>
      <c r="K85" s="65" t="str">
        <f>L82</f>
        <v>باجگیران</v>
      </c>
      <c r="L85" s="11" t="s">
        <v>9</v>
      </c>
      <c r="M85" s="12"/>
      <c r="N85" s="13"/>
      <c r="O85" s="13"/>
      <c r="P85" s="13"/>
      <c r="Q85" s="14"/>
      <c r="R85" s="15">
        <f t="shared" ref="R85:R95" si="44">SUM(M85:P85)</f>
        <v>0</v>
      </c>
      <c r="S85" s="15"/>
      <c r="T85" s="67"/>
    </row>
    <row r="86" spans="1:20" x14ac:dyDescent="0.25">
      <c r="A86" s="65" t="str">
        <f>B82</f>
        <v>ماهیرود</v>
      </c>
      <c r="B86" s="11" t="s">
        <v>10</v>
      </c>
      <c r="C86" s="12">
        <v>383</v>
      </c>
      <c r="D86" s="13">
        <v>38</v>
      </c>
      <c r="E86" s="13"/>
      <c r="F86" s="13"/>
      <c r="G86" s="14"/>
      <c r="H86" s="15">
        <f t="shared" si="43"/>
        <v>421</v>
      </c>
      <c r="I86" s="15">
        <v>1600</v>
      </c>
      <c r="J86" s="67">
        <v>0.2</v>
      </c>
      <c r="K86" s="65" t="str">
        <f>L82</f>
        <v>باجگیران</v>
      </c>
      <c r="L86" s="11" t="s">
        <v>10</v>
      </c>
      <c r="M86" s="12"/>
      <c r="N86" s="13"/>
      <c r="O86" s="13"/>
      <c r="P86" s="13"/>
      <c r="Q86" s="14"/>
      <c r="R86" s="15">
        <f t="shared" si="44"/>
        <v>0</v>
      </c>
      <c r="S86" s="15"/>
      <c r="T86" s="67"/>
    </row>
    <row r="87" spans="1:20" x14ac:dyDescent="0.25">
      <c r="A87" s="65" t="str">
        <f>B82</f>
        <v>ماهیرود</v>
      </c>
      <c r="B87" s="11" t="s">
        <v>11</v>
      </c>
      <c r="C87" s="12">
        <v>57</v>
      </c>
      <c r="D87" s="13">
        <v>348</v>
      </c>
      <c r="E87" s="13"/>
      <c r="F87" s="13"/>
      <c r="G87" s="14"/>
      <c r="H87" s="15">
        <f t="shared" si="43"/>
        <v>405</v>
      </c>
      <c r="I87" s="15">
        <v>1600</v>
      </c>
      <c r="J87" s="67">
        <v>0.3</v>
      </c>
      <c r="K87" s="65" t="str">
        <f>L82</f>
        <v>باجگیران</v>
      </c>
      <c r="L87" s="11" t="s">
        <v>11</v>
      </c>
      <c r="M87" s="12"/>
      <c r="N87" s="13"/>
      <c r="O87" s="13"/>
      <c r="P87" s="13"/>
      <c r="Q87" s="14"/>
      <c r="R87" s="15">
        <f t="shared" si="44"/>
        <v>0</v>
      </c>
      <c r="S87" s="15"/>
      <c r="T87" s="67"/>
    </row>
    <row r="88" spans="1:20" x14ac:dyDescent="0.25">
      <c r="A88" s="65" t="str">
        <f>B82</f>
        <v>ماهیرود</v>
      </c>
      <c r="B88" s="11" t="s">
        <v>12</v>
      </c>
      <c r="C88" s="12">
        <v>80</v>
      </c>
      <c r="D88" s="13">
        <v>159</v>
      </c>
      <c r="E88" s="13"/>
      <c r="F88" s="13"/>
      <c r="G88" s="14"/>
      <c r="H88" s="15">
        <f t="shared" si="43"/>
        <v>239</v>
      </c>
      <c r="I88" s="15">
        <v>1600</v>
      </c>
      <c r="J88" s="67">
        <v>0.2</v>
      </c>
      <c r="K88" s="65" t="str">
        <f>L82</f>
        <v>باجگیران</v>
      </c>
      <c r="L88" s="11" t="s">
        <v>12</v>
      </c>
      <c r="M88" s="12"/>
      <c r="N88" s="13"/>
      <c r="O88" s="13"/>
      <c r="P88" s="13"/>
      <c r="Q88" s="14"/>
      <c r="R88" s="15">
        <f t="shared" si="44"/>
        <v>0</v>
      </c>
      <c r="S88" s="15"/>
      <c r="T88" s="67"/>
    </row>
    <row r="89" spans="1:20" x14ac:dyDescent="0.25">
      <c r="A89" s="65" t="str">
        <f>B82</f>
        <v>ماهیرود</v>
      </c>
      <c r="B89" s="11" t="s">
        <v>13</v>
      </c>
      <c r="C89" s="12">
        <v>7</v>
      </c>
      <c r="D89" s="13">
        <v>20</v>
      </c>
      <c r="E89" s="13"/>
      <c r="F89" s="13"/>
      <c r="G89" s="14"/>
      <c r="H89" s="15">
        <f t="shared" si="43"/>
        <v>27</v>
      </c>
      <c r="I89" s="15">
        <v>1600</v>
      </c>
      <c r="J89" s="67">
        <v>0.2</v>
      </c>
      <c r="K89" s="65" t="str">
        <f>L82</f>
        <v>باجگیران</v>
      </c>
      <c r="L89" s="11" t="s">
        <v>13</v>
      </c>
      <c r="M89" s="12"/>
      <c r="N89" s="13"/>
      <c r="O89" s="13"/>
      <c r="P89" s="13"/>
      <c r="Q89" s="14"/>
      <c r="R89" s="15">
        <f t="shared" si="44"/>
        <v>0</v>
      </c>
      <c r="S89" s="15"/>
      <c r="T89" s="67"/>
    </row>
    <row r="90" spans="1:20" x14ac:dyDescent="0.25">
      <c r="A90" s="65" t="str">
        <f>B82</f>
        <v>ماهیرود</v>
      </c>
      <c r="B90" s="11" t="s">
        <v>14</v>
      </c>
      <c r="C90" s="12">
        <v>310</v>
      </c>
      <c r="D90" s="13">
        <v>5</v>
      </c>
      <c r="E90" s="13"/>
      <c r="F90" s="13"/>
      <c r="G90" s="14"/>
      <c r="H90" s="15">
        <f t="shared" si="43"/>
        <v>315</v>
      </c>
      <c r="I90" s="15">
        <v>1600</v>
      </c>
      <c r="J90" s="67">
        <v>0.2</v>
      </c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44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>
        <v>245</v>
      </c>
      <c r="D91" s="13">
        <v>418</v>
      </c>
      <c r="E91" s="13"/>
      <c r="F91" s="13"/>
      <c r="G91" s="14"/>
      <c r="H91" s="15">
        <f t="shared" si="43"/>
        <v>663</v>
      </c>
      <c r="I91" s="15">
        <v>1600</v>
      </c>
      <c r="J91" s="67">
        <v>0.2</v>
      </c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44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>
        <v>542</v>
      </c>
      <c r="D92" s="13">
        <v>553</v>
      </c>
      <c r="E92" s="13"/>
      <c r="F92" s="13"/>
      <c r="G92" s="14"/>
      <c r="H92" s="15">
        <f t="shared" si="43"/>
        <v>1095</v>
      </c>
      <c r="I92" s="15">
        <v>1600</v>
      </c>
      <c r="J92" s="67">
        <v>0.2</v>
      </c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44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>
        <v>908</v>
      </c>
      <c r="D93" s="13">
        <v>440</v>
      </c>
      <c r="E93" s="13"/>
      <c r="F93" s="13"/>
      <c r="G93" s="14"/>
      <c r="H93" s="15">
        <f t="shared" si="43"/>
        <v>1348</v>
      </c>
      <c r="I93" s="15">
        <v>1600</v>
      </c>
      <c r="J93" s="67">
        <v>0.7</v>
      </c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44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>
        <v>922</v>
      </c>
      <c r="D94" s="13">
        <v>657</v>
      </c>
      <c r="E94" s="13"/>
      <c r="F94" s="13"/>
      <c r="G94" s="14"/>
      <c r="H94" s="15">
        <f t="shared" si="43"/>
        <v>1579</v>
      </c>
      <c r="I94" s="15">
        <v>1600</v>
      </c>
      <c r="J94" s="67">
        <v>0.5</v>
      </c>
      <c r="K94" s="65" t="str">
        <f>L82</f>
        <v>باجگیران</v>
      </c>
      <c r="L94" s="11" t="s">
        <v>18</v>
      </c>
      <c r="M94" s="12">
        <f>0.758</f>
        <v>0.75800000000000001</v>
      </c>
      <c r="N94" s="13">
        <f>0.137</f>
        <v>0.13700000000000001</v>
      </c>
      <c r="O94" s="13"/>
      <c r="P94" s="13"/>
      <c r="Q94" s="14">
        <f>0.621</f>
        <v>0.621</v>
      </c>
      <c r="R94" s="15">
        <f t="shared" si="44"/>
        <v>0.89500000000000002</v>
      </c>
      <c r="S94" s="15">
        <v>12</v>
      </c>
      <c r="T94" s="67">
        <v>0.4</v>
      </c>
    </row>
    <row r="95" spans="1:20" ht="20.25" thickBot="1" x14ac:dyDescent="0.3">
      <c r="A95" s="65" t="str">
        <f>B82</f>
        <v>ماهیرود</v>
      </c>
      <c r="B95" s="16" t="s">
        <v>19</v>
      </c>
      <c r="C95" s="17">
        <v>637</v>
      </c>
      <c r="D95" s="18">
        <v>672</v>
      </c>
      <c r="E95" s="18"/>
      <c r="F95" s="18"/>
      <c r="G95" s="19"/>
      <c r="H95" s="20">
        <f t="shared" si="43"/>
        <v>1309</v>
      </c>
      <c r="I95" s="20">
        <v>1600</v>
      </c>
      <c r="J95" s="68">
        <v>0.7</v>
      </c>
      <c r="K95" s="65" t="str">
        <f>L82</f>
        <v>باجگیران</v>
      </c>
      <c r="L95" s="16" t="s">
        <v>19</v>
      </c>
      <c r="M95" s="17">
        <v>2</v>
      </c>
      <c r="N95" s="18">
        <v>1</v>
      </c>
      <c r="O95" s="18"/>
      <c r="P95" s="18"/>
      <c r="Q95" s="19">
        <v>1</v>
      </c>
      <c r="R95" s="20">
        <f t="shared" si="44"/>
        <v>3</v>
      </c>
      <c r="S95" s="20"/>
      <c r="T95" s="68"/>
    </row>
    <row r="96" spans="1:20" ht="21" thickBot="1" x14ac:dyDescent="0.3">
      <c r="B96" s="128" t="s">
        <v>6</v>
      </c>
      <c r="C96" s="129">
        <f>SUM(C84:C95)</f>
        <v>4809</v>
      </c>
      <c r="D96" s="130">
        <f t="shared" ref="D96:F96" si="45">SUM(D84:D95)</f>
        <v>4021</v>
      </c>
      <c r="E96" s="130">
        <f t="shared" si="45"/>
        <v>0</v>
      </c>
      <c r="F96" s="130">
        <f t="shared" si="45"/>
        <v>0</v>
      </c>
      <c r="G96" s="13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32">
        <f t="shared" ref="H96" si="46">SUM(C96:F96)</f>
        <v>8830</v>
      </c>
      <c r="I96" s="132">
        <f>IFERROR(SUM(I84:I95)/COUNTIF(I84:I95,"&gt;"&amp;0),"")</f>
        <v>1566.6666666666667</v>
      </c>
      <c r="J96" s="133">
        <f>IFERROR(SUMPRODUCT(J84:J95,I84:I95)/I96,"")</f>
        <v>4.2893617021276595</v>
      </c>
      <c r="L96" s="128" t="s">
        <v>6</v>
      </c>
      <c r="M96" s="129">
        <f>SUM(M84:M95)</f>
        <v>2.758</v>
      </c>
      <c r="N96" s="130">
        <f t="shared" ref="N96:P96" si="47">SUM(N84:N95)</f>
        <v>1.137</v>
      </c>
      <c r="O96" s="130">
        <f t="shared" si="47"/>
        <v>0</v>
      </c>
      <c r="P96" s="130">
        <f t="shared" si="47"/>
        <v>0</v>
      </c>
      <c r="Q96" s="131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>1</v>
      </c>
      <c r="R96" s="132">
        <f t="shared" ref="R96" si="48">SUM(M96:P96)</f>
        <v>3.895</v>
      </c>
      <c r="S96" s="132">
        <f>IFERROR(SUM(S84:S95)/COUNTIF(S84:S95,"&gt;"&amp;0),"")</f>
        <v>12</v>
      </c>
      <c r="T96" s="133">
        <f>IFERROR(SUMPRODUCT(T84:T95,S84:S95)/S96,"")</f>
        <v>0.40000000000000008</v>
      </c>
    </row>
  </sheetData>
  <sheetProtection selectLockedCells="1" selectUnlockedCells="1"/>
  <mergeCells count="12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  <mergeCell ref="L82:T82"/>
  </mergeCells>
  <conditionalFormatting sqref="H4:H1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{2C1C1A81-C058-4318-8746-552FD1F2637F}</x14:id>
        </ext>
      </extLst>
    </cfRule>
  </conditionalFormatting>
  <conditionalFormatting sqref="H20:H3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{83594577-7DF8-475D-8106-93D9F7D81D22}</x14:id>
        </ext>
      </extLst>
    </cfRule>
  </conditionalFormatting>
  <conditionalFormatting sqref="H36:H4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{635DD2E1-39AF-4712-A052-36424A65CE49}</x14:id>
        </ext>
      </extLst>
    </cfRule>
  </conditionalFormatting>
  <conditionalFormatting sqref="H52:H6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{93BF9462-9467-4B2B-96A1-7C263BD9D9B5}</x14:id>
        </ext>
      </extLst>
    </cfRule>
  </conditionalFormatting>
  <conditionalFormatting sqref="H68:H7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{0BF9C2E8-BBFB-4920-9E57-401FB393401C}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{D19DB303-15CD-4A48-A1AE-E8B0DAE730BC}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{A3E34C1B-4B46-400B-9379-772347602D77}</x14:id>
        </ext>
      </extLst>
    </cfRule>
  </conditionalFormatting>
  <conditionalFormatting sqref="J4:J15 T4:T15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1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{E7016E6D-E99C-40B5-811D-C0B70185D377}</x14:id>
        </ext>
      </extLst>
    </cfRule>
  </conditionalFormatting>
  <conditionalFormatting sqref="R16 R32 H32 H48 R48 R64 H64 H8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{542B69DE-9DE7-4273-B158-60413CDE19DD}</x14:id>
        </ext>
      </extLst>
    </cfRule>
  </conditionalFormatting>
  <conditionalFormatting sqref="R20:R3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{D647D6E0-C5D3-45A5-872A-EA633AE7A0F6}</x14:id>
        </ext>
      </extLst>
    </cfRule>
  </conditionalFormatting>
  <conditionalFormatting sqref="R36:R4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{C63328C2-C4C3-4F58-904A-3F237ED47E53}</x14:id>
        </ext>
      </extLst>
    </cfRule>
  </conditionalFormatting>
  <conditionalFormatting sqref="R52:R6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{2B257B64-C113-422B-9BC5-838C33766725}</x14:id>
        </ext>
      </extLst>
    </cfRule>
  </conditionalFormatting>
  <conditionalFormatting sqref="R68:R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{93233303-C712-4C4F-B5AB-24521EF75ECC}</x14:id>
        </ext>
      </extLst>
    </cfRule>
  </conditionalFormatting>
  <conditionalFormatting sqref="R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{9944EE3C-6B01-4FDC-BC14-F73654F9C930}</x14:id>
        </ext>
      </extLst>
    </cfRule>
  </conditionalFormatting>
  <conditionalFormatting sqref="T20:T31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{0767777B-5EAD-4EE9-9A43-89B24832B10A}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{15D98469-B631-4748-BDCC-1CC05EA58598}</x14:id>
        </ext>
      </extLst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C1A81-C058-4318-8746-552FD1F26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83594577-7DF8-475D-8106-93D9F7D81D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35DD2E1-39AF-4712-A052-36424A65C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93BF9462-9467-4B2B-96A1-7C263BD9D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0BF9C2E8-BBFB-4920-9E57-401FB3934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19DB303-15CD-4A48-A1AE-E8B0DAE73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A3E34C1B-4B46-400B-9379-772347602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E7016E6D-E99C-40B5-811D-C0B70185D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42B69DE-9DE7-4273-B158-60413CDE1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D647D6E0-C5D3-45A5-872A-EA633AE7A0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C63328C2-C4C3-4F58-904A-3F237ED47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2B257B64-C113-422B-9BC5-838C33766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93233303-C712-4C4F-B5AB-24521EF75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9944EE3C-6B01-4FDC-BC14-F73654F9C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0767777B-5EAD-4EE9-9A43-89B24832B1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15D98469-B631-4748-BDCC-1CC05EA58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6"/>
  <sheetViews>
    <sheetView showRowColHeaders="0" rightToLeft="1" zoomScale="80" zoomScaleNormal="80" workbookViewId="0">
      <selection activeCell="I47" sqref="I47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10" t="s">
        <v>33</v>
      </c>
      <c r="C2" s="211"/>
      <c r="D2" s="211"/>
      <c r="E2" s="211"/>
      <c r="F2" s="211"/>
      <c r="G2" s="211"/>
      <c r="H2" s="211"/>
      <c r="I2" s="211"/>
      <c r="J2" s="212"/>
      <c r="L2" s="210" t="s">
        <v>20</v>
      </c>
      <c r="M2" s="211"/>
      <c r="N2" s="211"/>
      <c r="O2" s="211"/>
      <c r="P2" s="211"/>
      <c r="Q2" s="211"/>
      <c r="R2" s="211"/>
      <c r="S2" s="211"/>
      <c r="T2" s="212"/>
    </row>
    <row r="3" spans="1:20" ht="21" thickBot="1" x14ac:dyDescent="0.3">
      <c r="B3" s="114" t="s">
        <v>0</v>
      </c>
      <c r="C3" s="115" t="s">
        <v>1</v>
      </c>
      <c r="D3" s="116" t="s">
        <v>2</v>
      </c>
      <c r="E3" s="116" t="s">
        <v>3</v>
      </c>
      <c r="F3" s="116" t="s">
        <v>4</v>
      </c>
      <c r="G3" s="117" t="s">
        <v>5</v>
      </c>
      <c r="H3" s="114" t="s">
        <v>7</v>
      </c>
      <c r="I3" s="114" t="s">
        <v>32</v>
      </c>
      <c r="J3" s="118" t="s">
        <v>30</v>
      </c>
      <c r="L3" s="104" t="s">
        <v>0</v>
      </c>
      <c r="M3" s="105" t="s">
        <v>1</v>
      </c>
      <c r="N3" s="106" t="s">
        <v>2</v>
      </c>
      <c r="O3" s="106" t="s">
        <v>3</v>
      </c>
      <c r="P3" s="106" t="s">
        <v>4</v>
      </c>
      <c r="Q3" s="107" t="s">
        <v>5</v>
      </c>
      <c r="R3" s="104" t="s">
        <v>7</v>
      </c>
      <c r="S3" s="104" t="s">
        <v>32</v>
      </c>
      <c r="T3" s="104" t="s">
        <v>30</v>
      </c>
    </row>
    <row r="4" spans="1:20" x14ac:dyDescent="0.25">
      <c r="A4" s="65" t="str">
        <f>B2</f>
        <v>انبار بارانداز مجتمع خراسان</v>
      </c>
      <c r="B4" s="6" t="s">
        <v>8</v>
      </c>
      <c r="C4" s="7">
        <f>IF(SUM(M4,C20,M20,C36,M36,C52,M52,C68,M68,C84)=0,"",SUM(M4,C20,M20,C36,M36,C52,M52,C68,M68,C84,M84))</f>
        <v>13206</v>
      </c>
      <c r="D4" s="8">
        <f t="shared" ref="D4:G4" si="0">IF(SUM(N4,D20,N20,D36,N36,D52,N52,D68,N68,D84)=0,"",SUM(N4,D20,N20,D36,N36,D52,N52,D68,N68,D84,N84))</f>
        <v>14078</v>
      </c>
      <c r="E4" s="8" t="str">
        <f t="shared" si="0"/>
        <v/>
      </c>
      <c r="F4" s="8" t="str">
        <f t="shared" si="0"/>
        <v/>
      </c>
      <c r="G4" s="9">
        <f t="shared" si="0"/>
        <v>3774</v>
      </c>
      <c r="H4" s="10">
        <f>SUM(C4:F4)</f>
        <v>27284</v>
      </c>
      <c r="I4" s="10">
        <f t="shared" ref="I4:I15" si="1">IF(SUM(S4,I20,S20,I36,S36,I52,S52,I68,S68,I84)=0,"",SUM(S4,I20,S20,I36,S36,I52,S52,I68,S68,I84,S84))</f>
        <v>99300</v>
      </c>
      <c r="J4" s="66">
        <f>IFERROR(SUM(S4*T4,I20*J20,S20*T20,I36*J36,S36*T36,I52*J52,S52*T52,J68*I68,T68*S68,J84*I84,S84*T84)/I4,"")</f>
        <v>0.60704934541792543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بارانداز مجتمع خراسان</v>
      </c>
      <c r="B5" s="11" t="s">
        <v>9</v>
      </c>
      <c r="C5" s="12">
        <f t="shared" ref="C5:G15" si="2">IF(SUM(M5,C21,M21,C37,M37,C53,M53,C69,M69,C85)=0,"",SUM(M5,C21,M21,C37,M37,C53,M53,C69,M69,C85,M85))</f>
        <v>16236</v>
      </c>
      <c r="D5" s="13">
        <f t="shared" si="2"/>
        <v>16600</v>
      </c>
      <c r="E5" s="13" t="str">
        <f t="shared" si="2"/>
        <v/>
      </c>
      <c r="F5" s="13" t="str">
        <f t="shared" si="2"/>
        <v/>
      </c>
      <c r="G5" s="14">
        <f t="shared" si="2"/>
        <v>3223</v>
      </c>
      <c r="H5" s="15">
        <f t="shared" ref="H5:H15" si="3">SUM(C5:F5)</f>
        <v>32836</v>
      </c>
      <c r="I5" s="15">
        <f t="shared" si="1"/>
        <v>102500</v>
      </c>
      <c r="J5" s="67">
        <f>IFERROR(SUM(S5*T5,I21*J21,S21*T21,I37*J37,S37*T37,I53*J53,S53*T53,J69*I69,T69*S69,J85*I85,S85*T85)/I5,"")</f>
        <v>0.48839024390243901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 x14ac:dyDescent="0.25">
      <c r="A6" s="65" t="str">
        <f>B2</f>
        <v>انبار بارانداز مجتمع خراسان</v>
      </c>
      <c r="B6" s="11" t="s">
        <v>10</v>
      </c>
      <c r="C6" s="12">
        <f t="shared" si="2"/>
        <v>13981</v>
      </c>
      <c r="D6" s="13">
        <f t="shared" si="2"/>
        <v>13490</v>
      </c>
      <c r="E6" s="13" t="str">
        <f t="shared" si="2"/>
        <v/>
      </c>
      <c r="F6" s="13" t="str">
        <f t="shared" si="2"/>
        <v/>
      </c>
      <c r="G6" s="14">
        <f t="shared" si="2"/>
        <v>5353</v>
      </c>
      <c r="H6" s="15">
        <f t="shared" si="3"/>
        <v>27471</v>
      </c>
      <c r="I6" s="15">
        <f t="shared" si="1"/>
        <v>102500</v>
      </c>
      <c r="J6" s="67">
        <f t="shared" ref="J6:J15" si="5">IFERROR(SUM(S6*T6,I22*J22,S22*T22,I38*J38,S38*T38,I54*J54,S54*T54,J70*I70,T70*S70,J86*I86,S86*T86)/I6,"")</f>
        <v>0.54414634146341467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 x14ac:dyDescent="0.25">
      <c r="A7" s="65" t="str">
        <f>B2</f>
        <v>انبار بارانداز مجتمع خراسان</v>
      </c>
      <c r="B7" s="11" t="s">
        <v>11</v>
      </c>
      <c r="C7" s="12">
        <f t="shared" si="2"/>
        <v>13859</v>
      </c>
      <c r="D7" s="13">
        <f t="shared" si="2"/>
        <v>16301</v>
      </c>
      <c r="E7" s="13" t="str">
        <f t="shared" si="2"/>
        <v/>
      </c>
      <c r="F7" s="13" t="str">
        <f t="shared" si="2"/>
        <v/>
      </c>
      <c r="G7" s="14">
        <f t="shared" si="2"/>
        <v>4066</v>
      </c>
      <c r="H7" s="15">
        <f t="shared" si="3"/>
        <v>30160</v>
      </c>
      <c r="I7" s="15">
        <f t="shared" si="1"/>
        <v>101000</v>
      </c>
      <c r="J7" s="67">
        <f t="shared" si="5"/>
        <v>0.51504950495049506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 x14ac:dyDescent="0.25">
      <c r="A8" s="65" t="str">
        <f>B2</f>
        <v>انبار بارانداز مجتمع خراسان</v>
      </c>
      <c r="B8" s="11" t="s">
        <v>12</v>
      </c>
      <c r="C8" s="12">
        <f t="shared" si="2"/>
        <v>18750</v>
      </c>
      <c r="D8" s="13">
        <f t="shared" si="2"/>
        <v>24126</v>
      </c>
      <c r="E8" s="13" t="str">
        <f t="shared" si="2"/>
        <v/>
      </c>
      <c r="F8" s="13" t="str">
        <f t="shared" si="2"/>
        <v/>
      </c>
      <c r="G8" s="14">
        <f t="shared" si="2"/>
        <v>6442</v>
      </c>
      <c r="H8" s="15">
        <f t="shared" si="3"/>
        <v>42876</v>
      </c>
      <c r="I8" s="15">
        <f t="shared" si="1"/>
        <v>101000</v>
      </c>
      <c r="J8" s="67">
        <f t="shared" si="5"/>
        <v>0.48990099009900989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 x14ac:dyDescent="0.25">
      <c r="A9" s="65" t="str">
        <f>B2</f>
        <v>انبار بارانداز مجتمع خراسان</v>
      </c>
      <c r="B9" s="11" t="s">
        <v>13</v>
      </c>
      <c r="C9" s="12">
        <f t="shared" si="2"/>
        <v>19503</v>
      </c>
      <c r="D9" s="13">
        <f t="shared" si="2"/>
        <v>19182</v>
      </c>
      <c r="E9" s="13" t="str">
        <f t="shared" si="2"/>
        <v/>
      </c>
      <c r="F9" s="13" t="str">
        <f t="shared" si="2"/>
        <v/>
      </c>
      <c r="G9" s="14">
        <f t="shared" si="2"/>
        <v>7431</v>
      </c>
      <c r="H9" s="15">
        <f t="shared" si="3"/>
        <v>38685</v>
      </c>
      <c r="I9" s="15">
        <f t="shared" si="1"/>
        <v>101000</v>
      </c>
      <c r="J9" s="67">
        <f t="shared" si="5"/>
        <v>0.54970297029702975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 x14ac:dyDescent="0.25">
      <c r="A10" s="65" t="str">
        <f>B2</f>
        <v>انبار بارانداز مجتمع خراسان</v>
      </c>
      <c r="B10" s="11" t="s">
        <v>14</v>
      </c>
      <c r="C10" s="12">
        <f t="shared" si="2"/>
        <v>19567</v>
      </c>
      <c r="D10" s="13">
        <f t="shared" si="2"/>
        <v>17762</v>
      </c>
      <c r="E10" s="13" t="str">
        <f t="shared" si="2"/>
        <v/>
      </c>
      <c r="F10" s="13" t="str">
        <f t="shared" si="2"/>
        <v/>
      </c>
      <c r="G10" s="14">
        <f t="shared" si="2"/>
        <v>8600</v>
      </c>
      <c r="H10" s="15">
        <f t="shared" si="3"/>
        <v>37329</v>
      </c>
      <c r="I10" s="15">
        <f t="shared" si="1"/>
        <v>99200</v>
      </c>
      <c r="J10" s="67">
        <f t="shared" si="5"/>
        <v>0.55493951612903225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 x14ac:dyDescent="0.25">
      <c r="A11" s="65" t="str">
        <f>B2</f>
        <v>انبار بارانداز مجتمع خراسان</v>
      </c>
      <c r="B11" s="11" t="s">
        <v>15</v>
      </c>
      <c r="C11" s="12">
        <f t="shared" si="2"/>
        <v>36162</v>
      </c>
      <c r="D11" s="13">
        <f t="shared" si="2"/>
        <v>23317</v>
      </c>
      <c r="E11" s="13" t="str">
        <f t="shared" si="2"/>
        <v/>
      </c>
      <c r="F11" s="13" t="str">
        <f t="shared" si="2"/>
        <v/>
      </c>
      <c r="G11" s="14">
        <f t="shared" si="2"/>
        <v>5901</v>
      </c>
      <c r="H11" s="15">
        <f t="shared" si="3"/>
        <v>59479</v>
      </c>
      <c r="I11" s="15">
        <f t="shared" si="1"/>
        <v>98700</v>
      </c>
      <c r="J11" s="67">
        <f t="shared" si="5"/>
        <v>0.47771023302938198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 x14ac:dyDescent="0.25">
      <c r="A12" s="65" t="str">
        <f>B2</f>
        <v>انبار بارانداز مجتمع خراسان</v>
      </c>
      <c r="B12" s="11" t="s">
        <v>16</v>
      </c>
      <c r="C12" s="12">
        <f t="shared" si="2"/>
        <v>25322</v>
      </c>
      <c r="D12" s="13">
        <f t="shared" si="2"/>
        <v>22178</v>
      </c>
      <c r="E12" s="13" t="str">
        <f t="shared" si="2"/>
        <v/>
      </c>
      <c r="F12" s="13" t="str">
        <f t="shared" si="2"/>
        <v/>
      </c>
      <c r="G12" s="14">
        <f t="shared" si="2"/>
        <v>9628</v>
      </c>
      <c r="H12" s="15">
        <f t="shared" si="3"/>
        <v>47500</v>
      </c>
      <c r="I12" s="15">
        <f t="shared" si="1"/>
        <v>98700</v>
      </c>
      <c r="J12" s="67">
        <f t="shared" si="5"/>
        <v>0.57208713272543055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 x14ac:dyDescent="0.25">
      <c r="A13" s="65" t="str">
        <f>B2</f>
        <v>انبار بارانداز مجتمع خراسان</v>
      </c>
      <c r="B13" s="11" t="s">
        <v>17</v>
      </c>
      <c r="C13" s="12">
        <f t="shared" si="2"/>
        <v>15624</v>
      </c>
      <c r="D13" s="13">
        <f t="shared" si="2"/>
        <v>24940</v>
      </c>
      <c r="E13" s="13" t="str">
        <f t="shared" si="2"/>
        <v/>
      </c>
      <c r="F13" s="13" t="str">
        <f t="shared" si="2"/>
        <v/>
      </c>
      <c r="G13" s="14">
        <f t="shared" si="2"/>
        <v>8388</v>
      </c>
      <c r="H13" s="15">
        <f t="shared" si="3"/>
        <v>40564</v>
      </c>
      <c r="I13" s="15">
        <f t="shared" si="1"/>
        <v>98700</v>
      </c>
      <c r="J13" s="67">
        <f t="shared" si="5"/>
        <v>0.50303951367781152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 x14ac:dyDescent="0.25">
      <c r="A14" s="65" t="str">
        <f>B2</f>
        <v>انبار بارانداز مجتمع خراسان</v>
      </c>
      <c r="B14" s="11" t="s">
        <v>18</v>
      </c>
      <c r="C14" s="12">
        <f t="shared" si="2"/>
        <v>21374</v>
      </c>
      <c r="D14" s="13">
        <f t="shared" si="2"/>
        <v>24238</v>
      </c>
      <c r="E14" s="13" t="str">
        <f t="shared" si="2"/>
        <v/>
      </c>
      <c r="F14" s="13" t="str">
        <f t="shared" si="2"/>
        <v/>
      </c>
      <c r="G14" s="14">
        <f t="shared" si="2"/>
        <v>10010</v>
      </c>
      <c r="H14" s="15">
        <f t="shared" si="3"/>
        <v>45612</v>
      </c>
      <c r="I14" s="15">
        <f t="shared" si="1"/>
        <v>96700</v>
      </c>
      <c r="J14" s="67">
        <f t="shared" si="5"/>
        <v>0.50134436401240956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20.25" thickBot="1" x14ac:dyDescent="0.3">
      <c r="A15" s="65" t="str">
        <f>B2</f>
        <v>انبار بارانداز مجتمع خراسان</v>
      </c>
      <c r="B15" s="16" t="s">
        <v>19</v>
      </c>
      <c r="C15" s="17">
        <f t="shared" si="2"/>
        <v>23135</v>
      </c>
      <c r="D15" s="18">
        <f t="shared" si="2"/>
        <v>22133</v>
      </c>
      <c r="E15" s="18" t="str">
        <f t="shared" si="2"/>
        <v/>
      </c>
      <c r="F15" s="18" t="str">
        <f t="shared" si="2"/>
        <v/>
      </c>
      <c r="G15" s="19">
        <f t="shared" si="2"/>
        <v>11743</v>
      </c>
      <c r="H15" s="20">
        <f t="shared" si="3"/>
        <v>45268</v>
      </c>
      <c r="I15" s="20">
        <f t="shared" si="1"/>
        <v>108600</v>
      </c>
      <c r="J15" s="68">
        <f t="shared" si="5"/>
        <v>0.42394106813996318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21" thickBot="1" x14ac:dyDescent="0.3">
      <c r="A16" s="65"/>
      <c r="B16" s="118" t="s">
        <v>6</v>
      </c>
      <c r="C16" s="119">
        <f>SUM(C4:C15)</f>
        <v>236719</v>
      </c>
      <c r="D16" s="120">
        <f t="shared" ref="D16:F16" si="6">SUM(D4:D15)</f>
        <v>238345</v>
      </c>
      <c r="E16" s="120">
        <f t="shared" si="6"/>
        <v>0</v>
      </c>
      <c r="F16" s="120">
        <f t="shared" si="6"/>
        <v>0</v>
      </c>
      <c r="G16" s="121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11743</v>
      </c>
      <c r="H16" s="122">
        <f t="shared" ref="H16" si="7">SUM(C16:F16)</f>
        <v>475064</v>
      </c>
      <c r="I16" s="122">
        <f>IFERROR(SUM(I4:I15)/COUNTIF(I4:I15,"&gt;"&amp;0),"")</f>
        <v>100658.33333333333</v>
      </c>
      <c r="J16" s="123">
        <f>IFERROR((SUMPRODUCT(J4:J15,I4:I15)/COUNTIF(I4:I15,"&gt;"&amp;0))/I16,"")</f>
        <v>0.51822998592598724</v>
      </c>
      <c r="K16" s="65"/>
      <c r="L16" s="108" t="s">
        <v>6</v>
      </c>
      <c r="M16" s="109">
        <f>SUM(M4:M15)</f>
        <v>0</v>
      </c>
      <c r="N16" s="110">
        <f t="shared" ref="N16:P16" si="8">SUM(N4:N15)</f>
        <v>0</v>
      </c>
      <c r="O16" s="110">
        <f t="shared" si="8"/>
        <v>0</v>
      </c>
      <c r="P16" s="110">
        <f t="shared" si="8"/>
        <v>0</v>
      </c>
      <c r="Q16" s="11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12">
        <f t="shared" ref="R16" si="9">SUM(M16:P16)</f>
        <v>0</v>
      </c>
      <c r="S16" s="112" t="str">
        <f>IFERROR(SUM(S4:S15)/COUNTIF(S4:S15,"&gt;"&amp;0),"")</f>
        <v/>
      </c>
      <c r="T16" s="113" t="str">
        <f>IFERROR((SUMPRODUCT(T4:T15,S4:S15)/COUNTIF(S4:S15,"&gt;"&amp;0))/S16,"")</f>
        <v/>
      </c>
    </row>
    <row r="17" spans="1:20" ht="3.95" customHeight="1" thickBot="1" x14ac:dyDescent="0.3">
      <c r="A17" s="65"/>
      <c r="I17" s="103">
        <f>IFERROR(I16*J16,"")</f>
        <v>52164.166666666664</v>
      </c>
      <c r="K17" s="65"/>
      <c r="S17" s="103" t="str">
        <f>IFERROR(S16*T16,"")</f>
        <v/>
      </c>
    </row>
    <row r="18" spans="1:20" ht="26.25" thickBot="1" x14ac:dyDescent="0.3">
      <c r="A18" s="65"/>
      <c r="B18" s="210" t="s">
        <v>21</v>
      </c>
      <c r="C18" s="211"/>
      <c r="D18" s="211"/>
      <c r="E18" s="211"/>
      <c r="F18" s="211"/>
      <c r="G18" s="211"/>
      <c r="H18" s="211"/>
      <c r="I18" s="211"/>
      <c r="J18" s="212"/>
      <c r="K18" s="65"/>
      <c r="L18" s="210" t="s">
        <v>22</v>
      </c>
      <c r="M18" s="211"/>
      <c r="N18" s="211"/>
      <c r="O18" s="211"/>
      <c r="P18" s="211"/>
      <c r="Q18" s="211"/>
      <c r="R18" s="211"/>
      <c r="S18" s="211"/>
      <c r="T18" s="212"/>
    </row>
    <row r="19" spans="1:20" ht="21" thickBot="1" x14ac:dyDescent="0.3">
      <c r="A19" s="65"/>
      <c r="B19" s="104" t="s">
        <v>0</v>
      </c>
      <c r="C19" s="105" t="s">
        <v>1</v>
      </c>
      <c r="D19" s="106" t="s">
        <v>2</v>
      </c>
      <c r="E19" s="106" t="s">
        <v>3</v>
      </c>
      <c r="F19" s="106" t="s">
        <v>4</v>
      </c>
      <c r="G19" s="107" t="s">
        <v>5</v>
      </c>
      <c r="H19" s="104" t="s">
        <v>7</v>
      </c>
      <c r="I19" s="104" t="s">
        <v>32</v>
      </c>
      <c r="J19" s="104" t="s">
        <v>30</v>
      </c>
      <c r="K19" s="65"/>
      <c r="L19" s="104" t="s">
        <v>0</v>
      </c>
      <c r="M19" s="105" t="s">
        <v>1</v>
      </c>
      <c r="N19" s="106" t="s">
        <v>2</v>
      </c>
      <c r="O19" s="106" t="s">
        <v>3</v>
      </c>
      <c r="P19" s="106" t="s">
        <v>4</v>
      </c>
      <c r="Q19" s="107" t="s">
        <v>5</v>
      </c>
      <c r="R19" s="104" t="s">
        <v>7</v>
      </c>
      <c r="S19" s="104" t="s">
        <v>32</v>
      </c>
      <c r="T19" s="104" t="s">
        <v>30</v>
      </c>
    </row>
    <row r="20" spans="1:20" x14ac:dyDescent="0.25">
      <c r="A20" s="65" t="str">
        <f>B18</f>
        <v>شهید کاوه</v>
      </c>
      <c r="B20" s="6" t="s">
        <v>8</v>
      </c>
      <c r="C20" s="7">
        <v>1207</v>
      </c>
      <c r="D20" s="8">
        <v>691</v>
      </c>
      <c r="E20" s="8"/>
      <c r="F20" s="8"/>
      <c r="G20" s="9"/>
      <c r="H20" s="10">
        <f>SUM(C20:G20)</f>
        <v>1898</v>
      </c>
      <c r="I20" s="10">
        <v>9000</v>
      </c>
      <c r="J20" s="66">
        <v>0.7</v>
      </c>
      <c r="K20" s="65" t="str">
        <f>L18</f>
        <v>مطهری</v>
      </c>
      <c r="L20" s="6" t="s">
        <v>8</v>
      </c>
      <c r="M20" s="7">
        <v>1102</v>
      </c>
      <c r="N20" s="8">
        <v>2033</v>
      </c>
      <c r="O20" s="8"/>
      <c r="P20" s="8"/>
      <c r="Q20" s="9">
        <v>2569</v>
      </c>
      <c r="R20" s="10">
        <f>SUM(M20:Q20)</f>
        <v>5704</v>
      </c>
      <c r="S20" s="10">
        <v>45000</v>
      </c>
      <c r="T20" s="66">
        <v>0.65</v>
      </c>
    </row>
    <row r="21" spans="1:20" x14ac:dyDescent="0.25">
      <c r="A21" s="65" t="str">
        <f>B18</f>
        <v>شهید کاوه</v>
      </c>
      <c r="B21" s="11" t="s">
        <v>9</v>
      </c>
      <c r="C21" s="12">
        <v>1957</v>
      </c>
      <c r="D21" s="13">
        <v>1122</v>
      </c>
      <c r="E21" s="13"/>
      <c r="F21" s="13"/>
      <c r="G21" s="14"/>
      <c r="H21" s="15">
        <f>SUM(C21:G21)</f>
        <v>3079</v>
      </c>
      <c r="I21" s="15">
        <v>9000</v>
      </c>
      <c r="J21" s="67">
        <v>0.95</v>
      </c>
      <c r="K21" s="65" t="str">
        <f>L18</f>
        <v>مطهری</v>
      </c>
      <c r="L21" s="11" t="s">
        <v>9</v>
      </c>
      <c r="M21" s="12">
        <v>1810</v>
      </c>
      <c r="N21" s="13">
        <v>2498</v>
      </c>
      <c r="O21" s="13"/>
      <c r="P21" s="13"/>
      <c r="Q21" s="14">
        <v>1725</v>
      </c>
      <c r="R21" s="15">
        <f>SUM(M21:Q21)</f>
        <v>6033</v>
      </c>
      <c r="S21" s="15">
        <v>45000</v>
      </c>
      <c r="T21" s="67">
        <v>0.3</v>
      </c>
    </row>
    <row r="22" spans="1:20" x14ac:dyDescent="0.25">
      <c r="A22" s="65" t="str">
        <f>B18</f>
        <v>شهید کاوه</v>
      </c>
      <c r="B22" s="11" t="s">
        <v>10</v>
      </c>
      <c r="C22" s="12">
        <v>1165</v>
      </c>
      <c r="D22" s="13">
        <v>1506</v>
      </c>
      <c r="E22" s="13"/>
      <c r="F22" s="13"/>
      <c r="G22" s="14"/>
      <c r="H22" s="15">
        <f t="shared" ref="H22:H31" si="10">SUM(C22:F22)</f>
        <v>2671</v>
      </c>
      <c r="I22" s="15">
        <v>9000</v>
      </c>
      <c r="J22" s="67">
        <v>0.9</v>
      </c>
      <c r="K22" s="65" t="str">
        <f>L18</f>
        <v>مطهری</v>
      </c>
      <c r="L22" s="11" t="s">
        <v>10</v>
      </c>
      <c r="M22" s="12">
        <v>1274</v>
      </c>
      <c r="N22" s="13">
        <v>1627</v>
      </c>
      <c r="O22" s="13"/>
      <c r="P22" s="13"/>
      <c r="Q22" s="14">
        <v>1296</v>
      </c>
      <c r="R22" s="15">
        <f t="shared" ref="R22:R31" si="11">SUM(M22:P22)</f>
        <v>2901</v>
      </c>
      <c r="S22" s="15">
        <v>45000</v>
      </c>
      <c r="T22" s="67">
        <v>0.4</v>
      </c>
    </row>
    <row r="23" spans="1:20" x14ac:dyDescent="0.25">
      <c r="A23" s="65" t="str">
        <f>B18</f>
        <v>شهید کاوه</v>
      </c>
      <c r="B23" s="11" t="s">
        <v>11</v>
      </c>
      <c r="C23" s="12">
        <v>1557</v>
      </c>
      <c r="D23" s="13">
        <v>1604</v>
      </c>
      <c r="E23" s="13"/>
      <c r="F23" s="13"/>
      <c r="G23" s="14"/>
      <c r="H23" s="15">
        <f t="shared" si="10"/>
        <v>3161</v>
      </c>
      <c r="I23" s="15">
        <v>9000</v>
      </c>
      <c r="J23" s="67">
        <v>0.9</v>
      </c>
      <c r="K23" s="65" t="str">
        <f>L18</f>
        <v>مطهری</v>
      </c>
      <c r="L23" s="11" t="s">
        <v>11</v>
      </c>
      <c r="M23" s="12">
        <v>1583</v>
      </c>
      <c r="N23" s="13">
        <v>1541</v>
      </c>
      <c r="O23" s="13"/>
      <c r="P23" s="13"/>
      <c r="Q23" s="14">
        <v>1303</v>
      </c>
      <c r="R23" s="15">
        <f t="shared" si="11"/>
        <v>3124</v>
      </c>
      <c r="S23" s="15">
        <v>45000</v>
      </c>
      <c r="T23" s="67">
        <v>0.35</v>
      </c>
    </row>
    <row r="24" spans="1:20" x14ac:dyDescent="0.25">
      <c r="A24" s="65" t="str">
        <f>B18</f>
        <v>شهید کاوه</v>
      </c>
      <c r="B24" s="11" t="s">
        <v>12</v>
      </c>
      <c r="C24" s="12">
        <v>1493</v>
      </c>
      <c r="D24" s="13">
        <v>1914</v>
      </c>
      <c r="E24" s="13"/>
      <c r="F24" s="13"/>
      <c r="G24" s="14"/>
      <c r="H24" s="15">
        <f t="shared" si="10"/>
        <v>3407</v>
      </c>
      <c r="I24" s="15">
        <v>9000</v>
      </c>
      <c r="J24" s="67">
        <v>0.9</v>
      </c>
      <c r="K24" s="65" t="str">
        <f>L18</f>
        <v>مطهری</v>
      </c>
      <c r="L24" s="11" t="s">
        <v>12</v>
      </c>
      <c r="M24" s="12">
        <v>3985</v>
      </c>
      <c r="N24" s="13">
        <v>2751</v>
      </c>
      <c r="O24" s="13"/>
      <c r="P24" s="13"/>
      <c r="Q24" s="14">
        <v>2539</v>
      </c>
      <c r="R24" s="15">
        <f t="shared" si="11"/>
        <v>6736</v>
      </c>
      <c r="S24" s="15">
        <v>45000</v>
      </c>
      <c r="T24" s="67">
        <v>0.2</v>
      </c>
    </row>
    <row r="25" spans="1:20" x14ac:dyDescent="0.25">
      <c r="A25" s="65" t="str">
        <f>B18</f>
        <v>شهید کاوه</v>
      </c>
      <c r="B25" s="11" t="s">
        <v>13</v>
      </c>
      <c r="C25" s="12">
        <v>1058</v>
      </c>
      <c r="D25" s="13">
        <v>1274</v>
      </c>
      <c r="E25" s="13"/>
      <c r="F25" s="13"/>
      <c r="G25" s="14"/>
      <c r="H25" s="15">
        <f t="shared" si="10"/>
        <v>2332</v>
      </c>
      <c r="I25" s="15">
        <v>9000</v>
      </c>
      <c r="J25" s="67">
        <v>0.75</v>
      </c>
      <c r="K25" s="65" t="str">
        <f>L18</f>
        <v>مطهری</v>
      </c>
      <c r="L25" s="11" t="s">
        <v>13</v>
      </c>
      <c r="M25" s="12">
        <v>3381</v>
      </c>
      <c r="N25" s="13">
        <v>3825</v>
      </c>
      <c r="O25" s="13"/>
      <c r="P25" s="13"/>
      <c r="Q25" s="14">
        <v>1983</v>
      </c>
      <c r="R25" s="15">
        <f t="shared" si="11"/>
        <v>7206</v>
      </c>
      <c r="S25" s="15">
        <v>45000</v>
      </c>
      <c r="T25" s="67">
        <v>0.3</v>
      </c>
    </row>
    <row r="26" spans="1:20" x14ac:dyDescent="0.25">
      <c r="A26" s="65" t="str">
        <f>B18</f>
        <v>شهید کاوه</v>
      </c>
      <c r="B26" s="11" t="s">
        <v>14</v>
      </c>
      <c r="C26" s="12">
        <v>1386</v>
      </c>
      <c r="D26" s="13">
        <v>1403</v>
      </c>
      <c r="E26" s="13"/>
      <c r="F26" s="13"/>
      <c r="G26" s="14"/>
      <c r="H26" s="15">
        <f t="shared" si="10"/>
        <v>2789</v>
      </c>
      <c r="I26" s="15">
        <v>9000</v>
      </c>
      <c r="J26" s="67">
        <v>0.75</v>
      </c>
      <c r="K26" s="65" t="str">
        <f>L18</f>
        <v>مطهری</v>
      </c>
      <c r="L26" s="11" t="s">
        <v>14</v>
      </c>
      <c r="M26" s="12">
        <v>2710</v>
      </c>
      <c r="N26" s="13">
        <v>2340</v>
      </c>
      <c r="O26" s="13"/>
      <c r="P26" s="13"/>
      <c r="Q26" s="14">
        <v>2466</v>
      </c>
      <c r="R26" s="15">
        <f t="shared" si="11"/>
        <v>5050</v>
      </c>
      <c r="S26" s="15">
        <v>45000</v>
      </c>
      <c r="T26" s="67">
        <v>0.25</v>
      </c>
    </row>
    <row r="27" spans="1:20" x14ac:dyDescent="0.25">
      <c r="A27" s="65" t="str">
        <f>B18</f>
        <v>شهید کاوه</v>
      </c>
      <c r="B27" s="11" t="s">
        <v>15</v>
      </c>
      <c r="C27" s="12">
        <v>988</v>
      </c>
      <c r="D27" s="13">
        <v>1410</v>
      </c>
      <c r="E27" s="13"/>
      <c r="F27" s="13"/>
      <c r="G27" s="14"/>
      <c r="H27" s="15">
        <f t="shared" si="10"/>
        <v>2398</v>
      </c>
      <c r="I27" s="15">
        <v>9500</v>
      </c>
      <c r="J27" s="67">
        <v>0.8</v>
      </c>
      <c r="K27" s="65" t="str">
        <f>L18</f>
        <v>مطهری</v>
      </c>
      <c r="L27" s="11" t="s">
        <v>15</v>
      </c>
      <c r="M27" s="12">
        <v>1750</v>
      </c>
      <c r="N27" s="13">
        <v>2717</v>
      </c>
      <c r="O27" s="13"/>
      <c r="P27" s="13"/>
      <c r="Q27" s="14">
        <v>1508</v>
      </c>
      <c r="R27" s="15">
        <f t="shared" si="11"/>
        <v>4467</v>
      </c>
      <c r="S27" s="15">
        <v>45000</v>
      </c>
      <c r="T27" s="67">
        <v>0.1</v>
      </c>
    </row>
    <row r="28" spans="1:20" x14ac:dyDescent="0.25">
      <c r="A28" s="65" t="str">
        <f>B18</f>
        <v>شهید کاوه</v>
      </c>
      <c r="B28" s="11" t="s">
        <v>16</v>
      </c>
      <c r="C28" s="12">
        <v>1144</v>
      </c>
      <c r="D28" s="13">
        <v>785</v>
      </c>
      <c r="E28" s="13"/>
      <c r="F28" s="13"/>
      <c r="G28" s="14"/>
      <c r="H28" s="15">
        <f t="shared" si="10"/>
        <v>1929</v>
      </c>
      <c r="I28" s="15">
        <v>9500</v>
      </c>
      <c r="J28" s="67">
        <v>0.85</v>
      </c>
      <c r="K28" s="65" t="str">
        <f>L18</f>
        <v>مطهری</v>
      </c>
      <c r="L28" s="11" t="s">
        <v>16</v>
      </c>
      <c r="M28" s="12">
        <v>2311</v>
      </c>
      <c r="N28" s="13">
        <v>1205</v>
      </c>
      <c r="O28" s="13"/>
      <c r="P28" s="13"/>
      <c r="Q28" s="14">
        <v>2603</v>
      </c>
      <c r="R28" s="15">
        <f t="shared" si="11"/>
        <v>3516</v>
      </c>
      <c r="S28" s="15">
        <v>45000</v>
      </c>
      <c r="T28" s="67">
        <v>0.25</v>
      </c>
    </row>
    <row r="29" spans="1:20" x14ac:dyDescent="0.25">
      <c r="A29" s="65" t="str">
        <f>B18</f>
        <v>شهید کاوه</v>
      </c>
      <c r="B29" s="11" t="s">
        <v>17</v>
      </c>
      <c r="C29" s="12">
        <v>542</v>
      </c>
      <c r="D29" s="13">
        <v>1181</v>
      </c>
      <c r="E29" s="13"/>
      <c r="F29" s="13"/>
      <c r="G29" s="14"/>
      <c r="H29" s="15">
        <f t="shared" si="10"/>
        <v>1723</v>
      </c>
      <c r="I29" s="15">
        <v>9500</v>
      </c>
      <c r="J29" s="67">
        <v>0.7</v>
      </c>
      <c r="K29" s="65" t="str">
        <f>L18</f>
        <v>مطهری</v>
      </c>
      <c r="L29" s="11" t="s">
        <v>17</v>
      </c>
      <c r="M29" s="12">
        <v>1302</v>
      </c>
      <c r="N29" s="13">
        <v>1407</v>
      </c>
      <c r="O29" s="13"/>
      <c r="P29" s="13"/>
      <c r="Q29" s="14">
        <v>2498</v>
      </c>
      <c r="R29" s="15">
        <f t="shared" si="11"/>
        <v>2709</v>
      </c>
      <c r="S29" s="15">
        <v>45000</v>
      </c>
      <c r="T29" s="67">
        <v>0.25</v>
      </c>
    </row>
    <row r="30" spans="1:20" x14ac:dyDescent="0.25">
      <c r="A30" s="65" t="str">
        <f>B18</f>
        <v>شهید کاوه</v>
      </c>
      <c r="B30" s="11" t="s">
        <v>18</v>
      </c>
      <c r="C30" s="12">
        <v>116</v>
      </c>
      <c r="D30" s="13">
        <v>503</v>
      </c>
      <c r="E30" s="13"/>
      <c r="F30" s="13"/>
      <c r="G30" s="14"/>
      <c r="H30" s="15">
        <f t="shared" si="10"/>
        <v>619</v>
      </c>
      <c r="I30" s="15">
        <v>9500</v>
      </c>
      <c r="J30" s="67">
        <v>0.6</v>
      </c>
      <c r="K30" s="65" t="str">
        <f>L18</f>
        <v>مطهری</v>
      </c>
      <c r="L30" s="11" t="s">
        <v>18</v>
      </c>
      <c r="M30" s="12">
        <v>1025</v>
      </c>
      <c r="N30" s="13">
        <v>1685</v>
      </c>
      <c r="O30" s="13"/>
      <c r="P30" s="13"/>
      <c r="Q30" s="14">
        <v>1839</v>
      </c>
      <c r="R30" s="15">
        <f t="shared" si="11"/>
        <v>2710</v>
      </c>
      <c r="S30" s="15">
        <v>45000</v>
      </c>
      <c r="T30" s="67">
        <v>0.2</v>
      </c>
    </row>
    <row r="31" spans="1:20" ht="20.25" thickBot="1" x14ac:dyDescent="0.3">
      <c r="A31" s="65" t="str">
        <f>B18</f>
        <v>شهید کاوه</v>
      </c>
      <c r="B31" s="16" t="s">
        <v>19</v>
      </c>
      <c r="C31" s="17">
        <v>85</v>
      </c>
      <c r="D31" s="18">
        <v>683</v>
      </c>
      <c r="E31" s="18"/>
      <c r="F31" s="18"/>
      <c r="G31" s="19"/>
      <c r="H31" s="20">
        <f t="shared" si="10"/>
        <v>768</v>
      </c>
      <c r="I31" s="20">
        <v>9000</v>
      </c>
      <c r="J31" s="68">
        <v>0.3</v>
      </c>
      <c r="K31" s="65" t="str">
        <f>L18</f>
        <v>مطهری</v>
      </c>
      <c r="L31" s="16" t="s">
        <v>19</v>
      </c>
      <c r="M31" s="17">
        <v>1969</v>
      </c>
      <c r="N31" s="18">
        <v>1814</v>
      </c>
      <c r="O31" s="18"/>
      <c r="P31" s="18"/>
      <c r="Q31" s="19">
        <v>2087</v>
      </c>
      <c r="R31" s="20">
        <f t="shared" si="11"/>
        <v>3783</v>
      </c>
      <c r="S31" s="20">
        <v>45000</v>
      </c>
      <c r="T31" s="68">
        <v>0.2</v>
      </c>
    </row>
    <row r="32" spans="1:20" ht="21" thickBot="1" x14ac:dyDescent="0.3">
      <c r="A32" s="65"/>
      <c r="B32" s="108" t="s">
        <v>6</v>
      </c>
      <c r="C32" s="109">
        <f>SUM(C20:C31)</f>
        <v>12698</v>
      </c>
      <c r="D32" s="110">
        <f t="shared" ref="D32:F32" si="12">SUM(D20:D31)</f>
        <v>14076</v>
      </c>
      <c r="E32" s="110">
        <f t="shared" si="12"/>
        <v>0</v>
      </c>
      <c r="F32" s="110">
        <f t="shared" si="12"/>
        <v>0</v>
      </c>
      <c r="G32" s="11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12">
        <f t="shared" ref="H32" si="13">SUM(C32:F32)</f>
        <v>26774</v>
      </c>
      <c r="I32" s="112">
        <f>IFERROR(SUM(I20:I31)/COUNTIF(I20:I31,"&gt;"&amp;0),"")</f>
        <v>9166.6666666666661</v>
      </c>
      <c r="J32" s="113">
        <f>IFERROR((SUMPRODUCT(J20:J31,I20:I31)/COUNTIF(I20:I31,"&gt;"&amp;0))/I32,"")</f>
        <v>0.75795454545454555</v>
      </c>
      <c r="K32" s="65"/>
      <c r="L32" s="108" t="s">
        <v>6</v>
      </c>
      <c r="M32" s="109">
        <f>SUM(M20:M31)</f>
        <v>24202</v>
      </c>
      <c r="N32" s="110">
        <f t="shared" ref="N32:P32" si="14">SUM(N20:N31)</f>
        <v>25443</v>
      </c>
      <c r="O32" s="110">
        <f t="shared" si="14"/>
        <v>0</v>
      </c>
      <c r="P32" s="110">
        <f t="shared" si="14"/>
        <v>0</v>
      </c>
      <c r="Q32" s="11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2087</v>
      </c>
      <c r="R32" s="112">
        <f t="shared" ref="R32" si="15">SUM(M32:P32)</f>
        <v>49645</v>
      </c>
      <c r="S32" s="112">
        <f>IFERROR(SUM(S20:S31)/COUNTIF(S20:S31,"&gt;"&amp;0),"")</f>
        <v>45000</v>
      </c>
      <c r="T32" s="113">
        <f>IFERROR((SUMPRODUCT(T20:T31,S20:S31)/COUNTIF(S20:S31,"&gt;"&amp;0))/S32,"")</f>
        <v>0.28749999999999998</v>
      </c>
    </row>
    <row r="33" spans="1:20" ht="3.95" customHeight="1" thickBot="1" x14ac:dyDescent="0.3">
      <c r="A33" s="65"/>
      <c r="I33" s="103">
        <f>IFERROR(I32*J32,"")</f>
        <v>6947.916666666667</v>
      </c>
      <c r="K33" s="65"/>
      <c r="S33" s="103">
        <f>IFERROR(S32*T32,"")</f>
        <v>12937.499999999998</v>
      </c>
    </row>
    <row r="34" spans="1:20" ht="26.25" thickBot="1" x14ac:dyDescent="0.3">
      <c r="A34" s="65"/>
      <c r="B34" s="210" t="s">
        <v>23</v>
      </c>
      <c r="C34" s="211"/>
      <c r="D34" s="211"/>
      <c r="E34" s="211"/>
      <c r="F34" s="211"/>
      <c r="G34" s="211"/>
      <c r="H34" s="211"/>
      <c r="I34" s="211"/>
      <c r="J34" s="212"/>
      <c r="K34" s="65"/>
      <c r="L34" s="210" t="s">
        <v>24</v>
      </c>
      <c r="M34" s="211"/>
      <c r="N34" s="211"/>
      <c r="O34" s="211"/>
      <c r="P34" s="211"/>
      <c r="Q34" s="211"/>
      <c r="R34" s="211"/>
      <c r="S34" s="211"/>
      <c r="T34" s="212"/>
    </row>
    <row r="35" spans="1:20" ht="21" thickBot="1" x14ac:dyDescent="0.3">
      <c r="A35" s="65"/>
      <c r="B35" s="104" t="s">
        <v>0</v>
      </c>
      <c r="C35" s="105" t="s">
        <v>1</v>
      </c>
      <c r="D35" s="106" t="s">
        <v>2</v>
      </c>
      <c r="E35" s="106" t="s">
        <v>3</v>
      </c>
      <c r="F35" s="106" t="s">
        <v>4</v>
      </c>
      <c r="G35" s="107" t="s">
        <v>5</v>
      </c>
      <c r="H35" s="104" t="s">
        <v>7</v>
      </c>
      <c r="I35" s="104" t="s">
        <v>32</v>
      </c>
      <c r="J35" s="104" t="s">
        <v>30</v>
      </c>
      <c r="K35" s="65"/>
      <c r="L35" s="104" t="s">
        <v>0</v>
      </c>
      <c r="M35" s="105" t="s">
        <v>1</v>
      </c>
      <c r="N35" s="106" t="s">
        <v>2</v>
      </c>
      <c r="O35" s="106" t="s">
        <v>3</v>
      </c>
      <c r="P35" s="106" t="s">
        <v>4</v>
      </c>
      <c r="Q35" s="107" t="s">
        <v>5</v>
      </c>
      <c r="R35" s="104" t="s">
        <v>7</v>
      </c>
      <c r="S35" s="104" t="s">
        <v>32</v>
      </c>
      <c r="T35" s="104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905</v>
      </c>
      <c r="D36" s="8">
        <v>526</v>
      </c>
      <c r="E36" s="8"/>
      <c r="F36" s="8"/>
      <c r="G36" s="9"/>
      <c r="H36" s="10">
        <f>SUM(C36:F36)</f>
        <v>1431</v>
      </c>
      <c r="I36" s="10">
        <v>14200</v>
      </c>
      <c r="J36" s="66">
        <v>0.85</v>
      </c>
      <c r="K36" s="65" t="str">
        <f>L34</f>
        <v>لطف آباد</v>
      </c>
      <c r="L36" s="6" t="s">
        <v>8</v>
      </c>
      <c r="M36" s="7">
        <v>4019</v>
      </c>
      <c r="N36" s="8">
        <v>5726</v>
      </c>
      <c r="O36" s="8"/>
      <c r="P36" s="8"/>
      <c r="Q36" s="9">
        <v>1205</v>
      </c>
      <c r="R36" s="10">
        <f>SUM(M36:P36)</f>
        <v>9745</v>
      </c>
      <c r="S36" s="10">
        <v>20000</v>
      </c>
      <c r="T36" s="66">
        <v>0.3</v>
      </c>
    </row>
    <row r="37" spans="1:20" x14ac:dyDescent="0.25">
      <c r="A37" s="65" t="str">
        <f>B34</f>
        <v>سرخس</v>
      </c>
      <c r="B37" s="11" t="s">
        <v>9</v>
      </c>
      <c r="C37" s="12">
        <v>1684</v>
      </c>
      <c r="D37" s="13">
        <v>1826</v>
      </c>
      <c r="E37" s="13"/>
      <c r="F37" s="13"/>
      <c r="G37" s="14"/>
      <c r="H37" s="15">
        <v>14200</v>
      </c>
      <c r="I37" s="15">
        <v>14200</v>
      </c>
      <c r="J37" s="67">
        <v>0.9</v>
      </c>
      <c r="K37" s="65" t="str">
        <f>L34</f>
        <v>لطف آباد</v>
      </c>
      <c r="L37" s="11" t="s">
        <v>9</v>
      </c>
      <c r="M37" s="12">
        <v>6889</v>
      </c>
      <c r="N37" s="13">
        <v>6627</v>
      </c>
      <c r="O37" s="13"/>
      <c r="P37" s="13"/>
      <c r="Q37" s="14">
        <v>1498</v>
      </c>
      <c r="R37" s="15">
        <f t="shared" ref="R37:R48" si="16">SUM(M37:P37)</f>
        <v>13516</v>
      </c>
      <c r="S37" s="15">
        <v>20000</v>
      </c>
      <c r="T37" s="67">
        <v>0.35</v>
      </c>
    </row>
    <row r="38" spans="1:20" x14ac:dyDescent="0.25">
      <c r="A38" s="65" t="str">
        <f>B34</f>
        <v>سرخس</v>
      </c>
      <c r="B38" s="11" t="s">
        <v>10</v>
      </c>
      <c r="C38" s="12">
        <v>533</v>
      </c>
      <c r="D38" s="13">
        <v>827</v>
      </c>
      <c r="E38" s="13"/>
      <c r="F38" s="13"/>
      <c r="G38" s="14"/>
      <c r="H38" s="15">
        <f t="shared" ref="H38:H48" si="17">SUM(C38:F38)</f>
        <v>1360</v>
      </c>
      <c r="I38" s="15">
        <v>14200</v>
      </c>
      <c r="J38" s="67">
        <v>0.85</v>
      </c>
      <c r="K38" s="65" t="str">
        <f>L34</f>
        <v>لطف آباد</v>
      </c>
      <c r="L38" s="11" t="s">
        <v>10</v>
      </c>
      <c r="M38" s="12">
        <v>8668</v>
      </c>
      <c r="N38" s="13">
        <v>6110</v>
      </c>
      <c r="O38" s="13"/>
      <c r="P38" s="13"/>
      <c r="Q38" s="14">
        <v>4057</v>
      </c>
      <c r="R38" s="15">
        <f t="shared" si="16"/>
        <v>14778</v>
      </c>
      <c r="S38" s="15">
        <v>20000</v>
      </c>
      <c r="T38" s="67">
        <v>0.5</v>
      </c>
    </row>
    <row r="39" spans="1:20" x14ac:dyDescent="0.25">
      <c r="A39" s="65" t="str">
        <f>B34</f>
        <v>سرخس</v>
      </c>
      <c r="B39" s="11" t="s">
        <v>11</v>
      </c>
      <c r="C39" s="12">
        <v>940</v>
      </c>
      <c r="D39" s="13">
        <v>940</v>
      </c>
      <c r="E39" s="13"/>
      <c r="F39" s="13"/>
      <c r="G39" s="14"/>
      <c r="H39" s="15">
        <f t="shared" si="17"/>
        <v>1880</v>
      </c>
      <c r="I39" s="15">
        <v>14200</v>
      </c>
      <c r="J39" s="67">
        <v>0.75</v>
      </c>
      <c r="K39" s="65" t="str">
        <f>L34</f>
        <v>لطف آباد</v>
      </c>
      <c r="L39" s="11" t="s">
        <v>11</v>
      </c>
      <c r="M39" s="12">
        <v>5490</v>
      </c>
      <c r="N39" s="13">
        <v>6806</v>
      </c>
      <c r="O39" s="13"/>
      <c r="P39" s="13"/>
      <c r="Q39" s="14">
        <v>2763</v>
      </c>
      <c r="R39" s="15">
        <f t="shared" si="16"/>
        <v>12296</v>
      </c>
      <c r="S39" s="15">
        <v>20000</v>
      </c>
      <c r="T39" s="67">
        <v>0.6</v>
      </c>
    </row>
    <row r="40" spans="1:20" x14ac:dyDescent="0.25">
      <c r="A40" s="65" t="str">
        <f>B34</f>
        <v>سرخس</v>
      </c>
      <c r="B40" s="11" t="s">
        <v>12</v>
      </c>
      <c r="C40" s="12">
        <v>1792</v>
      </c>
      <c r="D40" s="13">
        <v>914</v>
      </c>
      <c r="E40" s="13"/>
      <c r="F40" s="13"/>
      <c r="G40" s="14"/>
      <c r="H40" s="15">
        <f t="shared" si="17"/>
        <v>2706</v>
      </c>
      <c r="I40" s="15">
        <v>14200</v>
      </c>
      <c r="J40" s="67">
        <v>1</v>
      </c>
      <c r="K40" s="65" t="str">
        <f>L34</f>
        <v>لطف آباد</v>
      </c>
      <c r="L40" s="11" t="s">
        <v>12</v>
      </c>
      <c r="M40" s="12">
        <v>8347</v>
      </c>
      <c r="N40" s="13">
        <v>7204</v>
      </c>
      <c r="O40" s="13"/>
      <c r="P40" s="13"/>
      <c r="Q40" s="14">
        <v>3903</v>
      </c>
      <c r="R40" s="15">
        <f t="shared" si="16"/>
        <v>15551</v>
      </c>
      <c r="S40" s="15">
        <v>20000</v>
      </c>
      <c r="T40" s="67">
        <v>0.65</v>
      </c>
    </row>
    <row r="41" spans="1:20" x14ac:dyDescent="0.25">
      <c r="A41" s="65" t="str">
        <f>B34</f>
        <v>سرخس</v>
      </c>
      <c r="B41" s="11" t="s">
        <v>13</v>
      </c>
      <c r="C41" s="12">
        <v>1640</v>
      </c>
      <c r="D41" s="13">
        <v>1922</v>
      </c>
      <c r="E41" s="13"/>
      <c r="F41" s="13"/>
      <c r="G41" s="14"/>
      <c r="H41" s="15">
        <f t="shared" si="17"/>
        <v>3562</v>
      </c>
      <c r="I41" s="15">
        <v>14200</v>
      </c>
      <c r="J41" s="67">
        <v>1</v>
      </c>
      <c r="K41" s="65" t="str">
        <f>L34</f>
        <v>لطف آباد</v>
      </c>
      <c r="L41" s="11" t="s">
        <v>13</v>
      </c>
      <c r="M41" s="12">
        <v>9500</v>
      </c>
      <c r="N41" s="13">
        <v>7986</v>
      </c>
      <c r="O41" s="13"/>
      <c r="P41" s="13"/>
      <c r="Q41" s="14">
        <v>5448</v>
      </c>
      <c r="R41" s="15">
        <f t="shared" si="16"/>
        <v>17486</v>
      </c>
      <c r="S41" s="15">
        <v>20000</v>
      </c>
      <c r="T41" s="67">
        <v>0.8</v>
      </c>
    </row>
    <row r="42" spans="1:20" x14ac:dyDescent="0.25">
      <c r="A42" s="65" t="str">
        <f>B34</f>
        <v>سرخس</v>
      </c>
      <c r="B42" s="11" t="s">
        <v>14</v>
      </c>
      <c r="C42" s="12">
        <v>2074</v>
      </c>
      <c r="D42" s="13">
        <v>1513</v>
      </c>
      <c r="E42" s="13"/>
      <c r="F42" s="13"/>
      <c r="G42" s="14"/>
      <c r="H42" s="15">
        <f t="shared" si="17"/>
        <v>3587</v>
      </c>
      <c r="I42" s="15">
        <v>14200</v>
      </c>
      <c r="J42" s="67">
        <v>1</v>
      </c>
      <c r="K42" s="65" t="str">
        <f>L34</f>
        <v>لطف آباد</v>
      </c>
      <c r="L42" s="11" t="s">
        <v>14</v>
      </c>
      <c r="M42" s="12">
        <v>8778</v>
      </c>
      <c r="N42" s="13">
        <v>8122</v>
      </c>
      <c r="O42" s="13"/>
      <c r="P42" s="13"/>
      <c r="Q42" s="14">
        <v>6134</v>
      </c>
      <c r="R42" s="15">
        <f t="shared" si="16"/>
        <v>16900</v>
      </c>
      <c r="S42" s="15">
        <v>20000</v>
      </c>
      <c r="T42" s="67">
        <v>0.85</v>
      </c>
    </row>
    <row r="43" spans="1:20" x14ac:dyDescent="0.25">
      <c r="A43" s="65" t="str">
        <f>B34</f>
        <v>سرخس</v>
      </c>
      <c r="B43" s="11" t="s">
        <v>15</v>
      </c>
      <c r="C43" s="12">
        <v>2789</v>
      </c>
      <c r="D43" s="13">
        <v>2651</v>
      </c>
      <c r="E43" s="13"/>
      <c r="F43" s="13"/>
      <c r="G43" s="14"/>
      <c r="H43" s="15">
        <f t="shared" si="17"/>
        <v>5440</v>
      </c>
      <c r="I43" s="15">
        <v>14200</v>
      </c>
      <c r="J43" s="67">
        <v>1</v>
      </c>
      <c r="K43" s="65" t="str">
        <f>L34</f>
        <v>لطف آباد</v>
      </c>
      <c r="L43" s="11" t="s">
        <v>15</v>
      </c>
      <c r="M43" s="12">
        <v>7318</v>
      </c>
      <c r="N43" s="13">
        <v>9155</v>
      </c>
      <c r="O43" s="13"/>
      <c r="P43" s="13"/>
      <c r="Q43" s="14">
        <v>4393</v>
      </c>
      <c r="R43" s="15">
        <f t="shared" si="16"/>
        <v>16473</v>
      </c>
      <c r="S43" s="15">
        <v>20000</v>
      </c>
      <c r="T43" s="67">
        <v>0.7</v>
      </c>
    </row>
    <row r="44" spans="1:20" x14ac:dyDescent="0.25">
      <c r="A44" s="65" t="str">
        <f>B34</f>
        <v>سرخس</v>
      </c>
      <c r="B44" s="11" t="s">
        <v>16</v>
      </c>
      <c r="C44" s="12">
        <v>983</v>
      </c>
      <c r="D44" s="13">
        <v>1031</v>
      </c>
      <c r="E44" s="13"/>
      <c r="F44" s="13"/>
      <c r="G44" s="14"/>
      <c r="H44" s="15">
        <f t="shared" si="17"/>
        <v>2014</v>
      </c>
      <c r="I44" s="15">
        <v>14200</v>
      </c>
      <c r="J44" s="67">
        <v>0.95</v>
      </c>
      <c r="K44" s="65" t="str">
        <f>L34</f>
        <v>لطف آباد</v>
      </c>
      <c r="L44" s="11" t="s">
        <v>16</v>
      </c>
      <c r="M44" s="12">
        <v>9439</v>
      </c>
      <c r="N44" s="13">
        <v>6823</v>
      </c>
      <c r="O44" s="13"/>
      <c r="P44" s="13"/>
      <c r="Q44" s="14">
        <f>6870+155</f>
        <v>7025</v>
      </c>
      <c r="R44" s="15">
        <f t="shared" si="16"/>
        <v>16262</v>
      </c>
      <c r="S44" s="15">
        <v>20000</v>
      </c>
      <c r="T44" s="67">
        <v>0.8</v>
      </c>
    </row>
    <row r="45" spans="1:20" x14ac:dyDescent="0.25">
      <c r="A45" s="65" t="str">
        <f>B34</f>
        <v>سرخس</v>
      </c>
      <c r="B45" s="11" t="s">
        <v>17</v>
      </c>
      <c r="C45" s="12">
        <v>989</v>
      </c>
      <c r="D45" s="13">
        <v>688</v>
      </c>
      <c r="E45" s="13"/>
      <c r="F45" s="13"/>
      <c r="G45" s="14"/>
      <c r="H45" s="15">
        <f t="shared" si="17"/>
        <v>1677</v>
      </c>
      <c r="I45" s="15">
        <v>14200</v>
      </c>
      <c r="J45" s="67">
        <v>1</v>
      </c>
      <c r="K45" s="65" t="str">
        <f>L34</f>
        <v>لطف آباد</v>
      </c>
      <c r="L45" s="11" t="s">
        <v>17</v>
      </c>
      <c r="M45" s="12">
        <v>6182</v>
      </c>
      <c r="N45" s="13">
        <v>7355</v>
      </c>
      <c r="O45" s="13"/>
      <c r="P45" s="13"/>
      <c r="Q45" s="14">
        <v>5890</v>
      </c>
      <c r="R45" s="15">
        <f t="shared" si="16"/>
        <v>13537</v>
      </c>
      <c r="S45" s="15">
        <v>20000</v>
      </c>
      <c r="T45" s="67">
        <v>0.6</v>
      </c>
    </row>
    <row r="46" spans="1:20" x14ac:dyDescent="0.25">
      <c r="A46" s="65" t="str">
        <f>B34</f>
        <v>سرخس</v>
      </c>
      <c r="B46" s="11" t="s">
        <v>18</v>
      </c>
      <c r="C46" s="12">
        <v>1115</v>
      </c>
      <c r="D46" s="13">
        <v>1213</v>
      </c>
      <c r="E46" s="13"/>
      <c r="F46" s="13"/>
      <c r="G46" s="14"/>
      <c r="H46" s="15">
        <f t="shared" si="17"/>
        <v>2328</v>
      </c>
      <c r="I46" s="15">
        <v>14200</v>
      </c>
      <c r="J46" s="67">
        <v>0.9</v>
      </c>
      <c r="K46" s="65" t="str">
        <f>L34</f>
        <v>لطف آباد</v>
      </c>
      <c r="L46" s="11" t="s">
        <v>18</v>
      </c>
      <c r="M46" s="12">
        <v>9748</v>
      </c>
      <c r="N46" s="13">
        <v>7467</v>
      </c>
      <c r="O46" s="13"/>
      <c r="P46" s="13"/>
      <c r="Q46" s="14">
        <v>8171</v>
      </c>
      <c r="R46" s="15">
        <f t="shared" si="16"/>
        <v>17215</v>
      </c>
      <c r="S46" s="15">
        <v>20000</v>
      </c>
      <c r="T46" s="67">
        <v>0.75</v>
      </c>
    </row>
    <row r="47" spans="1:20" ht="20.25" thickBot="1" x14ac:dyDescent="0.3">
      <c r="A47" s="65" t="str">
        <f>B34</f>
        <v>سرخس</v>
      </c>
      <c r="B47" s="16" t="s">
        <v>19</v>
      </c>
      <c r="C47" s="17">
        <v>646</v>
      </c>
      <c r="D47" s="18">
        <v>1127</v>
      </c>
      <c r="E47" s="18"/>
      <c r="F47" s="18"/>
      <c r="G47" s="19"/>
      <c r="H47" s="20">
        <f t="shared" si="17"/>
        <v>1773</v>
      </c>
      <c r="I47" s="20">
        <v>14200</v>
      </c>
      <c r="J47" s="68">
        <v>0.7</v>
      </c>
      <c r="K47" s="65" t="str">
        <f>L34</f>
        <v>لطف آباد</v>
      </c>
      <c r="L47" s="16" t="s">
        <v>19</v>
      </c>
      <c r="M47" s="17">
        <v>10005</v>
      </c>
      <c r="N47" s="18">
        <v>8534</v>
      </c>
      <c r="O47" s="18"/>
      <c r="P47" s="18"/>
      <c r="Q47" s="19">
        <v>9656</v>
      </c>
      <c r="R47" s="20">
        <f t="shared" si="16"/>
        <v>18539</v>
      </c>
      <c r="S47" s="20">
        <v>20000</v>
      </c>
      <c r="T47" s="68">
        <v>0.85</v>
      </c>
    </row>
    <row r="48" spans="1:20" ht="21" thickBot="1" x14ac:dyDescent="0.3">
      <c r="A48" s="65"/>
      <c r="B48" s="108" t="s">
        <v>6</v>
      </c>
      <c r="C48" s="109">
        <f>SUM(C36:C47)</f>
        <v>16090</v>
      </c>
      <c r="D48" s="110">
        <f t="shared" ref="D48:F48" si="18">SUM(D36:D47)</f>
        <v>15178</v>
      </c>
      <c r="E48" s="110">
        <f t="shared" si="18"/>
        <v>0</v>
      </c>
      <c r="F48" s="110">
        <f t="shared" si="18"/>
        <v>0</v>
      </c>
      <c r="G48" s="11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12">
        <f t="shared" si="17"/>
        <v>31268</v>
      </c>
      <c r="I48" s="112">
        <f>IFERROR(SUM(I36:I47)/COUNTIF(I36:I47,"&gt;"&amp;0),"")</f>
        <v>14200</v>
      </c>
      <c r="J48" s="113">
        <f>IFERROR((SUMPRODUCT(J36:J47,I36:I47)/COUNTIF(I36:I47,"&gt;"&amp;0))/I48,"")</f>
        <v>0.90833333333333333</v>
      </c>
      <c r="K48" s="65"/>
      <c r="L48" s="108" t="s">
        <v>6</v>
      </c>
      <c r="M48" s="109">
        <f>SUM(M36:M47)</f>
        <v>94383</v>
      </c>
      <c r="N48" s="110">
        <f t="shared" ref="N48:P48" si="19">SUM(N36:N47)</f>
        <v>87915</v>
      </c>
      <c r="O48" s="110">
        <f t="shared" si="19"/>
        <v>0</v>
      </c>
      <c r="P48" s="110">
        <f t="shared" si="19"/>
        <v>0</v>
      </c>
      <c r="Q48" s="11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9656</v>
      </c>
      <c r="R48" s="112">
        <f t="shared" si="16"/>
        <v>182298</v>
      </c>
      <c r="S48" s="112">
        <f>IFERROR(SUM(S36:S47)/COUNTIF(S36:S47,"&gt;"&amp;0),"")</f>
        <v>20000</v>
      </c>
      <c r="T48" s="113">
        <f>IFERROR((SUMPRODUCT(T36:T47,S36:S47)/COUNTIF(S36:S47,"&gt;"&amp;0))/S48,"")</f>
        <v>0.64583333333333326</v>
      </c>
    </row>
    <row r="49" spans="1:20" ht="3.95" customHeight="1" thickBot="1" x14ac:dyDescent="0.3">
      <c r="A49" s="65"/>
      <c r="I49" s="103">
        <f>IFERROR(I48*J48,"")</f>
        <v>12898.333333333334</v>
      </c>
      <c r="K49" s="65"/>
      <c r="S49" s="103">
        <f>IFERROR(S48*T48,"")</f>
        <v>12916.666666666666</v>
      </c>
    </row>
    <row r="50" spans="1:20" ht="26.25" thickBot="1" x14ac:dyDescent="0.3">
      <c r="A50" s="65"/>
      <c r="B50" s="210" t="s">
        <v>25</v>
      </c>
      <c r="C50" s="211"/>
      <c r="D50" s="211"/>
      <c r="E50" s="211"/>
      <c r="F50" s="211"/>
      <c r="G50" s="211"/>
      <c r="H50" s="211"/>
      <c r="I50" s="211"/>
      <c r="J50" s="212"/>
      <c r="K50" s="65"/>
      <c r="L50" s="210" t="s">
        <v>26</v>
      </c>
      <c r="M50" s="211"/>
      <c r="N50" s="211"/>
      <c r="O50" s="211"/>
      <c r="P50" s="211"/>
      <c r="Q50" s="211"/>
      <c r="R50" s="211"/>
      <c r="S50" s="211"/>
      <c r="T50" s="212"/>
    </row>
    <row r="51" spans="1:20" ht="21" thickBot="1" x14ac:dyDescent="0.3">
      <c r="A51" s="65"/>
      <c r="B51" s="104" t="s">
        <v>0</v>
      </c>
      <c r="C51" s="105" t="s">
        <v>1</v>
      </c>
      <c r="D51" s="106" t="s">
        <v>2</v>
      </c>
      <c r="E51" s="106" t="s">
        <v>3</v>
      </c>
      <c r="F51" s="106" t="s">
        <v>4</v>
      </c>
      <c r="G51" s="107" t="s">
        <v>5</v>
      </c>
      <c r="H51" s="104" t="s">
        <v>7</v>
      </c>
      <c r="I51" s="104" t="s">
        <v>32</v>
      </c>
      <c r="J51" s="104" t="s">
        <v>30</v>
      </c>
      <c r="K51" s="65"/>
      <c r="L51" s="104" t="s">
        <v>0</v>
      </c>
      <c r="M51" s="105" t="s">
        <v>1</v>
      </c>
      <c r="N51" s="106" t="s">
        <v>2</v>
      </c>
      <c r="O51" s="106" t="s">
        <v>3</v>
      </c>
      <c r="P51" s="106" t="s">
        <v>4</v>
      </c>
      <c r="Q51" s="107" t="s">
        <v>5</v>
      </c>
      <c r="R51" s="104" t="s">
        <v>7</v>
      </c>
      <c r="S51" s="104" t="s">
        <v>32</v>
      </c>
      <c r="T51" s="104" t="s">
        <v>30</v>
      </c>
    </row>
    <row r="52" spans="1:20" x14ac:dyDescent="0.25">
      <c r="A52" s="65" t="str">
        <f>B50</f>
        <v>نیشابور</v>
      </c>
      <c r="B52" s="6" t="s">
        <v>8</v>
      </c>
      <c r="C52" s="7">
        <v>430</v>
      </c>
      <c r="D52" s="8">
        <v>0</v>
      </c>
      <c r="E52" s="8"/>
      <c r="F52" s="8"/>
      <c r="G52" s="9"/>
      <c r="H52" s="10">
        <f>SUM(C52:F52)</f>
        <v>430</v>
      </c>
      <c r="I52" s="10">
        <v>4500</v>
      </c>
      <c r="J52" s="66">
        <v>1</v>
      </c>
      <c r="K52" s="65" t="str">
        <f>L50</f>
        <v>دوغارون</v>
      </c>
      <c r="L52" s="6" t="s">
        <v>8</v>
      </c>
      <c r="M52" s="7">
        <v>5543</v>
      </c>
      <c r="N52" s="8">
        <v>5005</v>
      </c>
      <c r="O52" s="8"/>
      <c r="P52" s="8"/>
      <c r="Q52" s="9"/>
      <c r="R52" s="10">
        <f>SUM(M52:P52)</f>
        <v>10548</v>
      </c>
      <c r="S52" s="10">
        <v>5000</v>
      </c>
      <c r="T52" s="66">
        <v>0.4</v>
      </c>
    </row>
    <row r="53" spans="1:20" x14ac:dyDescent="0.25">
      <c r="A53" s="65" t="str">
        <f>B50</f>
        <v>نیشابور</v>
      </c>
      <c r="B53" s="11" t="s">
        <v>9</v>
      </c>
      <c r="C53" s="12">
        <v>199</v>
      </c>
      <c r="D53" s="13">
        <v>12</v>
      </c>
      <c r="E53" s="13"/>
      <c r="F53" s="13"/>
      <c r="G53" s="14"/>
      <c r="H53" s="15">
        <f t="shared" ref="H53:H63" si="20">SUM(C53:F53)</f>
        <v>211</v>
      </c>
      <c r="I53" s="15">
        <v>4500</v>
      </c>
      <c r="J53" s="67">
        <v>1</v>
      </c>
      <c r="K53" s="65" t="str">
        <f>L50</f>
        <v>دوغارون</v>
      </c>
      <c r="L53" s="11" t="s">
        <v>9</v>
      </c>
      <c r="M53" s="12">
        <v>3669</v>
      </c>
      <c r="N53" s="13">
        <v>4425</v>
      </c>
      <c r="O53" s="13"/>
      <c r="P53" s="13"/>
      <c r="Q53" s="14"/>
      <c r="R53" s="15">
        <f t="shared" ref="R53:R63" si="21">SUM(M53:P53)</f>
        <v>8094</v>
      </c>
      <c r="S53" s="15">
        <v>5000</v>
      </c>
      <c r="T53" s="67">
        <v>0.65</v>
      </c>
    </row>
    <row r="54" spans="1:20" x14ac:dyDescent="0.25">
      <c r="A54" s="65" t="str">
        <f>B50</f>
        <v>نیشابور</v>
      </c>
      <c r="B54" s="11" t="s">
        <v>10</v>
      </c>
      <c r="C54" s="12">
        <v>0</v>
      </c>
      <c r="D54" s="13">
        <v>758</v>
      </c>
      <c r="E54" s="13"/>
      <c r="F54" s="13"/>
      <c r="G54" s="14"/>
      <c r="H54" s="15">
        <f t="shared" si="20"/>
        <v>758</v>
      </c>
      <c r="I54" s="15">
        <v>4500</v>
      </c>
      <c r="J54" s="67">
        <v>0.75</v>
      </c>
      <c r="K54" s="65" t="str">
        <f>L50</f>
        <v>دوغارون</v>
      </c>
      <c r="L54" s="11" t="s">
        <v>10</v>
      </c>
      <c r="M54" s="12">
        <v>2295</v>
      </c>
      <c r="N54" s="13">
        <v>2452</v>
      </c>
      <c r="O54" s="13"/>
      <c r="P54" s="13"/>
      <c r="Q54" s="14"/>
      <c r="R54" s="15">
        <f t="shared" si="21"/>
        <v>4747</v>
      </c>
      <c r="S54" s="15">
        <v>5000</v>
      </c>
      <c r="T54" s="67">
        <v>0.75</v>
      </c>
    </row>
    <row r="55" spans="1:20" x14ac:dyDescent="0.25">
      <c r="A55" s="65" t="str">
        <f>B50</f>
        <v>نیشابور</v>
      </c>
      <c r="B55" s="11" t="s">
        <v>11</v>
      </c>
      <c r="C55" s="12">
        <v>29</v>
      </c>
      <c r="D55" s="13">
        <v>422</v>
      </c>
      <c r="E55" s="13"/>
      <c r="F55" s="13"/>
      <c r="G55" s="14"/>
      <c r="H55" s="15">
        <f t="shared" si="20"/>
        <v>451</v>
      </c>
      <c r="I55" s="15">
        <v>3000</v>
      </c>
      <c r="J55" s="67">
        <v>0.5</v>
      </c>
      <c r="K55" s="65" t="str">
        <f>L50</f>
        <v>دوغارون</v>
      </c>
      <c r="L55" s="11" t="s">
        <v>11</v>
      </c>
      <c r="M55" s="12">
        <v>4148</v>
      </c>
      <c r="N55" s="13">
        <v>4843</v>
      </c>
      <c r="O55" s="13"/>
      <c r="P55" s="13"/>
      <c r="Q55" s="14"/>
      <c r="R55" s="15">
        <f t="shared" si="21"/>
        <v>8991</v>
      </c>
      <c r="S55" s="15">
        <v>5000</v>
      </c>
      <c r="T55" s="67">
        <v>0.7</v>
      </c>
    </row>
    <row r="56" spans="1:20" x14ac:dyDescent="0.25">
      <c r="A56" s="65" t="str">
        <f>B50</f>
        <v>نیشابور</v>
      </c>
      <c r="B56" s="11" t="s">
        <v>12</v>
      </c>
      <c r="C56" s="12">
        <v>38</v>
      </c>
      <c r="D56" s="13">
        <v>96</v>
      </c>
      <c r="E56" s="13"/>
      <c r="F56" s="13"/>
      <c r="G56" s="14"/>
      <c r="H56" s="15">
        <f t="shared" si="20"/>
        <v>134</v>
      </c>
      <c r="I56" s="15">
        <v>3000</v>
      </c>
      <c r="J56" s="67">
        <v>0.5</v>
      </c>
      <c r="K56" s="65" t="str">
        <f>L50</f>
        <v>دوغارون</v>
      </c>
      <c r="L56" s="11" t="s">
        <v>12</v>
      </c>
      <c r="M56" s="12">
        <v>3090</v>
      </c>
      <c r="N56" s="13">
        <v>11089</v>
      </c>
      <c r="O56" s="13"/>
      <c r="P56" s="13"/>
      <c r="Q56" s="14"/>
      <c r="R56" s="15">
        <f t="shared" si="21"/>
        <v>14179</v>
      </c>
      <c r="S56" s="15">
        <v>5000</v>
      </c>
      <c r="T56" s="67">
        <v>0.7</v>
      </c>
    </row>
    <row r="57" spans="1:20" x14ac:dyDescent="0.25">
      <c r="A57" s="65" t="str">
        <f>B50</f>
        <v>نیشابور</v>
      </c>
      <c r="B57" s="11" t="s">
        <v>13</v>
      </c>
      <c r="C57" s="12">
        <v>0</v>
      </c>
      <c r="D57" s="13">
        <v>73</v>
      </c>
      <c r="E57" s="13"/>
      <c r="F57" s="13"/>
      <c r="G57" s="14"/>
      <c r="H57" s="15">
        <f t="shared" si="20"/>
        <v>73</v>
      </c>
      <c r="I57" s="15">
        <v>3000</v>
      </c>
      <c r="J57" s="67">
        <v>0.5</v>
      </c>
      <c r="K57" s="65" t="str">
        <f>L50</f>
        <v>دوغارون</v>
      </c>
      <c r="L57" s="11" t="s">
        <v>13</v>
      </c>
      <c r="M57" s="12">
        <v>3924</v>
      </c>
      <c r="N57" s="13">
        <v>3629</v>
      </c>
      <c r="O57" s="13"/>
      <c r="P57" s="13"/>
      <c r="Q57" s="14"/>
      <c r="R57" s="15">
        <f t="shared" si="21"/>
        <v>7553</v>
      </c>
      <c r="S57" s="15">
        <v>5000</v>
      </c>
      <c r="T57" s="67">
        <v>0.65</v>
      </c>
    </row>
    <row r="58" spans="1:20" x14ac:dyDescent="0.25">
      <c r="A58" s="65" t="str">
        <f>B50</f>
        <v>نیشابور</v>
      </c>
      <c r="B58" s="11" t="s">
        <v>14</v>
      </c>
      <c r="C58" s="12">
        <v>0</v>
      </c>
      <c r="D58" s="13">
        <v>36</v>
      </c>
      <c r="E58" s="13"/>
      <c r="F58" s="13"/>
      <c r="G58" s="14"/>
      <c r="H58" s="15">
        <f t="shared" si="20"/>
        <v>36</v>
      </c>
      <c r="I58" s="15">
        <v>3000</v>
      </c>
      <c r="J58" s="67">
        <v>0.4</v>
      </c>
      <c r="K58" s="65" t="str">
        <f>L50</f>
        <v>دوغارون</v>
      </c>
      <c r="L58" s="11" t="s">
        <v>14</v>
      </c>
      <c r="M58" s="12">
        <v>4619</v>
      </c>
      <c r="N58" s="13">
        <v>4348</v>
      </c>
      <c r="O58" s="13"/>
      <c r="P58" s="13"/>
      <c r="Q58" s="14"/>
      <c r="R58" s="15">
        <f t="shared" si="21"/>
        <v>8967</v>
      </c>
      <c r="S58" s="15">
        <v>5000</v>
      </c>
      <c r="T58" s="67">
        <v>0.9</v>
      </c>
    </row>
    <row r="59" spans="1:20" x14ac:dyDescent="0.25">
      <c r="A59" s="65" t="str">
        <f>B50</f>
        <v>نیشابور</v>
      </c>
      <c r="B59" s="11" t="s">
        <v>15</v>
      </c>
      <c r="C59" s="12">
        <v>991</v>
      </c>
      <c r="D59" s="13">
        <v>342</v>
      </c>
      <c r="E59" s="13"/>
      <c r="F59" s="13"/>
      <c r="G59" s="14"/>
      <c r="H59" s="15">
        <f t="shared" si="20"/>
        <v>1333</v>
      </c>
      <c r="I59" s="15">
        <v>3000</v>
      </c>
      <c r="J59" s="67">
        <v>0.7</v>
      </c>
      <c r="K59" s="65" t="str">
        <f>L50</f>
        <v>دوغارون</v>
      </c>
      <c r="L59" s="11" t="s">
        <v>15</v>
      </c>
      <c r="M59" s="12">
        <v>22326</v>
      </c>
      <c r="N59" s="13">
        <v>7042</v>
      </c>
      <c r="O59" s="13"/>
      <c r="P59" s="13"/>
      <c r="Q59" s="14"/>
      <c r="R59" s="15">
        <f t="shared" si="21"/>
        <v>29368</v>
      </c>
      <c r="S59" s="15">
        <v>5000</v>
      </c>
      <c r="T59" s="67">
        <v>0.95</v>
      </c>
    </row>
    <row r="60" spans="1:20" x14ac:dyDescent="0.25">
      <c r="A60" s="65" t="str">
        <f>B50</f>
        <v>نیشابور</v>
      </c>
      <c r="B60" s="11" t="s">
        <v>16</v>
      </c>
      <c r="C60" s="12">
        <v>479</v>
      </c>
      <c r="D60" s="13">
        <v>348</v>
      </c>
      <c r="E60" s="13"/>
      <c r="F60" s="13"/>
      <c r="G60" s="14"/>
      <c r="H60" s="15">
        <f t="shared" si="20"/>
        <v>827</v>
      </c>
      <c r="I60" s="15">
        <v>3000</v>
      </c>
      <c r="J60" s="67">
        <v>0.9</v>
      </c>
      <c r="K60" s="65" t="str">
        <f>L50</f>
        <v>دوغارون</v>
      </c>
      <c r="L60" s="11" t="s">
        <v>16</v>
      </c>
      <c r="M60" s="12">
        <v>10919</v>
      </c>
      <c r="N60" s="13">
        <v>11986</v>
      </c>
      <c r="O60" s="13"/>
      <c r="P60" s="13"/>
      <c r="Q60" s="14"/>
      <c r="R60" s="15">
        <f t="shared" si="21"/>
        <v>22905</v>
      </c>
      <c r="S60" s="15">
        <v>5000</v>
      </c>
      <c r="T60" s="67">
        <v>0.95</v>
      </c>
    </row>
    <row r="61" spans="1:20" x14ac:dyDescent="0.25">
      <c r="A61" s="65" t="str">
        <f>B50</f>
        <v>نیشابور</v>
      </c>
      <c r="B61" s="11" t="s">
        <v>17</v>
      </c>
      <c r="C61" s="12"/>
      <c r="D61" s="13">
        <v>923</v>
      </c>
      <c r="E61" s="13"/>
      <c r="F61" s="13"/>
      <c r="G61" s="14"/>
      <c r="H61" s="15">
        <f t="shared" si="20"/>
        <v>923</v>
      </c>
      <c r="I61" s="15">
        <v>3000</v>
      </c>
      <c r="J61" s="67">
        <v>0.5</v>
      </c>
      <c r="K61" s="65" t="str">
        <f>L50</f>
        <v>دوغارون</v>
      </c>
      <c r="L61" s="11" t="s">
        <v>17</v>
      </c>
      <c r="M61" s="12">
        <v>6609</v>
      </c>
      <c r="N61" s="13">
        <v>13339</v>
      </c>
      <c r="O61" s="13"/>
      <c r="P61" s="13"/>
      <c r="Q61" s="14"/>
      <c r="R61" s="15">
        <f t="shared" si="21"/>
        <v>19948</v>
      </c>
      <c r="S61" s="15">
        <v>5000</v>
      </c>
      <c r="T61" s="67">
        <v>0.77</v>
      </c>
    </row>
    <row r="62" spans="1:20" x14ac:dyDescent="0.25">
      <c r="A62" s="65" t="str">
        <f>B50</f>
        <v>نیشابور</v>
      </c>
      <c r="B62" s="11" t="s">
        <v>18</v>
      </c>
      <c r="C62" s="12"/>
      <c r="D62" s="13">
        <v>484</v>
      </c>
      <c r="E62" s="13"/>
      <c r="F62" s="13"/>
      <c r="G62" s="14"/>
      <c r="H62" s="15">
        <f t="shared" si="20"/>
        <v>484</v>
      </c>
      <c r="I62" s="15">
        <v>3000</v>
      </c>
      <c r="J62" s="67">
        <v>0.5</v>
      </c>
      <c r="K62" s="65" t="str">
        <f>L50</f>
        <v>دوغارون</v>
      </c>
      <c r="L62" s="11" t="s">
        <v>18</v>
      </c>
      <c r="M62" s="12">
        <v>9370</v>
      </c>
      <c r="N62" s="13">
        <v>12886</v>
      </c>
      <c r="O62" s="13"/>
      <c r="P62" s="13"/>
      <c r="Q62" s="14"/>
      <c r="R62" s="15">
        <f t="shared" si="21"/>
        <v>22256</v>
      </c>
      <c r="S62" s="15">
        <v>5000</v>
      </c>
      <c r="T62" s="67">
        <v>0.9</v>
      </c>
    </row>
    <row r="63" spans="1:20" ht="20.25" thickBot="1" x14ac:dyDescent="0.3">
      <c r="A63" s="65" t="str">
        <f>B50</f>
        <v>نیشابور</v>
      </c>
      <c r="B63" s="16" t="s">
        <v>19</v>
      </c>
      <c r="C63" s="17">
        <v>1669</v>
      </c>
      <c r="D63" s="18">
        <v>87</v>
      </c>
      <c r="E63" s="18"/>
      <c r="F63" s="18"/>
      <c r="G63" s="19"/>
      <c r="H63" s="20">
        <f t="shared" si="20"/>
        <v>1756</v>
      </c>
      <c r="I63" s="20">
        <v>3000</v>
      </c>
      <c r="J63" s="68">
        <v>0.8</v>
      </c>
      <c r="K63" s="65" t="str">
        <f>L50</f>
        <v>دوغارون</v>
      </c>
      <c r="L63" s="16" t="s">
        <v>19</v>
      </c>
      <c r="M63" s="17">
        <v>8687</v>
      </c>
      <c r="N63" s="18">
        <v>9826</v>
      </c>
      <c r="O63" s="18"/>
      <c r="P63" s="18"/>
      <c r="Q63" s="19"/>
      <c r="R63" s="20">
        <f t="shared" si="21"/>
        <v>18513</v>
      </c>
      <c r="S63" s="20">
        <v>5000</v>
      </c>
      <c r="T63" s="68">
        <v>0.8</v>
      </c>
    </row>
    <row r="64" spans="1:20" ht="21" thickBot="1" x14ac:dyDescent="0.3">
      <c r="A64" s="65"/>
      <c r="B64" s="108" t="s">
        <v>6</v>
      </c>
      <c r="C64" s="109">
        <f>SUM(C52:C63)</f>
        <v>3835</v>
      </c>
      <c r="D64" s="110">
        <f t="shared" ref="D64:F64" si="22">SUM(D52:D63)</f>
        <v>3581</v>
      </c>
      <c r="E64" s="110">
        <f t="shared" si="22"/>
        <v>0</v>
      </c>
      <c r="F64" s="110">
        <f t="shared" si="22"/>
        <v>0</v>
      </c>
      <c r="G64" s="11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12">
        <f t="shared" ref="H64" si="23">SUM(C64:F64)</f>
        <v>7416</v>
      </c>
      <c r="I64" s="112">
        <f>IFERROR(SUM(I52:I63)/COUNTIF(I52:I63,"&gt;"&amp;0),"")</f>
        <v>3375</v>
      </c>
      <c r="J64" s="113">
        <f>IFERROR((SUMPRODUCT(J52:J63,I52:I63)/COUNTIF(I52:I63,"&gt;"&amp;0))/I64,"")</f>
        <v>0.69814814814814818</v>
      </c>
      <c r="K64" s="65"/>
      <c r="L64" s="108" t="s">
        <v>6</v>
      </c>
      <c r="M64" s="109">
        <f>SUM(M52:M63)</f>
        <v>85199</v>
      </c>
      <c r="N64" s="110">
        <f t="shared" ref="N64:P64" si="24">SUM(N52:N63)</f>
        <v>90870</v>
      </c>
      <c r="O64" s="110">
        <f t="shared" si="24"/>
        <v>0</v>
      </c>
      <c r="P64" s="110">
        <f t="shared" si="24"/>
        <v>0</v>
      </c>
      <c r="Q64" s="11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12">
        <f t="shared" ref="R64" si="25">SUM(M64:P64)</f>
        <v>176069</v>
      </c>
      <c r="S64" s="112">
        <f>IFERROR(SUM(S52:S63)/COUNTIF(S52:S63,"&gt;"&amp;0),"")</f>
        <v>5000</v>
      </c>
      <c r="T64" s="113">
        <f>IFERROR((SUMPRODUCT(T52:T63,S52:S63)/COUNTIF(S52:S63,"&gt;"&amp;0))/S64,"")</f>
        <v>0.76</v>
      </c>
    </row>
    <row r="65" spans="1:20" ht="3.95" customHeight="1" thickBot="1" x14ac:dyDescent="0.3">
      <c r="I65" s="103">
        <f>IFERROR(I64*J64,"")</f>
        <v>2356.25</v>
      </c>
      <c r="S65" s="103">
        <f>IFERROR(S64*T64,"")</f>
        <v>3800</v>
      </c>
    </row>
    <row r="66" spans="1:20" ht="26.25" thickBot="1" x14ac:dyDescent="0.3">
      <c r="B66" s="210" t="s">
        <v>38</v>
      </c>
      <c r="C66" s="211"/>
      <c r="D66" s="211"/>
      <c r="E66" s="211"/>
      <c r="F66" s="211"/>
      <c r="G66" s="211"/>
      <c r="H66" s="211"/>
      <c r="I66" s="211"/>
      <c r="J66" s="212"/>
      <c r="L66" s="210" t="s">
        <v>40</v>
      </c>
      <c r="M66" s="211"/>
      <c r="N66" s="211"/>
      <c r="O66" s="211"/>
      <c r="P66" s="211"/>
      <c r="Q66" s="211"/>
      <c r="R66" s="211"/>
      <c r="S66" s="211"/>
      <c r="T66" s="212"/>
    </row>
    <row r="67" spans="1:20" ht="21" thickBot="1" x14ac:dyDescent="0.3">
      <c r="B67" s="104" t="s">
        <v>0</v>
      </c>
      <c r="C67" s="105" t="s">
        <v>1</v>
      </c>
      <c r="D67" s="106" t="s">
        <v>2</v>
      </c>
      <c r="E67" s="106" t="s">
        <v>3</v>
      </c>
      <c r="F67" s="106" t="s">
        <v>4</v>
      </c>
      <c r="G67" s="107" t="s">
        <v>5</v>
      </c>
      <c r="H67" s="104" t="s">
        <v>7</v>
      </c>
      <c r="I67" s="104" t="s">
        <v>32</v>
      </c>
      <c r="J67" s="104" t="s">
        <v>30</v>
      </c>
      <c r="L67" s="104" t="s">
        <v>0</v>
      </c>
      <c r="M67" s="105" t="s">
        <v>1</v>
      </c>
      <c r="N67" s="106" t="s">
        <v>2</v>
      </c>
      <c r="O67" s="106" t="s">
        <v>3</v>
      </c>
      <c r="P67" s="106" t="s">
        <v>4</v>
      </c>
      <c r="Q67" s="107" t="s">
        <v>5</v>
      </c>
      <c r="R67" s="104" t="s">
        <v>7</v>
      </c>
      <c r="S67" s="104" t="s">
        <v>32</v>
      </c>
      <c r="T67" s="104" t="s">
        <v>30</v>
      </c>
    </row>
    <row r="68" spans="1:20" x14ac:dyDescent="0.25">
      <c r="A68" s="65" t="str">
        <f>B66</f>
        <v>بجنورد</v>
      </c>
      <c r="B68" s="6" t="s">
        <v>8</v>
      </c>
      <c r="C68" s="7">
        <v>0</v>
      </c>
      <c r="D68" s="8">
        <v>0</v>
      </c>
      <c r="E68" s="8"/>
      <c r="F68" s="8"/>
      <c r="G68" s="9"/>
      <c r="H68" s="10">
        <f>SUM(C68:F68)</f>
        <v>0</v>
      </c>
      <c r="I68" s="10">
        <v>600</v>
      </c>
      <c r="J68" s="66">
        <v>0.1</v>
      </c>
      <c r="K68" s="65" t="str">
        <f>L66</f>
        <v>بیرجند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1:20" x14ac:dyDescent="0.25">
      <c r="A69" s="65" t="str">
        <f>B66</f>
        <v>بجنورد</v>
      </c>
      <c r="B69" s="11" t="s">
        <v>9</v>
      </c>
      <c r="C69" s="12">
        <v>28</v>
      </c>
      <c r="D69" s="13">
        <v>48</v>
      </c>
      <c r="E69" s="13"/>
      <c r="F69" s="13"/>
      <c r="G69" s="14"/>
      <c r="H69" s="15">
        <f t="shared" ref="H69:H79" si="26">SUM(C69:F69)</f>
        <v>76</v>
      </c>
      <c r="I69" s="15">
        <v>800</v>
      </c>
      <c r="J69" s="67">
        <v>0.1</v>
      </c>
      <c r="K69" s="65" t="str">
        <f>L66</f>
        <v>بیرجند</v>
      </c>
      <c r="L69" s="11" t="s">
        <v>9</v>
      </c>
      <c r="M69" s="12"/>
      <c r="N69" s="13"/>
      <c r="O69" s="13"/>
      <c r="P69" s="13"/>
      <c r="Q69" s="14"/>
      <c r="R69" s="15">
        <f t="shared" ref="R69:R79" si="27">SUM(M69:P69)</f>
        <v>0</v>
      </c>
      <c r="S69" s="15">
        <v>2000</v>
      </c>
      <c r="T69" s="67">
        <v>0.1</v>
      </c>
    </row>
    <row r="70" spans="1:20" x14ac:dyDescent="0.25">
      <c r="A70" s="65" t="str">
        <f>B66</f>
        <v>بجنورد</v>
      </c>
      <c r="B70" s="11" t="s">
        <v>10</v>
      </c>
      <c r="C70" s="12">
        <v>46</v>
      </c>
      <c r="D70" s="13">
        <v>0</v>
      </c>
      <c r="E70" s="13"/>
      <c r="F70" s="13"/>
      <c r="G70" s="14"/>
      <c r="H70" s="15">
        <f t="shared" si="26"/>
        <v>46</v>
      </c>
      <c r="I70" s="15">
        <v>800</v>
      </c>
      <c r="J70" s="67">
        <v>0.1</v>
      </c>
      <c r="K70" s="65" t="str">
        <f>L66</f>
        <v>بیرجند</v>
      </c>
      <c r="L70" s="11" t="s">
        <v>10</v>
      </c>
      <c r="M70" s="12"/>
      <c r="N70" s="13"/>
      <c r="O70" s="13"/>
      <c r="P70" s="13"/>
      <c r="Q70" s="14"/>
      <c r="R70" s="15">
        <f t="shared" si="27"/>
        <v>0</v>
      </c>
      <c r="S70" s="15">
        <v>2000</v>
      </c>
      <c r="T70" s="67">
        <v>0.1</v>
      </c>
    </row>
    <row r="71" spans="1:20" x14ac:dyDescent="0.25">
      <c r="A71" s="65" t="str">
        <f>B66</f>
        <v>بجنورد</v>
      </c>
      <c r="B71" s="11" t="s">
        <v>11</v>
      </c>
      <c r="C71" s="12">
        <v>112</v>
      </c>
      <c r="D71" s="13">
        <v>0</v>
      </c>
      <c r="E71" s="13"/>
      <c r="F71" s="13"/>
      <c r="G71" s="14"/>
      <c r="H71" s="15">
        <f t="shared" si="26"/>
        <v>112</v>
      </c>
      <c r="I71" s="15">
        <v>800</v>
      </c>
      <c r="J71" s="67">
        <v>0.15</v>
      </c>
      <c r="K71" s="65" t="str">
        <f>L66</f>
        <v>بیرجند</v>
      </c>
      <c r="L71" s="11" t="s">
        <v>11</v>
      </c>
      <c r="M71" s="12"/>
      <c r="N71" s="13"/>
      <c r="O71" s="13"/>
      <c r="P71" s="13"/>
      <c r="Q71" s="14"/>
      <c r="R71" s="15">
        <f t="shared" si="27"/>
        <v>0</v>
      </c>
      <c r="S71" s="15">
        <v>2000</v>
      </c>
      <c r="T71" s="67">
        <v>0.1</v>
      </c>
    </row>
    <row r="72" spans="1:20" x14ac:dyDescent="0.25">
      <c r="A72" s="65" t="str">
        <f>B66</f>
        <v>بجنورد</v>
      </c>
      <c r="B72" s="11" t="s">
        <v>12</v>
      </c>
      <c r="C72" s="12">
        <v>5</v>
      </c>
      <c r="D72" s="13">
        <v>158</v>
      </c>
      <c r="E72" s="13"/>
      <c r="F72" s="13"/>
      <c r="G72" s="14"/>
      <c r="H72" s="15">
        <f t="shared" si="26"/>
        <v>163</v>
      </c>
      <c r="I72" s="15">
        <v>800</v>
      </c>
      <c r="J72" s="67">
        <v>0.1</v>
      </c>
      <c r="K72" s="65" t="str">
        <f>L66</f>
        <v>بیرجند</v>
      </c>
      <c r="L72" s="11" t="s">
        <v>12</v>
      </c>
      <c r="M72" s="12"/>
      <c r="N72" s="13"/>
      <c r="O72" s="13"/>
      <c r="P72" s="13"/>
      <c r="Q72" s="14"/>
      <c r="R72" s="15">
        <f t="shared" si="27"/>
        <v>0</v>
      </c>
      <c r="S72" s="15">
        <v>2000</v>
      </c>
      <c r="T72" s="67"/>
    </row>
    <row r="73" spans="1:20" x14ac:dyDescent="0.25">
      <c r="A73" s="65" t="str">
        <f>B66</f>
        <v>بجنورد</v>
      </c>
      <c r="B73" s="11" t="s">
        <v>13</v>
      </c>
      <c r="C73" s="12">
        <v>0</v>
      </c>
      <c r="D73" s="13">
        <v>89</v>
      </c>
      <c r="E73" s="13"/>
      <c r="F73" s="13"/>
      <c r="G73" s="14"/>
      <c r="H73" s="15">
        <f t="shared" si="26"/>
        <v>89</v>
      </c>
      <c r="I73" s="15">
        <v>800</v>
      </c>
      <c r="J73" s="67">
        <v>0.15</v>
      </c>
      <c r="K73" s="65" t="str">
        <f>L66</f>
        <v>بیرجند</v>
      </c>
      <c r="L73" s="11" t="s">
        <v>13</v>
      </c>
      <c r="M73" s="12"/>
      <c r="N73" s="13"/>
      <c r="O73" s="13"/>
      <c r="P73" s="13"/>
      <c r="Q73" s="14"/>
      <c r="R73" s="15">
        <f t="shared" si="27"/>
        <v>0</v>
      </c>
      <c r="S73" s="15">
        <v>2000</v>
      </c>
      <c r="T73" s="67"/>
    </row>
    <row r="74" spans="1:20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26"/>
        <v>0</v>
      </c>
      <c r="I74" s="15">
        <v>1000</v>
      </c>
      <c r="J74" s="67">
        <v>0.15</v>
      </c>
      <c r="K74" s="65" t="str">
        <f>L66</f>
        <v>بیرجند</v>
      </c>
      <c r="L74" s="11" t="s">
        <v>14</v>
      </c>
      <c r="M74" s="12"/>
      <c r="N74" s="13"/>
      <c r="O74" s="13"/>
      <c r="P74" s="13"/>
      <c r="Q74" s="14"/>
      <c r="R74" s="15">
        <f t="shared" si="27"/>
        <v>0</v>
      </c>
      <c r="S74" s="15">
        <v>2000</v>
      </c>
      <c r="T74" s="67"/>
    </row>
    <row r="75" spans="1:20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26"/>
        <v>0</v>
      </c>
      <c r="I75" s="15"/>
      <c r="J75" s="67"/>
      <c r="K75" s="65" t="str">
        <f>L66</f>
        <v>بیرجند</v>
      </c>
      <c r="L75" s="11" t="s">
        <v>15</v>
      </c>
      <c r="M75" s="12"/>
      <c r="N75" s="13"/>
      <c r="O75" s="13"/>
      <c r="P75" s="13"/>
      <c r="Q75" s="14"/>
      <c r="R75" s="15">
        <f t="shared" si="27"/>
        <v>0</v>
      </c>
      <c r="S75" s="15">
        <v>2000</v>
      </c>
      <c r="T75" s="67"/>
    </row>
    <row r="76" spans="1:20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26"/>
        <v>0</v>
      </c>
      <c r="I76" s="15"/>
      <c r="J76" s="67"/>
      <c r="K76" s="65" t="str">
        <f>L66</f>
        <v>بیرجند</v>
      </c>
      <c r="L76" s="11" t="s">
        <v>16</v>
      </c>
      <c r="M76" s="12">
        <v>47</v>
      </c>
      <c r="N76" s="13"/>
      <c r="O76" s="13"/>
      <c r="P76" s="13"/>
      <c r="Q76" s="14"/>
      <c r="R76" s="15">
        <f t="shared" si="27"/>
        <v>47</v>
      </c>
      <c r="S76" s="15">
        <v>2000</v>
      </c>
      <c r="T76" s="67">
        <v>0.1</v>
      </c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26"/>
        <v>0</v>
      </c>
      <c r="I77" s="15"/>
      <c r="J77" s="67"/>
      <c r="K77" s="65" t="str">
        <f>L66</f>
        <v>بیرجند</v>
      </c>
      <c r="L77" s="11" t="s">
        <v>17</v>
      </c>
      <c r="M77" s="12"/>
      <c r="N77" s="13">
        <v>47</v>
      </c>
      <c r="O77" s="13"/>
      <c r="P77" s="13"/>
      <c r="Q77" s="14"/>
      <c r="R77" s="15">
        <f t="shared" si="27"/>
        <v>47</v>
      </c>
      <c r="S77" s="15">
        <v>2000</v>
      </c>
      <c r="T77" s="67">
        <v>0.1</v>
      </c>
    </row>
    <row r="78" spans="1:20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26"/>
        <v>0</v>
      </c>
      <c r="I78" s="15"/>
      <c r="J78" s="67"/>
      <c r="K78" s="65" t="str">
        <f>L66</f>
        <v>بیرجند</v>
      </c>
      <c r="L78" s="11" t="s">
        <v>18</v>
      </c>
      <c r="M78" s="12"/>
      <c r="N78" s="13"/>
      <c r="O78" s="13"/>
      <c r="P78" s="13"/>
      <c r="Q78" s="14"/>
      <c r="R78" s="15">
        <f t="shared" si="27"/>
        <v>0</v>
      </c>
      <c r="S78" s="15"/>
      <c r="T78" s="67"/>
    </row>
    <row r="79" spans="1:20" ht="20.25" thickBot="1" x14ac:dyDescent="0.3">
      <c r="A79" s="65" t="str">
        <f>B66</f>
        <v>بجنورد</v>
      </c>
      <c r="B79" s="16" t="s">
        <v>19</v>
      </c>
      <c r="C79" s="17"/>
      <c r="D79" s="18">
        <v>62</v>
      </c>
      <c r="E79" s="18"/>
      <c r="F79" s="18"/>
      <c r="G79" s="19"/>
      <c r="H79" s="20">
        <f t="shared" si="26"/>
        <v>62</v>
      </c>
      <c r="I79" s="20">
        <v>10000</v>
      </c>
      <c r="J79" s="68">
        <v>0.1</v>
      </c>
      <c r="K79" s="65" t="str">
        <f>L66</f>
        <v>بیرجند</v>
      </c>
      <c r="L79" s="16" t="s">
        <v>19</v>
      </c>
      <c r="M79" s="17">
        <v>74</v>
      </c>
      <c r="N79" s="18"/>
      <c r="O79" s="18"/>
      <c r="P79" s="18"/>
      <c r="Q79" s="19"/>
      <c r="R79" s="20">
        <f t="shared" si="27"/>
        <v>74</v>
      </c>
      <c r="S79" s="20">
        <v>2400</v>
      </c>
      <c r="T79" s="68">
        <v>0</v>
      </c>
    </row>
    <row r="80" spans="1:20" ht="21" thickBot="1" x14ac:dyDescent="0.3">
      <c r="B80" s="108" t="s">
        <v>6</v>
      </c>
      <c r="C80" s="109">
        <f>SUM(C68:C79)</f>
        <v>191</v>
      </c>
      <c r="D80" s="110">
        <f t="shared" ref="D80:F80" si="28">SUM(D68:D79)</f>
        <v>357</v>
      </c>
      <c r="E80" s="110">
        <f t="shared" si="28"/>
        <v>0</v>
      </c>
      <c r="F80" s="110">
        <f t="shared" si="28"/>
        <v>0</v>
      </c>
      <c r="G80" s="111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112">
        <f t="shared" ref="H80" si="29">SUM(C80:F80)</f>
        <v>548</v>
      </c>
      <c r="I80" s="112">
        <f>IFERROR(SUM(I68:I79)/COUNTIF(I68:I79,"&gt;"&amp;0),"")</f>
        <v>1950</v>
      </c>
      <c r="J80" s="113">
        <f>IFERROR((SUMPRODUCT(J68:J79,I68:I79)/COUNTIF(I68:I79,"&gt;"&amp;0))/I80,"")</f>
        <v>0.10833333333333334</v>
      </c>
      <c r="L80" s="108" t="s">
        <v>6</v>
      </c>
      <c r="M80" s="109">
        <f>SUM(M68:M79)</f>
        <v>121</v>
      </c>
      <c r="N80" s="110">
        <f t="shared" ref="N80:P80" si="30">SUM(N68:N79)</f>
        <v>47</v>
      </c>
      <c r="O80" s="110">
        <f t="shared" si="30"/>
        <v>0</v>
      </c>
      <c r="P80" s="110">
        <f t="shared" si="30"/>
        <v>0</v>
      </c>
      <c r="Q80" s="11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12">
        <f t="shared" ref="R80" si="31">SUM(M80:P80)</f>
        <v>168</v>
      </c>
      <c r="S80" s="112">
        <f>IFERROR(SUM(S68:S79)/COUNTIF(S68:S79,"&gt;"&amp;0),"")</f>
        <v>2040</v>
      </c>
      <c r="T80" s="113">
        <f>IFERROR((SUMPRODUCT(T68:T79,S68:S79)/COUNTIF(S68:S79,"&gt;"&amp;0))/S80,"")</f>
        <v>4.9019607843137254E-2</v>
      </c>
    </row>
    <row r="81" spans="1:20" ht="3.95" customHeight="1" thickBot="1" x14ac:dyDescent="0.3"/>
    <row r="82" spans="1:20" ht="26.25" thickBot="1" x14ac:dyDescent="0.3">
      <c r="B82" s="210" t="s">
        <v>41</v>
      </c>
      <c r="C82" s="211"/>
      <c r="D82" s="211"/>
      <c r="E82" s="211"/>
      <c r="F82" s="211"/>
      <c r="G82" s="211"/>
      <c r="H82" s="211"/>
      <c r="I82" s="211"/>
      <c r="J82" s="212"/>
      <c r="L82" s="210" t="s">
        <v>56</v>
      </c>
      <c r="M82" s="211"/>
      <c r="N82" s="211"/>
      <c r="O82" s="211"/>
      <c r="P82" s="211"/>
      <c r="Q82" s="211"/>
      <c r="R82" s="211"/>
      <c r="S82" s="211"/>
      <c r="T82" s="212"/>
    </row>
    <row r="83" spans="1:20" ht="21" thickBot="1" x14ac:dyDescent="0.3">
      <c r="B83" s="104" t="s">
        <v>0</v>
      </c>
      <c r="C83" s="105" t="s">
        <v>1</v>
      </c>
      <c r="D83" s="106" t="s">
        <v>2</v>
      </c>
      <c r="E83" s="106" t="s">
        <v>3</v>
      </c>
      <c r="F83" s="106" t="s">
        <v>4</v>
      </c>
      <c r="G83" s="107" t="s">
        <v>5</v>
      </c>
      <c r="H83" s="104" t="s">
        <v>7</v>
      </c>
      <c r="I83" s="104" t="s">
        <v>32</v>
      </c>
      <c r="J83" s="104" t="s">
        <v>30</v>
      </c>
      <c r="L83" s="104" t="s">
        <v>0</v>
      </c>
      <c r="M83" s="105" t="s">
        <v>1</v>
      </c>
      <c r="N83" s="106" t="s">
        <v>2</v>
      </c>
      <c r="O83" s="106" t="s">
        <v>3</v>
      </c>
      <c r="P83" s="106" t="s">
        <v>4</v>
      </c>
      <c r="Q83" s="107" t="s">
        <v>5</v>
      </c>
      <c r="R83" s="104" t="s">
        <v>7</v>
      </c>
      <c r="S83" s="104" t="s">
        <v>32</v>
      </c>
      <c r="T83" s="104" t="s">
        <v>30</v>
      </c>
    </row>
    <row r="84" spans="1:20" x14ac:dyDescent="0.25">
      <c r="A84" s="65" t="str">
        <f>B82</f>
        <v>ماهیرود</v>
      </c>
      <c r="B84" s="6" t="s">
        <v>8</v>
      </c>
      <c r="C84" s="7">
        <v>0</v>
      </c>
      <c r="D84" s="8">
        <v>97</v>
      </c>
      <c r="E84" s="8"/>
      <c r="F84" s="8"/>
      <c r="G84" s="9"/>
      <c r="H84" s="10">
        <f>SUM(C84:F84)</f>
        <v>97</v>
      </c>
      <c r="I84" s="10">
        <v>1000</v>
      </c>
      <c r="J84" s="66">
        <v>0.1</v>
      </c>
      <c r="K84" s="65" t="str">
        <f>L82</f>
        <v>باجگیران</v>
      </c>
      <c r="L84" s="6" t="s">
        <v>8</v>
      </c>
      <c r="M84" s="7"/>
      <c r="N84" s="8"/>
      <c r="O84" s="8"/>
      <c r="P84" s="8"/>
      <c r="Q84" s="9"/>
      <c r="R84" s="10">
        <f>SUM(M84:P84)</f>
        <v>0</v>
      </c>
      <c r="S84" s="10"/>
      <c r="T84" s="66"/>
    </row>
    <row r="85" spans="1:20" x14ac:dyDescent="0.25">
      <c r="A85" s="65" t="str">
        <f>B82</f>
        <v>ماهیرود</v>
      </c>
      <c r="B85" s="11" t="s">
        <v>9</v>
      </c>
      <c r="C85" s="12">
        <v>0</v>
      </c>
      <c r="D85" s="13">
        <v>42</v>
      </c>
      <c r="E85" s="13"/>
      <c r="F85" s="13"/>
      <c r="G85" s="14"/>
      <c r="H85" s="15">
        <f t="shared" ref="H85:H95" si="32">SUM(C85:F85)</f>
        <v>42</v>
      </c>
      <c r="I85" s="15">
        <v>2000</v>
      </c>
      <c r="J85" s="67">
        <v>0.1</v>
      </c>
      <c r="K85" s="65" t="str">
        <f>L82</f>
        <v>باجگیران</v>
      </c>
      <c r="L85" s="11" t="s">
        <v>9</v>
      </c>
      <c r="M85" s="12"/>
      <c r="N85" s="13"/>
      <c r="O85" s="13"/>
      <c r="P85" s="13"/>
      <c r="Q85" s="14"/>
      <c r="R85" s="15">
        <f t="shared" ref="R85:R95" si="33">SUM(M85:P85)</f>
        <v>0</v>
      </c>
      <c r="S85" s="15"/>
      <c r="T85" s="67"/>
    </row>
    <row r="86" spans="1:20" x14ac:dyDescent="0.25">
      <c r="A86" s="65" t="str">
        <f>B82</f>
        <v>ماهیرود</v>
      </c>
      <c r="B86" s="11" t="s">
        <v>10</v>
      </c>
      <c r="C86" s="12">
        <v>0</v>
      </c>
      <c r="D86" s="13">
        <v>210</v>
      </c>
      <c r="E86" s="13"/>
      <c r="F86" s="13"/>
      <c r="G86" s="14"/>
      <c r="H86" s="15">
        <f t="shared" si="32"/>
        <v>210</v>
      </c>
      <c r="I86" s="15">
        <v>2000</v>
      </c>
      <c r="J86" s="67">
        <v>0.1</v>
      </c>
      <c r="K86" s="65" t="str">
        <f>L82</f>
        <v>باجگیران</v>
      </c>
      <c r="L86" s="11" t="s">
        <v>10</v>
      </c>
      <c r="M86" s="12"/>
      <c r="N86" s="13"/>
      <c r="O86" s="13"/>
      <c r="P86" s="13"/>
      <c r="Q86" s="14"/>
      <c r="R86" s="15">
        <f t="shared" si="33"/>
        <v>0</v>
      </c>
      <c r="S86" s="15"/>
      <c r="T86" s="67"/>
    </row>
    <row r="87" spans="1:20" x14ac:dyDescent="0.25">
      <c r="A87" s="65" t="str">
        <f>B82</f>
        <v>ماهیرود</v>
      </c>
      <c r="B87" s="11" t="s">
        <v>11</v>
      </c>
      <c r="C87" s="12">
        <v>0</v>
      </c>
      <c r="D87" s="13">
        <v>145</v>
      </c>
      <c r="E87" s="13"/>
      <c r="F87" s="13"/>
      <c r="G87" s="14"/>
      <c r="H87" s="15">
        <f t="shared" si="32"/>
        <v>145</v>
      </c>
      <c r="I87" s="15">
        <v>2000</v>
      </c>
      <c r="J87" s="67">
        <v>0.1</v>
      </c>
      <c r="K87" s="65" t="str">
        <f>L82</f>
        <v>باجگیران</v>
      </c>
      <c r="L87" s="11" t="s">
        <v>11</v>
      </c>
      <c r="M87" s="12"/>
      <c r="N87" s="13"/>
      <c r="O87" s="13"/>
      <c r="P87" s="13"/>
      <c r="Q87" s="14"/>
      <c r="R87" s="15">
        <f t="shared" si="33"/>
        <v>0</v>
      </c>
      <c r="S87" s="15"/>
      <c r="T87" s="67"/>
    </row>
    <row r="88" spans="1:20" x14ac:dyDescent="0.25">
      <c r="A88" s="65" t="str">
        <f>B82</f>
        <v>ماهیرود</v>
      </c>
      <c r="B88" s="11" t="s">
        <v>12</v>
      </c>
      <c r="C88" s="12"/>
      <c r="D88" s="13"/>
      <c r="E88" s="13"/>
      <c r="F88" s="13"/>
      <c r="G88" s="14"/>
      <c r="H88" s="15">
        <f t="shared" si="32"/>
        <v>0</v>
      </c>
      <c r="I88" s="15">
        <v>2000</v>
      </c>
      <c r="J88" s="67">
        <v>0.05</v>
      </c>
      <c r="K88" s="65" t="str">
        <f>L82</f>
        <v>باجگیران</v>
      </c>
      <c r="L88" s="11" t="s">
        <v>12</v>
      </c>
      <c r="M88" s="12"/>
      <c r="N88" s="13"/>
      <c r="O88" s="13"/>
      <c r="P88" s="13"/>
      <c r="Q88" s="14"/>
      <c r="R88" s="15">
        <f t="shared" si="33"/>
        <v>0</v>
      </c>
      <c r="S88" s="15"/>
      <c r="T88" s="67"/>
    </row>
    <row r="89" spans="1:20" x14ac:dyDescent="0.25">
      <c r="A89" s="65" t="str">
        <f>B82</f>
        <v>ماهیرود</v>
      </c>
      <c r="B89" s="11" t="s">
        <v>13</v>
      </c>
      <c r="C89" s="12">
        <v>0</v>
      </c>
      <c r="D89" s="13">
        <v>384</v>
      </c>
      <c r="E89" s="13"/>
      <c r="F89" s="13"/>
      <c r="G89" s="14"/>
      <c r="H89" s="15">
        <f t="shared" si="32"/>
        <v>384</v>
      </c>
      <c r="I89" s="15">
        <v>2000</v>
      </c>
      <c r="J89" s="67">
        <v>0.1</v>
      </c>
      <c r="K89" s="65" t="str">
        <f>L82</f>
        <v>باجگیران</v>
      </c>
      <c r="L89" s="11" t="s">
        <v>13</v>
      </c>
      <c r="M89" s="12"/>
      <c r="N89" s="13"/>
      <c r="O89" s="13"/>
      <c r="P89" s="13"/>
      <c r="Q89" s="14"/>
      <c r="R89" s="15">
        <f t="shared" si="33"/>
        <v>0</v>
      </c>
      <c r="S89" s="15"/>
      <c r="T89" s="67"/>
    </row>
    <row r="90" spans="1:20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32"/>
        <v>0</v>
      </c>
      <c r="I90" s="15"/>
      <c r="J90" s="67"/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33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32"/>
        <v>0</v>
      </c>
      <c r="I91" s="15"/>
      <c r="J91" s="67"/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33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32"/>
        <v>0</v>
      </c>
      <c r="I92" s="15"/>
      <c r="J92" s="67"/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33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32"/>
        <v>0</v>
      </c>
      <c r="I93" s="15"/>
      <c r="J93" s="67"/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33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32"/>
        <v>0</v>
      </c>
      <c r="I94" s="15"/>
      <c r="J94" s="67"/>
      <c r="K94" s="65" t="str">
        <f>L82</f>
        <v>باجگیران</v>
      </c>
      <c r="L94" s="11" t="s">
        <v>18</v>
      </c>
      <c r="M94" s="12"/>
      <c r="N94" s="13"/>
      <c r="O94" s="13"/>
      <c r="P94" s="13"/>
      <c r="Q94" s="14"/>
      <c r="R94" s="15">
        <f t="shared" si="33"/>
        <v>0</v>
      </c>
      <c r="S94" s="15"/>
      <c r="T94" s="67"/>
    </row>
    <row r="95" spans="1:20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32"/>
        <v>0</v>
      </c>
      <c r="I95" s="20"/>
      <c r="J95" s="68"/>
      <c r="K95" s="65" t="str">
        <f>L82</f>
        <v>باجگیران</v>
      </c>
      <c r="L95" s="16" t="s">
        <v>19</v>
      </c>
      <c r="M95" s="17"/>
      <c r="N95" s="18"/>
      <c r="O95" s="18"/>
      <c r="P95" s="18"/>
      <c r="Q95" s="19"/>
      <c r="R95" s="20">
        <f t="shared" si="33"/>
        <v>0</v>
      </c>
      <c r="S95" s="20"/>
      <c r="T95" s="68"/>
    </row>
    <row r="96" spans="1:20" ht="21" thickBot="1" x14ac:dyDescent="0.3">
      <c r="B96" s="108" t="s">
        <v>6</v>
      </c>
      <c r="C96" s="109">
        <f>SUM(C84:C95)</f>
        <v>0</v>
      </c>
      <c r="D96" s="110">
        <f t="shared" ref="D96:F96" si="34">SUM(D84:D95)</f>
        <v>878</v>
      </c>
      <c r="E96" s="110">
        <f t="shared" si="34"/>
        <v>0</v>
      </c>
      <c r="F96" s="110">
        <f t="shared" si="34"/>
        <v>0</v>
      </c>
      <c r="G96" s="11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12">
        <f t="shared" ref="H96" si="35">SUM(C96:F96)</f>
        <v>878</v>
      </c>
      <c r="I96" s="112">
        <f>IFERROR(SUM(I84:I95)/COUNTIF(I84:I95,"&gt;"&amp;0),"")</f>
        <v>1833.3333333333333</v>
      </c>
      <c r="J96" s="113">
        <f>IFERROR((SUMPRODUCT(J84:J95,I84:I95)/COUNTIF(I84:I95,"&gt;"&amp;0))/I96,"")</f>
        <v>9.0909090909090912E-2</v>
      </c>
      <c r="L96" s="108" t="s">
        <v>6</v>
      </c>
      <c r="M96" s="109">
        <f>SUM(M84:M95)</f>
        <v>0</v>
      </c>
      <c r="N96" s="110">
        <f t="shared" ref="N96:P96" si="36">SUM(N84:N95)</f>
        <v>0</v>
      </c>
      <c r="O96" s="110">
        <f t="shared" si="36"/>
        <v>0</v>
      </c>
      <c r="P96" s="110">
        <f t="shared" si="36"/>
        <v>0</v>
      </c>
      <c r="Q96" s="111" t="str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/>
      </c>
      <c r="R96" s="112">
        <f t="shared" ref="R96" si="37">SUM(M96:P96)</f>
        <v>0</v>
      </c>
      <c r="S96" s="112" t="str">
        <f>IFERROR(SUM(S84:S95)/COUNTIF(S84:S95,"&gt;"&amp;0),"")</f>
        <v/>
      </c>
      <c r="T96" s="113" t="str">
        <f>IFERROR((SUMPRODUCT(T84:T95,S84:S95)/COUNTIF(S84:S95,"&gt;"&amp;0))/S96,"")</f>
        <v/>
      </c>
    </row>
  </sheetData>
  <sheetProtection algorithmName="SHA-512" hashValue="TKcZ9ygBMC4JwgzB/hgB4OEyqIcwaSOZFKm4zgNHkGdTIa82jkieyzMhNqNs3i11GzfEUCSV5x5veQiM+D/jmQ==" saltValue="FaJl4wImLROgSd8PYdikDQ==" spinCount="100000" sheet="1" selectLockedCells="1" selectUnlockedCells="1"/>
  <mergeCells count="12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  <mergeCell ref="L82:T82"/>
  </mergeCells>
  <conditionalFormatting sqref="H4:H1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{66A55A0A-CB75-40DD-AD70-95F063194F7E}</x14:id>
        </ext>
      </extLst>
    </cfRule>
  </conditionalFormatting>
  <conditionalFormatting sqref="H20:H3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{70BC753D-C3A9-410E-A859-8D7C35134034}</x14:id>
        </ext>
      </extLst>
    </cfRule>
  </conditionalFormatting>
  <conditionalFormatting sqref="H36:H4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{D0087049-B936-4104-AF06-B2A8B1D5C3B9}</x14:id>
        </ext>
      </extLst>
    </cfRule>
  </conditionalFormatting>
  <conditionalFormatting sqref="H52:H6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{083DA2BE-C02C-4C2B-89E8-E96843AB1E66}</x14:id>
        </ext>
      </extLst>
    </cfRule>
  </conditionalFormatting>
  <conditionalFormatting sqref="H68:H7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{4E338FEB-CC02-4E1D-8F6A-B83DD405B6E8}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{B4C7E5C8-1D6D-4556-8620-028518982A3C}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{26726B9D-3172-4FF4-9DDC-76AE94E099B4}</x14:id>
        </ext>
      </extLst>
    </cfRule>
  </conditionalFormatting>
  <conditionalFormatting sqref="J4:J15 T4:T15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1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{1611A10D-13D0-4A4A-89DE-04BAFE84D159}</x14:id>
        </ext>
      </extLst>
    </cfRule>
  </conditionalFormatting>
  <conditionalFormatting sqref="R16 R32 H32 H48 R48 R64 H64 H8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{41DBA770-3D05-4E0D-A7AB-36E9C253AE4C}</x14:id>
        </ext>
      </extLst>
    </cfRule>
  </conditionalFormatting>
  <conditionalFormatting sqref="R20:R3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{92AC09C6-E82C-4CF2-9B37-48872C9388D2}</x14:id>
        </ext>
      </extLst>
    </cfRule>
  </conditionalFormatting>
  <conditionalFormatting sqref="R36:R4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{9D641284-165F-4FEB-A2E6-296A5A9164BE}</x14:id>
        </ext>
      </extLst>
    </cfRule>
  </conditionalFormatting>
  <conditionalFormatting sqref="R52:R6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{C7FACBE7-75B0-4ADF-B8AC-F9D0445EA8A6}</x14:id>
        </ext>
      </extLst>
    </cfRule>
  </conditionalFormatting>
  <conditionalFormatting sqref="R68:R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{6899A6B1-16DA-465B-8E04-A34A5CA856D0}</x14:id>
        </ext>
      </extLst>
    </cfRule>
  </conditionalFormatting>
  <conditionalFormatting sqref="R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{A9C44A6E-D2D9-4E68-AA15-67FB423E4198}</x14:id>
        </ext>
      </extLst>
    </cfRule>
  </conditionalFormatting>
  <conditionalFormatting sqref="T20:T31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{91EDF2A2-9F07-4253-A6E2-C1EC0A3F0944}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{4808D144-9CCA-47C4-A70B-C7159C13DDC1}</x14:id>
        </ext>
      </extLst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55A0A-CB75-40DD-AD70-95F063194F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0BC753D-C3A9-410E-A859-8D7C35134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0087049-B936-4104-AF06-B2A8B1D5C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083DA2BE-C02C-4C2B-89E8-E96843AB1E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4E338FEB-CC02-4E1D-8F6A-B83DD405B6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B4C7E5C8-1D6D-4556-8620-028518982A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26726B9D-3172-4FF4-9DDC-76AE94E09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1611A10D-13D0-4A4A-89DE-04BAFE84D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41DBA770-3D05-4E0D-A7AB-36E9C253A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92AC09C6-E82C-4CF2-9B37-48872C938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9D641284-165F-4FEB-A2E6-296A5A916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C7FACBE7-75B0-4ADF-B8AC-F9D0445EA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6899A6B1-16DA-465B-8E04-A34A5CA85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A9C44A6E-D2D9-4E68-AA15-67FB423E4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91EDF2A2-9F07-4253-A6E2-C1EC0A3F0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4808D144-9CCA-47C4-A70B-C7159C13D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6"/>
  <sheetViews>
    <sheetView showRowColHeaders="0" rightToLeft="1" zoomScale="80" zoomScaleNormal="80" workbookViewId="0">
      <selection activeCell="R8" sqref="R8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10" t="s">
        <v>34</v>
      </c>
      <c r="C2" s="211"/>
      <c r="D2" s="211"/>
      <c r="E2" s="211"/>
      <c r="F2" s="211"/>
      <c r="G2" s="211"/>
      <c r="H2" s="211"/>
      <c r="I2" s="211"/>
      <c r="J2" s="212"/>
      <c r="L2" s="210" t="s">
        <v>20</v>
      </c>
      <c r="M2" s="211"/>
      <c r="N2" s="211"/>
      <c r="O2" s="211"/>
      <c r="P2" s="211"/>
      <c r="Q2" s="211"/>
      <c r="R2" s="211"/>
      <c r="S2" s="211"/>
      <c r="T2" s="212"/>
    </row>
    <row r="3" spans="1:20" ht="21" thickBot="1" x14ac:dyDescent="0.3">
      <c r="B3" s="93" t="s">
        <v>0</v>
      </c>
      <c r="C3" s="94" t="s">
        <v>1</v>
      </c>
      <c r="D3" s="95" t="s">
        <v>2</v>
      </c>
      <c r="E3" s="95" t="s">
        <v>3</v>
      </c>
      <c r="F3" s="95" t="s">
        <v>4</v>
      </c>
      <c r="G3" s="96" t="s">
        <v>5</v>
      </c>
      <c r="H3" s="93" t="s">
        <v>7</v>
      </c>
      <c r="I3" s="93" t="s">
        <v>32</v>
      </c>
      <c r="J3" s="97" t="s">
        <v>30</v>
      </c>
      <c r="L3" s="72" t="s">
        <v>0</v>
      </c>
      <c r="M3" s="73" t="s">
        <v>1</v>
      </c>
      <c r="N3" s="74" t="s">
        <v>2</v>
      </c>
      <c r="O3" s="74" t="s">
        <v>3</v>
      </c>
      <c r="P3" s="74" t="s">
        <v>4</v>
      </c>
      <c r="Q3" s="75" t="s">
        <v>5</v>
      </c>
      <c r="R3" s="72" t="s">
        <v>7</v>
      </c>
      <c r="S3" s="72" t="s">
        <v>32</v>
      </c>
      <c r="T3" s="72" t="s">
        <v>30</v>
      </c>
    </row>
    <row r="4" spans="1:20" x14ac:dyDescent="0.25">
      <c r="A4" s="65" t="str">
        <f>B2</f>
        <v>انبار هانگار مجتمع خراسان</v>
      </c>
      <c r="B4" s="6" t="s">
        <v>8</v>
      </c>
      <c r="C4" s="7">
        <f>IF(SUM(M4,C20,M20,C36,M36,C52,M52,C68,M68,C84)=0,"",SUM(M4,C20,M20,C36,M36,C52,M52,C68,M68,C84,M84))</f>
        <v>23</v>
      </c>
      <c r="D4" s="8">
        <f t="shared" ref="D4:G4" si="0">IF(SUM(N4,D20,N20,D36,N36,D52,N52,D68,N68,D84)=0,"",SUM(N4,D20,N20,D36,N36,D52,N52,D68,N68,D84,N84))</f>
        <v>24</v>
      </c>
      <c r="E4" s="8" t="str">
        <f t="shared" si="0"/>
        <v/>
      </c>
      <c r="F4" s="8" t="str">
        <f t="shared" si="0"/>
        <v/>
      </c>
      <c r="G4" s="9">
        <f t="shared" si="0"/>
        <v>256</v>
      </c>
      <c r="H4" s="10">
        <f>SUM(C4:F4)</f>
        <v>47</v>
      </c>
      <c r="I4" s="10">
        <f t="shared" ref="I4:I15" si="1">IF(SUM(S4,I20,S20,I36,S36,I52,S52,I68,S68,I84)=0,"",SUM(S4,I20,S20,I36,S36,I52,S52,I68,S68,I84,S84))</f>
        <v>2718</v>
      </c>
      <c r="J4" s="66">
        <f>IFERROR(SUM(S4*T4,I20*J20,S20*T20,I36*J36,S36*T36,I52*J52,S52*T52,J68*I68,T68*S68,J84*I84,S84*T84)/I4,"")</f>
        <v>0.77424576894775576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هانگار مجتمع خراسان</v>
      </c>
      <c r="B5" s="11" t="s">
        <v>9</v>
      </c>
      <c r="C5" s="12">
        <f t="shared" ref="C5:G15" si="2">IF(SUM(M5,C21,M21,C37,M37,C53,M53,C69,M69,C85)=0,"",SUM(M5,C21,M21,C37,M37,C53,M53,C69,M69,C85,M85))</f>
        <v>201</v>
      </c>
      <c r="D5" s="13">
        <f t="shared" si="2"/>
        <v>176</v>
      </c>
      <c r="E5" s="13" t="str">
        <f t="shared" si="2"/>
        <v/>
      </c>
      <c r="F5" s="13" t="str">
        <f t="shared" si="2"/>
        <v/>
      </c>
      <c r="G5" s="14">
        <f t="shared" si="2"/>
        <v>310</v>
      </c>
      <c r="H5" s="15">
        <f t="shared" ref="H5:H15" si="3">SUM(C5:F5)</f>
        <v>377</v>
      </c>
      <c r="I5" s="15">
        <f t="shared" si="1"/>
        <v>2718</v>
      </c>
      <c r="J5" s="67">
        <f>IFERROR(SUM(S5*T5,I21*J21,S21*T21,I37*J37,S37*T37,I53*J53,S53*T53,J69*I69,T69*S69,J85*I85,S85*T85)/I5,"")</f>
        <v>0.50665930831493744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 x14ac:dyDescent="0.25">
      <c r="A6" s="65" t="str">
        <f>B2</f>
        <v>انبار هانگار مجتمع خراسان</v>
      </c>
      <c r="B6" s="11" t="s">
        <v>10</v>
      </c>
      <c r="C6" s="12">
        <f t="shared" si="2"/>
        <v>318</v>
      </c>
      <c r="D6" s="13">
        <f t="shared" si="2"/>
        <v>95</v>
      </c>
      <c r="E6" s="13" t="str">
        <f t="shared" si="2"/>
        <v/>
      </c>
      <c r="F6" s="13" t="str">
        <f t="shared" si="2"/>
        <v/>
      </c>
      <c r="G6" s="14">
        <f t="shared" si="2"/>
        <v>414</v>
      </c>
      <c r="H6" s="15">
        <f t="shared" si="3"/>
        <v>413</v>
      </c>
      <c r="I6" s="15">
        <f t="shared" si="1"/>
        <v>2718</v>
      </c>
      <c r="J6" s="67">
        <f t="shared" ref="J6:J15" si="5">IFERROR(SUM(S6*T6,I22*J22,S22*T22,I38*J38,S38*T38,I54*J54,S54*T54,J70*I70,T70*S70,J86*I86,S86*T86)/I6,"")</f>
        <v>0.71604120676968364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 x14ac:dyDescent="0.25">
      <c r="A7" s="65" t="str">
        <f>B2</f>
        <v>انبار هانگار مجتمع خراسان</v>
      </c>
      <c r="B7" s="11" t="s">
        <v>11</v>
      </c>
      <c r="C7" s="12">
        <f t="shared" si="2"/>
        <v>392</v>
      </c>
      <c r="D7" s="13">
        <f t="shared" si="2"/>
        <v>723</v>
      </c>
      <c r="E7" s="13" t="str">
        <f t="shared" si="2"/>
        <v/>
      </c>
      <c r="F7" s="13" t="str">
        <f t="shared" si="2"/>
        <v/>
      </c>
      <c r="G7" s="14">
        <f t="shared" si="2"/>
        <v>166</v>
      </c>
      <c r="H7" s="15">
        <f t="shared" si="3"/>
        <v>1115</v>
      </c>
      <c r="I7" s="15">
        <f t="shared" si="1"/>
        <v>2718</v>
      </c>
      <c r="J7" s="67">
        <f t="shared" si="5"/>
        <v>0.39628403237674759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 x14ac:dyDescent="0.25">
      <c r="A8" s="65" t="str">
        <f>B2</f>
        <v>انبار هانگار مجتمع خراسان</v>
      </c>
      <c r="B8" s="11" t="s">
        <v>12</v>
      </c>
      <c r="C8" s="12">
        <f t="shared" si="2"/>
        <v>1495</v>
      </c>
      <c r="D8" s="13">
        <f t="shared" si="2"/>
        <v>1040</v>
      </c>
      <c r="E8" s="13" t="str">
        <f t="shared" si="2"/>
        <v/>
      </c>
      <c r="F8" s="13" t="str">
        <f t="shared" si="2"/>
        <v/>
      </c>
      <c r="G8" s="14">
        <f t="shared" si="2"/>
        <v>32</v>
      </c>
      <c r="H8" s="15">
        <f t="shared" si="3"/>
        <v>2535</v>
      </c>
      <c r="I8" s="15">
        <f t="shared" si="1"/>
        <v>2718</v>
      </c>
      <c r="J8" s="67">
        <f t="shared" si="5"/>
        <v>0.27119205298013244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 x14ac:dyDescent="0.25">
      <c r="A9" s="65" t="str">
        <f>B2</f>
        <v>انبار هانگار مجتمع خراسان</v>
      </c>
      <c r="B9" s="11" t="s">
        <v>13</v>
      </c>
      <c r="C9" s="12">
        <f t="shared" si="2"/>
        <v>771</v>
      </c>
      <c r="D9" s="13">
        <f t="shared" si="2"/>
        <v>1364</v>
      </c>
      <c r="E9" s="13" t="str">
        <f t="shared" si="2"/>
        <v/>
      </c>
      <c r="F9" s="13" t="str">
        <f t="shared" si="2"/>
        <v/>
      </c>
      <c r="G9" s="14">
        <f t="shared" si="2"/>
        <v>291</v>
      </c>
      <c r="H9" s="15">
        <f t="shared" si="3"/>
        <v>2135</v>
      </c>
      <c r="I9" s="15">
        <f t="shared" si="1"/>
        <v>2718</v>
      </c>
      <c r="J9" s="67">
        <f t="shared" si="5"/>
        <v>0.52873436350257541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 x14ac:dyDescent="0.25">
      <c r="A10" s="65" t="str">
        <f>B2</f>
        <v>انبار هانگار مجتمع خراسان</v>
      </c>
      <c r="B10" s="11" t="s">
        <v>14</v>
      </c>
      <c r="C10" s="12">
        <f t="shared" si="2"/>
        <v>389</v>
      </c>
      <c r="D10" s="13">
        <f t="shared" si="2"/>
        <v>736</v>
      </c>
      <c r="E10" s="13" t="str">
        <f t="shared" si="2"/>
        <v/>
      </c>
      <c r="F10" s="13" t="str">
        <f t="shared" si="2"/>
        <v/>
      </c>
      <c r="G10" s="14">
        <f t="shared" si="2"/>
        <v>188</v>
      </c>
      <c r="H10" s="15">
        <f t="shared" si="3"/>
        <v>1125</v>
      </c>
      <c r="I10" s="15">
        <f t="shared" si="1"/>
        <v>2718</v>
      </c>
      <c r="J10" s="67">
        <f t="shared" si="5"/>
        <v>0.52840323767476083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 x14ac:dyDescent="0.25">
      <c r="A11" s="65" t="str">
        <f>B2</f>
        <v>انبار هانگار مجتمع خراسان</v>
      </c>
      <c r="B11" s="11" t="s">
        <v>15</v>
      </c>
      <c r="C11" s="12">
        <f t="shared" si="2"/>
        <v>424</v>
      </c>
      <c r="D11" s="13">
        <f t="shared" si="2"/>
        <v>545</v>
      </c>
      <c r="E11" s="13" t="str">
        <f t="shared" si="2"/>
        <v/>
      </c>
      <c r="F11" s="13" t="str">
        <f t="shared" si="2"/>
        <v/>
      </c>
      <c r="G11" s="14">
        <f t="shared" si="2"/>
        <v>64</v>
      </c>
      <c r="H11" s="15">
        <f t="shared" si="3"/>
        <v>969</v>
      </c>
      <c r="I11" s="15">
        <f t="shared" si="1"/>
        <v>2760</v>
      </c>
      <c r="J11" s="67">
        <f t="shared" si="5"/>
        <v>0.27934782608695652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 x14ac:dyDescent="0.25">
      <c r="A12" s="65" t="str">
        <f>B2</f>
        <v>انبار هانگار مجتمع خراسان</v>
      </c>
      <c r="B12" s="11" t="s">
        <v>16</v>
      </c>
      <c r="C12" s="12">
        <f t="shared" si="2"/>
        <v>1544</v>
      </c>
      <c r="D12" s="13">
        <f t="shared" si="2"/>
        <v>1654</v>
      </c>
      <c r="E12" s="13" t="str">
        <f t="shared" si="2"/>
        <v/>
      </c>
      <c r="F12" s="13" t="str">
        <f t="shared" si="2"/>
        <v/>
      </c>
      <c r="G12" s="14">
        <f t="shared" si="2"/>
        <v>340</v>
      </c>
      <c r="H12" s="15">
        <f t="shared" si="3"/>
        <v>3198</v>
      </c>
      <c r="I12" s="15">
        <f t="shared" si="1"/>
        <v>2760</v>
      </c>
      <c r="J12" s="67">
        <f t="shared" si="5"/>
        <v>0.66449275362318838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 x14ac:dyDescent="0.25">
      <c r="A13" s="65" t="str">
        <f>B2</f>
        <v>انبار هانگار مجتمع خراسان</v>
      </c>
      <c r="B13" s="11" t="s">
        <v>17</v>
      </c>
      <c r="C13" s="12">
        <f t="shared" si="2"/>
        <v>952</v>
      </c>
      <c r="D13" s="13">
        <f t="shared" si="2"/>
        <v>1157</v>
      </c>
      <c r="E13" s="13" t="str">
        <f t="shared" si="2"/>
        <v/>
      </c>
      <c r="F13" s="13" t="str">
        <f t="shared" si="2"/>
        <v/>
      </c>
      <c r="G13" s="14">
        <f t="shared" si="2"/>
        <v>752</v>
      </c>
      <c r="H13" s="15">
        <f t="shared" si="3"/>
        <v>2109</v>
      </c>
      <c r="I13" s="15">
        <f t="shared" si="1"/>
        <v>2760</v>
      </c>
      <c r="J13" s="67">
        <f t="shared" si="5"/>
        <v>0.82282608695652171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 x14ac:dyDescent="0.25">
      <c r="A14" s="65" t="str">
        <f>B2</f>
        <v>انبار هانگار مجتمع خراسان</v>
      </c>
      <c r="B14" s="11" t="s">
        <v>18</v>
      </c>
      <c r="C14" s="12">
        <f t="shared" si="2"/>
        <v>477</v>
      </c>
      <c r="D14" s="13">
        <f t="shared" si="2"/>
        <v>804</v>
      </c>
      <c r="E14" s="13" t="str">
        <f t="shared" si="2"/>
        <v/>
      </c>
      <c r="F14" s="13" t="str">
        <f t="shared" si="2"/>
        <v/>
      </c>
      <c r="G14" s="14">
        <f t="shared" si="2"/>
        <v>397</v>
      </c>
      <c r="H14" s="15">
        <f t="shared" si="3"/>
        <v>1281</v>
      </c>
      <c r="I14" s="15">
        <f t="shared" si="1"/>
        <v>2660</v>
      </c>
      <c r="J14" s="67">
        <f t="shared" si="5"/>
        <v>0.55939849624060145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20.25" thickBot="1" x14ac:dyDescent="0.3">
      <c r="A15" s="65" t="str">
        <f>B2</f>
        <v>انبار هانگار مجتمع خراسان</v>
      </c>
      <c r="B15" s="16" t="s">
        <v>19</v>
      </c>
      <c r="C15" s="17">
        <f t="shared" si="2"/>
        <v>612</v>
      </c>
      <c r="D15" s="18">
        <f t="shared" si="2"/>
        <v>532</v>
      </c>
      <c r="E15" s="18" t="str">
        <f t="shared" si="2"/>
        <v/>
      </c>
      <c r="F15" s="18" t="str">
        <f t="shared" si="2"/>
        <v/>
      </c>
      <c r="G15" s="19">
        <f t="shared" si="2"/>
        <v>481</v>
      </c>
      <c r="H15" s="20">
        <f t="shared" si="3"/>
        <v>1144</v>
      </c>
      <c r="I15" s="20">
        <f t="shared" si="1"/>
        <v>2600</v>
      </c>
      <c r="J15" s="68">
        <f t="shared" si="5"/>
        <v>0.38461538461538464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21" thickBot="1" x14ac:dyDescent="0.3">
      <c r="A16" s="65"/>
      <c r="B16" s="97" t="s">
        <v>6</v>
      </c>
      <c r="C16" s="98">
        <f>SUM(C4:C15)</f>
        <v>7598</v>
      </c>
      <c r="D16" s="99">
        <f t="shared" ref="D16:F16" si="6">SUM(D4:D15)</f>
        <v>8850</v>
      </c>
      <c r="E16" s="99">
        <f t="shared" si="6"/>
        <v>0</v>
      </c>
      <c r="F16" s="99">
        <f t="shared" si="6"/>
        <v>0</v>
      </c>
      <c r="G16" s="10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481</v>
      </c>
      <c r="H16" s="101">
        <f t="shared" ref="H16" si="7">SUM(C16:F16)</f>
        <v>16448</v>
      </c>
      <c r="I16" s="101">
        <f>IFERROR(SUM(I4:I15)/COUNTIF(I4:I15,"&gt;"&amp;0),"")</f>
        <v>2713.8333333333335</v>
      </c>
      <c r="J16" s="102">
        <f>IFERROR((SUMPRODUCT(J4:J15,I4:I15)/COUNTIF(I4:I15,"&gt;"&amp;0))/I16,"")</f>
        <v>0.53673156052324511</v>
      </c>
      <c r="K16" s="65"/>
      <c r="L16" s="76" t="s">
        <v>6</v>
      </c>
      <c r="M16" s="77">
        <f>SUM(M4:M15)</f>
        <v>0</v>
      </c>
      <c r="N16" s="78">
        <f t="shared" ref="N16:P16" si="8">SUM(N4:N15)</f>
        <v>0</v>
      </c>
      <c r="O16" s="78">
        <f t="shared" si="8"/>
        <v>0</v>
      </c>
      <c r="P16" s="78">
        <f t="shared" si="8"/>
        <v>0</v>
      </c>
      <c r="Q16" s="79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80">
        <f t="shared" ref="R16" si="9">SUM(M16:P16)</f>
        <v>0</v>
      </c>
      <c r="S16" s="80" t="str">
        <f>IFERROR(SUM(S4:S15)/COUNTIF(S4:S15,"&gt;"&amp;0),"")</f>
        <v/>
      </c>
      <c r="T16" s="81" t="str">
        <f>IFERROR((SUMPRODUCT(T4:T15,S4:S15)/COUNTIF(S4:S15,"&gt;"&amp;0))/S16,"")</f>
        <v/>
      </c>
    </row>
    <row r="17" spans="1:20" ht="3.95" customHeight="1" thickBot="1" x14ac:dyDescent="0.3">
      <c r="A17" s="65"/>
      <c r="I17" s="103">
        <f>IFERROR(I16*J16,"")</f>
        <v>1456.6000000000001</v>
      </c>
      <c r="K17" s="65"/>
      <c r="S17" s="103" t="str">
        <f>IFERROR(S16*T16,"")</f>
        <v/>
      </c>
    </row>
    <row r="18" spans="1:20" ht="26.25" thickBot="1" x14ac:dyDescent="0.3">
      <c r="A18" s="65"/>
      <c r="B18" s="210" t="s">
        <v>21</v>
      </c>
      <c r="C18" s="211"/>
      <c r="D18" s="211"/>
      <c r="E18" s="211"/>
      <c r="F18" s="211"/>
      <c r="G18" s="211"/>
      <c r="H18" s="211"/>
      <c r="I18" s="211"/>
      <c r="J18" s="212"/>
      <c r="K18" s="65"/>
      <c r="L18" s="210" t="s">
        <v>22</v>
      </c>
      <c r="M18" s="211"/>
      <c r="N18" s="211"/>
      <c r="O18" s="211"/>
      <c r="P18" s="211"/>
      <c r="Q18" s="211"/>
      <c r="R18" s="211"/>
      <c r="S18" s="211"/>
      <c r="T18" s="212"/>
    </row>
    <row r="19" spans="1:20" ht="21" thickBot="1" x14ac:dyDescent="0.3">
      <c r="A19" s="65"/>
      <c r="B19" s="72" t="s">
        <v>0</v>
      </c>
      <c r="C19" s="73" t="s">
        <v>1</v>
      </c>
      <c r="D19" s="74" t="s">
        <v>2</v>
      </c>
      <c r="E19" s="74" t="s">
        <v>3</v>
      </c>
      <c r="F19" s="74" t="s">
        <v>4</v>
      </c>
      <c r="G19" s="75" t="s">
        <v>5</v>
      </c>
      <c r="H19" s="72" t="s">
        <v>7</v>
      </c>
      <c r="I19" s="72" t="s">
        <v>32</v>
      </c>
      <c r="J19" s="72" t="s">
        <v>30</v>
      </c>
      <c r="K19" s="65"/>
      <c r="L19" s="72" t="s">
        <v>0</v>
      </c>
      <c r="M19" s="73" t="s">
        <v>1</v>
      </c>
      <c r="N19" s="74" t="s">
        <v>2</v>
      </c>
      <c r="O19" s="74" t="s">
        <v>3</v>
      </c>
      <c r="P19" s="74" t="s">
        <v>4</v>
      </c>
      <c r="Q19" s="75" t="s">
        <v>5</v>
      </c>
      <c r="R19" s="72" t="s">
        <v>7</v>
      </c>
      <c r="S19" s="72" t="s">
        <v>32</v>
      </c>
      <c r="T19" s="72" t="s">
        <v>30</v>
      </c>
    </row>
    <row r="20" spans="1:20" x14ac:dyDescent="0.25">
      <c r="A20" s="65" t="str">
        <f>B18</f>
        <v>شهید کاوه</v>
      </c>
      <c r="B20" s="6" t="s">
        <v>8</v>
      </c>
      <c r="C20" s="7">
        <v>4</v>
      </c>
      <c r="D20" s="8">
        <v>4</v>
      </c>
      <c r="E20" s="8"/>
      <c r="F20" s="8"/>
      <c r="G20" s="9"/>
      <c r="H20" s="10">
        <f>SUM(C20:G20)</f>
        <v>8</v>
      </c>
      <c r="I20" s="10">
        <v>18</v>
      </c>
      <c r="J20" s="66">
        <v>0.8</v>
      </c>
      <c r="K20" s="65" t="str">
        <f>L18</f>
        <v>مطهری</v>
      </c>
      <c r="L20" s="6" t="s">
        <v>8</v>
      </c>
      <c r="M20" s="7">
        <v>0</v>
      </c>
      <c r="N20" s="8">
        <v>0</v>
      </c>
      <c r="O20" s="8"/>
      <c r="P20" s="8"/>
      <c r="Q20" s="9">
        <v>256</v>
      </c>
      <c r="R20" s="10">
        <f>SUM(M20:Q20)</f>
        <v>256</v>
      </c>
      <c r="S20" s="10">
        <v>2000</v>
      </c>
      <c r="T20" s="66">
        <v>0.75</v>
      </c>
    </row>
    <row r="21" spans="1:20" x14ac:dyDescent="0.25">
      <c r="A21" s="65" t="str">
        <f>B18</f>
        <v>شهید کاوه</v>
      </c>
      <c r="B21" s="11" t="s">
        <v>9</v>
      </c>
      <c r="C21" s="12">
        <v>3</v>
      </c>
      <c r="D21" s="13">
        <v>17</v>
      </c>
      <c r="E21" s="13"/>
      <c r="F21" s="13"/>
      <c r="G21" s="14"/>
      <c r="H21" s="15">
        <f>SUM(C21:G21)</f>
        <v>20</v>
      </c>
      <c r="I21" s="15">
        <v>18</v>
      </c>
      <c r="J21" s="67">
        <v>0.95</v>
      </c>
      <c r="K21" s="65" t="str">
        <f>L18</f>
        <v>مطهری</v>
      </c>
      <c r="L21" s="11" t="s">
        <v>9</v>
      </c>
      <c r="M21" s="12">
        <v>184</v>
      </c>
      <c r="N21" s="13">
        <v>130</v>
      </c>
      <c r="O21" s="13"/>
      <c r="P21" s="13"/>
      <c r="Q21" s="14">
        <v>310</v>
      </c>
      <c r="R21" s="15">
        <f>SUM(M21:Q21)</f>
        <v>624</v>
      </c>
      <c r="S21" s="15">
        <v>2000</v>
      </c>
      <c r="T21" s="67">
        <v>0.4</v>
      </c>
    </row>
    <row r="22" spans="1:20" x14ac:dyDescent="0.25">
      <c r="A22" s="65" t="str">
        <f>B18</f>
        <v>شهید کاوه</v>
      </c>
      <c r="B22" s="11" t="s">
        <v>10</v>
      </c>
      <c r="C22" s="12">
        <v>17</v>
      </c>
      <c r="D22" s="13">
        <v>21</v>
      </c>
      <c r="E22" s="13"/>
      <c r="F22" s="13"/>
      <c r="G22" s="14"/>
      <c r="H22" s="15">
        <f t="shared" ref="H22:H31" si="10">SUM(C22:F22)</f>
        <v>38</v>
      </c>
      <c r="I22" s="15">
        <v>18</v>
      </c>
      <c r="J22" s="67">
        <v>0.9</v>
      </c>
      <c r="K22" s="65" t="str">
        <f>L18</f>
        <v>مطهری</v>
      </c>
      <c r="L22" s="11" t="s">
        <v>10</v>
      </c>
      <c r="M22" s="12">
        <v>285</v>
      </c>
      <c r="N22" s="13">
        <v>74</v>
      </c>
      <c r="O22" s="13"/>
      <c r="P22" s="13"/>
      <c r="Q22" s="14">
        <v>414</v>
      </c>
      <c r="R22" s="15">
        <f t="shared" ref="R22:R31" si="11">SUM(M22:P22)</f>
        <v>359</v>
      </c>
      <c r="S22" s="15">
        <v>2000</v>
      </c>
      <c r="T22" s="67">
        <v>0.7</v>
      </c>
    </row>
    <row r="23" spans="1:20" x14ac:dyDescent="0.25">
      <c r="A23" s="65" t="str">
        <f>B18</f>
        <v>شهید کاوه</v>
      </c>
      <c r="B23" s="11" t="s">
        <v>11</v>
      </c>
      <c r="C23" s="12">
        <v>42</v>
      </c>
      <c r="D23" s="13">
        <v>3</v>
      </c>
      <c r="E23" s="13"/>
      <c r="F23" s="13"/>
      <c r="G23" s="14"/>
      <c r="H23" s="15">
        <f t="shared" si="10"/>
        <v>45</v>
      </c>
      <c r="I23" s="15">
        <v>18</v>
      </c>
      <c r="J23" s="67">
        <v>0.95</v>
      </c>
      <c r="K23" s="65" t="str">
        <f>L18</f>
        <v>مطهری</v>
      </c>
      <c r="L23" s="11" t="s">
        <v>11</v>
      </c>
      <c r="M23" s="12">
        <v>350</v>
      </c>
      <c r="N23" s="13">
        <v>720</v>
      </c>
      <c r="O23" s="13"/>
      <c r="P23" s="13"/>
      <c r="Q23" s="14">
        <v>166</v>
      </c>
      <c r="R23" s="15">
        <f t="shared" si="11"/>
        <v>1070</v>
      </c>
      <c r="S23" s="15">
        <v>2000</v>
      </c>
      <c r="T23" s="67">
        <v>0.25</v>
      </c>
    </row>
    <row r="24" spans="1:20" x14ac:dyDescent="0.25">
      <c r="A24" s="65" t="str">
        <f>B18</f>
        <v>شهید کاوه</v>
      </c>
      <c r="B24" s="11" t="s">
        <v>12</v>
      </c>
      <c r="C24" s="12">
        <v>10</v>
      </c>
      <c r="D24" s="13">
        <v>190</v>
      </c>
      <c r="E24" s="13"/>
      <c r="F24" s="13"/>
      <c r="G24" s="14"/>
      <c r="H24" s="15">
        <f t="shared" si="10"/>
        <v>200</v>
      </c>
      <c r="I24" s="15">
        <v>18</v>
      </c>
      <c r="J24" s="67">
        <v>0.95</v>
      </c>
      <c r="K24" s="65" t="str">
        <f>L18</f>
        <v>مطهری</v>
      </c>
      <c r="L24" s="11" t="s">
        <v>12</v>
      </c>
      <c r="M24" s="12">
        <v>125</v>
      </c>
      <c r="N24" s="13">
        <v>264</v>
      </c>
      <c r="O24" s="13"/>
      <c r="P24" s="13"/>
      <c r="Q24" s="14">
        <v>32</v>
      </c>
      <c r="R24" s="15">
        <f t="shared" si="11"/>
        <v>389</v>
      </c>
      <c r="S24" s="15">
        <v>2000</v>
      </c>
      <c r="T24" s="67">
        <v>0.05</v>
      </c>
    </row>
    <row r="25" spans="1:20" x14ac:dyDescent="0.25">
      <c r="A25" s="65" t="str">
        <f>B18</f>
        <v>شهید کاوه</v>
      </c>
      <c r="B25" s="11" t="s">
        <v>13</v>
      </c>
      <c r="C25" s="12">
        <v>16</v>
      </c>
      <c r="D25" s="13">
        <v>26</v>
      </c>
      <c r="E25" s="13"/>
      <c r="F25" s="13"/>
      <c r="G25" s="14"/>
      <c r="H25" s="15">
        <f t="shared" si="10"/>
        <v>42</v>
      </c>
      <c r="I25" s="15">
        <v>18</v>
      </c>
      <c r="J25" s="67">
        <v>0.95</v>
      </c>
      <c r="K25" s="65" t="str">
        <f>L18</f>
        <v>مطهری</v>
      </c>
      <c r="L25" s="11" t="s">
        <v>13</v>
      </c>
      <c r="M25" s="12">
        <v>628</v>
      </c>
      <c r="N25" s="13">
        <v>369</v>
      </c>
      <c r="O25" s="13"/>
      <c r="P25" s="13"/>
      <c r="Q25" s="14">
        <v>291</v>
      </c>
      <c r="R25" s="15">
        <f t="shared" si="11"/>
        <v>997</v>
      </c>
      <c r="S25" s="15">
        <v>2000</v>
      </c>
      <c r="T25" s="67">
        <v>0.4</v>
      </c>
    </row>
    <row r="26" spans="1:20" x14ac:dyDescent="0.25">
      <c r="A26" s="65" t="str">
        <f>B18</f>
        <v>شهید کاوه</v>
      </c>
      <c r="B26" s="11" t="s">
        <v>14</v>
      </c>
      <c r="C26" s="12">
        <v>15</v>
      </c>
      <c r="D26" s="13">
        <v>25</v>
      </c>
      <c r="E26" s="13"/>
      <c r="F26" s="13"/>
      <c r="G26" s="14"/>
      <c r="H26" s="15">
        <f t="shared" si="10"/>
        <v>40</v>
      </c>
      <c r="I26" s="15">
        <v>18</v>
      </c>
      <c r="J26" s="67">
        <v>0.9</v>
      </c>
      <c r="K26" s="65" t="str">
        <f>L18</f>
        <v>مطهری</v>
      </c>
      <c r="L26" s="11" t="s">
        <v>14</v>
      </c>
      <c r="M26" s="12">
        <v>310</v>
      </c>
      <c r="N26" s="13">
        <v>414</v>
      </c>
      <c r="O26" s="13"/>
      <c r="P26" s="13"/>
      <c r="Q26" s="14">
        <v>188</v>
      </c>
      <c r="R26" s="15">
        <f t="shared" si="11"/>
        <v>724</v>
      </c>
      <c r="S26" s="15">
        <v>2000</v>
      </c>
      <c r="T26" s="67">
        <v>0.4</v>
      </c>
    </row>
    <row r="27" spans="1:20" x14ac:dyDescent="0.25">
      <c r="A27" s="65" t="str">
        <f>B18</f>
        <v>شهید کاوه</v>
      </c>
      <c r="B27" s="11" t="s">
        <v>15</v>
      </c>
      <c r="C27" s="12">
        <v>4</v>
      </c>
      <c r="D27" s="13">
        <v>2</v>
      </c>
      <c r="E27" s="13"/>
      <c r="F27" s="13"/>
      <c r="G27" s="14"/>
      <c r="H27" s="15">
        <f t="shared" si="10"/>
        <v>6</v>
      </c>
      <c r="I27" s="15">
        <v>60</v>
      </c>
      <c r="J27" s="67">
        <v>0.85</v>
      </c>
      <c r="K27" s="65" t="str">
        <f>L18</f>
        <v>مطهری</v>
      </c>
      <c r="L27" s="11" t="s">
        <v>15</v>
      </c>
      <c r="M27" s="12">
        <v>169</v>
      </c>
      <c r="N27" s="13">
        <v>292</v>
      </c>
      <c r="O27" s="13"/>
      <c r="P27" s="13"/>
      <c r="Q27" s="14">
        <v>64</v>
      </c>
      <c r="R27" s="15">
        <f t="shared" si="11"/>
        <v>461</v>
      </c>
      <c r="S27" s="15">
        <v>2000</v>
      </c>
      <c r="T27" s="67">
        <v>0.05</v>
      </c>
    </row>
    <row r="28" spans="1:20" x14ac:dyDescent="0.25">
      <c r="A28" s="65" t="str">
        <f>B18</f>
        <v>شهید کاوه</v>
      </c>
      <c r="B28" s="11" t="s">
        <v>16</v>
      </c>
      <c r="C28" s="12">
        <v>3</v>
      </c>
      <c r="D28" s="13">
        <v>8</v>
      </c>
      <c r="E28" s="13"/>
      <c r="F28" s="13"/>
      <c r="G28" s="14"/>
      <c r="H28" s="15">
        <f t="shared" si="10"/>
        <v>11</v>
      </c>
      <c r="I28" s="15">
        <v>60</v>
      </c>
      <c r="J28" s="67">
        <v>0.9</v>
      </c>
      <c r="K28" s="65" t="str">
        <f>L18</f>
        <v>مطهری</v>
      </c>
      <c r="L28" s="11" t="s">
        <v>16</v>
      </c>
      <c r="M28" s="12">
        <v>378</v>
      </c>
      <c r="N28" s="13">
        <v>103</v>
      </c>
      <c r="O28" s="13"/>
      <c r="P28" s="13"/>
      <c r="Q28" s="14">
        <v>340</v>
      </c>
      <c r="R28" s="15">
        <f t="shared" si="11"/>
        <v>481</v>
      </c>
      <c r="S28" s="15">
        <v>2000</v>
      </c>
      <c r="T28" s="67">
        <v>0.65</v>
      </c>
    </row>
    <row r="29" spans="1:20" x14ac:dyDescent="0.25">
      <c r="A29" s="65" t="str">
        <f>B18</f>
        <v>شهید کاوه</v>
      </c>
      <c r="B29" s="11" t="s">
        <v>17</v>
      </c>
      <c r="C29" s="12"/>
      <c r="D29" s="13">
        <v>10</v>
      </c>
      <c r="E29" s="13"/>
      <c r="F29" s="13"/>
      <c r="G29" s="14"/>
      <c r="H29" s="15">
        <f t="shared" si="10"/>
        <v>10</v>
      </c>
      <c r="I29" s="15">
        <v>60</v>
      </c>
      <c r="J29" s="67">
        <v>0.85</v>
      </c>
      <c r="K29" s="65" t="str">
        <f>L18</f>
        <v>مطهری</v>
      </c>
      <c r="L29" s="11" t="s">
        <v>17</v>
      </c>
      <c r="M29" s="12">
        <v>563</v>
      </c>
      <c r="N29" s="13">
        <v>176</v>
      </c>
      <c r="O29" s="13"/>
      <c r="P29" s="13"/>
      <c r="Q29" s="14">
        <v>752</v>
      </c>
      <c r="R29" s="15">
        <f t="shared" si="11"/>
        <v>739</v>
      </c>
      <c r="S29" s="15">
        <v>2000</v>
      </c>
      <c r="T29" s="67">
        <v>0.9</v>
      </c>
    </row>
    <row r="30" spans="1:20" x14ac:dyDescent="0.25">
      <c r="A30" s="65" t="str">
        <f>B18</f>
        <v>شهید کاوه</v>
      </c>
      <c r="B30" s="11" t="s">
        <v>18</v>
      </c>
      <c r="C30" s="12"/>
      <c r="D30" s="13">
        <v>2</v>
      </c>
      <c r="E30" s="13"/>
      <c r="F30" s="13"/>
      <c r="G30" s="14"/>
      <c r="H30" s="15">
        <f t="shared" si="10"/>
        <v>2</v>
      </c>
      <c r="I30" s="15">
        <v>60</v>
      </c>
      <c r="J30" s="67">
        <v>0.8</v>
      </c>
      <c r="K30" s="65" t="str">
        <f>L18</f>
        <v>مطهری</v>
      </c>
      <c r="L30" s="11" t="s">
        <v>18</v>
      </c>
      <c r="M30" s="12">
        <v>61</v>
      </c>
      <c r="N30" s="13">
        <v>415</v>
      </c>
      <c r="O30" s="13"/>
      <c r="P30" s="13"/>
      <c r="Q30" s="14">
        <v>397</v>
      </c>
      <c r="R30" s="15">
        <f t="shared" si="11"/>
        <v>476</v>
      </c>
      <c r="S30" s="15">
        <v>2000</v>
      </c>
      <c r="T30" s="67">
        <v>0.45</v>
      </c>
    </row>
    <row r="31" spans="1:20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 t="shared" si="10"/>
        <v>0</v>
      </c>
      <c r="I31" s="20"/>
      <c r="J31" s="68"/>
      <c r="K31" s="65" t="str">
        <f>L18</f>
        <v>مطهری</v>
      </c>
      <c r="L31" s="16" t="s">
        <v>19</v>
      </c>
      <c r="M31" s="17">
        <v>375</v>
      </c>
      <c r="N31" s="18">
        <v>292</v>
      </c>
      <c r="O31" s="18"/>
      <c r="P31" s="18"/>
      <c r="Q31" s="19">
        <v>481</v>
      </c>
      <c r="R31" s="20">
        <f t="shared" si="11"/>
        <v>667</v>
      </c>
      <c r="S31" s="20">
        <v>2000</v>
      </c>
      <c r="T31" s="68">
        <v>0.35</v>
      </c>
    </row>
    <row r="32" spans="1:20" ht="21" thickBot="1" x14ac:dyDescent="0.3">
      <c r="A32" s="65"/>
      <c r="B32" s="76" t="s">
        <v>6</v>
      </c>
      <c r="C32" s="77">
        <f>SUM(C20:C31)</f>
        <v>114</v>
      </c>
      <c r="D32" s="78">
        <f t="shared" ref="D32:F32" si="12">SUM(D20:D31)</f>
        <v>308</v>
      </c>
      <c r="E32" s="78">
        <f t="shared" si="12"/>
        <v>0</v>
      </c>
      <c r="F32" s="78">
        <f t="shared" si="12"/>
        <v>0</v>
      </c>
      <c r="G32" s="79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80">
        <f t="shared" ref="H32" si="13">SUM(C32:F32)</f>
        <v>422</v>
      </c>
      <c r="I32" s="80">
        <f>IFERROR(SUM(I20:I31)/COUNTIF(I20:I31,"&gt;"&amp;0),"")</f>
        <v>33.272727272727273</v>
      </c>
      <c r="J32" s="81">
        <f>IFERROR((SUMPRODUCT(J20:J31,I20:I31)/COUNTIF(I20:I31,"&gt;"&amp;0))/I32,"")</f>
        <v>0.87213114754098353</v>
      </c>
      <c r="K32" s="65"/>
      <c r="L32" s="76" t="s">
        <v>6</v>
      </c>
      <c r="M32" s="77">
        <f>SUM(M20:M31)</f>
        <v>3428</v>
      </c>
      <c r="N32" s="78">
        <f t="shared" ref="N32:P32" si="14">SUM(N20:N31)</f>
        <v>3249</v>
      </c>
      <c r="O32" s="78">
        <f t="shared" si="14"/>
        <v>0</v>
      </c>
      <c r="P32" s="78">
        <f t="shared" si="14"/>
        <v>0</v>
      </c>
      <c r="Q32" s="79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481</v>
      </c>
      <c r="R32" s="80">
        <f t="shared" ref="R32" si="15">SUM(M32:P32)</f>
        <v>6677</v>
      </c>
      <c r="S32" s="80">
        <f>IFERROR(SUM(S20:S31)/COUNTIF(S20:S31,"&gt;"&amp;0),"")</f>
        <v>2000</v>
      </c>
      <c r="T32" s="81">
        <f>IFERROR((SUMPRODUCT(T20:T31,S20:S31)/COUNTIF(S20:S31,"&gt;"&amp;0))/S32,"")</f>
        <v>0.4458333333333333</v>
      </c>
    </row>
    <row r="33" spans="1:20" ht="3.95" customHeight="1" thickBot="1" x14ac:dyDescent="0.3">
      <c r="A33" s="65"/>
      <c r="I33" s="103">
        <f>IFERROR(I32*J32,"")</f>
        <v>29.018181818181816</v>
      </c>
      <c r="K33" s="65"/>
      <c r="S33" s="103">
        <f>IFERROR(S32*T32,"")</f>
        <v>891.66666666666663</v>
      </c>
    </row>
    <row r="34" spans="1:20" ht="26.25" thickBot="1" x14ac:dyDescent="0.3">
      <c r="A34" s="65"/>
      <c r="B34" s="210" t="s">
        <v>23</v>
      </c>
      <c r="C34" s="211"/>
      <c r="D34" s="211"/>
      <c r="E34" s="211"/>
      <c r="F34" s="211"/>
      <c r="G34" s="211"/>
      <c r="H34" s="211"/>
      <c r="I34" s="211"/>
      <c r="J34" s="212"/>
      <c r="K34" s="65"/>
      <c r="L34" s="210" t="s">
        <v>24</v>
      </c>
      <c r="M34" s="211"/>
      <c r="N34" s="211"/>
      <c r="O34" s="211"/>
      <c r="P34" s="211"/>
      <c r="Q34" s="211"/>
      <c r="R34" s="211"/>
      <c r="S34" s="211"/>
      <c r="T34" s="212"/>
    </row>
    <row r="35" spans="1:20" ht="21" thickBot="1" x14ac:dyDescent="0.3">
      <c r="A35" s="65"/>
      <c r="B35" s="72" t="s">
        <v>0</v>
      </c>
      <c r="C35" s="73" t="s">
        <v>1</v>
      </c>
      <c r="D35" s="74" t="s">
        <v>2</v>
      </c>
      <c r="E35" s="74" t="s">
        <v>3</v>
      </c>
      <c r="F35" s="74" t="s">
        <v>4</v>
      </c>
      <c r="G35" s="75" t="s">
        <v>5</v>
      </c>
      <c r="H35" s="72" t="s">
        <v>7</v>
      </c>
      <c r="I35" s="72" t="s">
        <v>32</v>
      </c>
      <c r="J35" s="72" t="s">
        <v>30</v>
      </c>
      <c r="K35" s="65"/>
      <c r="L35" s="72" t="s">
        <v>0</v>
      </c>
      <c r="M35" s="73" t="s">
        <v>1</v>
      </c>
      <c r="N35" s="74" t="s">
        <v>2</v>
      </c>
      <c r="O35" s="74" t="s">
        <v>3</v>
      </c>
      <c r="P35" s="74" t="s">
        <v>4</v>
      </c>
      <c r="Q35" s="75" t="s">
        <v>5</v>
      </c>
      <c r="R35" s="72" t="s">
        <v>7</v>
      </c>
      <c r="S35" s="72" t="s">
        <v>32</v>
      </c>
      <c r="T35" s="72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19</v>
      </c>
      <c r="D36" s="8">
        <v>20</v>
      </c>
      <c r="E36" s="8"/>
      <c r="F36" s="8"/>
      <c r="G36" s="9"/>
      <c r="H36" s="10">
        <f>SUM(C36:F36)</f>
        <v>39</v>
      </c>
      <c r="I36" s="10">
        <v>600</v>
      </c>
      <c r="J36" s="66">
        <v>0.95</v>
      </c>
      <c r="K36" s="65" t="str">
        <f>L34</f>
        <v>لطف آباد</v>
      </c>
      <c r="L36" s="6" t="s">
        <v>8</v>
      </c>
      <c r="M36" s="7"/>
      <c r="N36" s="8"/>
      <c r="O36" s="8"/>
      <c r="P36" s="8"/>
      <c r="Q36" s="9"/>
      <c r="R36" s="10">
        <f>SUM(M36:P36)</f>
        <v>0</v>
      </c>
      <c r="S36" s="10"/>
      <c r="T36" s="66"/>
    </row>
    <row r="37" spans="1:20" x14ac:dyDescent="0.25">
      <c r="A37" s="65" t="str">
        <f>B34</f>
        <v>سرخس</v>
      </c>
      <c r="B37" s="11" t="s">
        <v>9</v>
      </c>
      <c r="C37" s="12">
        <v>14</v>
      </c>
      <c r="D37" s="13">
        <v>29</v>
      </c>
      <c r="E37" s="13"/>
      <c r="F37" s="13"/>
      <c r="G37" s="14"/>
      <c r="H37" s="15">
        <f>SUM(C37:G37)</f>
        <v>43</v>
      </c>
      <c r="I37" s="15">
        <v>600</v>
      </c>
      <c r="J37" s="67">
        <v>0.9</v>
      </c>
      <c r="K37" s="65" t="str">
        <f>L34</f>
        <v>لطف آباد</v>
      </c>
      <c r="L37" s="11" t="s">
        <v>9</v>
      </c>
      <c r="M37" s="12"/>
      <c r="N37" s="13"/>
      <c r="O37" s="13"/>
      <c r="P37" s="13"/>
      <c r="Q37" s="14"/>
      <c r="R37" s="15">
        <f t="shared" ref="R37:R47" si="16">SUM(M37:P37)</f>
        <v>0</v>
      </c>
      <c r="S37" s="15"/>
      <c r="T37" s="67"/>
    </row>
    <row r="38" spans="1:20" x14ac:dyDescent="0.25">
      <c r="A38" s="65" t="str">
        <f>B34</f>
        <v>سرخس</v>
      </c>
      <c r="B38" s="11" t="s">
        <v>10</v>
      </c>
      <c r="C38" s="12">
        <v>16</v>
      </c>
      <c r="D38" s="13">
        <v>0</v>
      </c>
      <c r="E38" s="13"/>
      <c r="F38" s="13"/>
      <c r="G38" s="14"/>
      <c r="H38" s="15">
        <f t="shared" ref="H38:H47" si="17">SUM(C38:F38)</f>
        <v>16</v>
      </c>
      <c r="I38" s="15">
        <v>600</v>
      </c>
      <c r="J38" s="67">
        <v>0.85</v>
      </c>
      <c r="K38" s="65" t="str">
        <f>L34</f>
        <v>لطف آباد</v>
      </c>
      <c r="L38" s="11" t="s">
        <v>10</v>
      </c>
      <c r="M38" s="12"/>
      <c r="N38" s="13"/>
      <c r="O38" s="13"/>
      <c r="P38" s="13"/>
      <c r="Q38" s="14"/>
      <c r="R38" s="15">
        <f t="shared" si="16"/>
        <v>0</v>
      </c>
      <c r="S38" s="15"/>
      <c r="T38" s="67"/>
    </row>
    <row r="39" spans="1:20" x14ac:dyDescent="0.25">
      <c r="A39" s="65" t="str">
        <f>B34</f>
        <v>سرخس</v>
      </c>
      <c r="B39" s="11" t="s">
        <v>11</v>
      </c>
      <c r="C39" s="12">
        <v>0</v>
      </c>
      <c r="D39" s="13">
        <v>0</v>
      </c>
      <c r="E39" s="13"/>
      <c r="F39" s="13"/>
      <c r="G39" s="14"/>
      <c r="H39" s="15">
        <f t="shared" si="17"/>
        <v>0</v>
      </c>
      <c r="I39" s="15">
        <v>600</v>
      </c>
      <c r="J39" s="67">
        <v>0.9</v>
      </c>
      <c r="K39" s="65" t="str">
        <f>L34</f>
        <v>لطف آباد</v>
      </c>
      <c r="L39" s="11" t="s">
        <v>11</v>
      </c>
      <c r="M39" s="12"/>
      <c r="N39" s="13"/>
      <c r="O39" s="13"/>
      <c r="P39" s="13"/>
      <c r="Q39" s="14"/>
      <c r="R39" s="15">
        <f t="shared" si="16"/>
        <v>0</v>
      </c>
      <c r="S39" s="15"/>
      <c r="T39" s="67"/>
    </row>
    <row r="40" spans="1:20" x14ac:dyDescent="0.25">
      <c r="A40" s="65" t="str">
        <f>B34</f>
        <v>سرخس</v>
      </c>
      <c r="B40" s="11" t="s">
        <v>12</v>
      </c>
      <c r="C40" s="12">
        <v>1360</v>
      </c>
      <c r="D40" s="13">
        <v>566</v>
      </c>
      <c r="E40" s="13"/>
      <c r="F40" s="13"/>
      <c r="G40" s="14"/>
      <c r="H40" s="15">
        <f t="shared" si="17"/>
        <v>1926</v>
      </c>
      <c r="I40" s="15">
        <v>600</v>
      </c>
      <c r="J40" s="67">
        <v>1</v>
      </c>
      <c r="K40" s="65" t="str">
        <f>L34</f>
        <v>لطف آباد</v>
      </c>
      <c r="L40" s="11" t="s">
        <v>12</v>
      </c>
      <c r="M40" s="12"/>
      <c r="N40" s="13"/>
      <c r="O40" s="13"/>
      <c r="P40" s="13"/>
      <c r="Q40" s="14"/>
      <c r="R40" s="15">
        <f t="shared" si="16"/>
        <v>0</v>
      </c>
      <c r="S40" s="15"/>
      <c r="T40" s="67"/>
    </row>
    <row r="41" spans="1:20" x14ac:dyDescent="0.25">
      <c r="A41" s="65" t="str">
        <f>B34</f>
        <v>سرخس</v>
      </c>
      <c r="B41" s="11" t="s">
        <v>13</v>
      </c>
      <c r="C41" s="12">
        <v>127</v>
      </c>
      <c r="D41" s="13">
        <v>969</v>
      </c>
      <c r="E41" s="13"/>
      <c r="F41" s="13"/>
      <c r="G41" s="14"/>
      <c r="H41" s="15">
        <f t="shared" si="17"/>
        <v>1096</v>
      </c>
      <c r="I41" s="15">
        <v>600</v>
      </c>
      <c r="J41" s="67">
        <v>1</v>
      </c>
      <c r="K41" s="65" t="str">
        <f>L34</f>
        <v>لطف آباد</v>
      </c>
      <c r="L41" s="11" t="s">
        <v>13</v>
      </c>
      <c r="M41" s="12"/>
      <c r="N41" s="13"/>
      <c r="O41" s="13"/>
      <c r="P41" s="13"/>
      <c r="Q41" s="14"/>
      <c r="R41" s="15">
        <f t="shared" si="16"/>
        <v>0</v>
      </c>
      <c r="S41" s="15"/>
      <c r="T41" s="67"/>
    </row>
    <row r="42" spans="1:20" x14ac:dyDescent="0.25">
      <c r="A42" s="65" t="str">
        <f>B34</f>
        <v>سرخس</v>
      </c>
      <c r="B42" s="11" t="s">
        <v>14</v>
      </c>
      <c r="C42" s="12">
        <v>39</v>
      </c>
      <c r="D42" s="13">
        <v>297</v>
      </c>
      <c r="E42" s="13"/>
      <c r="F42" s="13"/>
      <c r="G42" s="14"/>
      <c r="H42" s="15">
        <f t="shared" si="17"/>
        <v>336</v>
      </c>
      <c r="I42" s="15">
        <v>600</v>
      </c>
      <c r="J42" s="67">
        <v>1</v>
      </c>
      <c r="K42" s="65" t="str">
        <f>L34</f>
        <v>لطف آباد</v>
      </c>
      <c r="L42" s="11" t="s">
        <v>14</v>
      </c>
      <c r="M42" s="12"/>
      <c r="N42" s="13"/>
      <c r="O42" s="13"/>
      <c r="P42" s="13"/>
      <c r="Q42" s="14"/>
      <c r="R42" s="15">
        <f t="shared" si="16"/>
        <v>0</v>
      </c>
      <c r="S42" s="15"/>
      <c r="T42" s="67"/>
    </row>
    <row r="43" spans="1:20" x14ac:dyDescent="0.25">
      <c r="A43" s="65" t="str">
        <f>B34</f>
        <v>سرخس</v>
      </c>
      <c r="B43" s="11" t="s">
        <v>15</v>
      </c>
      <c r="C43" s="12">
        <v>251</v>
      </c>
      <c r="D43" s="13">
        <v>251</v>
      </c>
      <c r="E43" s="13"/>
      <c r="F43" s="13"/>
      <c r="G43" s="14"/>
      <c r="H43" s="15">
        <f t="shared" si="17"/>
        <v>502</v>
      </c>
      <c r="I43" s="15">
        <v>600</v>
      </c>
      <c r="J43" s="67">
        <v>1</v>
      </c>
      <c r="K43" s="65" t="str">
        <f>L34</f>
        <v>لطف آباد</v>
      </c>
      <c r="L43" s="11" t="s">
        <v>15</v>
      </c>
      <c r="M43" s="12"/>
      <c r="N43" s="13"/>
      <c r="O43" s="13"/>
      <c r="P43" s="13"/>
      <c r="Q43" s="14"/>
      <c r="R43" s="15">
        <f t="shared" si="16"/>
        <v>0</v>
      </c>
      <c r="S43" s="15"/>
      <c r="T43" s="67"/>
    </row>
    <row r="44" spans="1:20" x14ac:dyDescent="0.25">
      <c r="A44" s="65" t="str">
        <f>B34</f>
        <v>سرخس</v>
      </c>
      <c r="B44" s="11" t="s">
        <v>16</v>
      </c>
      <c r="C44" s="12">
        <v>1163</v>
      </c>
      <c r="D44" s="13">
        <v>1543</v>
      </c>
      <c r="E44" s="13"/>
      <c r="F44" s="13"/>
      <c r="G44" s="14"/>
      <c r="H44" s="15">
        <f t="shared" si="17"/>
        <v>2706</v>
      </c>
      <c r="I44" s="15">
        <v>600</v>
      </c>
      <c r="J44" s="67">
        <v>0.8</v>
      </c>
      <c r="K44" s="65" t="str">
        <f>L34</f>
        <v>لطف آباد</v>
      </c>
      <c r="L44" s="11" t="s">
        <v>16</v>
      </c>
      <c r="M44" s="12"/>
      <c r="N44" s="13"/>
      <c r="O44" s="13"/>
      <c r="P44" s="13"/>
      <c r="Q44" s="14"/>
      <c r="R44" s="15">
        <f t="shared" si="16"/>
        <v>0</v>
      </c>
      <c r="S44" s="15"/>
      <c r="T44" s="67"/>
    </row>
    <row r="45" spans="1:20" x14ac:dyDescent="0.25">
      <c r="A45" s="65" t="str">
        <f>B34</f>
        <v>سرخس</v>
      </c>
      <c r="B45" s="11" t="s">
        <v>17</v>
      </c>
      <c r="C45" s="12">
        <v>389</v>
      </c>
      <c r="D45" s="13">
        <v>946</v>
      </c>
      <c r="E45" s="13"/>
      <c r="F45" s="13"/>
      <c r="G45" s="14"/>
      <c r="H45" s="15">
        <f t="shared" si="17"/>
        <v>1335</v>
      </c>
      <c r="I45" s="15">
        <v>600</v>
      </c>
      <c r="J45" s="67">
        <v>0.7</v>
      </c>
      <c r="K45" s="65" t="str">
        <f>L34</f>
        <v>لطف آباد</v>
      </c>
      <c r="L45" s="11" t="s">
        <v>17</v>
      </c>
      <c r="M45" s="12"/>
      <c r="N45" s="13"/>
      <c r="O45" s="13"/>
      <c r="P45" s="13"/>
      <c r="Q45" s="14"/>
      <c r="R45" s="15">
        <f t="shared" si="16"/>
        <v>0</v>
      </c>
      <c r="S45" s="15"/>
      <c r="T45" s="67"/>
    </row>
    <row r="46" spans="1:20" x14ac:dyDescent="0.25">
      <c r="A46" s="65" t="str">
        <f>B34</f>
        <v>سرخس</v>
      </c>
      <c r="B46" s="11" t="s">
        <v>18</v>
      </c>
      <c r="C46" s="12">
        <v>416</v>
      </c>
      <c r="D46" s="13">
        <v>387</v>
      </c>
      <c r="E46" s="13"/>
      <c r="F46" s="13"/>
      <c r="G46" s="14"/>
      <c r="H46" s="15">
        <f t="shared" si="17"/>
        <v>803</v>
      </c>
      <c r="I46" s="15">
        <v>600</v>
      </c>
      <c r="J46" s="67">
        <v>0.9</v>
      </c>
      <c r="K46" s="65" t="str">
        <f>L34</f>
        <v>لطف آباد</v>
      </c>
      <c r="L46" s="11" t="s">
        <v>18</v>
      </c>
      <c r="M46" s="12"/>
      <c r="N46" s="13"/>
      <c r="O46" s="13"/>
      <c r="P46" s="13"/>
      <c r="Q46" s="14"/>
      <c r="R46" s="15">
        <f t="shared" si="16"/>
        <v>0</v>
      </c>
      <c r="S46" s="15"/>
      <c r="T46" s="67"/>
    </row>
    <row r="47" spans="1:20" ht="20.25" thickBot="1" x14ac:dyDescent="0.3">
      <c r="A47" s="65" t="str">
        <f>B34</f>
        <v>سرخس</v>
      </c>
      <c r="B47" s="16" t="s">
        <v>19</v>
      </c>
      <c r="C47" s="17">
        <v>237</v>
      </c>
      <c r="D47" s="18">
        <v>240</v>
      </c>
      <c r="E47" s="18"/>
      <c r="F47" s="18"/>
      <c r="G47" s="19"/>
      <c r="H47" s="20">
        <f t="shared" si="17"/>
        <v>477</v>
      </c>
      <c r="I47" s="20">
        <v>600</v>
      </c>
      <c r="J47" s="68">
        <v>0.5</v>
      </c>
      <c r="K47" s="65" t="str">
        <f>L34</f>
        <v>لطف آباد</v>
      </c>
      <c r="L47" s="16" t="s">
        <v>19</v>
      </c>
      <c r="M47" s="17"/>
      <c r="N47" s="18"/>
      <c r="O47" s="18"/>
      <c r="P47" s="18"/>
      <c r="Q47" s="19"/>
      <c r="R47" s="20">
        <f t="shared" si="16"/>
        <v>0</v>
      </c>
      <c r="S47" s="20"/>
      <c r="T47" s="68"/>
    </row>
    <row r="48" spans="1:20" ht="21" thickBot="1" x14ac:dyDescent="0.3">
      <c r="A48" s="65"/>
      <c r="B48" s="76" t="s">
        <v>6</v>
      </c>
      <c r="C48" s="77">
        <f>SUM(C36:C47)</f>
        <v>4031</v>
      </c>
      <c r="D48" s="78">
        <f t="shared" ref="D48:F48" si="18">SUM(D36:D47)</f>
        <v>5248</v>
      </c>
      <c r="E48" s="78">
        <f t="shared" si="18"/>
        <v>0</v>
      </c>
      <c r="F48" s="78">
        <f t="shared" si="18"/>
        <v>0</v>
      </c>
      <c r="G48" s="79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80">
        <f t="shared" ref="H48" si="19">SUM(C48:F48)</f>
        <v>9279</v>
      </c>
      <c r="I48" s="80">
        <f>IFERROR(SUM(I36:I47)/COUNTIF(I36:I47,"&gt;"&amp;0),"")</f>
        <v>600</v>
      </c>
      <c r="J48" s="81">
        <f>IFERROR((SUMPRODUCT(J36:J47,I36:I47)/COUNTIF(I36:I47,"&gt;"&amp;0))/I48,"")</f>
        <v>0.875</v>
      </c>
      <c r="K48" s="65"/>
      <c r="L48" s="76" t="s">
        <v>6</v>
      </c>
      <c r="M48" s="77">
        <f>SUM(M36:M47)</f>
        <v>0</v>
      </c>
      <c r="N48" s="78">
        <f t="shared" ref="N48:P48" si="20">SUM(N36:N47)</f>
        <v>0</v>
      </c>
      <c r="O48" s="78">
        <f t="shared" si="20"/>
        <v>0</v>
      </c>
      <c r="P48" s="78">
        <f t="shared" si="20"/>
        <v>0</v>
      </c>
      <c r="Q48" s="79" t="str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/>
      </c>
      <c r="R48" s="80">
        <f t="shared" ref="R48" si="21">SUM(M48:P48)</f>
        <v>0</v>
      </c>
      <c r="S48" s="80" t="str">
        <f>IFERROR(SUM(S36:S47)/COUNTIF(S36:S47,"&gt;"&amp;0),"")</f>
        <v/>
      </c>
      <c r="T48" s="81" t="str">
        <f>IFERROR((SUMPRODUCT(T36:T47,S36:S47)/COUNTIF(S36:S47,"&gt;"&amp;0))/S48,"")</f>
        <v/>
      </c>
    </row>
    <row r="49" spans="1:20" ht="3.95" customHeight="1" thickBot="1" x14ac:dyDescent="0.3">
      <c r="A49" s="65"/>
      <c r="I49" s="103">
        <f>IFERROR(I48*J48,"")</f>
        <v>525</v>
      </c>
      <c r="K49" s="65"/>
      <c r="S49" s="103" t="str">
        <f>IFERROR(S48*T48,"")</f>
        <v/>
      </c>
    </row>
    <row r="50" spans="1:20" ht="26.25" thickBot="1" x14ac:dyDescent="0.3">
      <c r="A50" s="65"/>
      <c r="B50" s="210" t="s">
        <v>25</v>
      </c>
      <c r="C50" s="211"/>
      <c r="D50" s="211"/>
      <c r="E50" s="211"/>
      <c r="F50" s="211"/>
      <c r="G50" s="211"/>
      <c r="H50" s="211"/>
      <c r="I50" s="211"/>
      <c r="J50" s="212"/>
      <c r="K50" s="65"/>
      <c r="L50" s="210" t="s">
        <v>26</v>
      </c>
      <c r="M50" s="211"/>
      <c r="N50" s="211"/>
      <c r="O50" s="211"/>
      <c r="P50" s="211"/>
      <c r="Q50" s="211"/>
      <c r="R50" s="211"/>
      <c r="S50" s="211"/>
      <c r="T50" s="212"/>
    </row>
    <row r="51" spans="1:20" ht="21" thickBot="1" x14ac:dyDescent="0.3">
      <c r="A51" s="65"/>
      <c r="B51" s="72" t="s">
        <v>0</v>
      </c>
      <c r="C51" s="73" t="s">
        <v>1</v>
      </c>
      <c r="D51" s="74" t="s">
        <v>2</v>
      </c>
      <c r="E51" s="74" t="s">
        <v>3</v>
      </c>
      <c r="F51" s="74" t="s">
        <v>4</v>
      </c>
      <c r="G51" s="75" t="s">
        <v>5</v>
      </c>
      <c r="H51" s="72" t="s">
        <v>7</v>
      </c>
      <c r="I51" s="72" t="s">
        <v>32</v>
      </c>
      <c r="J51" s="72" t="s">
        <v>30</v>
      </c>
      <c r="K51" s="65"/>
      <c r="L51" s="72" t="s">
        <v>0</v>
      </c>
      <c r="M51" s="73" t="s">
        <v>1</v>
      </c>
      <c r="N51" s="74" t="s">
        <v>2</v>
      </c>
      <c r="O51" s="74" t="s">
        <v>3</v>
      </c>
      <c r="P51" s="74" t="s">
        <v>4</v>
      </c>
      <c r="Q51" s="75" t="s">
        <v>5</v>
      </c>
      <c r="R51" s="72" t="s">
        <v>7</v>
      </c>
      <c r="S51" s="72" t="s">
        <v>32</v>
      </c>
      <c r="T51" s="72" t="s">
        <v>30</v>
      </c>
    </row>
    <row r="52" spans="1:20" x14ac:dyDescent="0.25">
      <c r="A52" s="65" t="str">
        <f>B50</f>
        <v>نیشابور</v>
      </c>
      <c r="B52" s="6" t="s">
        <v>8</v>
      </c>
      <c r="C52" s="7"/>
      <c r="D52" s="8"/>
      <c r="E52" s="8"/>
      <c r="F52" s="8"/>
      <c r="G52" s="9"/>
      <c r="H52" s="10">
        <f>SUM(C52:F52)</f>
        <v>0</v>
      </c>
      <c r="I52" s="10"/>
      <c r="J52" s="66"/>
      <c r="K52" s="65" t="str">
        <f>L50</f>
        <v>دوغارون</v>
      </c>
      <c r="L52" s="6" t="s">
        <v>8</v>
      </c>
      <c r="M52" s="7">
        <v>0</v>
      </c>
      <c r="N52" s="8">
        <v>0</v>
      </c>
      <c r="O52" s="8"/>
      <c r="P52" s="8"/>
      <c r="Q52" s="9"/>
      <c r="R52" s="10">
        <f>SUM(M52:P52)</f>
        <v>0</v>
      </c>
      <c r="S52" s="10">
        <v>100</v>
      </c>
      <c r="T52" s="66">
        <v>0.2</v>
      </c>
    </row>
    <row r="53" spans="1:20" x14ac:dyDescent="0.25">
      <c r="A53" s="65" t="str">
        <f>B50</f>
        <v>نیشابور</v>
      </c>
      <c r="B53" s="11" t="s">
        <v>9</v>
      </c>
      <c r="C53" s="12"/>
      <c r="D53" s="13"/>
      <c r="E53" s="13"/>
      <c r="F53" s="13"/>
      <c r="G53" s="14"/>
      <c r="H53" s="15">
        <f t="shared" ref="H53:H63" si="22">SUM(C53:F53)</f>
        <v>0</v>
      </c>
      <c r="I53" s="15"/>
      <c r="J53" s="67"/>
      <c r="K53" s="65" t="str">
        <f>L50</f>
        <v>دوغارون</v>
      </c>
      <c r="L53" s="11" t="s">
        <v>9</v>
      </c>
      <c r="M53" s="12"/>
      <c r="N53" s="13"/>
      <c r="O53" s="13"/>
      <c r="P53" s="13"/>
      <c r="Q53" s="14"/>
      <c r="R53" s="15">
        <f t="shared" ref="R53:R63" si="23">SUM(M53:P53)</f>
        <v>0</v>
      </c>
      <c r="S53" s="15">
        <v>100</v>
      </c>
      <c r="T53" s="67">
        <v>0.2</v>
      </c>
    </row>
    <row r="54" spans="1:20" x14ac:dyDescent="0.25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si="22"/>
        <v>0</v>
      </c>
      <c r="I54" s="15"/>
      <c r="J54" s="67"/>
      <c r="K54" s="65" t="str">
        <f>L50</f>
        <v>دوغارون</v>
      </c>
      <c r="L54" s="11" t="s">
        <v>10</v>
      </c>
      <c r="M54" s="12"/>
      <c r="N54" s="13"/>
      <c r="O54" s="13"/>
      <c r="P54" s="13"/>
      <c r="Q54" s="14"/>
      <c r="R54" s="15">
        <f t="shared" si="23"/>
        <v>0</v>
      </c>
      <c r="S54" s="15">
        <v>100</v>
      </c>
      <c r="T54" s="67">
        <v>0.2</v>
      </c>
    </row>
    <row r="55" spans="1:20" x14ac:dyDescent="0.25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22"/>
        <v>0</v>
      </c>
      <c r="I55" s="15"/>
      <c r="J55" s="67"/>
      <c r="K55" s="65" t="str">
        <f>L50</f>
        <v>دوغارون</v>
      </c>
      <c r="L55" s="11" t="s">
        <v>11</v>
      </c>
      <c r="M55" s="12"/>
      <c r="N55" s="13"/>
      <c r="O55" s="13"/>
      <c r="P55" s="13"/>
      <c r="Q55" s="14"/>
      <c r="R55" s="15">
        <f t="shared" si="23"/>
        <v>0</v>
      </c>
      <c r="S55" s="15">
        <v>100</v>
      </c>
      <c r="T55" s="67">
        <v>0.2</v>
      </c>
    </row>
    <row r="56" spans="1:20" x14ac:dyDescent="0.25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22"/>
        <v>0</v>
      </c>
      <c r="I56" s="15"/>
      <c r="J56" s="67"/>
      <c r="K56" s="65" t="str">
        <f>L50</f>
        <v>دوغارون</v>
      </c>
      <c r="L56" s="11" t="s">
        <v>12</v>
      </c>
      <c r="M56" s="12">
        <v>0</v>
      </c>
      <c r="N56" s="13">
        <v>20</v>
      </c>
      <c r="O56" s="13"/>
      <c r="P56" s="13"/>
      <c r="Q56" s="14"/>
      <c r="R56" s="15">
        <f t="shared" si="23"/>
        <v>20</v>
      </c>
      <c r="S56" s="15">
        <v>100</v>
      </c>
      <c r="T56" s="67">
        <v>0.2</v>
      </c>
    </row>
    <row r="57" spans="1:20" x14ac:dyDescent="0.25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22"/>
        <v>0</v>
      </c>
      <c r="I57" s="15"/>
      <c r="J57" s="67"/>
      <c r="K57" s="65" t="str">
        <f>L50</f>
        <v>دوغارون</v>
      </c>
      <c r="L57" s="11" t="s">
        <v>13</v>
      </c>
      <c r="M57" s="12"/>
      <c r="N57" s="13"/>
      <c r="O57" s="13"/>
      <c r="P57" s="13"/>
      <c r="Q57" s="14"/>
      <c r="R57" s="15">
        <f t="shared" si="23"/>
        <v>0</v>
      </c>
      <c r="S57" s="15">
        <v>100</v>
      </c>
      <c r="T57" s="67">
        <v>0.2</v>
      </c>
    </row>
    <row r="58" spans="1:20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22"/>
        <v>0</v>
      </c>
      <c r="I58" s="15"/>
      <c r="J58" s="67"/>
      <c r="K58" s="65" t="str">
        <f>L50</f>
        <v>دوغارون</v>
      </c>
      <c r="L58" s="11" t="s">
        <v>14</v>
      </c>
      <c r="M58" s="12">
        <v>25</v>
      </c>
      <c r="N58" s="13">
        <v>0</v>
      </c>
      <c r="O58" s="13"/>
      <c r="P58" s="13"/>
      <c r="Q58" s="14"/>
      <c r="R58" s="15">
        <f t="shared" si="23"/>
        <v>25</v>
      </c>
      <c r="S58" s="15">
        <v>100</v>
      </c>
      <c r="T58" s="67">
        <v>0.2</v>
      </c>
    </row>
    <row r="59" spans="1:20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22"/>
        <v>0</v>
      </c>
      <c r="I59" s="15"/>
      <c r="J59" s="67"/>
      <c r="K59" s="65" t="str">
        <f>L50</f>
        <v>دوغارون</v>
      </c>
      <c r="L59" s="11" t="s">
        <v>15</v>
      </c>
      <c r="M59" s="12"/>
      <c r="N59" s="13"/>
      <c r="O59" s="13"/>
      <c r="P59" s="13"/>
      <c r="Q59" s="14"/>
      <c r="R59" s="15">
        <f t="shared" si="23"/>
        <v>0</v>
      </c>
      <c r="S59" s="15">
        <v>100</v>
      </c>
      <c r="T59" s="67">
        <v>0.2</v>
      </c>
    </row>
    <row r="60" spans="1:20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22"/>
        <v>0</v>
      </c>
      <c r="I60" s="15"/>
      <c r="J60" s="67"/>
      <c r="K60" s="65" t="str">
        <f>L50</f>
        <v>دوغارون</v>
      </c>
      <c r="L60" s="11" t="s">
        <v>16</v>
      </c>
      <c r="M60" s="12"/>
      <c r="N60" s="13"/>
      <c r="O60" s="13"/>
      <c r="P60" s="13"/>
      <c r="Q60" s="14"/>
      <c r="R60" s="15">
        <f t="shared" si="23"/>
        <v>0</v>
      </c>
      <c r="S60" s="15">
        <v>100</v>
      </c>
      <c r="T60" s="67">
        <v>0</v>
      </c>
    </row>
    <row r="61" spans="1:20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22"/>
        <v>0</v>
      </c>
      <c r="I61" s="15"/>
      <c r="J61" s="67"/>
      <c r="K61" s="65" t="str">
        <f>L50</f>
        <v>دوغارون</v>
      </c>
      <c r="L61" s="11" t="s">
        <v>17</v>
      </c>
      <c r="M61" s="12"/>
      <c r="N61" s="13">
        <v>25</v>
      </c>
      <c r="O61" s="13"/>
      <c r="P61" s="13"/>
      <c r="Q61" s="14"/>
      <c r="R61" s="15">
        <f t="shared" si="23"/>
        <v>25</v>
      </c>
      <c r="S61" s="15">
        <v>100</v>
      </c>
      <c r="T61" s="67">
        <v>0</v>
      </c>
    </row>
    <row r="62" spans="1:20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22"/>
        <v>0</v>
      </c>
      <c r="I62" s="15"/>
      <c r="J62" s="67"/>
      <c r="K62" s="65" t="str">
        <f>L50</f>
        <v>دوغارون</v>
      </c>
      <c r="L62" s="11" t="s">
        <v>18</v>
      </c>
      <c r="M62" s="12"/>
      <c r="N62" s="13"/>
      <c r="O62" s="13"/>
      <c r="P62" s="13"/>
      <c r="Q62" s="14"/>
      <c r="R62" s="15">
        <f t="shared" si="23"/>
        <v>0</v>
      </c>
      <c r="S62" s="15"/>
      <c r="T62" s="67"/>
    </row>
    <row r="63" spans="1:20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22"/>
        <v>0</v>
      </c>
      <c r="I63" s="20"/>
      <c r="J63" s="68"/>
      <c r="K63" s="65" t="str">
        <f>L50</f>
        <v>دوغارون</v>
      </c>
      <c r="L63" s="16" t="s">
        <v>19</v>
      </c>
      <c r="M63" s="17"/>
      <c r="N63" s="18"/>
      <c r="O63" s="18"/>
      <c r="P63" s="18"/>
      <c r="Q63" s="19"/>
      <c r="R63" s="20">
        <f t="shared" si="23"/>
        <v>0</v>
      </c>
      <c r="S63" s="20"/>
      <c r="T63" s="68"/>
    </row>
    <row r="64" spans="1:20" ht="21" thickBot="1" x14ac:dyDescent="0.3">
      <c r="A64" s="65"/>
      <c r="B64" s="76" t="s">
        <v>6</v>
      </c>
      <c r="C64" s="77">
        <f>SUM(C52:C63)</f>
        <v>0</v>
      </c>
      <c r="D64" s="78">
        <f t="shared" ref="D64:F64" si="24">SUM(D52:D63)</f>
        <v>0</v>
      </c>
      <c r="E64" s="78">
        <f t="shared" si="24"/>
        <v>0</v>
      </c>
      <c r="F64" s="78">
        <f t="shared" si="24"/>
        <v>0</v>
      </c>
      <c r="G64" s="79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80">
        <f t="shared" ref="H64" si="25">SUM(C64:F64)</f>
        <v>0</v>
      </c>
      <c r="I64" s="80" t="str">
        <f>IFERROR(SUM(I52:I63)/COUNTIF(I52:I63,"&gt;"&amp;0),"")</f>
        <v/>
      </c>
      <c r="J64" s="81" t="str">
        <f>IFERROR((SUMPRODUCT(J52:J63,I52:I63)/COUNTIF(I52:I63,"&gt;"&amp;0))/I64,"")</f>
        <v/>
      </c>
      <c r="K64" s="65"/>
      <c r="L64" s="76" t="s">
        <v>6</v>
      </c>
      <c r="M64" s="77">
        <f>SUM(M52:M63)</f>
        <v>25</v>
      </c>
      <c r="N64" s="78">
        <f t="shared" ref="N64:P64" si="26">SUM(N52:N63)</f>
        <v>45</v>
      </c>
      <c r="O64" s="78">
        <f t="shared" si="26"/>
        <v>0</v>
      </c>
      <c r="P64" s="78">
        <f t="shared" si="26"/>
        <v>0</v>
      </c>
      <c r="Q64" s="79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80">
        <f t="shared" ref="R64" si="27">SUM(M64:P64)</f>
        <v>70</v>
      </c>
      <c r="S64" s="80">
        <f>IFERROR(SUM(S52:S63)/COUNTIF(S52:S63,"&gt;"&amp;0),"")</f>
        <v>100</v>
      </c>
      <c r="T64" s="81">
        <f>IFERROR((SUMPRODUCT(T52:T63,S52:S63)/COUNTIF(S52:S63,"&gt;"&amp;0))/S64,"")</f>
        <v>0.16</v>
      </c>
    </row>
    <row r="65" spans="1:20" ht="3.95" customHeight="1" thickBot="1" x14ac:dyDescent="0.3">
      <c r="I65" s="103" t="str">
        <f>IFERROR(I64*J64,"")</f>
        <v/>
      </c>
      <c r="S65" s="103">
        <f>IFERROR(S64*T64,"")</f>
        <v>16</v>
      </c>
    </row>
    <row r="66" spans="1:20" ht="26.25" thickBot="1" x14ac:dyDescent="0.3">
      <c r="B66" s="210" t="s">
        <v>38</v>
      </c>
      <c r="C66" s="211"/>
      <c r="D66" s="211"/>
      <c r="E66" s="211"/>
      <c r="F66" s="211"/>
      <c r="G66" s="211"/>
      <c r="H66" s="211"/>
      <c r="I66" s="211"/>
      <c r="J66" s="212"/>
      <c r="L66" s="210" t="s">
        <v>40</v>
      </c>
      <c r="M66" s="211"/>
      <c r="N66" s="211"/>
      <c r="O66" s="211"/>
      <c r="P66" s="211"/>
      <c r="Q66" s="211"/>
      <c r="R66" s="211"/>
      <c r="S66" s="211"/>
      <c r="T66" s="212"/>
    </row>
    <row r="67" spans="1:20" ht="21" thickBot="1" x14ac:dyDescent="0.3">
      <c r="B67" s="72" t="s">
        <v>0</v>
      </c>
      <c r="C67" s="73" t="s">
        <v>1</v>
      </c>
      <c r="D67" s="74" t="s">
        <v>2</v>
      </c>
      <c r="E67" s="74" t="s">
        <v>3</v>
      </c>
      <c r="F67" s="74" t="s">
        <v>4</v>
      </c>
      <c r="G67" s="75" t="s">
        <v>5</v>
      </c>
      <c r="H67" s="72" t="s">
        <v>7</v>
      </c>
      <c r="I67" s="72" t="s">
        <v>32</v>
      </c>
      <c r="J67" s="72" t="s">
        <v>30</v>
      </c>
      <c r="L67" s="72" t="s">
        <v>0</v>
      </c>
      <c r="M67" s="73" t="s">
        <v>1</v>
      </c>
      <c r="N67" s="74" t="s">
        <v>2</v>
      </c>
      <c r="O67" s="74" t="s">
        <v>3</v>
      </c>
      <c r="P67" s="74" t="s">
        <v>4</v>
      </c>
      <c r="Q67" s="75" t="s">
        <v>5</v>
      </c>
      <c r="R67" s="72" t="s">
        <v>7</v>
      </c>
      <c r="S67" s="72" t="s">
        <v>32</v>
      </c>
      <c r="T67" s="72" t="s">
        <v>30</v>
      </c>
    </row>
    <row r="68" spans="1:20" x14ac:dyDescent="0.25">
      <c r="A68" s="65" t="str">
        <f>B66</f>
        <v>بجنورد</v>
      </c>
      <c r="B68" s="6" t="s">
        <v>8</v>
      </c>
      <c r="C68" s="7">
        <v>0</v>
      </c>
      <c r="D68" s="8">
        <v>0</v>
      </c>
      <c r="E68" s="8"/>
      <c r="F68" s="8"/>
      <c r="G68" s="9"/>
      <c r="H68" s="10">
        <f>SUM(C68:F68)</f>
        <v>0</v>
      </c>
      <c r="I68" s="10"/>
      <c r="J68" s="66"/>
      <c r="K68" s="65" t="str">
        <f>L66</f>
        <v>بیرجند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1:20" x14ac:dyDescent="0.25">
      <c r="A69" s="65" t="str">
        <f>B66</f>
        <v>بجنورد</v>
      </c>
      <c r="B69" s="11" t="s">
        <v>9</v>
      </c>
      <c r="C69" s="12"/>
      <c r="D69" s="13"/>
      <c r="E69" s="13"/>
      <c r="F69" s="13"/>
      <c r="G69" s="14"/>
      <c r="H69" s="15">
        <f t="shared" ref="H69:H79" si="28">SUM(C69:F69)</f>
        <v>0</v>
      </c>
      <c r="I69" s="15"/>
      <c r="J69" s="67"/>
      <c r="K69" s="65" t="str">
        <f>L66</f>
        <v>بیرجند</v>
      </c>
      <c r="L69" s="11" t="s">
        <v>9</v>
      </c>
      <c r="M69" s="12"/>
      <c r="N69" s="13"/>
      <c r="O69" s="13"/>
      <c r="P69" s="13"/>
      <c r="Q69" s="14"/>
      <c r="R69" s="15">
        <f t="shared" ref="R69:R79" si="29">SUM(M69:P69)</f>
        <v>0</v>
      </c>
      <c r="S69" s="15"/>
      <c r="T69" s="67"/>
    </row>
    <row r="70" spans="1:20" x14ac:dyDescent="0.25">
      <c r="A70" s="65" t="str">
        <f>B66</f>
        <v>بجنورد</v>
      </c>
      <c r="B70" s="11" t="s">
        <v>10</v>
      </c>
      <c r="C70" s="12"/>
      <c r="D70" s="13"/>
      <c r="E70" s="13"/>
      <c r="F70" s="13"/>
      <c r="G70" s="14"/>
      <c r="H70" s="15">
        <f t="shared" si="28"/>
        <v>0</v>
      </c>
      <c r="I70" s="15"/>
      <c r="J70" s="67"/>
      <c r="K70" s="65" t="str">
        <f>L66</f>
        <v>بیرجند</v>
      </c>
      <c r="L70" s="11" t="s">
        <v>10</v>
      </c>
      <c r="M70" s="12"/>
      <c r="N70" s="13"/>
      <c r="O70" s="13"/>
      <c r="P70" s="13"/>
      <c r="Q70" s="14"/>
      <c r="R70" s="15">
        <f t="shared" si="29"/>
        <v>0</v>
      </c>
      <c r="S70" s="15"/>
      <c r="T70" s="67"/>
    </row>
    <row r="71" spans="1:20" x14ac:dyDescent="0.25">
      <c r="A71" s="65" t="str">
        <f>B66</f>
        <v>بجنورد</v>
      </c>
      <c r="B71" s="11" t="s">
        <v>11</v>
      </c>
      <c r="C71" s="12"/>
      <c r="D71" s="13"/>
      <c r="E71" s="13"/>
      <c r="F71" s="13"/>
      <c r="G71" s="14"/>
      <c r="H71" s="15">
        <f t="shared" si="28"/>
        <v>0</v>
      </c>
      <c r="I71" s="15"/>
      <c r="J71" s="67"/>
      <c r="K71" s="65" t="str">
        <f>L66</f>
        <v>بیرجند</v>
      </c>
      <c r="L71" s="11" t="s">
        <v>11</v>
      </c>
      <c r="M71" s="12"/>
      <c r="N71" s="13"/>
      <c r="O71" s="13"/>
      <c r="P71" s="13"/>
      <c r="Q71" s="14"/>
      <c r="R71" s="15">
        <f t="shared" si="29"/>
        <v>0</v>
      </c>
      <c r="S71" s="15"/>
      <c r="T71" s="67"/>
    </row>
    <row r="72" spans="1:20" x14ac:dyDescent="0.25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28"/>
        <v>0</v>
      </c>
      <c r="I72" s="15"/>
      <c r="J72" s="67"/>
      <c r="K72" s="65" t="str">
        <f>L66</f>
        <v>بیرجند</v>
      </c>
      <c r="L72" s="11" t="s">
        <v>12</v>
      </c>
      <c r="M72" s="12"/>
      <c r="N72" s="13"/>
      <c r="O72" s="13"/>
      <c r="P72" s="13"/>
      <c r="Q72" s="14"/>
      <c r="R72" s="15">
        <f t="shared" si="29"/>
        <v>0</v>
      </c>
      <c r="S72" s="15"/>
      <c r="T72" s="67"/>
    </row>
    <row r="73" spans="1:20" x14ac:dyDescent="0.25">
      <c r="A73" s="65" t="str">
        <f>B66</f>
        <v>بجنورد</v>
      </c>
      <c r="B73" s="11" t="s">
        <v>13</v>
      </c>
      <c r="C73" s="12"/>
      <c r="D73" s="13"/>
      <c r="E73" s="13"/>
      <c r="F73" s="13"/>
      <c r="G73" s="14"/>
      <c r="H73" s="15">
        <f t="shared" si="28"/>
        <v>0</v>
      </c>
      <c r="I73" s="15"/>
      <c r="J73" s="67"/>
      <c r="K73" s="65" t="str">
        <f>L66</f>
        <v>بیرجند</v>
      </c>
      <c r="L73" s="11" t="s">
        <v>13</v>
      </c>
      <c r="M73" s="12"/>
      <c r="N73" s="13"/>
      <c r="O73" s="13"/>
      <c r="P73" s="13"/>
      <c r="Q73" s="14"/>
      <c r="R73" s="15">
        <f t="shared" si="29"/>
        <v>0</v>
      </c>
      <c r="S73" s="15"/>
      <c r="T73" s="67"/>
    </row>
    <row r="74" spans="1:20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28"/>
        <v>0</v>
      </c>
      <c r="I74" s="15"/>
      <c r="J74" s="67"/>
      <c r="K74" s="65" t="str">
        <f>L66</f>
        <v>بیرجند</v>
      </c>
      <c r="L74" s="11" t="s">
        <v>14</v>
      </c>
      <c r="M74" s="12"/>
      <c r="N74" s="13"/>
      <c r="O74" s="13"/>
      <c r="P74" s="13"/>
      <c r="Q74" s="14"/>
      <c r="R74" s="15">
        <f t="shared" si="29"/>
        <v>0</v>
      </c>
      <c r="S74" s="15"/>
      <c r="T74" s="67"/>
    </row>
    <row r="75" spans="1:20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28"/>
        <v>0</v>
      </c>
      <c r="I75" s="15"/>
      <c r="J75" s="67"/>
      <c r="K75" s="65" t="str">
        <f>L66</f>
        <v>بیرجند</v>
      </c>
      <c r="L75" s="11" t="s">
        <v>15</v>
      </c>
      <c r="M75" s="12"/>
      <c r="N75" s="13"/>
      <c r="O75" s="13"/>
      <c r="P75" s="13"/>
      <c r="Q75" s="14"/>
      <c r="R75" s="15">
        <f t="shared" si="29"/>
        <v>0</v>
      </c>
      <c r="S75" s="15"/>
      <c r="T75" s="67"/>
    </row>
    <row r="76" spans="1:20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28"/>
        <v>0</v>
      </c>
      <c r="I76" s="15"/>
      <c r="J76" s="67"/>
      <c r="K76" s="65" t="str">
        <f>L66</f>
        <v>بیرجند</v>
      </c>
      <c r="L76" s="11" t="s">
        <v>16</v>
      </c>
      <c r="M76" s="12"/>
      <c r="N76" s="13"/>
      <c r="O76" s="13"/>
      <c r="P76" s="13"/>
      <c r="Q76" s="14"/>
      <c r="R76" s="15">
        <f t="shared" si="29"/>
        <v>0</v>
      </c>
      <c r="S76" s="15"/>
      <c r="T76" s="67"/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28"/>
        <v>0</v>
      </c>
      <c r="I77" s="15"/>
      <c r="J77" s="67"/>
      <c r="K77" s="65" t="str">
        <f>L66</f>
        <v>بیرجند</v>
      </c>
      <c r="L77" s="11" t="s">
        <v>17</v>
      </c>
      <c r="M77" s="12"/>
      <c r="N77" s="13"/>
      <c r="O77" s="13"/>
      <c r="P77" s="13"/>
      <c r="Q77" s="14"/>
      <c r="R77" s="15">
        <f t="shared" si="29"/>
        <v>0</v>
      </c>
      <c r="S77" s="15"/>
      <c r="T77" s="67"/>
    </row>
    <row r="78" spans="1:20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28"/>
        <v>0</v>
      </c>
      <c r="I78" s="15"/>
      <c r="J78" s="67"/>
      <c r="K78" s="65" t="str">
        <f>L66</f>
        <v>بیرجند</v>
      </c>
      <c r="L78" s="11" t="s">
        <v>18</v>
      </c>
      <c r="M78" s="12"/>
      <c r="N78" s="13"/>
      <c r="O78" s="13"/>
      <c r="P78" s="13"/>
      <c r="Q78" s="14"/>
      <c r="R78" s="15">
        <f t="shared" si="29"/>
        <v>0</v>
      </c>
      <c r="S78" s="15"/>
      <c r="T78" s="67"/>
    </row>
    <row r="79" spans="1:20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28"/>
        <v>0</v>
      </c>
      <c r="I79" s="20"/>
      <c r="J79" s="68"/>
      <c r="K79" s="65" t="str">
        <f>L66</f>
        <v>بیرجند</v>
      </c>
      <c r="L79" s="16" t="s">
        <v>19</v>
      </c>
      <c r="M79" s="17"/>
      <c r="N79" s="18"/>
      <c r="O79" s="18"/>
      <c r="P79" s="18"/>
      <c r="Q79" s="19"/>
      <c r="R79" s="20">
        <f t="shared" si="29"/>
        <v>0</v>
      </c>
      <c r="S79" s="20"/>
      <c r="T79" s="68"/>
    </row>
    <row r="80" spans="1:20" ht="21" thickBot="1" x14ac:dyDescent="0.3">
      <c r="B80" s="76" t="s">
        <v>6</v>
      </c>
      <c r="C80" s="77">
        <f>SUM(C68:C79)</f>
        <v>0</v>
      </c>
      <c r="D80" s="78">
        <f t="shared" ref="D80:F80" si="30">SUM(D68:D79)</f>
        <v>0</v>
      </c>
      <c r="E80" s="78">
        <f t="shared" si="30"/>
        <v>0</v>
      </c>
      <c r="F80" s="78">
        <f t="shared" si="30"/>
        <v>0</v>
      </c>
      <c r="G80" s="79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80">
        <f t="shared" ref="H80" si="31">SUM(C80:F80)</f>
        <v>0</v>
      </c>
      <c r="I80" s="80" t="str">
        <f>IFERROR(SUM(I68:I79)/COUNTIF(I68:I79,"&gt;"&amp;0),"")</f>
        <v/>
      </c>
      <c r="J80" s="81" t="str">
        <f>IFERROR((SUMPRODUCT(J68:J79,I68:I79)/COUNTIF(I68:I79,"&gt;"&amp;0))/I80,"")</f>
        <v/>
      </c>
      <c r="L80" s="76" t="s">
        <v>6</v>
      </c>
      <c r="M80" s="77">
        <f>SUM(M68:M79)</f>
        <v>0</v>
      </c>
      <c r="N80" s="78">
        <f t="shared" ref="N80:P80" si="32">SUM(N68:N79)</f>
        <v>0</v>
      </c>
      <c r="O80" s="78">
        <f t="shared" si="32"/>
        <v>0</v>
      </c>
      <c r="P80" s="78">
        <f t="shared" si="32"/>
        <v>0</v>
      </c>
      <c r="Q80" s="79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80">
        <f t="shared" ref="R80" si="33">SUM(M80:P80)</f>
        <v>0</v>
      </c>
      <c r="S80" s="80" t="str">
        <f>IFERROR(SUM(S68:S79)/COUNTIF(S68:S79,"&gt;"&amp;0),"")</f>
        <v/>
      </c>
      <c r="T80" s="81" t="str">
        <f>IFERROR((SUMPRODUCT(T68:T79,S68:S79)/COUNTIF(S68:S79,"&gt;"&amp;0))/S80,"")</f>
        <v/>
      </c>
    </row>
    <row r="81" spans="1:20" ht="3.95" customHeight="1" thickBot="1" x14ac:dyDescent="0.3"/>
    <row r="82" spans="1:20" ht="26.25" thickBot="1" x14ac:dyDescent="0.3">
      <c r="B82" s="210" t="s">
        <v>41</v>
      </c>
      <c r="C82" s="211"/>
      <c r="D82" s="211"/>
      <c r="E82" s="211"/>
      <c r="F82" s="211"/>
      <c r="G82" s="211"/>
      <c r="H82" s="211"/>
      <c r="I82" s="211"/>
      <c r="J82" s="212"/>
      <c r="L82" s="210" t="s">
        <v>56</v>
      </c>
      <c r="M82" s="211"/>
      <c r="N82" s="211"/>
      <c r="O82" s="211"/>
      <c r="P82" s="211"/>
      <c r="Q82" s="211"/>
      <c r="R82" s="211"/>
      <c r="S82" s="211"/>
      <c r="T82" s="212"/>
    </row>
    <row r="83" spans="1:20" ht="21" thickBot="1" x14ac:dyDescent="0.3">
      <c r="B83" s="72" t="s">
        <v>0</v>
      </c>
      <c r="C83" s="73" t="s">
        <v>1</v>
      </c>
      <c r="D83" s="74" t="s">
        <v>2</v>
      </c>
      <c r="E83" s="74" t="s">
        <v>3</v>
      </c>
      <c r="F83" s="74" t="s">
        <v>4</v>
      </c>
      <c r="G83" s="75" t="s">
        <v>5</v>
      </c>
      <c r="H83" s="72" t="s">
        <v>7</v>
      </c>
      <c r="I83" s="72" t="s">
        <v>32</v>
      </c>
      <c r="J83" s="72" t="s">
        <v>30</v>
      </c>
      <c r="L83" s="72" t="s">
        <v>0</v>
      </c>
      <c r="M83" s="73" t="s">
        <v>1</v>
      </c>
      <c r="N83" s="74" t="s">
        <v>2</v>
      </c>
      <c r="O83" s="74" t="s">
        <v>3</v>
      </c>
      <c r="P83" s="74" t="s">
        <v>4</v>
      </c>
      <c r="Q83" s="75" t="s">
        <v>5</v>
      </c>
      <c r="R83" s="72" t="s">
        <v>7</v>
      </c>
      <c r="S83" s="72" t="s">
        <v>32</v>
      </c>
      <c r="T83" s="72" t="s">
        <v>30</v>
      </c>
    </row>
    <row r="84" spans="1:20" x14ac:dyDescent="0.25">
      <c r="A84" s="65" t="str">
        <f>B82</f>
        <v>ماهیرود</v>
      </c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/>
      <c r="J84" s="66"/>
      <c r="K84" s="65" t="str">
        <f>L82</f>
        <v>باجگیران</v>
      </c>
      <c r="L84" s="6" t="s">
        <v>8</v>
      </c>
      <c r="M84" s="7"/>
      <c r="N84" s="8"/>
      <c r="O84" s="8"/>
      <c r="P84" s="8"/>
      <c r="Q84" s="9"/>
      <c r="R84" s="10">
        <f>SUM(M84:P84)</f>
        <v>0</v>
      </c>
      <c r="S84" s="10"/>
      <c r="T84" s="66"/>
    </row>
    <row r="85" spans="1:20" x14ac:dyDescent="0.25">
      <c r="A85" s="65" t="str">
        <f>B82</f>
        <v>ماهیرود</v>
      </c>
      <c r="B85" s="11" t="s">
        <v>9</v>
      </c>
      <c r="C85" s="12"/>
      <c r="D85" s="13"/>
      <c r="E85" s="13"/>
      <c r="F85" s="13"/>
      <c r="G85" s="14"/>
      <c r="H85" s="15">
        <f t="shared" ref="H85:H95" si="34">SUM(C85:F85)</f>
        <v>0</v>
      </c>
      <c r="I85" s="15"/>
      <c r="J85" s="67"/>
      <c r="K85" s="65" t="str">
        <f>L82</f>
        <v>باجگیران</v>
      </c>
      <c r="L85" s="11" t="s">
        <v>9</v>
      </c>
      <c r="M85" s="12"/>
      <c r="N85" s="13"/>
      <c r="O85" s="13"/>
      <c r="P85" s="13"/>
      <c r="Q85" s="14"/>
      <c r="R85" s="15">
        <f t="shared" ref="R85:R95" si="35">SUM(M85:P85)</f>
        <v>0</v>
      </c>
      <c r="S85" s="15"/>
      <c r="T85" s="67"/>
    </row>
    <row r="86" spans="1:20" x14ac:dyDescent="0.25">
      <c r="A86" s="65" t="str">
        <f>B82</f>
        <v>ماهیرود</v>
      </c>
      <c r="B86" s="11" t="s">
        <v>10</v>
      </c>
      <c r="C86" s="12"/>
      <c r="D86" s="13"/>
      <c r="E86" s="13"/>
      <c r="F86" s="13"/>
      <c r="G86" s="14"/>
      <c r="H86" s="15">
        <f t="shared" si="34"/>
        <v>0</v>
      </c>
      <c r="I86" s="15"/>
      <c r="J86" s="67"/>
      <c r="K86" s="65" t="str">
        <f>L82</f>
        <v>باجگیران</v>
      </c>
      <c r="L86" s="11" t="s">
        <v>10</v>
      </c>
      <c r="M86" s="12"/>
      <c r="N86" s="13"/>
      <c r="O86" s="13"/>
      <c r="P86" s="13"/>
      <c r="Q86" s="14"/>
      <c r="R86" s="15">
        <f t="shared" si="35"/>
        <v>0</v>
      </c>
      <c r="S86" s="15"/>
      <c r="T86" s="67"/>
    </row>
    <row r="87" spans="1:20" x14ac:dyDescent="0.25">
      <c r="A87" s="65" t="str">
        <f>B82</f>
        <v>ماهیرود</v>
      </c>
      <c r="B87" s="11" t="s">
        <v>11</v>
      </c>
      <c r="C87" s="12"/>
      <c r="D87" s="13"/>
      <c r="E87" s="13"/>
      <c r="F87" s="13"/>
      <c r="G87" s="14"/>
      <c r="H87" s="15">
        <f t="shared" si="34"/>
        <v>0</v>
      </c>
      <c r="I87" s="15"/>
      <c r="J87" s="67"/>
      <c r="K87" s="65" t="str">
        <f>L82</f>
        <v>باجگیران</v>
      </c>
      <c r="L87" s="11" t="s">
        <v>11</v>
      </c>
      <c r="M87" s="12"/>
      <c r="N87" s="13"/>
      <c r="O87" s="13"/>
      <c r="P87" s="13"/>
      <c r="Q87" s="14"/>
      <c r="R87" s="15">
        <f t="shared" si="35"/>
        <v>0</v>
      </c>
      <c r="S87" s="15"/>
      <c r="T87" s="67"/>
    </row>
    <row r="88" spans="1:20" x14ac:dyDescent="0.25">
      <c r="A88" s="65" t="str">
        <f>B82</f>
        <v>ماهیرود</v>
      </c>
      <c r="B88" s="11" t="s">
        <v>12</v>
      </c>
      <c r="C88" s="12"/>
      <c r="D88" s="13"/>
      <c r="E88" s="13"/>
      <c r="F88" s="13"/>
      <c r="G88" s="14"/>
      <c r="H88" s="15">
        <f t="shared" si="34"/>
        <v>0</v>
      </c>
      <c r="I88" s="15"/>
      <c r="J88" s="67"/>
      <c r="K88" s="65" t="str">
        <f>L82</f>
        <v>باجگیران</v>
      </c>
      <c r="L88" s="11" t="s">
        <v>12</v>
      </c>
      <c r="M88" s="12"/>
      <c r="N88" s="13"/>
      <c r="O88" s="13"/>
      <c r="P88" s="13"/>
      <c r="Q88" s="14"/>
      <c r="R88" s="15">
        <f t="shared" si="35"/>
        <v>0</v>
      </c>
      <c r="S88" s="15"/>
      <c r="T88" s="67"/>
    </row>
    <row r="89" spans="1:20" x14ac:dyDescent="0.25">
      <c r="A89" s="65" t="str">
        <f>B82</f>
        <v>ماهیرود</v>
      </c>
      <c r="B89" s="11" t="s">
        <v>13</v>
      </c>
      <c r="C89" s="12"/>
      <c r="D89" s="13"/>
      <c r="E89" s="13"/>
      <c r="F89" s="13"/>
      <c r="G89" s="14"/>
      <c r="H89" s="15">
        <f t="shared" si="34"/>
        <v>0</v>
      </c>
      <c r="I89" s="15"/>
      <c r="J89" s="67"/>
      <c r="K89" s="65" t="str">
        <f>L82</f>
        <v>باجگیران</v>
      </c>
      <c r="L89" s="11" t="s">
        <v>13</v>
      </c>
      <c r="M89" s="12"/>
      <c r="N89" s="13"/>
      <c r="O89" s="13"/>
      <c r="P89" s="13"/>
      <c r="Q89" s="14"/>
      <c r="R89" s="15">
        <f t="shared" si="35"/>
        <v>0</v>
      </c>
      <c r="S89" s="15"/>
      <c r="T89" s="67"/>
    </row>
    <row r="90" spans="1:20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34"/>
        <v>0</v>
      </c>
      <c r="I90" s="15"/>
      <c r="J90" s="67"/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35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34"/>
        <v>0</v>
      </c>
      <c r="I91" s="15"/>
      <c r="J91" s="67"/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35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34"/>
        <v>0</v>
      </c>
      <c r="I92" s="15"/>
      <c r="J92" s="67"/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35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34"/>
        <v>0</v>
      </c>
      <c r="I93" s="15"/>
      <c r="J93" s="67"/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35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34"/>
        <v>0</v>
      </c>
      <c r="I94" s="15"/>
      <c r="J94" s="67"/>
      <c r="K94" s="65" t="str">
        <f>L82</f>
        <v>باجگیران</v>
      </c>
      <c r="L94" s="11" t="s">
        <v>18</v>
      </c>
      <c r="M94" s="12"/>
      <c r="N94" s="13"/>
      <c r="O94" s="13"/>
      <c r="P94" s="13"/>
      <c r="Q94" s="14"/>
      <c r="R94" s="15">
        <f t="shared" si="35"/>
        <v>0</v>
      </c>
      <c r="S94" s="15"/>
      <c r="T94" s="67"/>
    </row>
    <row r="95" spans="1:20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34"/>
        <v>0</v>
      </c>
      <c r="I95" s="20"/>
      <c r="J95" s="68"/>
      <c r="K95" s="65" t="str">
        <f>L82</f>
        <v>باجگیران</v>
      </c>
      <c r="L95" s="16" t="s">
        <v>19</v>
      </c>
      <c r="M95" s="17"/>
      <c r="N95" s="18"/>
      <c r="O95" s="18"/>
      <c r="P95" s="18"/>
      <c r="Q95" s="19"/>
      <c r="R95" s="20">
        <f t="shared" si="35"/>
        <v>0</v>
      </c>
      <c r="S95" s="20"/>
      <c r="T95" s="68"/>
    </row>
    <row r="96" spans="1:20" ht="21" thickBot="1" x14ac:dyDescent="0.3">
      <c r="B96" s="76" t="s">
        <v>6</v>
      </c>
      <c r="C96" s="77">
        <f>SUM(C84:C95)</f>
        <v>0</v>
      </c>
      <c r="D96" s="78">
        <f>SUM(D84:D95)</f>
        <v>0</v>
      </c>
      <c r="E96" s="78">
        <f t="shared" ref="E96:F96" si="36">SUM(E84:E95)</f>
        <v>0</v>
      </c>
      <c r="F96" s="78">
        <f t="shared" si="36"/>
        <v>0</v>
      </c>
      <c r="G96" s="79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80">
        <f t="shared" ref="H96" si="37">SUM(C96:F96)</f>
        <v>0</v>
      </c>
      <c r="I96" s="80" t="str">
        <f>IFERROR(SUM(I84:I95)/COUNTIF(I84:I95,"&gt;"&amp;0),"")</f>
        <v/>
      </c>
      <c r="J96" s="81" t="str">
        <f>IFERROR((SUMPRODUCT(J84:J95,I84:I95)/COUNTIF(I84:I95,"&gt;"&amp;0))/I96,"")</f>
        <v/>
      </c>
      <c r="L96" s="76" t="s">
        <v>6</v>
      </c>
      <c r="M96" s="77">
        <f>SUM(M84:M95)</f>
        <v>0</v>
      </c>
      <c r="N96" s="78">
        <f>SUM(N84:N95)</f>
        <v>0</v>
      </c>
      <c r="O96" s="78">
        <f t="shared" ref="O96:P96" si="38">SUM(O84:O95)</f>
        <v>0</v>
      </c>
      <c r="P96" s="78">
        <f t="shared" si="38"/>
        <v>0</v>
      </c>
      <c r="Q96" s="79" t="str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/>
      </c>
      <c r="R96" s="80">
        <f t="shared" ref="R96" si="39">SUM(M96:P96)</f>
        <v>0</v>
      </c>
      <c r="S96" s="80" t="str">
        <f>IFERROR(SUM(S84:S95)/COUNTIF(S84:S95,"&gt;"&amp;0),"")</f>
        <v/>
      </c>
      <c r="T96" s="81" t="str">
        <f>IFERROR((SUMPRODUCT(T84:T95,S84:S95)/COUNTIF(S84:S95,"&gt;"&amp;0))/S96,"")</f>
        <v/>
      </c>
    </row>
  </sheetData>
  <sheetProtection algorithmName="SHA-512" hashValue="rSXJfool5ZLkVP0+N0beZ5smBym76b4S8bZA0Zmy7zGhqkLBtVzFaydPIv93uKDcgJ6rOD0VnfU8iDHPIBX/5Q==" saltValue="1R3I4Nio7VfP7x4elSVobQ==" spinCount="100000" sheet="1" selectLockedCells="1" selectUnlockedCells="1"/>
  <mergeCells count="12">
    <mergeCell ref="B82:J82"/>
    <mergeCell ref="B66:J66"/>
    <mergeCell ref="B2:J2"/>
    <mergeCell ref="L2:T2"/>
    <mergeCell ref="L18:T18"/>
    <mergeCell ref="B18:J18"/>
    <mergeCell ref="B50:J50"/>
    <mergeCell ref="L50:T50"/>
    <mergeCell ref="L34:T34"/>
    <mergeCell ref="B34:J34"/>
    <mergeCell ref="L66:T66"/>
    <mergeCell ref="L82:T82"/>
  </mergeCells>
  <conditionalFormatting sqref="H4:H1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{B0D50B38-B5A4-493F-A61A-91272644FD54}</x14:id>
        </ext>
      </extLst>
    </cfRule>
  </conditionalFormatting>
  <conditionalFormatting sqref="H20:H3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{F10BBE39-43A5-4293-AA51-527F566378F6}</x14:id>
        </ext>
      </extLst>
    </cfRule>
  </conditionalFormatting>
  <conditionalFormatting sqref="H3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{EC5878D8-00E3-4AD2-A9E0-A65693A4F0B1}</x14:id>
        </ext>
      </extLst>
    </cfRule>
  </conditionalFormatting>
  <conditionalFormatting sqref="H36:H4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{B63B0E94-5924-486D-8AC6-BFFF9E0E9447}</x14:id>
        </ext>
      </extLst>
    </cfRule>
  </conditionalFormatting>
  <conditionalFormatting sqref="H4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{BCA3E7BD-8F4F-4E37-874C-4F866971FDE0}</x14:id>
        </ext>
      </extLst>
    </cfRule>
  </conditionalFormatting>
  <conditionalFormatting sqref="H52:H6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{24D1069D-2CDF-46F1-A0C5-9B0280D8AFFE}</x14:id>
        </ext>
      </extLst>
    </cfRule>
  </conditionalFormatting>
  <conditionalFormatting sqref="H6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{DB1DA99B-925B-4F1A-8A9E-B8A235F265E3}</x14:id>
        </ext>
      </extLst>
    </cfRule>
  </conditionalFormatting>
  <conditionalFormatting sqref="H68:H7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{577CD98F-F3E6-4D63-8C52-A71E16D62452}</x14:id>
        </ext>
      </extLst>
    </cfRule>
  </conditionalFormatting>
  <conditionalFormatting sqref="H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{C683C03B-E1ED-48F9-9CC2-E9D946A8B825}</x14:id>
        </ext>
      </extLst>
    </cfRule>
  </conditionalFormatting>
  <conditionalFormatting sqref="H84:H9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{F2E3535F-FA6F-4EA0-AE74-C2C05C543293}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{E6B7C8A6-7029-40C8-AD23-DE98FA0843C3}</x14:id>
        </ext>
      </extLst>
    </cfRule>
  </conditionalFormatting>
  <conditionalFormatting sqref="J4:J15 T4:T15">
    <cfRule type="colorScale" priority="3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3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2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1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{B5311171-82AD-4FBA-AAE8-E9FA961509E2}</x14:id>
        </ext>
      </extLst>
    </cfRule>
  </conditionalFormatting>
  <conditionalFormatting sqref="R1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{58B5DDC8-2A81-407E-B27F-E573F51563B8}</x14:id>
        </ext>
      </extLst>
    </cfRule>
  </conditionalFormatting>
  <conditionalFormatting sqref="R20:R31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{B6E5A79B-AA99-4B99-BE10-3CF3C496F112}</x14:id>
        </ext>
      </extLst>
    </cfRule>
  </conditionalFormatting>
  <conditionalFormatting sqref="R3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{4E2AC823-C78C-4AF1-ABD8-A898CF417974}</x14:id>
        </ext>
      </extLst>
    </cfRule>
  </conditionalFormatting>
  <conditionalFormatting sqref="R36:R4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{D5087EF6-73B3-4403-8573-CD3ACFE84D9A}</x14:id>
        </ext>
      </extLst>
    </cfRule>
  </conditionalFormatting>
  <conditionalFormatting sqref="R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{349DA9A7-47D4-49E6-ACF8-130E426B2C21}</x14:id>
        </ext>
      </extLst>
    </cfRule>
  </conditionalFormatting>
  <conditionalFormatting sqref="R52:R63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{9DC2B44D-A24F-4A17-BA7C-7D1B32D2BDD7}</x14:id>
        </ext>
      </extLst>
    </cfRule>
  </conditionalFormatting>
  <conditionalFormatting sqref="R6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{771FFA5E-DA42-40D6-92C3-1616900EE0A6}</x14:id>
        </ext>
      </extLst>
    </cfRule>
  </conditionalFormatting>
  <conditionalFormatting sqref="R68:R7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{B4532BD0-4BEB-4FE4-AFFD-20674ACABC22}</x14:id>
        </ext>
      </extLst>
    </cfRule>
  </conditionalFormatting>
  <conditionalFormatting sqref="R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{75DC36BB-1A7A-48EC-BC88-86FC293E829C}</x14:id>
        </ext>
      </extLst>
    </cfRule>
  </conditionalFormatting>
  <conditionalFormatting sqref="T20:T31">
    <cfRule type="colorScale" priority="3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1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{769C0017-8BC8-4525-8A8D-8FD713C962C1}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{DC20EAEF-D255-4450-B73A-11F9F26919D3}</x14:id>
        </ext>
      </extLst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50B38-B5A4-493F-A61A-91272644FD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F10BBE39-43A5-4293-AA51-527F56637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EC5878D8-00E3-4AD2-A9E0-A65693A4F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B63B0E94-5924-486D-8AC6-BFFF9E0E94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CA3E7BD-8F4F-4E37-874C-4F866971F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24D1069D-2CDF-46F1-A0C5-9B0280D8A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B1DA99B-925B-4F1A-8A9E-B8A235F26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577CD98F-F3E6-4D63-8C52-A71E16D62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C683C03B-E1ED-48F9-9CC2-E9D946A8B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</xm:sqref>
        </x14:conditionalFormatting>
        <x14:conditionalFormatting xmlns:xm="http://schemas.microsoft.com/office/excel/2006/main">
          <x14:cfRule type="dataBar" id="{F2E3535F-FA6F-4EA0-AE74-C2C05C5432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E6B7C8A6-7029-40C8-AD23-DE98FA084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B5311171-82AD-4FBA-AAE8-E9FA96150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8B5DDC8-2A81-407E-B27F-E573F5156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6E5A79B-AA99-4B99-BE10-3CF3C496F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4E2AC823-C78C-4AF1-ABD8-A898CF417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D5087EF6-73B3-4403-8573-CD3ACFE84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349DA9A7-47D4-49E6-ACF8-130E426B2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9DC2B44D-A24F-4A17-BA7C-7D1B32D2B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771FFA5E-DA42-40D6-92C3-1616900EE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B4532BD0-4BEB-4FE4-AFFD-20674ACAB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75DC36BB-1A7A-48EC-BC88-86FC293E8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769C0017-8BC8-4525-8A8D-8FD713C962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DC20EAEF-D255-4450-B73A-11F9F2691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6"/>
  <sheetViews>
    <sheetView showRowColHeaders="0" rightToLeft="1" zoomScale="80" zoomScaleNormal="80" workbookViewId="0">
      <selection activeCell="S11" sqref="S11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.28515625" style="1" customWidth="1"/>
    <col min="9" max="9" width="16.42578125" style="1" customWidth="1"/>
    <col min="10" max="11" width="12.7109375" style="1" customWidth="1"/>
    <col min="12" max="13" width="12.7109375" style="1" hidden="1" customWidth="1"/>
    <col min="14" max="14" width="12.7109375" style="1" customWidth="1"/>
    <col min="15" max="15" width="1.28515625" style="1" customWidth="1"/>
    <col min="16" max="16" width="1.42578125" style="1" customWidth="1"/>
    <col min="17" max="16384" width="9.140625" style="1"/>
  </cols>
  <sheetData>
    <row r="1" spans="1:24" ht="12" customHeight="1" thickBot="1" x14ac:dyDescent="0.3"/>
    <row r="2" spans="1:24" ht="26.25" thickBot="1" x14ac:dyDescent="0.3">
      <c r="B2" s="210" t="s">
        <v>35</v>
      </c>
      <c r="C2" s="211"/>
      <c r="D2" s="211"/>
      <c r="E2" s="211"/>
      <c r="F2" s="211"/>
      <c r="G2" s="212"/>
      <c r="I2" s="210" t="s">
        <v>20</v>
      </c>
      <c r="J2" s="211"/>
      <c r="K2" s="211"/>
      <c r="L2" s="211"/>
      <c r="M2" s="211"/>
      <c r="N2" s="212"/>
    </row>
    <row r="3" spans="1:24" ht="21" thickBot="1" x14ac:dyDescent="0.3">
      <c r="B3" s="69" t="s">
        <v>0</v>
      </c>
      <c r="C3" s="70" t="s">
        <v>1</v>
      </c>
      <c r="D3" s="71" t="s">
        <v>2</v>
      </c>
      <c r="E3" s="71" t="s">
        <v>3</v>
      </c>
      <c r="F3" s="71" t="s">
        <v>4</v>
      </c>
      <c r="G3" s="134" t="s">
        <v>5</v>
      </c>
      <c r="I3" s="135" t="s">
        <v>0</v>
      </c>
      <c r="J3" s="136" t="s">
        <v>1</v>
      </c>
      <c r="K3" s="137" t="s">
        <v>2</v>
      </c>
      <c r="L3" s="137" t="s">
        <v>3</v>
      </c>
      <c r="M3" s="137" t="s">
        <v>4</v>
      </c>
      <c r="N3" s="138" t="s">
        <v>5</v>
      </c>
    </row>
    <row r="4" spans="1:24" x14ac:dyDescent="0.25">
      <c r="A4" s="65" t="str">
        <f>B2</f>
        <v>انبار مجتمع خراسان</v>
      </c>
      <c r="B4" s="6" t="s">
        <v>8</v>
      </c>
      <c r="C4" s="140" t="str">
        <f>IFERROR(IF(SUM(تجمیعی!C4,-SUM('انبار مسقف'!C4),-SUM('انبار بارانداز'!C4),-SUM('انبار هانگار'!C4))=0,"",SUM(تجمیعی!C4,-SUM('انبار مسقف'!C4),-SUM('انبار بارانداز'!C4),-SUM('انبار هانگار'!C4))),"")</f>
        <v/>
      </c>
      <c r="D4" s="141" t="str">
        <f>IFERROR(IF(SUM(تجمیعی!D4,-SUM('انبار مسقف'!D4),-SUM('انبار بارانداز'!D4),-SUM('انبار هانگار'!D4))=0,"",SUM(تجمیعی!D4,-SUM('انبار مسقف'!D4),-SUM('انبار بارانداز'!D4),-SUM('انبار هانگار'!D4))),"")</f>
        <v/>
      </c>
      <c r="E4" s="141">
        <f>IFERROR(IF(SUM(تجمیعی!E4,-SUM('انبار مسقف'!E4),-SUM('انبار بارانداز'!E4),-SUM('انبار هانگار'!E4))=0,"",SUM(تجمیعی!E4,-SUM('انبار مسقف'!E4),-SUM('انبار بارانداز'!E4),-SUM('انبار هانگار'!E4))),"")</f>
        <v>407</v>
      </c>
      <c r="F4" s="141">
        <f>IFERROR(IF(SUM(تجمیعی!F4,-SUM('انبار مسقف'!F4),-SUM('انبار بارانداز'!F4),-SUM('انبار هانگار'!F4))=0,"",SUM(تجمیعی!F4,-SUM('انبار مسقف'!F4),-SUM('انبار بارانداز'!F4),-SUM('انبار هانگار'!F4))),"")</f>
        <v>126204</v>
      </c>
      <c r="G4" s="142">
        <f>IFERROR(IF(SUM(تجمیعی!G4,-SUM('انبار مسقف'!G4),-SUM('انبار بارانداز'!G4),-SUM('انبار هانگار'!G4))=0,"",SUM(تجمیعی!G4,-SUM('انبار مسقف'!G4),-SUM('انبار بارانداز'!G4),-SUM('انبار هانگار'!G4))),"")</f>
        <v>22851</v>
      </c>
      <c r="H4" s="65" t="str">
        <f>I2</f>
        <v>فرودگاه هاشمی نژاد</v>
      </c>
      <c r="I4" s="6" t="s">
        <v>8</v>
      </c>
      <c r="J4" s="140" t="str">
        <f>IFERROR(IF(SUM(تجمیعی!K4,-'انبار مسقف'!M4,-'انبار بارانداز'!M4,-'انبار هانگار'!M4)=0,"",SUM(تجمیعی!K4,-'انبار مسقف'!M4,-'انبار بارانداز'!M4,-'انبار هانگار'!M4)),"")</f>
        <v/>
      </c>
      <c r="K4" s="141" t="str">
        <f>IFERROR(IF(SUM(تجمیعی!L4,-'انبار مسقف'!N4,-'انبار بارانداز'!N4,-'انبار هانگار'!N4)=0,"",SUM(تجمیعی!L4,-'انبار مسقف'!N4,-'انبار بارانداز'!N4,-'انبار هانگار'!N4)),"")</f>
        <v/>
      </c>
      <c r="L4" s="141" t="str">
        <f>IFERROR(IF(SUM(تجمیعی!M4,-'انبار مسقف'!O4,-'انبار بارانداز'!O4,-'انبار هانگار'!O4)=0,"",SUM(تجمیعی!M4,-'انبار مسقف'!O4,-'انبار بارانداز'!O4,-'انبار هانگار'!O4)),"")</f>
        <v/>
      </c>
      <c r="M4" s="141" t="str">
        <f>IFERROR(IF(SUM(تجمیعی!N4,-'انبار مسقف'!P4,-'انبار بارانداز'!P4,-'انبار هانگار'!P4)=0,"",SUM(تجمیعی!N4,-'انبار مسقف'!P4,-'انبار بارانداز'!P4,-'انبار هانگار'!P4)),"")</f>
        <v/>
      </c>
      <c r="N4" s="142" t="str">
        <f>IFERROR(IF(SUM(تجمیعی!O4,-'انبار مسقف'!Q4,-'انبار بارانداز'!Q4,-'انبار هانگار'!Q4)=0,"",SUM(تجمیعی!O4,-'انبار مسقف'!Q4,-'انبار بارانداز'!Q4,-'انبار هانگار'!Q4)),"")</f>
        <v/>
      </c>
      <c r="Q4" s="213" t="s">
        <v>36</v>
      </c>
      <c r="R4" s="213"/>
      <c r="S4" s="213"/>
      <c r="T4" s="213"/>
      <c r="U4" s="213"/>
      <c r="V4" s="213"/>
      <c r="W4" s="213"/>
      <c r="X4" s="213"/>
    </row>
    <row r="5" spans="1:24" x14ac:dyDescent="0.25">
      <c r="A5" s="65" t="str">
        <f>B2</f>
        <v>انبار مجتمع خراسان</v>
      </c>
      <c r="B5" s="11" t="s">
        <v>9</v>
      </c>
      <c r="C5" s="143">
        <f>IFERROR(IF(SUM(تجمیعی!C5,-SUM('انبار مسقف'!C5),-SUM('انبار بارانداز'!C5),-SUM('انبار هانگار'!C5))=0,"",SUM(تجمیعی!C5,-SUM('انبار مسقف'!C5),-SUM('انبار بارانداز'!C5),-SUM('انبار هانگار'!C5))),"")</f>
        <v>42</v>
      </c>
      <c r="D5" s="144">
        <f>IFERROR(IF(SUM(تجمیعی!D5,-SUM('انبار مسقف'!D5),-SUM('انبار بارانداز'!D5),-SUM('انبار هانگار'!D5))=0,"",SUM(تجمیعی!D5,-SUM('انبار مسقف'!D5),-SUM('انبار بارانداز'!D5),-SUM('انبار هانگار'!D5))),"")</f>
        <v>-65</v>
      </c>
      <c r="E5" s="144">
        <f>IFERROR(IF(SUM(تجمیعی!E5,-SUM('انبار مسقف'!E5),-SUM('انبار بارانداز'!E5),-SUM('انبار هانگار'!E5))=0,"",SUM(تجمیعی!E5,-SUM('انبار مسقف'!E5),-SUM('انبار بارانداز'!E5),-SUM('انبار هانگار'!E5))),"")</f>
        <v>657</v>
      </c>
      <c r="F5" s="144">
        <f>IFERROR(IF(SUM(تجمیعی!F5,-SUM('انبار مسقف'!F5),-SUM('انبار بارانداز'!F5),-SUM('انبار هانگار'!F5))=0,"",SUM(تجمیعی!F5,-SUM('انبار مسقف'!F5),-SUM('انبار بارانداز'!F5),-SUM('انبار هانگار'!F5))),"")</f>
        <v>138956</v>
      </c>
      <c r="G5" s="145">
        <f>IFERROR(IF(SUM(تجمیعی!G5,-SUM('انبار مسقف'!G5),-SUM('انبار بارانداز'!G5),-SUM('انبار هانگار'!G5))=0,"",SUM(تجمیعی!G5,-SUM('انبار مسقف'!G5),-SUM('انبار بارانداز'!G5),-SUM('انبار هانگار'!G5))),"")</f>
        <v>24290</v>
      </c>
      <c r="H5" s="65" t="str">
        <f>I2</f>
        <v>فرودگاه هاشمی نژاد</v>
      </c>
      <c r="I5" s="11" t="s">
        <v>9</v>
      </c>
      <c r="J5" s="143" t="str">
        <f>IFERROR(IF(SUM(تجمیعی!K5,-'انبار مسقف'!M5,-'انبار بارانداز'!M5,-'انبار هانگار'!M5)=0,"",SUM(تجمیعی!K5,-'انبار مسقف'!M5,-'انبار بارانداز'!M5,-'انبار هانگار'!M5)),"")</f>
        <v/>
      </c>
      <c r="K5" s="144" t="str">
        <f>IFERROR(IF(SUM(تجمیعی!L5,-'انبار مسقف'!N5,-'انبار بارانداز'!N5,-'انبار هانگار'!N5)=0,"",SUM(تجمیعی!L5,-'انبار مسقف'!N5,-'انبار بارانداز'!N5,-'انبار هانگار'!N5)),"")</f>
        <v/>
      </c>
      <c r="L5" s="144" t="str">
        <f>IFERROR(IF(SUM(تجمیعی!M5,-'انبار مسقف'!O5,-'انبار بارانداز'!O5,-'انبار هانگار'!O5)=0,"",SUM(تجمیعی!M5,-'انبار مسقف'!O5,-'انبار بارانداز'!O5,-'انبار هانگار'!O5)),"")</f>
        <v/>
      </c>
      <c r="M5" s="144" t="str">
        <f>IFERROR(IF(SUM(تجمیعی!N5,-'انبار مسقف'!P5,-'انبار بارانداز'!P5,-'انبار هانگار'!P5)=0,"",SUM(تجمیعی!N5,-'انبار مسقف'!P5,-'انبار بارانداز'!P5,-'انبار هانگار'!P5)),"")</f>
        <v/>
      </c>
      <c r="N5" s="145" t="str">
        <f>IFERROR(IF(SUM(تجمیعی!O5,-'انبار مسقف'!Q5,-'انبار بارانداز'!Q5,-'انبار هانگار'!Q5)=0,"",SUM(تجمیعی!O5,-'انبار مسقف'!Q5,-'انبار بارانداز'!Q5,-'انبار هانگار'!Q5)),"")</f>
        <v/>
      </c>
      <c r="Q5" s="213"/>
      <c r="R5" s="213"/>
      <c r="S5" s="213"/>
      <c r="T5" s="213"/>
      <c r="U5" s="213"/>
      <c r="V5" s="213"/>
      <c r="W5" s="213"/>
      <c r="X5" s="213"/>
    </row>
    <row r="6" spans="1:24" x14ac:dyDescent="0.25">
      <c r="A6" s="65" t="str">
        <f>B2</f>
        <v>انبار مجتمع خراسان</v>
      </c>
      <c r="B6" s="11" t="s">
        <v>10</v>
      </c>
      <c r="C6" s="143" t="str">
        <f>IFERROR(IF(SUM(تجمیعی!C6,-SUM('انبار مسقف'!C6),-SUM('انبار بارانداز'!C6),-SUM('انبار هانگار'!C6))=0,"",SUM(تجمیعی!C6,-SUM('انبار مسقف'!C6),-SUM('انبار بارانداز'!C6),-SUM('انبار هانگار'!C6))),"")</f>
        <v/>
      </c>
      <c r="D6" s="144" t="str">
        <f>IFERROR(IF(SUM(تجمیعی!D6,-SUM('انبار مسقف'!D6),-SUM('انبار بارانداز'!D6),-SUM('انبار هانگار'!D6))=0,"",SUM(تجمیعی!D6,-SUM('انبار مسقف'!D6),-SUM('انبار بارانداز'!D6),-SUM('انبار هانگار'!D6))),"")</f>
        <v/>
      </c>
      <c r="E6" s="144">
        <f>IFERROR(IF(SUM(تجمیعی!E6,-SUM('انبار مسقف'!E6),-SUM('انبار بارانداز'!E6),-SUM('انبار هانگار'!E6))=0,"",SUM(تجمیعی!E6,-SUM('انبار مسقف'!E6),-SUM('انبار بارانداز'!E6),-SUM('انبار هانگار'!E6))),"")</f>
        <v>863</v>
      </c>
      <c r="F6" s="144">
        <f>IFERROR(IF(SUM(تجمیعی!F6,-SUM('انبار مسقف'!F6),-SUM('انبار بارانداز'!F6),-SUM('انبار هانگار'!F6))=0,"",SUM(تجمیعی!F6,-SUM('انبار مسقف'!F6),-SUM('انبار بارانداز'!F6),-SUM('انبار هانگار'!F6))),"")</f>
        <v>115856</v>
      </c>
      <c r="G6" s="145">
        <f>IFERROR(IF(SUM(تجمیعی!G6,-SUM('انبار مسقف'!G6),-SUM('انبار بارانداز'!G6),-SUM('انبار هانگار'!G6))=0,"",SUM(تجمیعی!G6,-SUM('انبار مسقف'!G6),-SUM('انبار بارانداز'!G6),-SUM('انبار هانگار'!G6))),"")</f>
        <v>22397</v>
      </c>
      <c r="H6" s="65" t="str">
        <f>I2</f>
        <v>فرودگاه هاشمی نژاد</v>
      </c>
      <c r="I6" s="11" t="s">
        <v>10</v>
      </c>
      <c r="J6" s="143" t="str">
        <f>IFERROR(IF(SUM(تجمیعی!K6,-'انبار مسقف'!M6,-'انبار بارانداز'!M6,-'انبار هانگار'!M6)=0,"",SUM(تجمیعی!K6,-'انبار مسقف'!M6,-'انبار بارانداز'!M6,-'انبار هانگار'!M6)),"")</f>
        <v/>
      </c>
      <c r="K6" s="144" t="str">
        <f>IFERROR(IF(SUM(تجمیعی!L6,-'انبار مسقف'!N6,-'انبار بارانداز'!N6,-'انبار هانگار'!N6)=0,"",SUM(تجمیعی!L6,-'انبار مسقف'!N6,-'انبار بارانداز'!N6,-'انبار هانگار'!N6)),"")</f>
        <v/>
      </c>
      <c r="L6" s="144" t="str">
        <f>IFERROR(IF(SUM(تجمیعی!M6,-'انبار مسقف'!O6,-'انبار بارانداز'!O6,-'انبار هانگار'!O6)=0,"",SUM(تجمیعی!M6,-'انبار مسقف'!O6,-'انبار بارانداز'!O6,-'انبار هانگار'!O6)),"")</f>
        <v/>
      </c>
      <c r="M6" s="144" t="str">
        <f>IFERROR(IF(SUM(تجمیعی!N6,-'انبار مسقف'!P6,-'انبار بارانداز'!P6,-'انبار هانگار'!P6)=0,"",SUM(تجمیعی!N6,-'انبار مسقف'!P6,-'انبار بارانداز'!P6,-'انبار هانگار'!P6)),"")</f>
        <v/>
      </c>
      <c r="N6" s="145" t="str">
        <f>IFERROR(IF(SUM(تجمیعی!O6,-'انبار مسقف'!Q6,-'انبار بارانداز'!Q6,-'انبار هانگار'!Q6)=0,"",SUM(تجمیعی!O6,-'انبار مسقف'!Q6,-'انبار بارانداز'!Q6,-'انبار هانگار'!Q6)),"")</f>
        <v/>
      </c>
      <c r="Q6" s="214" t="s">
        <v>37</v>
      </c>
      <c r="R6" s="214"/>
      <c r="S6" s="214"/>
      <c r="T6" s="214"/>
      <c r="U6" s="214"/>
      <c r="V6" s="214"/>
      <c r="W6" s="214"/>
      <c r="X6" s="214"/>
    </row>
    <row r="7" spans="1:24" x14ac:dyDescent="0.25">
      <c r="A7" s="65" t="str">
        <f>B2</f>
        <v>انبار مجتمع خراسان</v>
      </c>
      <c r="B7" s="11" t="s">
        <v>11</v>
      </c>
      <c r="C7" s="143">
        <f>IFERROR(IF(SUM(تجمیعی!C7,-SUM('انبار مسقف'!C7),-SUM('انبار بارانداز'!C7),-SUM('انبار هانگار'!C7))=0,"",SUM(تجمیعی!C7,-SUM('انبار مسقف'!C7),-SUM('انبار بارانداز'!C7),-SUM('انبار هانگار'!C7))),"")</f>
        <v>-1</v>
      </c>
      <c r="D7" s="144" t="str">
        <f>IFERROR(IF(SUM(تجمیعی!D7,-SUM('انبار مسقف'!D7),-SUM('انبار بارانداز'!D7),-SUM('انبار هانگار'!D7))=0,"",SUM(تجمیعی!D7,-SUM('انبار مسقف'!D7),-SUM('انبار بارانداز'!D7),-SUM('انبار هانگار'!D7))),"")</f>
        <v/>
      </c>
      <c r="E7" s="144">
        <f>IFERROR(IF(SUM(تجمیعی!E7,-SUM('انبار مسقف'!E7),-SUM('انبار بارانداز'!E7),-SUM('انبار هانگار'!E7))=0,"",SUM(تجمیعی!E7,-SUM('انبار مسقف'!E7),-SUM('انبار بارانداز'!E7),-SUM('انبار هانگار'!E7))),"")</f>
        <v>293</v>
      </c>
      <c r="F7" s="144">
        <f>IFERROR(IF(SUM(تجمیعی!F7,-SUM('انبار مسقف'!F7),-SUM('انبار بارانداز'!F7),-SUM('انبار هانگار'!F7))=0,"",SUM(تجمیعی!F7,-SUM('انبار مسقف'!F7),-SUM('انبار بارانداز'!F7),-SUM('انبار هانگار'!F7))),"")</f>
        <v>158591</v>
      </c>
      <c r="G7" s="145">
        <f>IFERROR(IF(SUM(تجمیعی!G7,-SUM('انبار مسقف'!G7),-SUM('انبار بارانداز'!G7),-SUM('انبار هانگار'!G7))=0,"",SUM(تجمیعی!G7,-SUM('انبار مسقف'!G7),-SUM('انبار بارانداز'!G7),-SUM('انبار هانگار'!G7))),"")</f>
        <v>19913</v>
      </c>
      <c r="H7" s="65" t="str">
        <f>I2</f>
        <v>فرودگاه هاشمی نژاد</v>
      </c>
      <c r="I7" s="11" t="s">
        <v>11</v>
      </c>
      <c r="J7" s="143" t="str">
        <f>IFERROR(IF(SUM(تجمیعی!K7,-'انبار مسقف'!M7,-'انبار بارانداز'!M7,-'انبار هانگار'!M7)=0,"",SUM(تجمیعی!K7,-'انبار مسقف'!M7,-'انبار بارانداز'!M7,-'انبار هانگار'!M7)),"")</f>
        <v/>
      </c>
      <c r="K7" s="144" t="str">
        <f>IFERROR(IF(SUM(تجمیعی!L7,-'انبار مسقف'!N7,-'انبار بارانداز'!N7,-'انبار هانگار'!N7)=0,"",SUM(تجمیعی!L7,-'انبار مسقف'!N7,-'انبار بارانداز'!N7,-'انبار هانگار'!N7)),"")</f>
        <v/>
      </c>
      <c r="L7" s="144" t="str">
        <f>IFERROR(IF(SUM(تجمیعی!M7,-'انبار مسقف'!O7,-'انبار بارانداز'!O7,-'انبار هانگار'!O7)=0,"",SUM(تجمیعی!M7,-'انبار مسقف'!O7,-'انبار بارانداز'!O7,-'انبار هانگار'!O7)),"")</f>
        <v/>
      </c>
      <c r="M7" s="144" t="str">
        <f>IFERROR(IF(SUM(تجمیعی!N7,-'انبار مسقف'!P7,-'انبار بارانداز'!P7,-'انبار هانگار'!P7)=0,"",SUM(تجمیعی!N7,-'انبار مسقف'!P7,-'انبار بارانداز'!P7,-'انبار هانگار'!P7)),"")</f>
        <v/>
      </c>
      <c r="N7" s="145" t="str">
        <f>IFERROR(IF(SUM(تجمیعی!O7,-'انبار مسقف'!Q7,-'انبار بارانداز'!Q7,-'انبار هانگار'!Q7)=0,"",SUM(تجمیعی!O7,-'انبار مسقف'!Q7,-'انبار بارانداز'!Q7,-'انبار هانگار'!Q7)),"")</f>
        <v/>
      </c>
      <c r="Q7" s="214"/>
      <c r="R7" s="214"/>
      <c r="S7" s="214"/>
      <c r="T7" s="214"/>
      <c r="U7" s="214"/>
      <c r="V7" s="214"/>
      <c r="W7" s="214"/>
      <c r="X7" s="214"/>
    </row>
    <row r="8" spans="1:24" x14ac:dyDescent="0.25">
      <c r="A8" s="65" t="str">
        <f>B2</f>
        <v>انبار مجتمع خراسان</v>
      </c>
      <c r="B8" s="11" t="s">
        <v>12</v>
      </c>
      <c r="C8" s="143">
        <f>IFERROR(IF(SUM(تجمیعی!C8,-SUM('انبار مسقف'!C8),-SUM('انبار بارانداز'!C8),-SUM('انبار هانگار'!C8))=0,"",SUM(تجمیعی!C8,-SUM('انبار مسقف'!C8),-SUM('انبار بارانداز'!C8),-SUM('انبار هانگار'!C8))),"")</f>
        <v>3</v>
      </c>
      <c r="D8" s="144">
        <f>IFERROR(IF(SUM(تجمیعی!D8,-SUM('انبار مسقف'!D8),-SUM('انبار بارانداز'!D8),-SUM('انبار هانگار'!D8))=0,"",SUM(تجمیعی!D8,-SUM('انبار مسقف'!D8),-SUM('انبار بارانداز'!D8),-SUM('انبار هانگار'!D8))),"")</f>
        <v>-171</v>
      </c>
      <c r="E8" s="144">
        <f>IFERROR(IF(SUM(تجمیعی!E8,-SUM('انبار مسقف'!E8),-SUM('انبار بارانداز'!E8),-SUM('انبار هانگار'!E8))=0,"",SUM(تجمیعی!E8,-SUM('انبار مسقف'!E8),-SUM('انبار بارانداز'!E8),-SUM('انبار هانگار'!E8))),"")</f>
        <v>1520</v>
      </c>
      <c r="F8" s="144">
        <f>IFERROR(IF(SUM(تجمیعی!F8,-SUM('انبار مسقف'!F8),-SUM('انبار بارانداز'!F8),-SUM('انبار هانگار'!F8))=0,"",SUM(تجمیعی!F8,-SUM('انبار مسقف'!F8),-SUM('انبار بارانداز'!F8),-SUM('انبار هانگار'!F8))),"")</f>
        <v>163307</v>
      </c>
      <c r="G8" s="145">
        <f>IFERROR(IF(SUM(تجمیعی!G8,-SUM('انبار مسقف'!G8),-SUM('انبار بارانداز'!G8),-SUM('انبار هانگار'!G8))=0,"",SUM(تجمیعی!G8,-SUM('انبار مسقف'!G8),-SUM('انبار بارانداز'!G8),-SUM('انبار هانگار'!G8))),"")</f>
        <v>13085</v>
      </c>
      <c r="H8" s="65" t="str">
        <f>I2</f>
        <v>فرودگاه هاشمی نژاد</v>
      </c>
      <c r="I8" s="11" t="s">
        <v>12</v>
      </c>
      <c r="J8" s="143" t="str">
        <f>IFERROR(IF(SUM(تجمیعی!K8,-'انبار مسقف'!M8,-'انبار بارانداز'!M8,-'انبار هانگار'!M8)=0,"",SUM(تجمیعی!K8,-'انبار مسقف'!M8,-'انبار بارانداز'!M8,-'انبار هانگار'!M8)),"")</f>
        <v/>
      </c>
      <c r="K8" s="144" t="str">
        <f>IFERROR(IF(SUM(تجمیعی!L8,-'انبار مسقف'!N8,-'انبار بارانداز'!N8,-'انبار هانگار'!N8)=0,"",SUM(تجمیعی!L8,-'انبار مسقف'!N8,-'انبار بارانداز'!N8,-'انبار هانگار'!N8)),"")</f>
        <v/>
      </c>
      <c r="L8" s="144" t="str">
        <f>IFERROR(IF(SUM(تجمیعی!M8,-'انبار مسقف'!O8,-'انبار بارانداز'!O8,-'انبار هانگار'!O8)=0,"",SUM(تجمیعی!M8,-'انبار مسقف'!O8,-'انبار بارانداز'!O8,-'انبار هانگار'!O8)),"")</f>
        <v/>
      </c>
      <c r="M8" s="144" t="str">
        <f>IFERROR(IF(SUM(تجمیعی!N8,-'انبار مسقف'!P8,-'انبار بارانداز'!P8,-'انبار هانگار'!P8)=0,"",SUM(تجمیعی!N8,-'انبار مسقف'!P8,-'انبار بارانداز'!P8,-'انبار هانگار'!P8)),"")</f>
        <v/>
      </c>
      <c r="N8" s="145" t="str">
        <f>IFERROR(IF(SUM(تجمیعی!O8,-'انبار مسقف'!Q8,-'انبار بارانداز'!Q8,-'انبار هانگار'!Q8)=0,"",SUM(تجمیعی!O8,-'انبار مسقف'!Q8,-'انبار بارانداز'!Q8,-'انبار هانگار'!Q8)),"")</f>
        <v/>
      </c>
    </row>
    <row r="9" spans="1:24" x14ac:dyDescent="0.25">
      <c r="A9" s="65" t="str">
        <f>B2</f>
        <v>انبار مجتمع خراسان</v>
      </c>
      <c r="B9" s="11" t="s">
        <v>13</v>
      </c>
      <c r="C9" s="143" t="str">
        <f>IFERROR(IF(SUM(تجمیعی!C9,-SUM('انبار مسقف'!C9),-SUM('انبار بارانداز'!C9),-SUM('انبار هانگار'!C9))=0,"",SUM(تجمیعی!C9,-SUM('انبار مسقف'!C9),-SUM('انبار بارانداز'!C9),-SUM('انبار هانگار'!C9))),"")</f>
        <v/>
      </c>
      <c r="D9" s="144" t="str">
        <f>IFERROR(IF(SUM(تجمیعی!D9,-SUM('انبار مسقف'!D9),-SUM('انبار بارانداز'!D9),-SUM('انبار هانگار'!D9))=0,"",SUM(تجمیعی!D9,-SUM('انبار مسقف'!D9),-SUM('انبار بارانداز'!D9),-SUM('انبار هانگار'!D9))),"")</f>
        <v/>
      </c>
      <c r="E9" s="144">
        <f>IFERROR(IF(SUM(تجمیعی!E9,-SUM('انبار مسقف'!E9),-SUM('انبار بارانداز'!E9),-SUM('انبار هانگار'!E9))=0,"",SUM(تجمیعی!E9,-SUM('انبار مسقف'!E9),-SUM('انبار بارانداز'!E9),-SUM('انبار هانگار'!E9))),"")</f>
        <v>180</v>
      </c>
      <c r="F9" s="144">
        <f>IFERROR(IF(SUM(تجمیعی!F9,-SUM('انبار مسقف'!F9),-SUM('انبار بارانداز'!F9),-SUM('انبار هانگار'!F9))=0,"",SUM(تجمیعی!F9,-SUM('انبار مسقف'!F9),-SUM('انبار بارانداز'!F9),-SUM('انبار هانگار'!F9))),"")</f>
        <v>174182</v>
      </c>
      <c r="G9" s="145">
        <f>IFERROR(IF(SUM(تجمیعی!G9,-SUM('انبار مسقف'!G9),-SUM('انبار بارانداز'!G9),-SUM('انبار هانگار'!G9))=0,"",SUM(تجمیعی!G9,-SUM('انبار مسقف'!G9),-SUM('انبار بارانداز'!G9),-SUM('انبار هانگار'!G9))),"")</f>
        <v>11237</v>
      </c>
      <c r="H9" s="65" t="str">
        <f>I2</f>
        <v>فرودگاه هاشمی نژاد</v>
      </c>
      <c r="I9" s="11" t="s">
        <v>13</v>
      </c>
      <c r="J9" s="143" t="str">
        <f>IFERROR(IF(SUM(تجمیعی!K9,-'انبار مسقف'!M9,-'انبار بارانداز'!M9,-'انبار هانگار'!M9)=0,"",SUM(تجمیعی!K9,-'انبار مسقف'!M9,-'انبار بارانداز'!M9,-'انبار هانگار'!M9)),"")</f>
        <v/>
      </c>
      <c r="K9" s="144" t="str">
        <f>IFERROR(IF(SUM(تجمیعی!L9,-'انبار مسقف'!N9,-'انبار بارانداز'!N9,-'انبار هانگار'!N9)=0,"",SUM(تجمیعی!L9,-'انبار مسقف'!N9,-'انبار بارانداز'!N9,-'انبار هانگار'!N9)),"")</f>
        <v/>
      </c>
      <c r="L9" s="144" t="str">
        <f>IFERROR(IF(SUM(تجمیعی!M9,-'انبار مسقف'!O9,-'انبار بارانداز'!O9,-'انبار هانگار'!O9)=0,"",SUM(تجمیعی!M9,-'انبار مسقف'!O9,-'انبار بارانداز'!O9,-'انبار هانگار'!O9)),"")</f>
        <v/>
      </c>
      <c r="M9" s="144" t="str">
        <f>IFERROR(IF(SUM(تجمیعی!N9,-'انبار مسقف'!P9,-'انبار بارانداز'!P9,-'انبار هانگار'!P9)=0,"",SUM(تجمیعی!N9,-'انبار مسقف'!P9,-'انبار بارانداز'!P9,-'انبار هانگار'!P9)),"")</f>
        <v/>
      </c>
      <c r="N9" s="145" t="str">
        <f>IFERROR(IF(SUM(تجمیعی!O9,-'انبار مسقف'!Q9,-'انبار بارانداز'!Q9,-'انبار هانگار'!Q9)=0,"",SUM(تجمیعی!O9,-'انبار مسقف'!Q9,-'انبار بارانداز'!Q9,-'انبار هانگار'!Q9)),"")</f>
        <v/>
      </c>
    </row>
    <row r="10" spans="1:24" x14ac:dyDescent="0.25">
      <c r="A10" s="65" t="str">
        <f>B2</f>
        <v>انبار مجتمع خراسان</v>
      </c>
      <c r="B10" s="11" t="s">
        <v>14</v>
      </c>
      <c r="C10" s="143" t="str">
        <f>IFERROR(IF(SUM(تجمیعی!C10,-SUM('انبار مسقف'!C10),-SUM('انبار بارانداز'!C10),-SUM('انبار هانگار'!C10))=0,"",SUM(تجمیعی!C10,-SUM('انبار مسقف'!C10),-SUM('انبار بارانداز'!C10),-SUM('انبار هانگار'!C10))),"")</f>
        <v/>
      </c>
      <c r="D10" s="144" t="str">
        <f>IFERROR(IF(SUM(تجمیعی!D10,-SUM('انبار مسقف'!D10),-SUM('انبار بارانداز'!D10),-SUM('انبار هانگار'!D10))=0,"",SUM(تجمیعی!D10,-SUM('انبار مسقف'!D10),-SUM('انبار بارانداز'!D10),-SUM('انبار هانگار'!D10))),"")</f>
        <v/>
      </c>
      <c r="E10" s="144" t="str">
        <f>IFERROR(IF(SUM(تجمیعی!E10,-SUM('انبار مسقف'!E10),-SUM('انبار بارانداز'!E10),-SUM('انبار هانگار'!E10))=0,"",SUM(تجمیعی!E10,-SUM('انبار مسقف'!E10),-SUM('انبار بارانداز'!E10),-SUM('انبار هانگار'!E10))),"")</f>
        <v/>
      </c>
      <c r="F10" s="144">
        <f>IFERROR(IF(SUM(تجمیعی!F10,-SUM('انبار مسقف'!F10),-SUM('انبار بارانداز'!F10),-SUM('انبار هانگار'!F10))=0,"",SUM(تجمیعی!F10,-SUM('انبار مسقف'!F10),-SUM('انبار بارانداز'!F10),-SUM('انبار هانگار'!F10))),"")</f>
        <v>182744</v>
      </c>
      <c r="G10" s="145">
        <f>IFERROR(IF(SUM(تجمیعی!G10,-SUM('انبار مسقف'!G10),-SUM('انبار بارانداز'!G10),-SUM('انبار هانگار'!G10))=0,"",SUM(تجمیعی!G10,-SUM('انبار مسقف'!G10),-SUM('انبار بارانداز'!G10),-SUM('انبار هانگار'!G10))),"")</f>
        <v>12062</v>
      </c>
      <c r="H10" s="65" t="str">
        <f>I2</f>
        <v>فرودگاه هاشمی نژاد</v>
      </c>
      <c r="I10" s="11" t="s">
        <v>14</v>
      </c>
      <c r="J10" s="143" t="str">
        <f>IFERROR(IF(SUM(تجمیعی!K10,-'انبار مسقف'!M10,-'انبار بارانداز'!M10,-'انبار هانگار'!M10)=0,"",SUM(تجمیعی!K10,-'انبار مسقف'!M10,-'انبار بارانداز'!M10,-'انبار هانگار'!M10)),"")</f>
        <v/>
      </c>
      <c r="K10" s="144" t="str">
        <f>IFERROR(IF(SUM(تجمیعی!L10,-'انبار مسقف'!N10,-'انبار بارانداز'!N10,-'انبار هانگار'!N10)=0,"",SUM(تجمیعی!L10,-'انبار مسقف'!N10,-'انبار بارانداز'!N10,-'انبار هانگار'!N10)),"")</f>
        <v/>
      </c>
      <c r="L10" s="144" t="str">
        <f>IFERROR(IF(SUM(تجمیعی!M10,-'انبار مسقف'!O10,-'انبار بارانداز'!O10,-'انبار هانگار'!O10)=0,"",SUM(تجمیعی!M10,-'انبار مسقف'!O10,-'انبار بارانداز'!O10,-'انبار هانگار'!O10)),"")</f>
        <v/>
      </c>
      <c r="M10" s="144" t="str">
        <f>IFERROR(IF(SUM(تجمیعی!N10,-'انبار مسقف'!P10,-'انبار بارانداز'!P10,-'انبار هانگار'!P10)=0,"",SUM(تجمیعی!N10,-'انبار مسقف'!P10,-'انبار بارانداز'!P10,-'انبار هانگار'!P10)),"")</f>
        <v/>
      </c>
      <c r="N10" s="145" t="str">
        <f>IFERROR(IF(SUM(تجمیعی!O10,-'انبار مسقف'!Q10,-'انبار بارانداز'!Q10,-'انبار هانگار'!Q10)=0,"",SUM(تجمیعی!O10,-'انبار مسقف'!Q10,-'انبار بارانداز'!Q10,-'انبار هانگار'!Q10)),"")</f>
        <v/>
      </c>
    </row>
    <row r="11" spans="1:24" x14ac:dyDescent="0.25">
      <c r="A11" s="65" t="str">
        <f>B2</f>
        <v>انبار مجتمع خراسان</v>
      </c>
      <c r="B11" s="11" t="s">
        <v>15</v>
      </c>
      <c r="C11" s="143" t="str">
        <f>IFERROR(IF(SUM(تجمیعی!C11,-SUM('انبار مسقف'!C11),-SUM('انبار بارانداز'!C11),-SUM('انبار هانگار'!C11))=0,"",SUM(تجمیعی!C11,-SUM('انبار مسقف'!C11),-SUM('انبار بارانداز'!C11),-SUM('انبار هانگار'!C11))),"")</f>
        <v/>
      </c>
      <c r="D11" s="144">
        <f>IFERROR(IF(SUM(تجمیعی!D11,-SUM('انبار مسقف'!D11),-SUM('انبار بارانداز'!D11),-SUM('انبار هانگار'!D11))=0,"",SUM(تجمیعی!D11,-SUM('انبار مسقف'!D11),-SUM('انبار بارانداز'!D11),-SUM('انبار هانگار'!D11))),"")</f>
        <v>-9</v>
      </c>
      <c r="E11" s="144" t="str">
        <f>IFERROR(IF(SUM(تجمیعی!E11,-SUM('انبار مسقف'!E11),-SUM('انبار بارانداز'!E11),-SUM('انبار هانگار'!E11))=0,"",SUM(تجمیعی!E11,-SUM('انبار مسقف'!E11),-SUM('انبار بارانداز'!E11),-SUM('انبار هانگار'!E11))),"")</f>
        <v/>
      </c>
      <c r="F11" s="144">
        <f>IFERROR(IF(SUM(تجمیعی!F11,-SUM('انبار مسقف'!F11),-SUM('انبار بارانداز'!F11),-SUM('انبار هانگار'!F11))=0,"",SUM(تجمیعی!F11,-SUM('انبار مسقف'!F11),-SUM('انبار بارانداز'!F11),-SUM('انبار هانگار'!F11))),"")</f>
        <v>179945</v>
      </c>
      <c r="G11" s="145">
        <f>IFERROR(IF(SUM(تجمیعی!G11,-SUM('انبار مسقف'!G11),-SUM('انبار بارانداز'!G11),-SUM('انبار هانگار'!G11))=0,"",SUM(تجمیعی!G11,-SUM('انبار مسقف'!G11),-SUM('انبار بارانداز'!G11),-SUM('انبار هانگار'!G11))),"")</f>
        <v>27673</v>
      </c>
      <c r="H11" s="65" t="str">
        <f>I2</f>
        <v>فرودگاه هاشمی نژاد</v>
      </c>
      <c r="I11" s="11" t="s">
        <v>15</v>
      </c>
      <c r="J11" s="143" t="str">
        <f>IFERROR(IF(SUM(تجمیعی!K11,-'انبار مسقف'!M11,-'انبار بارانداز'!M11,-'انبار هانگار'!M11)=0,"",SUM(تجمیعی!K11,-'انبار مسقف'!M11,-'انبار بارانداز'!M11,-'انبار هانگار'!M11)),"")</f>
        <v/>
      </c>
      <c r="K11" s="144" t="str">
        <f>IFERROR(IF(SUM(تجمیعی!L11,-'انبار مسقف'!N11,-'انبار بارانداز'!N11,-'انبار هانگار'!N11)=0,"",SUM(تجمیعی!L11,-'انبار مسقف'!N11,-'انبار بارانداز'!N11,-'انبار هانگار'!N11)),"")</f>
        <v/>
      </c>
      <c r="L11" s="144" t="str">
        <f>IFERROR(IF(SUM(تجمیعی!M11,-'انبار مسقف'!O11,-'انبار بارانداز'!O11,-'انبار هانگار'!O11)=0,"",SUM(تجمیعی!M11,-'انبار مسقف'!O11,-'انبار بارانداز'!O11,-'انبار هانگار'!O11)),"")</f>
        <v/>
      </c>
      <c r="M11" s="144" t="str">
        <f>IFERROR(IF(SUM(تجمیعی!N11,-'انبار مسقف'!P11,-'انبار بارانداز'!P11,-'انبار هانگار'!P11)=0,"",SUM(تجمیعی!N11,-'انبار مسقف'!P11,-'انبار بارانداز'!P11,-'انبار هانگار'!P11)),"")</f>
        <v/>
      </c>
      <c r="N11" s="145" t="str">
        <f>IFERROR(IF(SUM(تجمیعی!O11,-'انبار مسقف'!Q11,-'انبار بارانداز'!Q11,-'انبار هانگار'!Q11)=0,"",SUM(تجمیعی!O11,-'انبار مسقف'!Q11,-'انبار بارانداز'!Q11,-'انبار هانگار'!Q11)),"")</f>
        <v/>
      </c>
    </row>
    <row r="12" spans="1:24" x14ac:dyDescent="0.25">
      <c r="A12" s="65" t="str">
        <f>B2</f>
        <v>انبار مجتمع خراسان</v>
      </c>
      <c r="B12" s="11" t="s">
        <v>16</v>
      </c>
      <c r="C12" s="143" t="str">
        <f>IFERROR(IF(SUM(تجمیعی!C12,-SUM('انبار مسقف'!C12),-SUM('انبار بارانداز'!C12),-SUM('انبار هانگار'!C12))=0,"",SUM(تجمیعی!C12,-SUM('انبار مسقف'!C12),-SUM('انبار بارانداز'!C12),-SUM('انبار هانگار'!C12))),"")</f>
        <v/>
      </c>
      <c r="D12" s="144" t="str">
        <f>IFERROR(IF(SUM(تجمیعی!D12,-SUM('انبار مسقف'!D12),-SUM('انبار بارانداز'!D12),-SUM('انبار هانگار'!D12))=0,"",SUM(تجمیعی!D12,-SUM('انبار مسقف'!D12),-SUM('انبار بارانداز'!D12),-SUM('انبار هانگار'!D12))),"")</f>
        <v/>
      </c>
      <c r="E12" s="144">
        <f>IFERROR(IF(SUM(تجمیعی!E12,-SUM('انبار مسقف'!E12),-SUM('انبار بارانداز'!E12),-SUM('انبار هانگار'!E12))=0,"",SUM(تجمیعی!E12,-SUM('انبار مسقف'!E12),-SUM('انبار بارانداز'!E12),-SUM('انبار هانگار'!E12))),"")</f>
        <v>4</v>
      </c>
      <c r="F12" s="144">
        <f>IFERROR(IF(SUM(تجمیعی!F12,-SUM('انبار مسقف'!F12),-SUM('انبار بارانداز'!F12),-SUM('انبار هانگار'!F12))=0,"",SUM(تجمیعی!F12,-SUM('انبار مسقف'!F12),-SUM('انبار بارانداز'!F12),-SUM('انبار هانگار'!F12))),"")</f>
        <v>167136</v>
      </c>
      <c r="G12" s="145">
        <f>IFERROR(IF(SUM(تجمیعی!G12,-SUM('انبار مسقف'!G12),-SUM('انبار بارانداز'!G12),-SUM('انبار هانگار'!G12))=0,"",SUM(تجمیعی!G12,-SUM('انبار مسقف'!G12),-SUM('انبار بارانداز'!G12),-SUM('انبار هانگار'!G12))),"")</f>
        <v>25591</v>
      </c>
      <c r="H12" s="65" t="str">
        <f>I2</f>
        <v>فرودگاه هاشمی نژاد</v>
      </c>
      <c r="I12" s="11" t="s">
        <v>16</v>
      </c>
      <c r="J12" s="143" t="str">
        <f>IFERROR(IF(SUM(تجمیعی!K12,-'انبار مسقف'!M12,-'انبار بارانداز'!M12,-'انبار هانگار'!M12)=0,"",SUM(تجمیعی!K12,-'انبار مسقف'!M12,-'انبار بارانداز'!M12,-'انبار هانگار'!M12)),"")</f>
        <v/>
      </c>
      <c r="K12" s="144" t="str">
        <f>IFERROR(IF(SUM(تجمیعی!L12,-'انبار مسقف'!N12,-'انبار بارانداز'!N12,-'انبار هانگار'!N12)=0,"",SUM(تجمیعی!L12,-'انبار مسقف'!N12,-'انبار بارانداز'!N12,-'انبار هانگار'!N12)),"")</f>
        <v/>
      </c>
      <c r="L12" s="144" t="str">
        <f>IFERROR(IF(SUM(تجمیعی!M12,-'انبار مسقف'!O12,-'انبار بارانداز'!O12,-'انبار هانگار'!O12)=0,"",SUM(تجمیعی!M12,-'انبار مسقف'!O12,-'انبار بارانداز'!O12,-'انبار هانگار'!O12)),"")</f>
        <v/>
      </c>
      <c r="M12" s="144" t="str">
        <f>IFERROR(IF(SUM(تجمیعی!N12,-'انبار مسقف'!P12,-'انبار بارانداز'!P12,-'انبار هانگار'!P12)=0,"",SUM(تجمیعی!N12,-'انبار مسقف'!P12,-'انبار بارانداز'!P12,-'انبار هانگار'!P12)),"")</f>
        <v/>
      </c>
      <c r="N12" s="145" t="str">
        <f>IFERROR(IF(SUM(تجمیعی!O12,-'انبار مسقف'!Q12,-'انبار بارانداز'!Q12,-'انبار هانگار'!Q12)=0,"",SUM(تجمیعی!O12,-'انبار مسقف'!Q12,-'انبار بارانداز'!Q12,-'انبار هانگار'!Q12)),"")</f>
        <v/>
      </c>
    </row>
    <row r="13" spans="1:24" x14ac:dyDescent="0.25">
      <c r="A13" s="65" t="str">
        <f>B2</f>
        <v>انبار مجتمع خراسان</v>
      </c>
      <c r="B13" s="11" t="s">
        <v>17</v>
      </c>
      <c r="C13" s="143">
        <f>IFERROR(IF(SUM(تجمیعی!C13,-SUM('انبار مسقف'!C13),-SUM('انبار بارانداز'!C13),-SUM('انبار هانگار'!C13))=0,"",SUM(تجمیعی!C13,-SUM('انبار مسقف'!C13),-SUM('انبار بارانداز'!C13),-SUM('انبار هانگار'!C13))),"")</f>
        <v>4</v>
      </c>
      <c r="D13" s="144" t="str">
        <f>IFERROR(IF(SUM(تجمیعی!D13,-SUM('انبار مسقف'!D13),-SUM('انبار بارانداز'!D13),-SUM('انبار هانگار'!D13))=0,"",SUM(تجمیعی!D13,-SUM('انبار مسقف'!D13),-SUM('انبار بارانداز'!D13),-SUM('انبار هانگار'!D13))),"")</f>
        <v/>
      </c>
      <c r="E13" s="144">
        <f>IFERROR(IF(SUM(تجمیعی!E13,-SUM('انبار مسقف'!E13),-SUM('انبار بارانداز'!E13),-SUM('انبار هانگار'!E13))=0,"",SUM(تجمیعی!E13,-SUM('انبار مسقف'!E13),-SUM('انبار بارانداز'!E13),-SUM('انبار هانگار'!E13))),"")</f>
        <v>20</v>
      </c>
      <c r="F13" s="144">
        <f>IFERROR(IF(SUM(تجمیعی!F13,-SUM('انبار مسقف'!F13),-SUM('انبار بارانداز'!F13),-SUM('انبار هانگار'!F13))=0,"",SUM(تجمیعی!F13,-SUM('انبار مسقف'!F13),-SUM('انبار بارانداز'!F13),-SUM('انبار هانگار'!F13))),"")</f>
        <v>152328</v>
      </c>
      <c r="G13" s="145">
        <f>IFERROR(IF(SUM(تجمیعی!G13,-SUM('انبار مسقف'!G13),-SUM('انبار بارانداز'!G13),-SUM('انبار هانگار'!G13))=0,"",SUM(تجمیعی!G13,-SUM('انبار مسقف'!G13),-SUM('انبار بارانداز'!G13),-SUM('انبار هانگار'!G13))),"")</f>
        <v>18779</v>
      </c>
      <c r="H13" s="65" t="str">
        <f>I2</f>
        <v>فرودگاه هاشمی نژاد</v>
      </c>
      <c r="I13" s="11" t="s">
        <v>17</v>
      </c>
      <c r="J13" s="143" t="str">
        <f>IFERROR(IF(SUM(تجمیعی!K13,-'انبار مسقف'!M13,-'انبار بارانداز'!M13,-'انبار هانگار'!M13)=0,"",SUM(تجمیعی!K13,-'انبار مسقف'!M13,-'انبار بارانداز'!M13,-'انبار هانگار'!M13)),"")</f>
        <v/>
      </c>
      <c r="K13" s="144" t="str">
        <f>IFERROR(IF(SUM(تجمیعی!L13,-'انبار مسقف'!N13,-'انبار بارانداز'!N13,-'انبار هانگار'!N13)=0,"",SUM(تجمیعی!L13,-'انبار مسقف'!N13,-'انبار بارانداز'!N13,-'انبار هانگار'!N13)),"")</f>
        <v/>
      </c>
      <c r="L13" s="144" t="str">
        <f>IFERROR(IF(SUM(تجمیعی!M13,-'انبار مسقف'!O13,-'انبار بارانداز'!O13,-'انبار هانگار'!O13)=0,"",SUM(تجمیعی!M13,-'انبار مسقف'!O13,-'انبار بارانداز'!O13,-'انبار هانگار'!O13)),"")</f>
        <v/>
      </c>
      <c r="M13" s="144" t="str">
        <f>IFERROR(IF(SUM(تجمیعی!N13,-'انبار مسقف'!P13,-'انبار بارانداز'!P13,-'انبار هانگار'!P13)=0,"",SUM(تجمیعی!N13,-'انبار مسقف'!P13,-'انبار بارانداز'!P13,-'انبار هانگار'!P13)),"")</f>
        <v/>
      </c>
      <c r="N13" s="145" t="str">
        <f>IFERROR(IF(SUM(تجمیعی!O13,-'انبار مسقف'!Q13,-'انبار بارانداز'!Q13,-'انبار هانگار'!Q13)=0,"",SUM(تجمیعی!O13,-'انبار مسقف'!Q13,-'انبار بارانداز'!Q13,-'انبار هانگار'!Q13)),"")</f>
        <v/>
      </c>
    </row>
    <row r="14" spans="1:24" x14ac:dyDescent="0.25">
      <c r="A14" s="65" t="str">
        <f>B2</f>
        <v>انبار مجتمع خراسان</v>
      </c>
      <c r="B14" s="11" t="s">
        <v>18</v>
      </c>
      <c r="C14" s="143" t="str">
        <f>IFERROR(IF(SUM(تجمیعی!C14,-SUM('انبار مسقف'!C14),-SUM('انبار بارانداز'!C14),-SUM('انبار هانگار'!C14))=0,"",SUM(تجمیعی!C14,-SUM('انبار مسقف'!C14),-SUM('انبار بارانداز'!C14),-SUM('انبار هانگار'!C14))),"")</f>
        <v/>
      </c>
      <c r="D14" s="144" t="str">
        <f>IFERROR(IF(SUM(تجمیعی!D14,-SUM('انبار مسقف'!D14),-SUM('انبار بارانداز'!D14),-SUM('انبار هانگار'!D14))=0,"",SUM(تجمیعی!D14,-SUM('انبار مسقف'!D14),-SUM('انبار بارانداز'!D14),-SUM('انبار هانگار'!D14))),"")</f>
        <v/>
      </c>
      <c r="E14" s="144" t="str">
        <f>IFERROR(IF(SUM(تجمیعی!E14,-SUM('انبار مسقف'!E14),-SUM('انبار بارانداز'!E14),-SUM('انبار هانگار'!E14))=0,"",SUM(تجمیعی!E14,-SUM('انبار مسقف'!E14),-SUM('انبار بارانداز'!E14),-SUM('انبار هانگار'!E14))),"")</f>
        <v/>
      </c>
      <c r="F14" s="144">
        <f>IFERROR(IF(SUM(تجمیعی!F14,-SUM('انبار مسقف'!F14),-SUM('انبار بارانداز'!F14),-SUM('انبار هانگار'!F14))=0,"",SUM(تجمیعی!F14,-SUM('انبار مسقف'!F14),-SUM('انبار بارانداز'!F14),-SUM('انبار هانگار'!F14))),"")</f>
        <v>186756</v>
      </c>
      <c r="G14" s="145">
        <f>IFERROR(IF(SUM(تجمیعی!G14,-SUM('انبار مسقف'!G14),-SUM('انبار بارانداز'!G14),-SUM('انبار هانگار'!G14))=0,"",SUM(تجمیعی!G14,-SUM('انبار مسقف'!G14),-SUM('انبار بارانداز'!G14),-SUM('انبار هانگار'!G14))),"")</f>
        <v>17554</v>
      </c>
      <c r="H14" s="65" t="str">
        <f>I2</f>
        <v>فرودگاه هاشمی نژاد</v>
      </c>
      <c r="I14" s="11" t="s">
        <v>18</v>
      </c>
      <c r="J14" s="143" t="str">
        <f>IFERROR(IF(SUM(تجمیعی!K14,-'انبار مسقف'!M14,-'انبار بارانداز'!M14,-'انبار هانگار'!M14)=0,"",SUM(تجمیعی!K14,-'انبار مسقف'!M14,-'انبار بارانداز'!M14,-'انبار هانگار'!M14)),"")</f>
        <v/>
      </c>
      <c r="K14" s="144" t="str">
        <f>IFERROR(IF(SUM(تجمیعی!L14,-'انبار مسقف'!N14,-'انبار بارانداز'!N14,-'انبار هانگار'!N14)=0,"",SUM(تجمیعی!L14,-'انبار مسقف'!N14,-'انبار بارانداز'!N14,-'انبار هانگار'!N14)),"")</f>
        <v/>
      </c>
      <c r="L14" s="144" t="str">
        <f>IFERROR(IF(SUM(تجمیعی!M14,-'انبار مسقف'!O14,-'انبار بارانداز'!O14,-'انبار هانگار'!O14)=0,"",SUM(تجمیعی!M14,-'انبار مسقف'!O14,-'انبار بارانداز'!O14,-'انبار هانگار'!O14)),"")</f>
        <v/>
      </c>
      <c r="M14" s="144" t="str">
        <f>IFERROR(IF(SUM(تجمیعی!N14,-'انبار مسقف'!P14,-'انبار بارانداز'!P14,-'انبار هانگار'!P14)=0,"",SUM(تجمیعی!N14,-'انبار مسقف'!P14,-'انبار بارانداز'!P14,-'انبار هانگار'!P14)),"")</f>
        <v/>
      </c>
      <c r="N14" s="145" t="str">
        <f>IFERROR(IF(SUM(تجمیعی!O14,-'انبار مسقف'!Q14,-'انبار بارانداز'!Q14,-'انبار هانگار'!Q14)=0,"",SUM(تجمیعی!O14,-'انبار مسقف'!Q14,-'انبار بارانداز'!Q14,-'انبار هانگار'!Q14)),"")</f>
        <v/>
      </c>
    </row>
    <row r="15" spans="1:24" ht="20.25" thickBot="1" x14ac:dyDescent="0.3">
      <c r="A15" s="65" t="str">
        <f>B2</f>
        <v>انبار مجتمع خراسان</v>
      </c>
      <c r="B15" s="16" t="s">
        <v>19</v>
      </c>
      <c r="C15" s="146">
        <f>IFERROR(IF(SUM(تجمیعی!C15,-SUM('انبار مسقف'!C15),-SUM('انبار بارانداز'!C15),-SUM('انبار هانگار'!C15))=0,"",SUM(تجمیعی!C15,-SUM('انبار مسقف'!C15),-SUM('انبار بارانداز'!C15),-SUM('انبار هانگار'!C15))),"")</f>
        <v>-999</v>
      </c>
      <c r="D15" s="147">
        <f>IFERROR(IF(SUM(تجمیعی!D15,-SUM('انبار مسقف'!D15),-SUM('انبار بارانداز'!D15),-SUM('انبار هانگار'!D15))=0,"",SUM(تجمیعی!D15,-SUM('انبار مسقف'!D15),-SUM('انبار بارانداز'!D15),-SUM('انبار هانگار'!D15))),"")</f>
        <v>55</v>
      </c>
      <c r="E15" s="147" t="str">
        <f>IFERROR(IF(SUM(تجمیعی!E15,-SUM('انبار مسقف'!E15),-SUM('انبار بارانداز'!E15),-SUM('انبار هانگار'!E15))=0,"",SUM(تجمیعی!E15,-SUM('انبار مسقف'!E15),-SUM('انبار بارانداز'!E15),-SUM('انبار هانگار'!E15))),"")</f>
        <v/>
      </c>
      <c r="F15" s="147">
        <f>IFERROR(IF(SUM(تجمیعی!F15,-SUM('انبار مسقف'!F15),-SUM('انبار بارانداز'!F15),-SUM('انبار هانگار'!F15))=0,"",SUM(تجمیعی!F15,-SUM('انبار مسقف'!F15),-SUM('انبار بارانداز'!F15),-SUM('انبار هانگار'!F15))),"")</f>
        <v>174665</v>
      </c>
      <c r="G15" s="148">
        <f>IFERROR(IF(SUM(تجمیعی!G15,-SUM('انبار مسقف'!G15),-SUM('انبار بارانداز'!G15),-SUM('انبار هانگار'!G15))=0,"",SUM(تجمیعی!G15,-SUM('انبار مسقف'!G15),-SUM('انبار بارانداز'!G15),-SUM('انبار هانگار'!G15))),"")</f>
        <v>11920</v>
      </c>
      <c r="H15" s="65" t="str">
        <f>I2</f>
        <v>فرودگاه هاشمی نژاد</v>
      </c>
      <c r="I15" s="16" t="s">
        <v>19</v>
      </c>
      <c r="J15" s="146" t="str">
        <f>IFERROR(IF(SUM(تجمیعی!K15,-'انبار مسقف'!M15,-'انبار بارانداز'!M15,-'انبار هانگار'!M15)=0,"",SUM(تجمیعی!K15,-'انبار مسقف'!M15,-'انبار بارانداز'!M15,-'انبار هانگار'!M15)),"")</f>
        <v/>
      </c>
      <c r="K15" s="147" t="str">
        <f>IFERROR(IF(SUM(تجمیعی!L15,-'انبار مسقف'!N15,-'انبار بارانداز'!N15,-'انبار هانگار'!N15)=0,"",SUM(تجمیعی!L15,-'انبار مسقف'!N15,-'انبار بارانداز'!N15,-'انبار هانگار'!N15)),"")</f>
        <v/>
      </c>
      <c r="L15" s="147" t="str">
        <f>IFERROR(IF(SUM(تجمیعی!M15,-'انبار مسقف'!O15,-'انبار بارانداز'!O15,-'انبار هانگار'!O15)=0,"",SUM(تجمیعی!M15,-'انبار مسقف'!O15,-'انبار بارانداز'!O15,-'انبار هانگار'!O15)),"")</f>
        <v/>
      </c>
      <c r="M15" s="147" t="str">
        <f>IFERROR(IF(SUM(تجمیعی!N15,-'انبار مسقف'!P15,-'انبار بارانداز'!P15,-'انبار هانگار'!P15)=0,"",SUM(تجمیعی!N15,-'انبار مسقف'!P15,-'انبار بارانداز'!P15,-'انبار هانگار'!P15)),"")</f>
        <v/>
      </c>
      <c r="N15" s="148" t="str">
        <f>IFERROR(IF(SUM(تجمیعی!O15,-'انبار مسقف'!Q15,-'انبار بارانداز'!Q15,-'انبار هانگار'!Q15)=0,"",SUM(تجمیعی!O15,-'انبار مسقف'!Q15,-'انبار بارانداز'!Q15,-'انبار هانگار'!Q15)),"")</f>
        <v/>
      </c>
    </row>
    <row r="16" spans="1:24" ht="21" thickBot="1" x14ac:dyDescent="0.3">
      <c r="A16" s="65"/>
      <c r="B16" s="82" t="s">
        <v>6</v>
      </c>
      <c r="C16" s="149">
        <f>IFERROR(IF(SUM(تجمیعی!C16,-SUM('انبار مسقف'!C16),-SUM('انبار بارانداز'!C16),-SUM('انبار هانگار'!C16))=0,"",SUM(تجمیعی!C16,-SUM('انبار مسقف'!C16),-SUM('انبار بارانداز'!C16),-SUM('انبار هانگار'!C16))),"")</f>
        <v>-950.9999999999709</v>
      </c>
      <c r="D16" s="150">
        <f>IFERROR(IF(SUM(تجمیعی!D16,-SUM('انبار مسقف'!D16),-SUM('انبار بارانداز'!D16),-SUM('انبار هانگار'!D16))=0,"",SUM(تجمیعی!D16,-SUM('انبار مسقف'!D16),-SUM('انبار بارانداز'!D16),-SUM('انبار هانگار'!D16))),"")</f>
        <v>-190</v>
      </c>
      <c r="E16" s="150">
        <f>IFERROR(IF(SUM(تجمیعی!E16,-SUM('انبار مسقف'!E16),-SUM('انبار بارانداز'!E16),-SUM('انبار هانگار'!E16))=0,"",SUM(تجمیعی!E16,-SUM('انبار مسقف'!E16),-SUM('انبار بارانداز'!E16),-SUM('انبار هانگار'!E16))),"")</f>
        <v>3944</v>
      </c>
      <c r="F16" s="150">
        <f>IFERROR(IF(SUM(تجمیعی!F16,-SUM('انبار مسقف'!F16),-SUM('انبار بارانداز'!F16),-SUM('انبار هانگار'!F16))=0,"",SUM(تجمیعی!F16,-SUM('انبار مسقف'!F16),-SUM('انبار بارانداز'!F16),-SUM('انبار هانگار'!F16))),"")</f>
        <v>1920670</v>
      </c>
      <c r="G16" s="151">
        <f>IFERROR(IF(SUM(تجمیعی!G16,-SUM('انبار مسقف'!G16),-SUM('انبار بارانداز'!G16),-SUM('انبار هانگار'!G16))=0,"",SUM(تجمیعی!G16,-SUM('انبار مسقف'!G16),-SUM('انبار بارانداز'!G16),-SUM('انبار هانگار'!G16))),"")</f>
        <v>11920</v>
      </c>
      <c r="H16" s="65"/>
      <c r="I16" s="139" t="s">
        <v>6</v>
      </c>
      <c r="J16" s="152" t="str">
        <f>IFERROR(IF(SUM(تجمیعی!K16,-'انبار مسقف'!M16,-'انبار بارانداز'!M16,-'انبار هانگار'!M16)=0,"",SUM(تجمیعی!K16,-'انبار مسقف'!M16,-'انبار بارانداز'!M16,-'انبار هانگار'!M16)),"")</f>
        <v/>
      </c>
      <c r="K16" s="153" t="str">
        <f>IFERROR(IF(SUM(تجمیعی!L16,-'انبار مسقف'!N16,-'انبار بارانداز'!N16,-'انبار هانگار'!N16)=0,"",SUM(تجمیعی!L16,-'انبار مسقف'!N16,-'انبار بارانداز'!N16,-'انبار هانگار'!N16)),"")</f>
        <v/>
      </c>
      <c r="L16" s="153" t="str">
        <f>IFERROR(IF(SUM(تجمیعی!M16,-'انبار مسقف'!O16,-'انبار بارانداز'!O16,-'انبار هانگار'!O16)=0,"",SUM(تجمیعی!M16,-'انبار مسقف'!O16,-'انبار بارانداز'!O16,-'انبار هانگار'!O16)),"")</f>
        <v/>
      </c>
      <c r="M16" s="153" t="str">
        <f>IFERROR(IF(SUM(تجمیعی!N16,-'انبار مسقف'!P16,-'انبار بارانداز'!P16,-'انبار هانگار'!P16)=0,"",SUM(تجمیعی!N16,-'انبار مسقف'!P16,-'انبار بارانداز'!P16,-'انبار هانگار'!P16)),"")</f>
        <v/>
      </c>
      <c r="N16" s="154" t="str">
        <f>IFERROR(IF(SUM(تجمیعی!O16,-'انبار مسقف'!Q16,-'انبار بارانداز'!Q16,-'انبار هانگار'!Q16)=0,"",SUM(تجمیعی!O16,-'انبار مسقف'!Q16,-'انبار بارانداز'!Q16,-'انبار هانگار'!Q16)),"")</f>
        <v/>
      </c>
    </row>
    <row r="17" spans="1:14" ht="3.95" customHeight="1" thickBot="1" x14ac:dyDescent="0.3">
      <c r="A17" s="65"/>
      <c r="H17" s="65"/>
    </row>
    <row r="18" spans="1:14" ht="26.25" thickBot="1" x14ac:dyDescent="0.3">
      <c r="A18" s="65"/>
      <c r="B18" s="210" t="s">
        <v>21</v>
      </c>
      <c r="C18" s="211"/>
      <c r="D18" s="211"/>
      <c r="E18" s="211"/>
      <c r="F18" s="211"/>
      <c r="G18" s="212"/>
      <c r="H18" s="65"/>
      <c r="I18" s="210" t="s">
        <v>22</v>
      </c>
      <c r="J18" s="211"/>
      <c r="K18" s="211"/>
      <c r="L18" s="211"/>
      <c r="M18" s="211"/>
      <c r="N18" s="212"/>
    </row>
    <row r="19" spans="1:14" ht="21" thickBot="1" x14ac:dyDescent="0.3">
      <c r="A19" s="65"/>
      <c r="B19" s="135" t="s">
        <v>0</v>
      </c>
      <c r="C19" s="136" t="s">
        <v>1</v>
      </c>
      <c r="D19" s="137" t="s">
        <v>2</v>
      </c>
      <c r="E19" s="137" t="s">
        <v>3</v>
      </c>
      <c r="F19" s="137" t="s">
        <v>4</v>
      </c>
      <c r="G19" s="138" t="s">
        <v>5</v>
      </c>
      <c r="H19" s="65"/>
      <c r="I19" s="135" t="s">
        <v>0</v>
      </c>
      <c r="J19" s="136" t="s">
        <v>1</v>
      </c>
      <c r="K19" s="137" t="s">
        <v>2</v>
      </c>
      <c r="L19" s="137" t="s">
        <v>3</v>
      </c>
      <c r="M19" s="137" t="s">
        <v>4</v>
      </c>
      <c r="N19" s="138" t="s">
        <v>5</v>
      </c>
    </row>
    <row r="20" spans="1:14" x14ac:dyDescent="0.25">
      <c r="A20" s="65" t="str">
        <f>B18</f>
        <v>شهید کاوه</v>
      </c>
      <c r="B20" s="6" t="s">
        <v>8</v>
      </c>
      <c r="C20" s="140" t="str">
        <f>IFERROR(IF(SUM(تجمیعی!C20,-'انبار مسقف'!C20,-'انبار بارانداز'!C20,-'انبار هانگار'!C20)=0,"",SUM(تجمیعی!C20,-'انبار مسقف'!C20,-'انبار بارانداز'!C20,-'انبار هانگار'!C20)),"")</f>
        <v/>
      </c>
      <c r="D20" s="141" t="str">
        <f>IFERROR(IF(SUM(تجمیعی!D20,-'انبار مسقف'!D20,-'انبار بارانداز'!D20,-'انبار هانگار'!D20)=0,"",SUM(تجمیعی!D20,-'انبار مسقف'!D20,-'انبار بارانداز'!D20,-'انبار هانگار'!D20)),"")</f>
        <v/>
      </c>
      <c r="E20" s="141">
        <f>IFERROR(IF(SUM(تجمیعی!E20,-'انبار مسقف'!E20,-'انبار بارانداز'!E20,-'انبار هانگار'!E20)=0,"",SUM(تجمیعی!E20,-'انبار مسقف'!E20,-'انبار بارانداز'!E20,-'انبار هانگار'!E20)),"")</f>
        <v>407</v>
      </c>
      <c r="F20" s="141" t="str">
        <f>IFERROR(IF(SUM(تجمیعی!F20,-'انبار مسقف'!F20,-'انبار بارانداز'!F20,-'انبار هانگار'!F20)=0,"",SUM(تجمیعی!F20,-'انبار مسقف'!F20,-'انبار بارانداز'!F20,-'انبار هانگار'!F20)),"")</f>
        <v/>
      </c>
      <c r="G20" s="142">
        <f>IFERROR(IF(SUM(تجمیعی!G20,-'انبار مسقف'!G20,-'انبار بارانداز'!G20,-'انبار هانگار'!G20)=0,"",SUM(تجمیعی!G20,-'انبار مسقف'!G20,-'انبار بارانداز'!G20,-'انبار هانگار'!G20)),"")</f>
        <v>3019</v>
      </c>
      <c r="H20" s="65" t="str">
        <f>I18</f>
        <v>مطهری</v>
      </c>
      <c r="I20" s="6" t="s">
        <v>8</v>
      </c>
      <c r="J20" s="140" t="str">
        <f>IFERROR(IF(SUM(تجمیعی!K20,-'انبار مسقف'!M20,-'انبار بارانداز'!M20,-'انبار هانگار'!M20)=0,"",SUM(تجمیعی!K20,-'انبار مسقف'!M20,-'انبار بارانداز'!M20,-'انبار هانگار'!M20)),"")</f>
        <v/>
      </c>
      <c r="K20" s="141" t="str">
        <f>IFERROR(IF(SUM(تجمیعی!L20,-'انبار مسقف'!N20,-'انبار بارانداز'!N20,-'انبار هانگار'!N20)=0,"",SUM(تجمیعی!L20,-'انبار مسقف'!N20,-'انبار بارانداز'!N20,-'انبار هانگار'!N20)),"")</f>
        <v/>
      </c>
      <c r="L20" s="141" t="str">
        <f>IFERROR(IF(SUM(تجمیعی!M20,-'انبار مسقف'!O20,-'انبار بارانداز'!O20,-'انبار هانگار'!O20)=0,"",SUM(تجمیعی!M20,-'انبار مسقف'!O20,-'انبار بارانداز'!O20,-'انبار هانگار'!O20)),"")</f>
        <v/>
      </c>
      <c r="M20" s="141">
        <f>IFERROR(IF(SUM(تجمیعی!N20,-'انبار مسقف'!P20,-'انبار بارانداز'!P20,-'انبار هانگار'!P20)=0,"",SUM(تجمیعی!N20,-'انبار مسقف'!P20,-'انبار بارانداز'!P20,-'انبار هانگار'!P20)),"")</f>
        <v>34498</v>
      </c>
      <c r="N20" s="142">
        <f>IFERROR(IF(SUM(تجمیعی!O20,-'انبار مسقف'!Q20,-'انبار بارانداز'!Q20,-'انبار هانگار'!Q20)=0,"",SUM(تجمیعی!O20,-'انبار مسقف'!Q20,-'انبار بارانداز'!Q20,-'انبار هانگار'!Q20)),"")</f>
        <v>-4</v>
      </c>
    </row>
    <row r="21" spans="1:14" x14ac:dyDescent="0.25">
      <c r="A21" s="65" t="str">
        <f>B18</f>
        <v>شهید کاوه</v>
      </c>
      <c r="B21" s="11" t="s">
        <v>9</v>
      </c>
      <c r="C21" s="143" t="str">
        <f>IFERROR(IF(SUM(تجمیعی!C21,-'انبار مسقف'!C21,-'انبار بارانداز'!C21,-'انبار هانگار'!C21)=0,"",SUM(تجمیعی!C21,-'انبار مسقف'!C21,-'انبار بارانداز'!C21,-'انبار هانگار'!C21)),"")</f>
        <v/>
      </c>
      <c r="D21" s="144" t="str">
        <f>IFERROR(IF(SUM(تجمیعی!D21,-'انبار مسقف'!D21,-'انبار بارانداز'!D21,-'انبار هانگار'!D21)=0,"",SUM(تجمیعی!D21,-'انبار مسقف'!D21,-'انبار بارانداز'!D21,-'انبار هانگار'!D21)),"")</f>
        <v/>
      </c>
      <c r="E21" s="144">
        <f>IFERROR(IF(SUM(تجمیعی!E21,-'انبار مسقف'!E21,-'انبار بارانداز'!E21,-'انبار هانگار'!E21)=0,"",SUM(تجمیعی!E21,-'انبار مسقف'!E21,-'انبار بارانداز'!E21,-'انبار هانگار'!E21)),"")</f>
        <v>578</v>
      </c>
      <c r="F21" s="144" t="str">
        <f>IFERROR(IF(SUM(تجمیعی!F21,-'انبار مسقف'!F21,-'انبار بارانداز'!F21,-'انبار هانگار'!F21)=0,"",SUM(تجمیعی!F21,-'انبار مسقف'!F21,-'انبار بارانداز'!F21,-'انبار هانگار'!F21)),"")</f>
        <v/>
      </c>
      <c r="G21" s="145">
        <f>IFERROR(IF(SUM(تجمیعی!G21,-'انبار مسقف'!G21,-'انبار بارانداز'!G21,-'انبار هانگار'!G21)=0,"",SUM(تجمیعی!G21,-'انبار مسقف'!G21,-'انبار بارانداز'!G21,-'انبار هانگار'!G21)),"")</f>
        <v>4165</v>
      </c>
      <c r="H21" s="65" t="str">
        <f>I18</f>
        <v>مطهری</v>
      </c>
      <c r="I21" s="11" t="s">
        <v>9</v>
      </c>
      <c r="J21" s="143" t="str">
        <f>IFERROR(IF(SUM(تجمیعی!K21,-'انبار مسقف'!M21,-'انبار بارانداز'!M21,-'انبار هانگار'!M21)=0,"",SUM(تجمیعی!K21,-'انبار مسقف'!M21,-'انبار بارانداز'!M21,-'انبار هانگار'!M21)),"")</f>
        <v/>
      </c>
      <c r="K21" s="144" t="str">
        <f>IFERROR(IF(SUM(تجمیعی!L21,-'انبار مسقف'!N21,-'انبار بارانداز'!N21,-'انبار هانگار'!N21)=0,"",SUM(تجمیعی!L21,-'انبار مسقف'!N21,-'انبار بارانداز'!N21,-'انبار هانگار'!N21)),"")</f>
        <v/>
      </c>
      <c r="L21" s="144" t="str">
        <f>IFERROR(IF(SUM(تجمیعی!M21,-'انبار مسقف'!O21,-'انبار بارانداز'!O21,-'انبار هانگار'!O21)=0,"",SUM(تجمیعی!M21,-'انبار مسقف'!O21,-'انبار بارانداز'!O21,-'انبار هانگار'!O21)),"")</f>
        <v/>
      </c>
      <c r="M21" s="144">
        <f>IFERROR(IF(SUM(تجمیعی!N21,-'انبار مسقف'!P21,-'انبار بارانداز'!P21,-'انبار هانگار'!P21)=0,"",SUM(تجمیعی!N21,-'انبار مسقف'!P21,-'انبار بارانداز'!P21,-'انبار هانگار'!P21)),"")</f>
        <v>50468</v>
      </c>
      <c r="N21" s="145" t="str">
        <f>IFERROR(IF(SUM(تجمیعی!O21,-'انبار مسقف'!Q21,-'انبار بارانداز'!Q21,-'انبار هانگار'!Q21)=0,"",SUM(تجمیعی!O21,-'انبار مسقف'!Q21,-'انبار بارانداز'!Q21,-'انبار هانگار'!Q21)),"")</f>
        <v/>
      </c>
    </row>
    <row r="22" spans="1:14" x14ac:dyDescent="0.25">
      <c r="A22" s="65" t="str">
        <f>B18</f>
        <v>شهید کاوه</v>
      </c>
      <c r="B22" s="11" t="s">
        <v>10</v>
      </c>
      <c r="C22" s="143" t="str">
        <f>IFERROR(IF(SUM(تجمیعی!C22,-'انبار مسقف'!C22,-'انبار بارانداز'!C22,-'انبار هانگار'!C22)=0,"",SUM(تجمیعی!C22,-'انبار مسقف'!C22,-'انبار بارانداز'!C22,-'انبار هانگار'!C22)),"")</f>
        <v/>
      </c>
      <c r="D22" s="144" t="str">
        <f>IFERROR(IF(SUM(تجمیعی!D22,-'انبار مسقف'!D22,-'انبار بارانداز'!D22,-'انبار هانگار'!D22)=0,"",SUM(تجمیعی!D22,-'انبار مسقف'!D22,-'انبار بارانداز'!D22,-'انبار هانگار'!D22)),"")</f>
        <v/>
      </c>
      <c r="E22" s="144">
        <f>IFERROR(IF(SUM(تجمیعی!E22,-'انبار مسقف'!E22,-'انبار بارانداز'!E22,-'انبار هانگار'!E22)=0,"",SUM(تجمیعی!E22,-'انبار مسقف'!E22,-'انبار بارانداز'!E22,-'انبار هانگار'!E22)),"")</f>
        <v>863</v>
      </c>
      <c r="F22" s="144" t="str">
        <f>IFERROR(IF(SUM(تجمیعی!F22,-'انبار مسقف'!F22,-'انبار بارانداز'!F22,-'انبار هانگار'!F22)=0,"",SUM(تجمیعی!F22,-'انبار مسقف'!F22,-'انبار بارانداز'!F22,-'انبار هانگار'!F22)),"")</f>
        <v/>
      </c>
      <c r="G22" s="145">
        <f>IFERROR(IF(SUM(تجمیعی!G22,-'انبار مسقف'!G22,-'انبار بارانداز'!G22,-'انبار هانگار'!G22)=0,"",SUM(تجمیعی!G22,-'انبار مسقف'!G22,-'انبار بارانداز'!G22,-'انبار هانگار'!G22)),"")</f>
        <v>3669</v>
      </c>
      <c r="H22" s="65" t="str">
        <f>I18</f>
        <v>مطهری</v>
      </c>
      <c r="I22" s="11" t="s">
        <v>10</v>
      </c>
      <c r="J22" s="143" t="str">
        <f>IFERROR(IF(SUM(تجمیعی!K22,-'انبار مسقف'!M22,-'انبار بارانداز'!M22,-'انبار هانگار'!M22)=0,"",SUM(تجمیعی!K22,-'انبار مسقف'!M22,-'انبار بارانداز'!M22,-'انبار هانگار'!M22)),"")</f>
        <v/>
      </c>
      <c r="K22" s="144" t="str">
        <f>IFERROR(IF(SUM(تجمیعی!L22,-'انبار مسقف'!N22,-'انبار بارانداز'!N22,-'انبار هانگار'!N22)=0,"",SUM(تجمیعی!L22,-'انبار مسقف'!N22,-'انبار بارانداز'!N22,-'انبار هانگار'!N22)),"")</f>
        <v/>
      </c>
      <c r="L22" s="144" t="str">
        <f>IFERROR(IF(SUM(تجمیعی!M22,-'انبار مسقف'!O22,-'انبار بارانداز'!O22,-'انبار هانگار'!O22)=0,"",SUM(تجمیعی!M22,-'انبار مسقف'!O22,-'انبار بارانداز'!O22,-'انبار هانگار'!O22)),"")</f>
        <v/>
      </c>
      <c r="M22" s="144">
        <f>IFERROR(IF(SUM(تجمیعی!N22,-'انبار مسقف'!P22,-'انبار بارانداز'!P22,-'انبار هانگار'!P22)=0,"",SUM(تجمیعی!N22,-'انبار مسقف'!P22,-'انبار بارانداز'!P22,-'انبار هانگار'!P22)),"")</f>
        <v>42125</v>
      </c>
      <c r="N22" s="145" t="str">
        <f>IFERROR(IF(SUM(تجمیعی!O22,-'انبار مسقف'!Q22,-'انبار بارانداز'!Q22,-'انبار هانگار'!Q22)=0,"",SUM(تجمیعی!O22,-'انبار مسقف'!Q22,-'انبار بارانداز'!Q22,-'انبار هانگار'!Q22)),"")</f>
        <v/>
      </c>
    </row>
    <row r="23" spans="1:14" x14ac:dyDescent="0.25">
      <c r="A23" s="65" t="str">
        <f>B18</f>
        <v>شهید کاوه</v>
      </c>
      <c r="B23" s="11" t="s">
        <v>11</v>
      </c>
      <c r="C23" s="143" t="str">
        <f>IFERROR(IF(SUM(تجمیعی!C23,-'انبار مسقف'!C23,-'انبار بارانداز'!C23,-'انبار هانگار'!C23)=0,"",SUM(تجمیعی!C23,-'انبار مسقف'!C23,-'انبار بارانداز'!C23,-'انبار هانگار'!C23)),"")</f>
        <v/>
      </c>
      <c r="D23" s="144" t="str">
        <f>IFERROR(IF(SUM(تجمیعی!D23,-'انبار مسقف'!D23,-'انبار بارانداز'!D23,-'انبار هانگار'!D23)=0,"",SUM(تجمیعی!D23,-'انبار مسقف'!D23,-'انبار بارانداز'!D23,-'انبار هانگار'!D23)),"")</f>
        <v/>
      </c>
      <c r="E23" s="144">
        <f>IFERROR(IF(SUM(تجمیعی!E23,-'انبار مسقف'!E23,-'انبار بارانداز'!E23,-'انبار هانگار'!E23)=0,"",SUM(تجمیعی!E23,-'انبار مسقف'!E23,-'انبار بارانداز'!E23,-'انبار هانگار'!E23)),"")</f>
        <v>293</v>
      </c>
      <c r="F23" s="144" t="str">
        <f>IFERROR(IF(SUM(تجمیعی!F23,-'انبار مسقف'!F23,-'انبار بارانداز'!F23,-'انبار هانگار'!F23)=0,"",SUM(تجمیعی!F23,-'انبار مسقف'!F23,-'انبار بارانداز'!F23,-'انبار هانگار'!F23)),"")</f>
        <v/>
      </c>
      <c r="G23" s="145">
        <f>IFERROR(IF(SUM(تجمیعی!G23,-'انبار مسقف'!G23,-'انبار بارانداز'!G23,-'انبار هانگار'!G23)=0,"",SUM(تجمیعی!G23,-'انبار مسقف'!G23,-'انبار بارانداز'!G23,-'انبار هانگار'!G23)),"")</f>
        <v>3537</v>
      </c>
      <c r="H23" s="65" t="str">
        <f>I18</f>
        <v>مطهری</v>
      </c>
      <c r="I23" s="11" t="s">
        <v>11</v>
      </c>
      <c r="J23" s="143" t="str">
        <f>IFERROR(IF(SUM(تجمیعی!K23,-'انبار مسقف'!M23,-'انبار بارانداز'!M23,-'انبار هانگار'!M23)=0,"",SUM(تجمیعی!K23,-'انبار مسقف'!M23,-'انبار بارانداز'!M23,-'انبار هانگار'!M23)),"")</f>
        <v/>
      </c>
      <c r="K23" s="144" t="str">
        <f>IFERROR(IF(SUM(تجمیعی!L23,-'انبار مسقف'!N23,-'انبار بارانداز'!N23,-'انبار هانگار'!N23)=0,"",SUM(تجمیعی!L23,-'انبار مسقف'!N23,-'انبار بارانداز'!N23,-'انبار هانگار'!N23)),"")</f>
        <v/>
      </c>
      <c r="L23" s="144" t="str">
        <f>IFERROR(IF(SUM(تجمیعی!M23,-'انبار مسقف'!O23,-'انبار بارانداز'!O23,-'انبار هانگار'!O23)=0,"",SUM(تجمیعی!M23,-'انبار مسقف'!O23,-'انبار بارانداز'!O23,-'انبار هانگار'!O23)),"")</f>
        <v/>
      </c>
      <c r="M23" s="144">
        <f>IFERROR(IF(SUM(تجمیعی!N23,-'انبار مسقف'!P23,-'انبار بارانداز'!P23,-'انبار هانگار'!P23)=0,"",SUM(تجمیعی!N23,-'انبار مسقف'!P23,-'انبار بارانداز'!P23,-'انبار هانگار'!P23)),"")</f>
        <v>80132</v>
      </c>
      <c r="N23" s="145" t="str">
        <f>IFERROR(IF(SUM(تجمیعی!O23,-'انبار مسقف'!Q23,-'انبار بارانداز'!Q23,-'انبار هانگار'!Q23)=0,"",SUM(تجمیعی!O23,-'انبار مسقف'!Q23,-'انبار بارانداز'!Q23,-'انبار هانگار'!Q23)),"")</f>
        <v/>
      </c>
    </row>
    <row r="24" spans="1:14" x14ac:dyDescent="0.25">
      <c r="A24" s="65" t="str">
        <f>B18</f>
        <v>شهید کاوه</v>
      </c>
      <c r="B24" s="11" t="s">
        <v>12</v>
      </c>
      <c r="C24" s="143" t="str">
        <f>IFERROR(IF(SUM(تجمیعی!C24,-'انبار مسقف'!C24,-'انبار بارانداز'!C24,-'انبار هانگار'!C24)=0,"",SUM(تجمیعی!C24,-'انبار مسقف'!C24,-'انبار بارانداز'!C24,-'انبار هانگار'!C24)),"")</f>
        <v/>
      </c>
      <c r="D24" s="144">
        <f>IFERROR(IF(SUM(تجمیعی!D24,-'انبار مسقف'!D24,-'انبار بارانداز'!D24,-'انبار هانگار'!D24)=0,"",SUM(تجمیعی!D24,-'انبار مسقف'!D24,-'انبار بارانداز'!D24,-'انبار هانگار'!D24)),"")</f>
        <v>-171</v>
      </c>
      <c r="E24" s="144">
        <f>IFERROR(IF(SUM(تجمیعی!E24,-'انبار مسقف'!E24,-'انبار بارانداز'!E24,-'انبار هانگار'!E24)=0,"",SUM(تجمیعی!E24,-'انبار مسقف'!E24,-'انبار بارانداز'!E24,-'انبار هانگار'!E24)),"")</f>
        <v>1519</v>
      </c>
      <c r="F24" s="144" t="str">
        <f>IFERROR(IF(SUM(تجمیعی!F24,-'انبار مسقف'!F24,-'انبار بارانداز'!F24,-'انبار هانگار'!F24)=0,"",SUM(تجمیعی!F24,-'انبار مسقف'!F24,-'انبار بارانداز'!F24,-'انبار هانگار'!F24)),"")</f>
        <v/>
      </c>
      <c r="G24" s="145">
        <f>IFERROR(IF(SUM(تجمیعی!G24,-'انبار مسقف'!G24,-'انبار بارانداز'!G24,-'انبار هانگار'!G24)=0,"",SUM(تجمیعی!G24,-'انبار مسقف'!G24,-'انبار بارانداز'!G24,-'انبار هانگار'!G24)),"")</f>
        <v>2772</v>
      </c>
      <c r="H24" s="65" t="str">
        <f>I18</f>
        <v>مطهری</v>
      </c>
      <c r="I24" s="11" t="s">
        <v>12</v>
      </c>
      <c r="J24" s="143" t="str">
        <f>IFERROR(IF(SUM(تجمیعی!K24,-'انبار مسقف'!M24,-'انبار بارانداز'!M24,-'انبار هانگار'!M24)=0,"",SUM(تجمیعی!K24,-'انبار مسقف'!M24,-'انبار بارانداز'!M24,-'انبار هانگار'!M24)),"")</f>
        <v/>
      </c>
      <c r="K24" s="144" t="str">
        <f>IFERROR(IF(SUM(تجمیعی!L24,-'انبار مسقف'!N24,-'انبار بارانداز'!N24,-'انبار هانگار'!N24)=0,"",SUM(تجمیعی!L24,-'انبار مسقف'!N24,-'انبار بارانداز'!N24,-'انبار هانگار'!N24)),"")</f>
        <v/>
      </c>
      <c r="L24" s="144" t="str">
        <f>IFERROR(IF(SUM(تجمیعی!M24,-'انبار مسقف'!O24,-'انبار بارانداز'!O24,-'انبار هانگار'!O24)=0,"",SUM(تجمیعی!M24,-'انبار مسقف'!O24,-'انبار بارانداز'!O24,-'انبار هانگار'!O24)),"")</f>
        <v/>
      </c>
      <c r="M24" s="144">
        <f>IFERROR(IF(SUM(تجمیعی!N24,-'انبار مسقف'!P24,-'انبار بارانداز'!P24,-'انبار هانگار'!P24)=0,"",SUM(تجمیعی!N24,-'انبار مسقف'!P24,-'انبار بارانداز'!P24,-'انبار هانگار'!P24)),"")</f>
        <v>72070</v>
      </c>
      <c r="N24" s="145" t="str">
        <f>IFERROR(IF(SUM(تجمیعی!O24,-'انبار مسقف'!Q24,-'انبار بارانداز'!Q24,-'انبار هانگار'!Q24)=0,"",SUM(تجمیعی!O24,-'انبار مسقف'!Q24,-'انبار بارانداز'!Q24,-'انبار هانگار'!Q24)),"")</f>
        <v/>
      </c>
    </row>
    <row r="25" spans="1:14" x14ac:dyDescent="0.25">
      <c r="A25" s="65" t="str">
        <f>B18</f>
        <v>شهید کاوه</v>
      </c>
      <c r="B25" s="11" t="s">
        <v>13</v>
      </c>
      <c r="C25" s="143" t="str">
        <f>IFERROR(IF(SUM(تجمیعی!C25,-'انبار مسقف'!C25,-'انبار بارانداز'!C25,-'انبار هانگار'!C25)=0,"",SUM(تجمیعی!C25,-'انبار مسقف'!C25,-'انبار بارانداز'!C25,-'انبار هانگار'!C25)),"")</f>
        <v/>
      </c>
      <c r="D25" s="144" t="str">
        <f>IFERROR(IF(SUM(تجمیعی!D25,-'انبار مسقف'!D25,-'انبار بارانداز'!D25,-'انبار هانگار'!D25)=0,"",SUM(تجمیعی!D25,-'انبار مسقف'!D25,-'انبار بارانداز'!D25,-'انبار هانگار'!D25)),"")</f>
        <v/>
      </c>
      <c r="E25" s="144">
        <f>IFERROR(IF(SUM(تجمیعی!E25,-'انبار مسقف'!E25,-'انبار بارانداز'!E25,-'انبار هانگار'!E25)=0,"",SUM(تجمیعی!E25,-'انبار مسقف'!E25,-'انبار بارانداز'!E25,-'انبار هانگار'!E25)),"")</f>
        <v>180</v>
      </c>
      <c r="F25" s="144" t="str">
        <f>IFERROR(IF(SUM(تجمیعی!F25,-'انبار مسقف'!F25,-'انبار بارانداز'!F25,-'انبار هانگار'!F25)=0,"",SUM(تجمیعی!F25,-'انبار مسقف'!F25,-'انبار بارانداز'!F25,-'انبار هانگار'!F25)),"")</f>
        <v/>
      </c>
      <c r="G25" s="145">
        <f>IFERROR(IF(SUM(تجمیعی!G25,-'انبار مسقف'!G25,-'انبار بارانداز'!G25,-'انبار هانگار'!G25)=0,"",SUM(تجمیعی!G25,-'انبار مسقف'!G25,-'انبار بارانداز'!G25,-'انبار هانگار'!G25)),"")</f>
        <v>2671</v>
      </c>
      <c r="H25" s="65" t="str">
        <f>I18</f>
        <v>مطهری</v>
      </c>
      <c r="I25" s="11" t="s">
        <v>13</v>
      </c>
      <c r="J25" s="143" t="str">
        <f>IFERROR(IF(SUM(تجمیعی!K25,-'انبار مسقف'!M25,-'انبار بارانداز'!M25,-'انبار هانگار'!M25)=0,"",SUM(تجمیعی!K25,-'انبار مسقف'!M25,-'انبار بارانداز'!M25,-'انبار هانگار'!M25)),"")</f>
        <v/>
      </c>
      <c r="K25" s="144" t="str">
        <f>IFERROR(IF(SUM(تجمیعی!L25,-'انبار مسقف'!N25,-'انبار بارانداز'!N25,-'انبار هانگار'!N25)=0,"",SUM(تجمیعی!L25,-'انبار مسقف'!N25,-'انبار بارانداز'!N25,-'انبار هانگار'!N25)),"")</f>
        <v/>
      </c>
      <c r="L25" s="144" t="str">
        <f>IFERROR(IF(SUM(تجمیعی!M25,-'انبار مسقف'!O25,-'انبار بارانداز'!O25,-'انبار هانگار'!O25)=0,"",SUM(تجمیعی!M25,-'انبار مسقف'!O25,-'انبار بارانداز'!O25,-'انبار هانگار'!O25)),"")</f>
        <v/>
      </c>
      <c r="M25" s="144">
        <f>IFERROR(IF(SUM(تجمیعی!N25,-'انبار مسقف'!P25,-'انبار بارانداز'!P25,-'انبار هانگار'!P25)=0,"",SUM(تجمیعی!N25,-'انبار مسقف'!P25,-'انبار بارانداز'!P25,-'انبار هانگار'!P25)),"")</f>
        <v>72358</v>
      </c>
      <c r="N25" s="145" t="str">
        <f>IFERROR(IF(SUM(تجمیعی!O25,-'انبار مسقف'!Q25,-'انبار بارانداز'!Q25,-'انبار هانگار'!Q25)=0,"",SUM(تجمیعی!O25,-'انبار مسقف'!Q25,-'انبار بارانداز'!Q25,-'انبار هانگار'!Q25)),"")</f>
        <v/>
      </c>
    </row>
    <row r="26" spans="1:14" x14ac:dyDescent="0.25">
      <c r="A26" s="65" t="str">
        <f>B18</f>
        <v>شهید کاوه</v>
      </c>
      <c r="B26" s="11" t="s">
        <v>14</v>
      </c>
      <c r="C26" s="143" t="str">
        <f>IFERROR(IF(SUM(تجمیعی!C26,-'انبار مسقف'!C26,-'انبار بارانداز'!C26,-'انبار هانگار'!C26)=0,"",SUM(تجمیعی!C26,-'انبار مسقف'!C26,-'انبار بارانداز'!C26,-'انبار هانگار'!C26)),"")</f>
        <v/>
      </c>
      <c r="D26" s="144" t="str">
        <f>IFERROR(IF(SUM(تجمیعی!D26,-'انبار مسقف'!D26,-'انبار بارانداز'!D26,-'انبار هانگار'!D26)=0,"",SUM(تجمیعی!D26,-'انبار مسقف'!D26,-'انبار بارانداز'!D26,-'انبار هانگار'!D26)),"")</f>
        <v/>
      </c>
      <c r="E26" s="144" t="str">
        <f>IFERROR(IF(SUM(تجمیعی!E26,-'انبار مسقف'!E26,-'انبار بارانداز'!E26,-'انبار هانگار'!E26)=0,"",SUM(تجمیعی!E26,-'انبار مسقف'!E26,-'انبار بارانداز'!E26,-'انبار هانگار'!E26)),"")</f>
        <v/>
      </c>
      <c r="F26" s="144" t="str">
        <f>IFERROR(IF(SUM(تجمیعی!F26,-'انبار مسقف'!F26,-'انبار بارانداز'!F26,-'انبار هانگار'!F26)=0,"",SUM(تجمیعی!F26,-'انبار مسقف'!F26,-'انبار بارانداز'!F26,-'انبار هانگار'!F26)),"")</f>
        <v/>
      </c>
      <c r="G26" s="145">
        <f>IFERROR(IF(SUM(تجمیعی!G26,-'انبار مسقف'!G26,-'انبار بارانداز'!G26,-'انبار هانگار'!G26)=0,"",SUM(تجمیعی!G26,-'انبار مسقف'!G26,-'انبار بارانداز'!G26,-'انبار هانگار'!G26)),"")</f>
        <v>2529</v>
      </c>
      <c r="H26" s="65" t="str">
        <f>I18</f>
        <v>مطهری</v>
      </c>
      <c r="I26" s="11" t="s">
        <v>14</v>
      </c>
      <c r="J26" s="143" t="str">
        <f>IFERROR(IF(SUM(تجمیعی!K26,-'انبار مسقف'!M26,-'انبار بارانداز'!M26,-'انبار هانگار'!M26)=0,"",SUM(تجمیعی!K26,-'انبار مسقف'!M26,-'انبار بارانداز'!M26,-'انبار هانگار'!M26)),"")</f>
        <v/>
      </c>
      <c r="K26" s="144" t="str">
        <f>IFERROR(IF(SUM(تجمیعی!L26,-'انبار مسقف'!N26,-'انبار بارانداز'!N26,-'انبار هانگار'!N26)=0,"",SUM(تجمیعی!L26,-'انبار مسقف'!N26,-'انبار بارانداز'!N26,-'انبار هانگار'!N26)),"")</f>
        <v/>
      </c>
      <c r="L26" s="144" t="str">
        <f>IFERROR(IF(SUM(تجمیعی!M26,-'انبار مسقف'!O26,-'انبار بارانداز'!O26,-'انبار هانگار'!O26)=0,"",SUM(تجمیعی!M26,-'انبار مسقف'!O26,-'انبار بارانداز'!O26,-'انبار هانگار'!O26)),"")</f>
        <v/>
      </c>
      <c r="M26" s="144">
        <f>IFERROR(IF(SUM(تجمیعی!N26,-'انبار مسقف'!P26,-'انبار بارانداز'!P26,-'انبار هانگار'!P26)=0,"",SUM(تجمیعی!N26,-'انبار مسقف'!P26,-'انبار بارانداز'!P26,-'انبار هانگار'!P26)),"")</f>
        <v>73749</v>
      </c>
      <c r="N26" s="145" t="str">
        <f>IFERROR(IF(SUM(تجمیعی!O26,-'انبار مسقف'!Q26,-'انبار بارانداز'!Q26,-'انبار هانگار'!Q26)=0,"",SUM(تجمیعی!O26,-'انبار مسقف'!Q26,-'انبار بارانداز'!Q26,-'انبار هانگار'!Q26)),"")</f>
        <v/>
      </c>
    </row>
    <row r="27" spans="1:14" x14ac:dyDescent="0.25">
      <c r="A27" s="65" t="str">
        <f>B18</f>
        <v>شهید کاوه</v>
      </c>
      <c r="B27" s="11" t="s">
        <v>15</v>
      </c>
      <c r="C27" s="143" t="str">
        <f>IFERROR(IF(SUM(تجمیعی!C27,-'انبار مسقف'!C27,-'انبار بارانداز'!C27,-'انبار هانگار'!C27)=0,"",SUM(تجمیعی!C27,-'انبار مسقف'!C27,-'انبار بارانداز'!C27,-'انبار هانگار'!C27)),"")</f>
        <v/>
      </c>
      <c r="D27" s="144">
        <f>IFERROR(IF(SUM(تجمیعی!D27,-'انبار مسقف'!D27,-'انبار بارانداز'!D27,-'انبار هانگار'!D27)=0,"",SUM(تجمیعی!D27,-'انبار مسقف'!D27,-'انبار بارانداز'!D27,-'انبار هانگار'!D27)),"")</f>
        <v>-9</v>
      </c>
      <c r="E27" s="144" t="str">
        <f>IFERROR(IF(SUM(تجمیعی!E27,-'انبار مسقف'!E27,-'انبار بارانداز'!E27,-'انبار هانگار'!E27)=0,"",SUM(تجمیعی!E27,-'انبار مسقف'!E27,-'انبار بارانداز'!E27,-'انبار هانگار'!E27)),"")</f>
        <v/>
      </c>
      <c r="F27" s="144" t="str">
        <f>IFERROR(IF(SUM(تجمیعی!F27,-'انبار مسقف'!F27,-'انبار بارانداز'!F27,-'انبار هانگار'!F27)=0,"",SUM(تجمیعی!F27,-'انبار مسقف'!F27,-'انبار بارانداز'!F27,-'انبار هانگار'!F27)),"")</f>
        <v/>
      </c>
      <c r="G27" s="145">
        <f>IFERROR(IF(SUM(تجمیعی!G27,-'انبار مسقف'!G27,-'انبار بارانداز'!G27,-'انبار هانگار'!G27)=0,"",SUM(تجمیعی!G27,-'انبار مسقف'!G27,-'انبار بارانداز'!G27,-'انبار هانگار'!G27)),"")</f>
        <v>2543</v>
      </c>
      <c r="H27" s="65" t="str">
        <f>I18</f>
        <v>مطهری</v>
      </c>
      <c r="I27" s="11" t="s">
        <v>15</v>
      </c>
      <c r="J27" s="143" t="str">
        <f>IFERROR(IF(SUM(تجمیعی!K27,-'انبار مسقف'!M27,-'انبار بارانداز'!M27,-'انبار هانگار'!M27)=0,"",SUM(تجمیعی!K27,-'انبار مسقف'!M27,-'انبار بارانداز'!M27,-'انبار هانگار'!M27)),"")</f>
        <v/>
      </c>
      <c r="K27" s="144" t="str">
        <f>IFERROR(IF(SUM(تجمیعی!L27,-'انبار مسقف'!N27,-'انبار بارانداز'!N27,-'انبار هانگار'!N27)=0,"",SUM(تجمیعی!L27,-'انبار مسقف'!N27,-'انبار بارانداز'!N27,-'انبار هانگار'!N27)),"")</f>
        <v/>
      </c>
      <c r="L27" s="144" t="str">
        <f>IFERROR(IF(SUM(تجمیعی!M27,-'انبار مسقف'!O27,-'انبار بارانداز'!O27,-'انبار هانگار'!O27)=0,"",SUM(تجمیعی!M27,-'انبار مسقف'!O27,-'انبار بارانداز'!O27,-'انبار هانگار'!O27)),"")</f>
        <v/>
      </c>
      <c r="M27" s="144">
        <f>IFERROR(IF(SUM(تجمیعی!N27,-'انبار مسقف'!P27,-'انبار بارانداز'!P27,-'انبار هانگار'!P27)=0,"",SUM(تجمیعی!N27,-'انبار مسقف'!P27,-'انبار بارانداز'!P27,-'انبار هانگار'!P27)),"")</f>
        <v>69673</v>
      </c>
      <c r="N27" s="145" t="str">
        <f>IFERROR(IF(SUM(تجمیعی!O27,-'انبار مسقف'!Q27,-'انبار بارانداز'!Q27,-'انبار هانگار'!Q27)=0,"",SUM(تجمیعی!O27,-'انبار مسقف'!Q27,-'انبار بارانداز'!Q27,-'انبار هانگار'!Q27)),"")</f>
        <v/>
      </c>
    </row>
    <row r="28" spans="1:14" x14ac:dyDescent="0.25">
      <c r="A28" s="65" t="str">
        <f>B18</f>
        <v>شهید کاوه</v>
      </c>
      <c r="B28" s="11" t="s">
        <v>16</v>
      </c>
      <c r="C28" s="143" t="str">
        <f>IFERROR(IF(SUM(تجمیعی!C28,-'انبار مسقف'!C28,-'انبار بارانداز'!C28,-'انبار هانگار'!C28)=0,"",SUM(تجمیعی!C28,-'انبار مسقف'!C28,-'انبار بارانداز'!C28,-'انبار هانگار'!C28)),"")</f>
        <v/>
      </c>
      <c r="D28" s="144" t="str">
        <f>IFERROR(IF(SUM(تجمیعی!D28,-'انبار مسقف'!D28,-'انبار بارانداز'!D28,-'انبار هانگار'!D28)=0,"",SUM(تجمیعی!D28,-'انبار مسقف'!D28,-'انبار بارانداز'!D28,-'انبار هانگار'!D28)),"")</f>
        <v/>
      </c>
      <c r="E28" s="144">
        <f>IFERROR(IF(SUM(تجمیعی!E28,-'انبار مسقف'!E28,-'انبار بارانداز'!E28,-'انبار هانگار'!E28)=0,"",SUM(تجمیعی!E28,-'انبار مسقف'!E28,-'انبار بارانداز'!E28,-'انبار هانگار'!E28)),"")</f>
        <v>4</v>
      </c>
      <c r="F28" s="144" t="str">
        <f>IFERROR(IF(SUM(تجمیعی!F28,-'انبار مسقف'!F28,-'انبار بارانداز'!F28,-'انبار هانگار'!F28)=0,"",SUM(تجمیعی!F28,-'انبار مسقف'!F28,-'انبار بارانداز'!F28,-'انبار هانگار'!F28)),"")</f>
        <v/>
      </c>
      <c r="G28" s="145">
        <f>IFERROR(IF(SUM(تجمیعی!G28,-'انبار مسقف'!G28,-'انبار بارانداز'!G28,-'انبار هانگار'!G28)=0,"",SUM(تجمیعی!G28,-'انبار مسقف'!G28,-'انبار بارانداز'!G28,-'انبار هانگار'!G28)),"")</f>
        <v>2476</v>
      </c>
      <c r="H28" s="65" t="str">
        <f>I18</f>
        <v>مطهری</v>
      </c>
      <c r="I28" s="11" t="s">
        <v>16</v>
      </c>
      <c r="J28" s="143" t="str">
        <f>IFERROR(IF(SUM(تجمیعی!K28,-'انبار مسقف'!M28,-'انبار بارانداز'!M28,-'انبار هانگار'!M28)=0,"",SUM(تجمیعی!K28,-'انبار مسقف'!M28,-'انبار بارانداز'!M28,-'انبار هانگار'!M28)),"")</f>
        <v/>
      </c>
      <c r="K28" s="144" t="str">
        <f>IFERROR(IF(SUM(تجمیعی!L28,-'انبار مسقف'!N28,-'انبار بارانداز'!N28,-'انبار هانگار'!N28)=0,"",SUM(تجمیعی!L28,-'انبار مسقف'!N28,-'انبار بارانداز'!N28,-'انبار هانگار'!N28)),"")</f>
        <v/>
      </c>
      <c r="L28" s="144" t="str">
        <f>IFERROR(IF(SUM(تجمیعی!M28,-'انبار مسقف'!O28,-'انبار بارانداز'!O28,-'انبار هانگار'!O28)=0,"",SUM(تجمیعی!M28,-'انبار مسقف'!O28,-'انبار بارانداز'!O28,-'انبار هانگار'!O28)),"")</f>
        <v/>
      </c>
      <c r="M28" s="144">
        <f>IFERROR(IF(SUM(تجمیعی!N28,-'انبار مسقف'!P28,-'انبار بارانداز'!P28,-'انبار هانگار'!P28)=0,"",SUM(تجمیعی!N28,-'انبار مسقف'!P28,-'انبار بارانداز'!P28,-'انبار هانگار'!P28)),"")</f>
        <v>47213</v>
      </c>
      <c r="N28" s="145" t="str">
        <f>IFERROR(IF(SUM(تجمیعی!O28,-'انبار مسقف'!Q28,-'انبار بارانداز'!Q28,-'انبار هانگار'!Q28)=0,"",SUM(تجمیعی!O28,-'انبار مسقف'!Q28,-'انبار بارانداز'!Q28,-'انبار هانگار'!Q28)),"")</f>
        <v/>
      </c>
    </row>
    <row r="29" spans="1:14" x14ac:dyDescent="0.25">
      <c r="A29" s="65" t="str">
        <f>B18</f>
        <v>شهید کاوه</v>
      </c>
      <c r="B29" s="11" t="s">
        <v>17</v>
      </c>
      <c r="C29" s="143" t="str">
        <f>IFERROR(IF(SUM(تجمیعی!C29,-'انبار مسقف'!C29,-'انبار بارانداز'!C29,-'انبار هانگار'!C29)=0,"",SUM(تجمیعی!C29,-'انبار مسقف'!C29,-'انبار بارانداز'!C29,-'انبار هانگار'!C29)),"")</f>
        <v/>
      </c>
      <c r="D29" s="144" t="str">
        <f>IFERROR(IF(SUM(تجمیعی!D29,-'انبار مسقف'!D29,-'انبار بارانداز'!D29,-'انبار هانگار'!D29)=0,"",SUM(تجمیعی!D29,-'انبار مسقف'!D29,-'انبار بارانداز'!D29,-'انبار هانگار'!D29)),"")</f>
        <v/>
      </c>
      <c r="E29" s="144">
        <f>IFERROR(IF(SUM(تجمیعی!E29,-'انبار مسقف'!E29,-'انبار بارانداز'!E29,-'انبار هانگار'!E29)=0,"",SUM(تجمیعی!E29,-'انبار مسقف'!E29,-'انبار بارانداز'!E29,-'انبار هانگار'!E29)),"")</f>
        <v>20</v>
      </c>
      <c r="F29" s="144" t="str">
        <f>IFERROR(IF(SUM(تجمیعی!F29,-'انبار مسقف'!F29,-'انبار بارانداز'!F29,-'انبار هانگار'!F29)=0,"",SUM(تجمیعی!F29,-'انبار مسقف'!F29,-'انبار بارانداز'!F29,-'انبار هانگار'!F29)),"")</f>
        <v/>
      </c>
      <c r="G29" s="145">
        <f>IFERROR(IF(SUM(تجمیعی!G29,-'انبار مسقف'!G29,-'انبار بارانداز'!G29,-'انبار هانگار'!G29)=0,"",SUM(تجمیعی!G29,-'انبار مسقف'!G29,-'انبار بارانداز'!G29,-'انبار هانگار'!G29)),"")</f>
        <v>1981</v>
      </c>
      <c r="H29" s="65" t="str">
        <f>I18</f>
        <v>مطهری</v>
      </c>
      <c r="I29" s="11" t="s">
        <v>17</v>
      </c>
      <c r="J29" s="143" t="str">
        <f>IFERROR(IF(SUM(تجمیعی!K29,-'انبار مسقف'!M29,-'انبار بارانداز'!M29,-'انبار هانگار'!M29)=0,"",SUM(تجمیعی!K29,-'انبار مسقف'!M29,-'انبار بارانداز'!M29,-'انبار هانگار'!M29)),"")</f>
        <v/>
      </c>
      <c r="K29" s="144" t="str">
        <f>IFERROR(IF(SUM(تجمیعی!L29,-'انبار مسقف'!N29,-'انبار بارانداز'!N29,-'انبار هانگار'!N29)=0,"",SUM(تجمیعی!L29,-'انبار مسقف'!N29,-'انبار بارانداز'!N29,-'انبار هانگار'!N29)),"")</f>
        <v/>
      </c>
      <c r="L29" s="144" t="str">
        <f>IFERROR(IF(SUM(تجمیعی!M29,-'انبار مسقف'!O29,-'انبار بارانداز'!O29,-'انبار هانگار'!O29)=0,"",SUM(تجمیعی!M29,-'انبار مسقف'!O29,-'انبار بارانداز'!O29,-'انبار هانگار'!O29)),"")</f>
        <v/>
      </c>
      <c r="M29" s="144">
        <f>IFERROR(IF(SUM(تجمیعی!N29,-'انبار مسقف'!P29,-'انبار بارانداز'!P29,-'انبار هانگار'!P29)=0,"",SUM(تجمیعی!N29,-'انبار مسقف'!P29,-'انبار بارانداز'!P29,-'انبار هانگار'!P29)),"")</f>
        <v>39588</v>
      </c>
      <c r="N29" s="145" t="str">
        <f>IFERROR(IF(SUM(تجمیعی!O29,-'انبار مسقف'!Q29,-'انبار بارانداز'!Q29,-'انبار هانگار'!Q29)=0,"",SUM(تجمیعی!O29,-'انبار مسقف'!Q29,-'انبار بارانداز'!Q29,-'انبار هانگار'!Q29)),"")</f>
        <v/>
      </c>
    </row>
    <row r="30" spans="1:14" x14ac:dyDescent="0.25">
      <c r="A30" s="65" t="str">
        <f>B18</f>
        <v>شهید کاوه</v>
      </c>
      <c r="B30" s="11" t="s">
        <v>18</v>
      </c>
      <c r="C30" s="143" t="str">
        <f>IFERROR(IF(SUM(تجمیعی!C30,-'انبار مسقف'!C30,-'انبار بارانداز'!C30,-'انبار هانگار'!C30)=0,"",SUM(تجمیعی!C30,-'انبار مسقف'!C30,-'انبار بارانداز'!C30,-'انبار هانگار'!C30)),"")</f>
        <v/>
      </c>
      <c r="D30" s="144" t="str">
        <f>IFERROR(IF(SUM(تجمیعی!D30,-'انبار مسقف'!D30,-'انبار بارانداز'!D30,-'انبار هانگار'!D30)=0,"",SUM(تجمیعی!D30,-'انبار مسقف'!D30,-'انبار بارانداز'!D30,-'انبار هانگار'!D30)),"")</f>
        <v/>
      </c>
      <c r="E30" s="144" t="str">
        <f>IFERROR(IF(SUM(تجمیعی!E30,-'انبار مسقف'!E30,-'انبار بارانداز'!E30,-'انبار هانگار'!E30)=0,"",SUM(تجمیعی!E30,-'انبار مسقف'!E30,-'انبار بارانداز'!E30,-'انبار هانگار'!E30)),"")</f>
        <v/>
      </c>
      <c r="F30" s="144" t="str">
        <f>IFERROR(IF(SUM(تجمیعی!F30,-'انبار مسقف'!F30,-'انبار بارانداز'!F30,-'انبار هانگار'!F30)=0,"",SUM(تجمیعی!F30,-'انبار مسقف'!F30,-'انبار بارانداز'!F30,-'انبار هانگار'!F30)),"")</f>
        <v/>
      </c>
      <c r="G30" s="145">
        <f>IFERROR(IF(SUM(تجمیعی!G30,-'انبار مسقف'!G30,-'انبار بارانداز'!G30,-'انبار هانگار'!G30)=0,"",SUM(تجمیعی!G30,-'انبار مسقف'!G30,-'انبار بارانداز'!G30,-'انبار هانگار'!G30)),"")</f>
        <v>1510</v>
      </c>
      <c r="H30" s="65" t="str">
        <f>I18</f>
        <v>مطهری</v>
      </c>
      <c r="I30" s="11" t="s">
        <v>18</v>
      </c>
      <c r="J30" s="143" t="str">
        <f>IFERROR(IF(SUM(تجمیعی!K30,-'انبار مسقف'!M30,-'انبار بارانداز'!M30,-'انبار هانگار'!M30)=0,"",SUM(تجمیعی!K30,-'انبار مسقف'!M30,-'انبار بارانداز'!M30,-'انبار هانگار'!M30)),"")</f>
        <v/>
      </c>
      <c r="K30" s="144" t="str">
        <f>IFERROR(IF(SUM(تجمیعی!L30,-'انبار مسقف'!N30,-'انبار بارانداز'!N30,-'انبار هانگار'!N30)=0,"",SUM(تجمیعی!L30,-'انبار مسقف'!N30,-'انبار بارانداز'!N30,-'انبار هانگار'!N30)),"")</f>
        <v/>
      </c>
      <c r="L30" s="144" t="str">
        <f>IFERROR(IF(SUM(تجمیعی!M30,-'انبار مسقف'!O30,-'انبار بارانداز'!O30,-'انبار هانگار'!O30)=0,"",SUM(تجمیعی!M30,-'انبار مسقف'!O30,-'انبار بارانداز'!O30,-'انبار هانگار'!O30)),"")</f>
        <v/>
      </c>
      <c r="M30" s="144">
        <f>IFERROR(IF(SUM(تجمیعی!N30,-'انبار مسقف'!P30,-'انبار بارانداز'!P30,-'انبار هانگار'!P30)=0,"",SUM(تجمیعی!N30,-'انبار مسقف'!P30,-'انبار بارانداز'!P30,-'انبار هانگار'!P30)),"")</f>
        <v>64157</v>
      </c>
      <c r="N30" s="145" t="str">
        <f>IFERROR(IF(SUM(تجمیعی!O30,-'انبار مسقف'!Q30,-'انبار بارانداز'!Q30,-'انبار هانگار'!Q30)=0,"",SUM(تجمیعی!O30,-'انبار مسقف'!Q30,-'انبار بارانداز'!Q30,-'انبار هانگار'!Q30)),"")</f>
        <v/>
      </c>
    </row>
    <row r="31" spans="1:14" ht="20.25" thickBot="1" x14ac:dyDescent="0.3">
      <c r="A31" s="65" t="str">
        <f>B18</f>
        <v>شهید کاوه</v>
      </c>
      <c r="B31" s="16" t="s">
        <v>19</v>
      </c>
      <c r="C31" s="146" t="str">
        <f>IFERROR(IF(SUM(تجمیعی!C31,-'انبار مسقف'!C31,-'انبار بارانداز'!C31,-'انبار هانگار'!C31)=0,"",SUM(تجمیعی!C31,-'انبار مسقف'!C31,-'انبار بارانداز'!C31,-'انبار هانگار'!C31)),"")</f>
        <v/>
      </c>
      <c r="D31" s="147">
        <f>IFERROR(IF(SUM(تجمیعی!D31,-'انبار مسقف'!D31,-'انبار بارانداز'!D31,-'انبار هانگار'!D31)=0,"",SUM(تجمیعی!D31,-'انبار مسقف'!D31,-'انبار بارانداز'!D31,-'انبار هانگار'!D31)),"")</f>
        <v>55</v>
      </c>
      <c r="E31" s="147" t="str">
        <f>IFERROR(IF(SUM(تجمیعی!E31,-'انبار مسقف'!E31,-'انبار بارانداز'!E31,-'انبار هانگار'!E31)=0,"",SUM(تجمیعی!E31,-'انبار مسقف'!E31,-'انبار بارانداز'!E31,-'انبار هانگار'!E31)),"")</f>
        <v/>
      </c>
      <c r="F31" s="147" t="str">
        <f>IFERROR(IF(SUM(تجمیعی!F31,-'انبار مسقف'!F31,-'انبار بارانداز'!F31,-'انبار هانگار'!F31)=0,"",SUM(تجمیعی!F31,-'انبار مسقف'!F31,-'انبار بارانداز'!F31,-'انبار هانگار'!F31)),"")</f>
        <v/>
      </c>
      <c r="G31" s="148">
        <f>IFERROR(IF(SUM(تجمیعی!G31,-'انبار مسقف'!G31,-'انبار بارانداز'!G31,-'انبار هانگار'!G31)=0,"",SUM(تجمیعی!G31,-'انبار مسقف'!G31,-'انبار بارانداز'!G31,-'انبار هانگار'!G31)),"")</f>
        <v>703</v>
      </c>
      <c r="H31" s="65" t="str">
        <f>I18</f>
        <v>مطهری</v>
      </c>
      <c r="I31" s="16" t="s">
        <v>19</v>
      </c>
      <c r="J31" s="146">
        <f>IFERROR(IF(SUM(تجمیعی!K31,-'انبار مسقف'!M31,-'انبار بارانداز'!M31,-'انبار هانگار'!M31)=0,"",SUM(تجمیعی!K31,-'انبار مسقف'!M31,-'انبار بارانداز'!M31,-'انبار هانگار'!M31)),"")</f>
        <v>1</v>
      </c>
      <c r="K31" s="147" t="str">
        <f>IFERROR(IF(SUM(تجمیعی!L31,-'انبار مسقف'!N31,-'انبار بارانداز'!N31,-'انبار هانگار'!N31)=0,"",SUM(تجمیعی!L31,-'انبار مسقف'!N31,-'انبار بارانداز'!N31,-'انبار هانگار'!N31)),"")</f>
        <v/>
      </c>
      <c r="L31" s="147" t="str">
        <f>IFERROR(IF(SUM(تجمیعی!M31,-'انبار مسقف'!O31,-'انبار بارانداز'!O31,-'انبار هانگار'!O31)=0,"",SUM(تجمیعی!M31,-'انبار مسقف'!O31,-'انبار بارانداز'!O31,-'انبار هانگار'!O31)),"")</f>
        <v/>
      </c>
      <c r="M31" s="147">
        <f>IFERROR(IF(SUM(تجمیعی!N31,-'انبار مسقف'!P31,-'انبار بارانداز'!P31,-'انبار هانگار'!P31)=0,"",SUM(تجمیعی!N31,-'انبار مسقف'!P31,-'انبار بارانداز'!P31,-'انبار هانگار'!P31)),"")</f>
        <v>47203</v>
      </c>
      <c r="N31" s="148" t="str">
        <f>IFERROR(IF(SUM(تجمیعی!O31,-'انبار مسقف'!Q31,-'انبار بارانداز'!Q31,-'انبار هانگار'!Q31)=0,"",SUM(تجمیعی!O31,-'انبار مسقف'!Q31,-'انبار بارانداز'!Q31,-'انبار هانگار'!Q31)),"")</f>
        <v/>
      </c>
    </row>
    <row r="32" spans="1:14" ht="21" thickBot="1" x14ac:dyDescent="0.3">
      <c r="A32" s="65"/>
      <c r="B32" s="139" t="s">
        <v>6</v>
      </c>
      <c r="C32" s="152" t="str">
        <f>IFERROR(IF(SUM(تجمیعی!C32,-'انبار مسقف'!C32,-'انبار بارانداز'!C32,-'انبار هانگار'!C32)=0,"",SUM(تجمیعی!C32,-'انبار مسقف'!C32,-'انبار بارانداز'!C32,-'انبار هانگار'!C32)),"")</f>
        <v/>
      </c>
      <c r="D32" s="153">
        <f>IFERROR(IF(SUM(تجمیعی!D32,-'انبار مسقف'!D32,-'انبار بارانداز'!D32,-'انبار هانگار'!D32)=0,"",SUM(تجمیعی!D32,-'انبار مسقف'!D32,-'انبار بارانداز'!D32,-'انبار هانگار'!D32)),"")</f>
        <v>-125</v>
      </c>
      <c r="E32" s="153">
        <f>IFERROR(IF(SUM(تجمیعی!E32,-'انبار مسقف'!E32,-'انبار بارانداز'!E32,-'انبار هانگار'!E32)=0,"",SUM(تجمیعی!E32,-'انبار مسقف'!E32,-'انبار بارانداز'!E32,-'انبار هانگار'!E32)),"")</f>
        <v>3864</v>
      </c>
      <c r="F32" s="153" t="str">
        <f>IFERROR(IF(SUM(تجمیعی!F32,-'انبار مسقف'!F32,-'انبار بارانداز'!F32,-'انبار هانگار'!F32)=0,"",SUM(تجمیعی!F32,-'انبار مسقف'!F32,-'انبار بارانداز'!F32,-'انبار هانگار'!F32)),"")</f>
        <v/>
      </c>
      <c r="G32" s="154" t="str">
        <f>IFERROR(IF(SUM(تجمیعی!G32,-'انبار مسقف'!G32,-'انبار بارانداز'!G32,-'انبار هانگار'!G32)=0,"",SUM(تجمیعی!G32,-'انبار مسقف'!G32,-'انبار بارانداز'!G32,-'انبار هانگار'!G32)),"")</f>
        <v/>
      </c>
      <c r="H32" s="65"/>
      <c r="I32" s="139" t="s">
        <v>6</v>
      </c>
      <c r="J32" s="152">
        <f>IFERROR(IF(SUM(تجمیعی!K32,-'انبار مسقف'!M32,-'انبار بارانداز'!M32,-'انبار هانگار'!M32)=0,"",SUM(تجمیعی!K32,-'انبار مسقف'!M32,-'انبار بارانداز'!M32,-'انبار هانگار'!M32)),"")</f>
        <v>1</v>
      </c>
      <c r="K32" s="153" t="str">
        <f>IFERROR(IF(SUM(تجمیعی!L32,-'انبار مسقف'!N32,-'انبار بارانداز'!N32,-'انبار هانگار'!N32)=0,"",SUM(تجمیعی!L32,-'انبار مسقف'!N32,-'انبار بارانداز'!N32,-'انبار هانگار'!N32)),"")</f>
        <v/>
      </c>
      <c r="L32" s="153" t="str">
        <f>IFERROR(IF(SUM(تجمیعی!M32,-'انبار مسقف'!O32,-'انبار بارانداز'!O32,-'انبار هانگار'!O32)=0,"",SUM(تجمیعی!M32,-'انبار مسقف'!O32,-'انبار بارانداز'!O32,-'انبار هانگار'!O32)),"")</f>
        <v/>
      </c>
      <c r="M32" s="153">
        <f>IFERROR(IF(SUM(تجمیعی!N32,-'انبار مسقف'!P32,-'انبار بارانداز'!P32,-'انبار هانگار'!P32)=0,"",SUM(تجمیعی!N32,-'انبار مسقف'!P32,-'انبار بارانداز'!P32,-'انبار هانگار'!P32)),"")</f>
        <v>693234</v>
      </c>
      <c r="N32" s="154" t="str">
        <f>IFERROR(IF(SUM(تجمیعی!O32,-'انبار مسقف'!Q32,-'انبار بارانداز'!Q32,-'انبار هانگار'!Q32)=0,"",SUM(تجمیعی!O32,-'انبار مسقف'!Q32,-'انبار بارانداز'!Q32,-'انبار هانگار'!Q32)),"")</f>
        <v/>
      </c>
    </row>
    <row r="33" spans="1:14" ht="3.95" customHeight="1" thickBot="1" x14ac:dyDescent="0.3">
      <c r="A33" s="65"/>
      <c r="H33" s="65"/>
    </row>
    <row r="34" spans="1:14" ht="26.25" thickBot="1" x14ac:dyDescent="0.3">
      <c r="A34" s="65"/>
      <c r="B34" s="210" t="s">
        <v>23</v>
      </c>
      <c r="C34" s="211"/>
      <c r="D34" s="211"/>
      <c r="E34" s="211"/>
      <c r="F34" s="211"/>
      <c r="G34" s="212"/>
      <c r="H34" s="65"/>
      <c r="I34" s="210" t="s">
        <v>24</v>
      </c>
      <c r="J34" s="211"/>
      <c r="K34" s="211"/>
      <c r="L34" s="211"/>
      <c r="M34" s="211"/>
      <c r="N34" s="212"/>
    </row>
    <row r="35" spans="1:14" ht="21" thickBot="1" x14ac:dyDescent="0.3">
      <c r="A35" s="65"/>
      <c r="B35" s="135" t="s">
        <v>0</v>
      </c>
      <c r="C35" s="136" t="s">
        <v>1</v>
      </c>
      <c r="D35" s="137" t="s">
        <v>2</v>
      </c>
      <c r="E35" s="137" t="s">
        <v>3</v>
      </c>
      <c r="F35" s="137" t="s">
        <v>4</v>
      </c>
      <c r="G35" s="138" t="s">
        <v>5</v>
      </c>
      <c r="H35" s="65"/>
      <c r="I35" s="135" t="s">
        <v>0</v>
      </c>
      <c r="J35" s="136" t="s">
        <v>1</v>
      </c>
      <c r="K35" s="137" t="s">
        <v>2</v>
      </c>
      <c r="L35" s="137" t="s">
        <v>3</v>
      </c>
      <c r="M35" s="137" t="s">
        <v>4</v>
      </c>
      <c r="N35" s="138" t="s">
        <v>5</v>
      </c>
    </row>
    <row r="36" spans="1:14" x14ac:dyDescent="0.25">
      <c r="A36" s="65" t="str">
        <f>B34</f>
        <v>سرخس</v>
      </c>
      <c r="B36" s="6" t="s">
        <v>8</v>
      </c>
      <c r="C36" s="140" t="str">
        <f>IFERROR(IF(SUM(تجمیعی!C36,-'انبار مسقف'!C36,-'انبار بارانداز'!C36,-'انبار هانگار'!C36)=0,"",SUM(تجمیعی!C36,-'انبار مسقف'!C36,-'انبار بارانداز'!C36,-'انبار هانگار'!C36)),"")</f>
        <v/>
      </c>
      <c r="D36" s="141" t="str">
        <f>IFERROR(IF(SUM(تجمیعی!D36,-'انبار مسقف'!D36,-'انبار بارانداز'!D36,-'انبار هانگار'!D36)=0,"",SUM(تجمیعی!D36,-'انبار مسقف'!D36,-'انبار بارانداز'!D36,-'انبار هانگار'!D36)),"")</f>
        <v/>
      </c>
      <c r="E36" s="141" t="str">
        <f>IFERROR(IF(SUM(تجمیعی!E36,-'انبار مسقف'!E36,-'انبار بارانداز'!E36,-'انبار هانگار'!E36)=0,"",SUM(تجمیعی!E36,-'انبار مسقف'!E36,-'انبار بارانداز'!E36,-'انبار هانگار'!E36)),"")</f>
        <v/>
      </c>
      <c r="F36" s="141">
        <f>IFERROR(IF(SUM(تجمیعی!F36,-'انبار مسقف'!F36,-'انبار بارانداز'!F36,-'انبار هانگار'!F36)=0,"",SUM(تجمیعی!F36,-'انبار مسقف'!F36,-'انبار بارانداز'!F36,-'انبار هانگار'!F36)),"")</f>
        <v>4981</v>
      </c>
      <c r="G36" s="142">
        <f>IFERROR(IF(SUM(تجمیعی!G36,-'انبار مسقف'!G36,-'انبار بارانداز'!G36,-'انبار هانگار'!G36)=0,"",SUM(تجمیعی!G36,-'انبار مسقف'!G36,-'انبار بارانداز'!G36,-'انبار هانگار'!G36)),"")</f>
        <v>1971</v>
      </c>
      <c r="H36" s="65" t="str">
        <f>I34</f>
        <v>لطف آباد</v>
      </c>
      <c r="I36" s="6" t="s">
        <v>8</v>
      </c>
      <c r="J36" s="140" t="str">
        <f>IFERROR(IF(SUM(تجمیعی!K36,-'انبار مسقف'!M36,-'انبار بارانداز'!M36,-'انبار هانگار'!M36)=0,"",SUM(تجمیعی!K36,-'انبار مسقف'!M36,-'انبار بارانداز'!M36,-'انبار هانگار'!M36)),"")</f>
        <v/>
      </c>
      <c r="K36" s="141" t="str">
        <f>IFERROR(IF(SUM(تجمیعی!L36,-'انبار مسقف'!N36,-'انبار بارانداز'!N36,-'انبار هانگار'!N36)=0,"",SUM(تجمیعی!L36,-'انبار مسقف'!N36,-'انبار بارانداز'!N36,-'انبار هانگار'!N36)),"")</f>
        <v/>
      </c>
      <c r="L36" s="141" t="str">
        <f>IFERROR(IF(SUM(تجمیعی!M36,-'انبار مسقف'!O36,-'انبار بارانداز'!O36,-'انبار هانگار'!O36)=0,"",SUM(تجمیعی!M36,-'انبار مسقف'!O36,-'انبار بارانداز'!O36,-'انبار هانگار'!O36)),"")</f>
        <v/>
      </c>
      <c r="M36" s="141">
        <f>IFERROR(IF(SUM(تجمیعی!N36,-'انبار مسقف'!P36,-'انبار بارانداز'!P36,-'انبار هانگار'!P36)=0,"",SUM(تجمیعی!N36,-'انبار مسقف'!P36,-'انبار بارانداز'!P36,-'انبار هانگار'!P36)),"")</f>
        <v>81641</v>
      </c>
      <c r="N36" s="142" t="str">
        <f>IFERROR(IF(SUM(تجمیعی!O36,-'انبار مسقف'!Q36,-'انبار بارانداز'!Q36,-'انبار هانگار'!Q36)=0,"",SUM(تجمیعی!O36,-'انبار مسقف'!Q36,-'انبار بارانداز'!Q36,-'انبار هانگار'!Q36)),"")</f>
        <v/>
      </c>
    </row>
    <row r="37" spans="1:14" x14ac:dyDescent="0.25">
      <c r="A37" s="65" t="str">
        <f>B34</f>
        <v>سرخس</v>
      </c>
      <c r="B37" s="11" t="s">
        <v>9</v>
      </c>
      <c r="C37" s="143">
        <f>IFERROR(IF(SUM(تجمیعی!C37,-'انبار مسقف'!C37,-'انبار بارانداز'!C37,-'انبار هانگار'!C37)=0,"",SUM(تجمیعی!C37,-'انبار مسقف'!C37,-'انبار بارانداز'!C37,-'انبار هانگار'!C37)),"")</f>
        <v>-1</v>
      </c>
      <c r="D37" s="144" t="str">
        <f>IFERROR(IF(SUM(تجمیعی!D37,-'انبار مسقف'!D37,-'انبار بارانداز'!D37,-'انبار هانگار'!D37)=0,"",SUM(تجمیعی!D37,-'انبار مسقف'!D37,-'انبار بارانداز'!D37,-'انبار هانگار'!D37)),"")</f>
        <v/>
      </c>
      <c r="E37" s="144" t="str">
        <f>IFERROR(IF(SUM(تجمیعی!E37,-'انبار مسقف'!E37,-'انبار بارانداز'!E37,-'انبار هانگار'!E37)=0,"",SUM(تجمیعی!E37,-'انبار مسقف'!E37,-'انبار بارانداز'!E37,-'انبار هانگار'!E37)),"")</f>
        <v/>
      </c>
      <c r="F37" s="144">
        <f>IFERROR(IF(SUM(تجمیعی!F37,-'انبار مسقف'!F37,-'انبار بارانداز'!F37,-'انبار هانگار'!F37)=0,"",SUM(تجمیعی!F37,-'انبار مسقف'!F37,-'انبار بارانداز'!F37,-'انبار هانگار'!F37)),"")</f>
        <v>8515</v>
      </c>
      <c r="G37" s="145">
        <f>IFERROR(IF(SUM(تجمیعی!G37,-'انبار مسقف'!G37,-'انبار بارانداز'!G37,-'انبار هانگار'!G37)=0,"",SUM(تجمیعی!G37,-'انبار مسقف'!G37,-'انبار بارانداز'!G37,-'انبار هانگار'!G37)),"")</f>
        <v>1918</v>
      </c>
      <c r="H37" s="65" t="str">
        <f>I34</f>
        <v>لطف آباد</v>
      </c>
      <c r="I37" s="11" t="s">
        <v>9</v>
      </c>
      <c r="J37" s="143" t="str">
        <f>IFERROR(IF(SUM(تجمیعی!K37,-'انبار مسقف'!M37,-'انبار بارانداز'!M37,-'انبار هانگار'!M37)=0,"",SUM(تجمیعی!K37,-'انبار مسقف'!M37,-'انبار بارانداز'!M37,-'انبار هانگار'!M37)),"")</f>
        <v/>
      </c>
      <c r="K37" s="144" t="str">
        <f>IFERROR(IF(SUM(تجمیعی!L37,-'انبار مسقف'!N37,-'انبار بارانداز'!N37,-'انبار هانگار'!N37)=0,"",SUM(تجمیعی!L37,-'انبار مسقف'!N37,-'انبار بارانداز'!N37,-'انبار هانگار'!N37)),"")</f>
        <v/>
      </c>
      <c r="L37" s="144" t="str">
        <f>IFERROR(IF(SUM(تجمیعی!M37,-'انبار مسقف'!O37,-'انبار بارانداز'!O37,-'انبار هانگار'!O37)=0,"",SUM(تجمیعی!M37,-'انبار مسقف'!O37,-'انبار بارانداز'!O37,-'انبار هانگار'!O37)),"")</f>
        <v/>
      </c>
      <c r="M37" s="144">
        <f>IFERROR(IF(SUM(تجمیعی!N37,-'انبار مسقف'!P37,-'انبار بارانداز'!P37,-'انبار هانگار'!P37)=0,"",SUM(تجمیعی!N37,-'انبار مسقف'!P37,-'انبار بارانداز'!P37,-'انبار هانگار'!P37)),"")</f>
        <v>72167</v>
      </c>
      <c r="N37" s="145" t="str">
        <f>IFERROR(IF(SUM(تجمیعی!O37,-'انبار مسقف'!Q37,-'انبار بارانداز'!Q37,-'انبار هانگار'!Q37)=0,"",SUM(تجمیعی!O37,-'انبار مسقف'!Q37,-'انبار بارانداز'!Q37,-'انبار هانگار'!Q37)),"")</f>
        <v/>
      </c>
    </row>
    <row r="38" spans="1:14" x14ac:dyDescent="0.25">
      <c r="A38" s="65" t="str">
        <f>B34</f>
        <v>سرخس</v>
      </c>
      <c r="B38" s="11" t="s">
        <v>10</v>
      </c>
      <c r="C38" s="143" t="str">
        <f>IFERROR(IF(SUM(تجمیعی!C38,-'انبار مسقف'!C38,-'انبار بارانداز'!C38,-'انبار هانگار'!C38)=0,"",SUM(تجمیعی!C38,-'انبار مسقف'!C38,-'انبار بارانداز'!C38,-'انبار هانگار'!C38)),"")</f>
        <v/>
      </c>
      <c r="D38" s="144" t="str">
        <f>IFERROR(IF(SUM(تجمیعی!D38,-'انبار مسقف'!D38,-'انبار بارانداز'!D38,-'انبار هانگار'!D38)=0,"",SUM(تجمیعی!D38,-'انبار مسقف'!D38,-'انبار بارانداز'!D38,-'انبار هانگار'!D38)),"")</f>
        <v/>
      </c>
      <c r="E38" s="144" t="str">
        <f>IFERROR(IF(SUM(تجمیعی!E38,-'انبار مسقف'!E38,-'انبار بارانداز'!E38,-'انبار هانگار'!E38)=0,"",SUM(تجمیعی!E38,-'انبار مسقف'!E38,-'انبار بارانداز'!E38,-'انبار هانگار'!E38)),"")</f>
        <v/>
      </c>
      <c r="F38" s="144">
        <f>IFERROR(IF(SUM(تجمیعی!F38,-'انبار مسقف'!F38,-'انبار بارانداز'!F38,-'انبار هانگار'!F38)=0,"",SUM(تجمیعی!F38,-'انبار مسقف'!F38,-'انبار بارانداز'!F38,-'انبار هانگار'!F38)),"")</f>
        <v>8339</v>
      </c>
      <c r="G38" s="145">
        <f>IFERROR(IF(SUM(تجمیعی!G38,-'انبار مسقف'!G38,-'انبار بارانداز'!G38,-'انبار هانگار'!G38)=0,"",SUM(تجمیعی!G38,-'انبار مسقف'!G38,-'انبار بارانداز'!G38,-'انبار هانگار'!G38)),"")</f>
        <v>1547</v>
      </c>
      <c r="H38" s="65" t="str">
        <f>I34</f>
        <v>لطف آباد</v>
      </c>
      <c r="I38" s="11" t="s">
        <v>10</v>
      </c>
      <c r="J38" s="143" t="str">
        <f>IFERROR(IF(SUM(تجمیعی!K38,-'انبار مسقف'!M38,-'انبار بارانداز'!M38,-'انبار هانگار'!M38)=0,"",SUM(تجمیعی!K38,-'انبار مسقف'!M38,-'انبار بارانداز'!M38,-'انبار هانگار'!M38)),"")</f>
        <v/>
      </c>
      <c r="K38" s="144" t="str">
        <f>IFERROR(IF(SUM(تجمیعی!L38,-'انبار مسقف'!N38,-'انبار بارانداز'!N38,-'انبار هانگار'!N38)=0,"",SUM(تجمیعی!L38,-'انبار مسقف'!N38,-'انبار بارانداز'!N38,-'انبار هانگار'!N38)),"")</f>
        <v/>
      </c>
      <c r="L38" s="144" t="str">
        <f>IFERROR(IF(SUM(تجمیعی!M38,-'انبار مسقف'!O38,-'انبار بارانداز'!O38,-'انبار هانگار'!O38)=0,"",SUM(تجمیعی!M38,-'انبار مسقف'!O38,-'انبار بارانداز'!O38,-'انبار هانگار'!O38)),"")</f>
        <v/>
      </c>
      <c r="M38" s="144">
        <f>IFERROR(IF(SUM(تجمیعی!N38,-'انبار مسقف'!P38,-'انبار بارانداز'!P38,-'انبار هانگار'!P38)=0,"",SUM(تجمیعی!N38,-'انبار مسقف'!P38,-'انبار بارانداز'!P38,-'انبار هانگار'!P38)),"")</f>
        <v>60319</v>
      </c>
      <c r="N38" s="145" t="str">
        <f>IFERROR(IF(SUM(تجمیعی!O38,-'انبار مسقف'!Q38,-'انبار بارانداز'!Q38,-'انبار هانگار'!Q38)=0,"",SUM(تجمیعی!O38,-'انبار مسقف'!Q38,-'انبار بارانداز'!Q38,-'انبار هانگار'!Q38)),"")</f>
        <v/>
      </c>
    </row>
    <row r="39" spans="1:14" x14ac:dyDescent="0.25">
      <c r="A39" s="65" t="str">
        <f>B34</f>
        <v>سرخس</v>
      </c>
      <c r="B39" s="11" t="s">
        <v>11</v>
      </c>
      <c r="C39" s="143" t="str">
        <f>IFERROR(IF(SUM(تجمیعی!C39,-'انبار مسقف'!C39,-'انبار بارانداز'!C39,-'انبار هانگار'!C39)=0,"",SUM(تجمیعی!C39,-'انبار مسقف'!C39,-'انبار بارانداز'!C39,-'انبار هانگار'!C39)),"")</f>
        <v/>
      </c>
      <c r="D39" s="144" t="str">
        <f>IFERROR(IF(SUM(تجمیعی!D39,-'انبار مسقف'!D39,-'انبار بارانداز'!D39,-'انبار هانگار'!D39)=0,"",SUM(تجمیعی!D39,-'انبار مسقف'!D39,-'انبار بارانداز'!D39,-'انبار هانگار'!D39)),"")</f>
        <v/>
      </c>
      <c r="E39" s="144" t="str">
        <f>IFERROR(IF(SUM(تجمیعی!E39,-'انبار مسقف'!E39,-'انبار بارانداز'!E39,-'انبار هانگار'!E39)=0,"",SUM(تجمیعی!E39,-'انبار مسقف'!E39,-'انبار بارانداز'!E39,-'انبار هانگار'!E39)),"")</f>
        <v/>
      </c>
      <c r="F39" s="144">
        <f>IFERROR(IF(SUM(تجمیعی!F39,-'انبار مسقف'!F39,-'انبار بارانداز'!F39,-'انبار هانگار'!F39)=0,"",SUM(تجمیعی!F39,-'انبار مسقف'!F39,-'انبار بارانداز'!F39,-'انبار هانگار'!F39)),"")</f>
        <v>8352</v>
      </c>
      <c r="G39" s="145">
        <f>IFERROR(IF(SUM(تجمیعی!G39,-'انبار مسقف'!G39,-'انبار بارانداز'!G39,-'انبار هانگار'!G39)=0,"",SUM(تجمیعی!G39,-'انبار مسقف'!G39,-'انبار بارانداز'!G39,-'انبار هانگار'!G39)),"")</f>
        <v>1220</v>
      </c>
      <c r="H39" s="65" t="str">
        <f>I34</f>
        <v>لطف آباد</v>
      </c>
      <c r="I39" s="11" t="s">
        <v>11</v>
      </c>
      <c r="J39" s="143" t="str">
        <f>IFERROR(IF(SUM(تجمیعی!K39,-'انبار مسقف'!M39,-'انبار بارانداز'!M39,-'انبار هانگار'!M39)=0,"",SUM(تجمیعی!K39,-'انبار مسقف'!M39,-'انبار بارانداز'!M39,-'انبار هانگار'!M39)),"")</f>
        <v/>
      </c>
      <c r="K39" s="144" t="str">
        <f>IFERROR(IF(SUM(تجمیعی!L39,-'انبار مسقف'!N39,-'انبار بارانداز'!N39,-'انبار هانگار'!N39)=0,"",SUM(تجمیعی!L39,-'انبار مسقف'!N39,-'انبار بارانداز'!N39,-'انبار هانگار'!N39)),"")</f>
        <v/>
      </c>
      <c r="L39" s="144" t="str">
        <f>IFERROR(IF(SUM(تجمیعی!M39,-'انبار مسقف'!O39,-'انبار بارانداز'!O39,-'انبار هانگار'!O39)=0,"",SUM(تجمیعی!M39,-'انبار مسقف'!O39,-'انبار بارانداز'!O39,-'انبار هانگار'!O39)),"")</f>
        <v/>
      </c>
      <c r="M39" s="144">
        <f>IFERROR(IF(SUM(تجمیعی!N39,-'انبار مسقف'!P39,-'انبار بارانداز'!P39,-'انبار هانگار'!P39)=0,"",SUM(تجمیعی!N39,-'انبار مسقف'!P39,-'انبار بارانداز'!P39,-'انبار هانگار'!P39)),"")</f>
        <v>60422</v>
      </c>
      <c r="N39" s="145" t="str">
        <f>IFERROR(IF(SUM(تجمیعی!O39,-'انبار مسقف'!Q39,-'انبار بارانداز'!Q39,-'انبار هانگار'!Q39)=0,"",SUM(تجمیعی!O39,-'انبار مسقف'!Q39,-'انبار بارانداز'!Q39,-'انبار هانگار'!Q39)),"")</f>
        <v/>
      </c>
    </row>
    <row r="40" spans="1:14" x14ac:dyDescent="0.25">
      <c r="A40" s="65" t="str">
        <f>B34</f>
        <v>سرخس</v>
      </c>
      <c r="B40" s="11" t="s">
        <v>12</v>
      </c>
      <c r="C40" s="143" t="str">
        <f>IFERROR(IF(SUM(تجمیعی!C40,-'انبار مسقف'!C40,-'انبار بارانداز'!C40,-'انبار هانگار'!C40)=0,"",SUM(تجمیعی!C40,-'انبار مسقف'!C40,-'انبار بارانداز'!C40,-'انبار هانگار'!C40)),"")</f>
        <v/>
      </c>
      <c r="D40" s="144" t="str">
        <f>IFERROR(IF(SUM(تجمیعی!D40,-'انبار مسقف'!D40,-'انبار بارانداز'!D40,-'انبار هانگار'!D40)=0,"",SUM(تجمیعی!D40,-'انبار مسقف'!D40,-'انبار بارانداز'!D40,-'انبار هانگار'!D40)),"")</f>
        <v/>
      </c>
      <c r="E40" s="144" t="str">
        <f>IFERROR(IF(SUM(تجمیعی!E40,-'انبار مسقف'!E40,-'انبار بارانداز'!E40,-'انبار هانگار'!E40)=0,"",SUM(تجمیعی!E40,-'انبار مسقف'!E40,-'انبار بارانداز'!E40,-'انبار هانگار'!E40)),"")</f>
        <v/>
      </c>
      <c r="F40" s="144">
        <f>IFERROR(IF(SUM(تجمیعی!F40,-'انبار مسقف'!F40,-'انبار بارانداز'!F40,-'انبار هانگار'!F40)=0,"",SUM(تجمیعی!F40,-'انبار مسقف'!F40,-'انبار بارانداز'!F40,-'انبار هانگار'!F40)),"")</f>
        <v>11957</v>
      </c>
      <c r="G40" s="145">
        <f>IFERROR(IF(SUM(تجمیعی!G40,-'انبار مسقف'!G40,-'انبار بارانداز'!G40,-'انبار هانگار'!G40)=0,"",SUM(تجمیعی!G40,-'انبار مسقف'!G40,-'انبار بارانداز'!G40,-'انبار هانگار'!G40)),"")</f>
        <v>4847</v>
      </c>
      <c r="H40" s="65" t="str">
        <f>I34</f>
        <v>لطف آباد</v>
      </c>
      <c r="I40" s="11" t="s">
        <v>12</v>
      </c>
      <c r="J40" s="143" t="str">
        <f>IFERROR(IF(SUM(تجمیعی!K40,-'انبار مسقف'!M40,-'انبار بارانداز'!M40,-'انبار هانگار'!M40)=0,"",SUM(تجمیعی!K40,-'انبار مسقف'!M40,-'انبار بارانداز'!M40,-'انبار هانگار'!M40)),"")</f>
        <v/>
      </c>
      <c r="K40" s="144" t="str">
        <f>IFERROR(IF(SUM(تجمیعی!L40,-'انبار مسقف'!N40,-'انبار بارانداز'!N40,-'انبار هانگار'!N40)=0,"",SUM(تجمیعی!L40,-'انبار مسقف'!N40,-'انبار بارانداز'!N40,-'انبار هانگار'!N40)),"")</f>
        <v/>
      </c>
      <c r="L40" s="144" t="str">
        <f>IFERROR(IF(SUM(تجمیعی!M40,-'انبار مسقف'!O40,-'انبار بارانداز'!O40,-'انبار هانگار'!O40)=0,"",SUM(تجمیعی!M40,-'انبار مسقف'!O40,-'انبار بارانداز'!O40,-'انبار هانگار'!O40)),"")</f>
        <v/>
      </c>
      <c r="M40" s="144">
        <f>IFERROR(IF(SUM(تجمیعی!N40,-'انبار مسقف'!P40,-'انبار بارانداز'!P40,-'انبار هانگار'!P40)=0,"",SUM(تجمیعی!N40,-'انبار مسقف'!P40,-'انبار بارانداز'!P40,-'انبار هانگار'!P40)),"")</f>
        <v>69420</v>
      </c>
      <c r="N40" s="145" t="str">
        <f>IFERROR(IF(SUM(تجمیعی!O40,-'انبار مسقف'!Q40,-'انبار بارانداز'!Q40,-'انبار هانگار'!Q40)=0,"",SUM(تجمیعی!O40,-'انبار مسقف'!Q40,-'انبار بارانداز'!Q40,-'انبار هانگار'!Q40)),"")</f>
        <v/>
      </c>
    </row>
    <row r="41" spans="1:14" x14ac:dyDescent="0.25">
      <c r="A41" s="65" t="str">
        <f>B34</f>
        <v>سرخس</v>
      </c>
      <c r="B41" s="11" t="s">
        <v>13</v>
      </c>
      <c r="C41" s="143" t="str">
        <f>IFERROR(IF(SUM(تجمیعی!C41,-'انبار مسقف'!C41,-'انبار بارانداز'!C41,-'انبار هانگار'!C41)=0,"",SUM(تجمیعی!C41,-'انبار مسقف'!C41,-'انبار بارانداز'!C41,-'انبار هانگار'!C41)),"")</f>
        <v/>
      </c>
      <c r="D41" s="144" t="str">
        <f>IFERROR(IF(SUM(تجمیعی!D41,-'انبار مسقف'!D41,-'انبار بارانداز'!D41,-'انبار هانگار'!D41)=0,"",SUM(تجمیعی!D41,-'انبار مسقف'!D41,-'انبار بارانداز'!D41,-'انبار هانگار'!D41)),"")</f>
        <v/>
      </c>
      <c r="E41" s="144" t="str">
        <f>IFERROR(IF(SUM(تجمیعی!E41,-'انبار مسقف'!E41,-'انبار بارانداز'!E41,-'انبار هانگار'!E41)=0,"",SUM(تجمیعی!E41,-'انبار مسقف'!E41,-'انبار بارانداز'!E41,-'انبار هانگار'!E41)),"")</f>
        <v/>
      </c>
      <c r="F41" s="144">
        <f>IFERROR(IF(SUM(تجمیعی!F41,-'انبار مسقف'!F41,-'انبار بارانداز'!F41,-'انبار هانگار'!F41)=0,"",SUM(تجمیعی!F41,-'انبار مسقف'!F41,-'انبار بارانداز'!F41,-'انبار هانگار'!F41)),"")</f>
        <v>14592</v>
      </c>
      <c r="G41" s="145">
        <f>IFERROR(IF(SUM(تجمیعی!G41,-'انبار مسقف'!G41,-'انبار بارانداز'!G41,-'انبار هانگار'!G41)=0,"",SUM(تجمیعی!G41,-'انبار مسقف'!G41,-'انبار بارانداز'!G41,-'انبار هانگار'!G41)),"")</f>
        <v>2373</v>
      </c>
      <c r="H41" s="65" t="str">
        <f>I34</f>
        <v>لطف آباد</v>
      </c>
      <c r="I41" s="11" t="s">
        <v>13</v>
      </c>
      <c r="J41" s="143" t="str">
        <f>IFERROR(IF(SUM(تجمیعی!K41,-'انبار مسقف'!M41,-'انبار بارانداز'!M41,-'انبار هانگار'!M41)=0,"",SUM(تجمیعی!K41,-'انبار مسقف'!M41,-'انبار بارانداز'!M41,-'انبار هانگار'!M41)),"")</f>
        <v/>
      </c>
      <c r="K41" s="144" t="str">
        <f>IFERROR(IF(SUM(تجمیعی!L41,-'انبار مسقف'!N41,-'انبار بارانداز'!N41,-'انبار هانگار'!N41)=0,"",SUM(تجمیعی!L41,-'انبار مسقف'!N41,-'انبار بارانداز'!N41,-'انبار هانگار'!N41)),"")</f>
        <v/>
      </c>
      <c r="L41" s="144" t="str">
        <f>IFERROR(IF(SUM(تجمیعی!M41,-'انبار مسقف'!O41,-'انبار بارانداز'!O41,-'انبار هانگار'!O41)=0,"",SUM(تجمیعی!M41,-'انبار مسقف'!O41,-'انبار بارانداز'!O41,-'انبار هانگار'!O41)),"")</f>
        <v/>
      </c>
      <c r="M41" s="144">
        <f>IFERROR(IF(SUM(تجمیعی!N41,-'انبار مسقف'!P41,-'انبار بارانداز'!P41,-'انبار هانگار'!P41)=0,"",SUM(تجمیعی!N41,-'انبار مسقف'!P41,-'انبار بارانداز'!P41,-'انبار هانگار'!P41)),"")</f>
        <v>74201</v>
      </c>
      <c r="N41" s="145" t="str">
        <f>IFERROR(IF(SUM(تجمیعی!O41,-'انبار مسقف'!Q41,-'انبار بارانداز'!Q41,-'انبار هانگار'!Q41)=0,"",SUM(تجمیعی!O41,-'انبار مسقف'!Q41,-'انبار بارانداز'!Q41,-'انبار هانگار'!Q41)),"")</f>
        <v/>
      </c>
    </row>
    <row r="42" spans="1:14" x14ac:dyDescent="0.25">
      <c r="A42" s="65" t="str">
        <f>B34</f>
        <v>سرخس</v>
      </c>
      <c r="B42" s="11" t="s">
        <v>14</v>
      </c>
      <c r="C42" s="143" t="str">
        <f>IFERROR(IF(SUM(تجمیعی!C42,-'انبار مسقف'!C42,-'انبار بارانداز'!C42,-'انبار هانگار'!C42)=0,"",SUM(تجمیعی!C42,-'انبار مسقف'!C42,-'انبار بارانداز'!C42,-'انبار هانگار'!C42)),"")</f>
        <v/>
      </c>
      <c r="D42" s="144" t="str">
        <f>IFERROR(IF(SUM(تجمیعی!D42,-'انبار مسقف'!D42,-'انبار بارانداز'!D42,-'انبار هانگار'!D42)=0,"",SUM(تجمیعی!D42,-'انبار مسقف'!D42,-'انبار بارانداز'!D42,-'انبار هانگار'!D42)),"")</f>
        <v/>
      </c>
      <c r="E42" s="144" t="str">
        <f>IFERROR(IF(SUM(تجمیعی!E42,-'انبار مسقف'!E42,-'انبار بارانداز'!E42,-'انبار هانگار'!E42)=0,"",SUM(تجمیعی!E42,-'انبار مسقف'!E42,-'انبار بارانداز'!E42,-'انبار هانگار'!E42)),"")</f>
        <v/>
      </c>
      <c r="F42" s="144">
        <f>IFERROR(IF(SUM(تجمیعی!F42,-'انبار مسقف'!F42,-'انبار بارانداز'!F42,-'انبار هانگار'!F42)=0,"",SUM(تجمیعی!F42,-'انبار مسقف'!F42,-'انبار بارانداز'!F42,-'انبار هانگار'!F42)),"")</f>
        <v>14671</v>
      </c>
      <c r="G42" s="145">
        <f>IFERROR(IF(SUM(تجمیعی!G42,-'انبار مسقف'!G42,-'انبار بارانداز'!G42,-'انبار هانگار'!G42)=0,"",SUM(تجمیعی!G42,-'انبار مسقف'!G42,-'انبار بارانداز'!G42,-'انبار هانگار'!G42)),"")</f>
        <v>2713</v>
      </c>
      <c r="H42" s="65" t="str">
        <f>I34</f>
        <v>لطف آباد</v>
      </c>
      <c r="I42" s="11" t="s">
        <v>14</v>
      </c>
      <c r="J42" s="143" t="str">
        <f>IFERROR(IF(SUM(تجمیعی!K42,-'انبار مسقف'!M42,-'انبار بارانداز'!M42,-'انبار هانگار'!M42)=0,"",SUM(تجمیعی!K42,-'انبار مسقف'!M42,-'انبار بارانداز'!M42,-'انبار هانگار'!M42)),"")</f>
        <v/>
      </c>
      <c r="K42" s="144" t="str">
        <f>IFERROR(IF(SUM(تجمیعی!L42,-'انبار مسقف'!N42,-'انبار بارانداز'!N42,-'انبار هانگار'!N42)=0,"",SUM(تجمیعی!L42,-'انبار مسقف'!N42,-'انبار بارانداز'!N42,-'انبار هانگار'!N42)),"")</f>
        <v/>
      </c>
      <c r="L42" s="144" t="str">
        <f>IFERROR(IF(SUM(تجمیعی!M42,-'انبار مسقف'!O42,-'انبار بارانداز'!O42,-'انبار هانگار'!O42)=0,"",SUM(تجمیعی!M42,-'انبار مسقف'!O42,-'انبار بارانداز'!O42,-'انبار هانگار'!O42)),"")</f>
        <v/>
      </c>
      <c r="M42" s="144">
        <f>IFERROR(IF(SUM(تجمیعی!N42,-'انبار مسقف'!P42,-'انبار بارانداز'!P42,-'انبار هانگار'!P42)=0,"",SUM(تجمیعی!N42,-'انبار مسقف'!P42,-'انبار بارانداز'!P42,-'انبار هانگار'!P42)),"")</f>
        <v>72407</v>
      </c>
      <c r="N42" s="145" t="str">
        <f>IFERROR(IF(SUM(تجمیعی!O42,-'انبار مسقف'!Q42,-'انبار بارانداز'!Q42,-'انبار هانگار'!Q42)=0,"",SUM(تجمیعی!O42,-'انبار مسقف'!Q42,-'انبار بارانداز'!Q42,-'انبار هانگار'!Q42)),"")</f>
        <v/>
      </c>
    </row>
    <row r="43" spans="1:14" x14ac:dyDescent="0.25">
      <c r="A43" s="65" t="str">
        <f>B34</f>
        <v>سرخس</v>
      </c>
      <c r="B43" s="11" t="s">
        <v>15</v>
      </c>
      <c r="C43" s="143" t="str">
        <f>IFERROR(IF(SUM(تجمیعی!C43,-'انبار مسقف'!C43,-'انبار بارانداز'!C43,-'انبار هانگار'!C43)=0,"",SUM(تجمیعی!C43,-'انبار مسقف'!C43,-'انبار بارانداز'!C43,-'انبار هانگار'!C43)),"")</f>
        <v/>
      </c>
      <c r="D43" s="144" t="str">
        <f>IFERROR(IF(SUM(تجمیعی!D43,-'انبار مسقف'!D43,-'انبار بارانداز'!D43,-'انبار هانگار'!D43)=0,"",SUM(تجمیعی!D43,-'انبار مسقف'!D43,-'انبار بارانداز'!D43,-'انبار هانگار'!D43)),"")</f>
        <v/>
      </c>
      <c r="E43" s="144" t="str">
        <f>IFERROR(IF(SUM(تجمیعی!E43,-'انبار مسقف'!E43,-'انبار بارانداز'!E43,-'انبار هانگار'!E43)=0,"",SUM(تجمیعی!E43,-'انبار مسقف'!E43,-'انبار بارانداز'!E43,-'انبار هانگار'!E43)),"")</f>
        <v/>
      </c>
      <c r="F43" s="144">
        <f>IFERROR(IF(SUM(تجمیعی!F43,-'انبار مسقف'!F43,-'انبار بارانداز'!F43,-'انبار هانگار'!F43)=0,"",SUM(تجمیعی!F43,-'انبار مسقف'!F43,-'انبار بارانداز'!F43,-'انبار هانگار'!F43)),"")</f>
        <v>14098</v>
      </c>
      <c r="G43" s="145">
        <f>IFERROR(IF(SUM(تجمیعی!G43,-'انبار مسقف'!G43,-'انبار بارانداز'!G43,-'انبار هانگار'!G43)=0,"",SUM(تجمیعی!G43,-'انبار مسقف'!G43,-'انبار بارانداز'!G43,-'انبار هانگار'!G43)),"")</f>
        <v>2773</v>
      </c>
      <c r="H43" s="65" t="str">
        <f>I34</f>
        <v>لطف آباد</v>
      </c>
      <c r="I43" s="11" t="s">
        <v>15</v>
      </c>
      <c r="J43" s="143" t="str">
        <f>IFERROR(IF(SUM(تجمیعی!K43,-'انبار مسقف'!M43,-'انبار بارانداز'!M43,-'انبار هانگار'!M43)=0,"",SUM(تجمیعی!K43,-'انبار مسقف'!M43,-'انبار بارانداز'!M43,-'انبار هانگار'!M43)),"")</f>
        <v/>
      </c>
      <c r="K43" s="144" t="str">
        <f>IFERROR(IF(SUM(تجمیعی!L43,-'انبار مسقف'!N43,-'انبار بارانداز'!N43,-'انبار هانگار'!N43)=0,"",SUM(تجمیعی!L43,-'انبار مسقف'!N43,-'انبار بارانداز'!N43,-'انبار هانگار'!N43)),"")</f>
        <v/>
      </c>
      <c r="L43" s="144" t="str">
        <f>IFERROR(IF(SUM(تجمیعی!M43,-'انبار مسقف'!O43,-'انبار بارانداز'!O43,-'انبار هانگار'!O43)=0,"",SUM(تجمیعی!M43,-'انبار مسقف'!O43,-'انبار بارانداز'!O43,-'انبار هانگار'!O43)),"")</f>
        <v/>
      </c>
      <c r="M43" s="144">
        <f>IFERROR(IF(SUM(تجمیعی!N43,-'انبار مسقف'!P43,-'انبار بارانداز'!P43,-'انبار هانگار'!P43)=0,"",SUM(تجمیعی!N43,-'انبار مسقف'!P43,-'انبار بارانداز'!P43,-'انبار هانگار'!P43)),"")</f>
        <v>81270</v>
      </c>
      <c r="N43" s="145" t="str">
        <f>IFERROR(IF(SUM(تجمیعی!O43,-'انبار مسقف'!Q43,-'انبار بارانداز'!Q43,-'انبار هانگار'!Q43)=0,"",SUM(تجمیعی!O43,-'انبار مسقف'!Q43,-'انبار بارانداز'!Q43,-'انبار هانگار'!Q43)),"")</f>
        <v/>
      </c>
    </row>
    <row r="44" spans="1:14" x14ac:dyDescent="0.25">
      <c r="A44" s="65" t="str">
        <f>B34</f>
        <v>سرخس</v>
      </c>
      <c r="B44" s="11" t="s">
        <v>16</v>
      </c>
      <c r="C44" s="143" t="str">
        <f>IFERROR(IF(SUM(تجمیعی!C44,-'انبار مسقف'!C44,-'انبار بارانداز'!C44,-'انبار هانگار'!C44)=0,"",SUM(تجمیعی!C44,-'انبار مسقف'!C44,-'انبار بارانداز'!C44,-'انبار هانگار'!C44)),"")</f>
        <v/>
      </c>
      <c r="D44" s="144" t="str">
        <f>IFERROR(IF(SUM(تجمیعی!D44,-'انبار مسقف'!D44,-'انبار بارانداز'!D44,-'انبار هانگار'!D44)=0,"",SUM(تجمیعی!D44,-'انبار مسقف'!D44,-'انبار بارانداز'!D44,-'انبار هانگار'!D44)),"")</f>
        <v/>
      </c>
      <c r="E44" s="144" t="str">
        <f>IFERROR(IF(SUM(تجمیعی!E44,-'انبار مسقف'!E44,-'انبار بارانداز'!E44,-'انبار هانگار'!E44)=0,"",SUM(تجمیعی!E44,-'انبار مسقف'!E44,-'انبار بارانداز'!E44,-'انبار هانگار'!E44)),"")</f>
        <v/>
      </c>
      <c r="F44" s="144">
        <f>IFERROR(IF(SUM(تجمیعی!F44,-'انبار مسقف'!F44,-'انبار بارانداز'!F44,-'انبار هانگار'!F44)=0,"",SUM(تجمیعی!F44,-'انبار مسقف'!F44,-'انبار بارانداز'!F44,-'انبار هانگار'!F44)),"")</f>
        <v>14619</v>
      </c>
      <c r="G44" s="145">
        <f>IFERROR(IF(SUM(تجمیعی!G44,-'انبار مسقف'!G44,-'انبار بارانداز'!G44,-'انبار هانگار'!G44)=0,"",SUM(تجمیعی!G44,-'انبار مسقف'!G44,-'انبار بارانداز'!G44,-'انبار هانگار'!G44)),"")</f>
        <v>2024</v>
      </c>
      <c r="H44" s="65" t="str">
        <f>I34</f>
        <v>لطف آباد</v>
      </c>
      <c r="I44" s="11" t="s">
        <v>16</v>
      </c>
      <c r="J44" s="143" t="str">
        <f>IFERROR(IF(SUM(تجمیعی!K44,-'انبار مسقف'!M44,-'انبار بارانداز'!M44,-'انبار هانگار'!M44)=0,"",SUM(تجمیعی!K44,-'انبار مسقف'!M44,-'انبار بارانداز'!M44,-'انبار هانگار'!M44)),"")</f>
        <v/>
      </c>
      <c r="K44" s="144" t="str">
        <f>IFERROR(IF(SUM(تجمیعی!L44,-'انبار مسقف'!N44,-'انبار بارانداز'!N44,-'انبار هانگار'!N44)=0,"",SUM(تجمیعی!L44,-'انبار مسقف'!N44,-'انبار بارانداز'!N44,-'انبار هانگار'!N44)),"")</f>
        <v/>
      </c>
      <c r="L44" s="144" t="str">
        <f>IFERROR(IF(SUM(تجمیعی!M44,-'انبار مسقف'!O44,-'انبار بارانداز'!O44,-'انبار هانگار'!O44)=0,"",SUM(تجمیعی!M44,-'انبار مسقف'!O44,-'انبار بارانداز'!O44,-'انبار هانگار'!O44)),"")</f>
        <v/>
      </c>
      <c r="M44" s="144">
        <f>IFERROR(IF(SUM(تجمیعی!N44,-'انبار مسقف'!P44,-'انبار بارانداز'!P44,-'انبار هانگار'!P44)=0,"",SUM(تجمیعی!N44,-'انبار مسقف'!P44,-'انبار بارانداز'!P44,-'انبار هانگار'!P44)),"")</f>
        <v>84461</v>
      </c>
      <c r="N44" s="145" t="str">
        <f>IFERROR(IF(SUM(تجمیعی!O44,-'انبار مسقف'!Q44,-'انبار بارانداز'!Q44,-'انبار هانگار'!Q44)=0,"",SUM(تجمیعی!O44,-'انبار مسقف'!Q44,-'انبار بارانداز'!Q44,-'انبار هانگار'!Q44)),"")</f>
        <v/>
      </c>
    </row>
    <row r="45" spans="1:14" x14ac:dyDescent="0.25">
      <c r="A45" s="65" t="str">
        <f>B34</f>
        <v>سرخس</v>
      </c>
      <c r="B45" s="11" t="s">
        <v>17</v>
      </c>
      <c r="C45" s="143">
        <f>IFERROR(IF(SUM(تجمیعی!C45,-'انبار مسقف'!C45,-'انبار بارانداز'!C45,-'انبار هانگار'!C45)=0,"",SUM(تجمیعی!C45,-'انبار مسقف'!C45,-'انبار بارانداز'!C45,-'انبار هانگار'!C45)),"")</f>
        <v>4</v>
      </c>
      <c r="D45" s="144" t="str">
        <f>IFERROR(IF(SUM(تجمیعی!D45,-'انبار مسقف'!D45,-'انبار بارانداز'!D45,-'انبار هانگار'!D45)=0,"",SUM(تجمیعی!D45,-'انبار مسقف'!D45,-'انبار بارانداز'!D45,-'انبار هانگار'!D45)),"")</f>
        <v/>
      </c>
      <c r="E45" s="144" t="str">
        <f>IFERROR(IF(SUM(تجمیعی!E45,-'انبار مسقف'!E45,-'انبار بارانداز'!E45,-'انبار هانگار'!E45)=0,"",SUM(تجمیعی!E45,-'انبار مسقف'!E45,-'انبار بارانداز'!E45,-'انبار هانگار'!E45)),"")</f>
        <v/>
      </c>
      <c r="F45" s="144">
        <f>IFERROR(IF(SUM(تجمیعی!F45,-'انبار مسقف'!F45,-'انبار بارانداز'!F45,-'انبار هانگار'!F45)=0,"",SUM(تجمیعی!F45,-'انبار مسقف'!F45,-'انبار بارانداز'!F45,-'انبار هانگار'!F45)),"")</f>
        <v>17629</v>
      </c>
      <c r="G45" s="145">
        <f>IFERROR(IF(SUM(تجمیعی!G45,-'انبار مسقف'!G45,-'انبار بارانداز'!G45,-'انبار هانگار'!G45)=0,"",SUM(تجمیعی!G45,-'انبار مسقف'!G45,-'انبار بارانداز'!G45,-'انبار هانگار'!G45)),"")</f>
        <v>2484</v>
      </c>
      <c r="H45" s="65" t="str">
        <f>I34</f>
        <v>لطف آباد</v>
      </c>
      <c r="I45" s="11" t="s">
        <v>17</v>
      </c>
      <c r="J45" s="143" t="str">
        <f>IFERROR(IF(SUM(تجمیعی!K45,-'انبار مسقف'!M45,-'انبار بارانداز'!M45,-'انبار هانگار'!M45)=0,"",SUM(تجمیعی!K45,-'انبار مسقف'!M45,-'انبار بارانداز'!M45,-'انبار هانگار'!M45)),"")</f>
        <v/>
      </c>
      <c r="K45" s="144" t="str">
        <f>IFERROR(IF(SUM(تجمیعی!L45,-'انبار مسقف'!N45,-'انبار بارانداز'!N45,-'انبار هانگار'!N45)=0,"",SUM(تجمیعی!L45,-'انبار مسقف'!N45,-'انبار بارانداز'!N45,-'انبار هانگار'!N45)),"")</f>
        <v/>
      </c>
      <c r="L45" s="144" t="str">
        <f>IFERROR(IF(SUM(تجمیعی!M45,-'انبار مسقف'!O45,-'انبار بارانداز'!O45,-'انبار هانگار'!O45)=0,"",SUM(تجمیعی!M45,-'انبار مسقف'!O45,-'انبار بارانداز'!O45,-'انبار هانگار'!O45)),"")</f>
        <v/>
      </c>
      <c r="M45" s="144">
        <f>IFERROR(IF(SUM(تجمیعی!N45,-'انبار مسقف'!P45,-'انبار بارانداز'!P45,-'انبار هانگار'!P45)=0,"",SUM(تجمیعی!N45,-'انبار مسقف'!P45,-'انبار بارانداز'!P45,-'انبار هانگار'!P45)),"")</f>
        <v>84263</v>
      </c>
      <c r="N45" s="145" t="str">
        <f>IFERROR(IF(SUM(تجمیعی!O45,-'انبار مسقف'!Q45,-'انبار بارانداز'!Q45,-'انبار هانگار'!Q45)=0,"",SUM(تجمیعی!O45,-'انبار مسقف'!Q45,-'انبار بارانداز'!Q45,-'انبار هانگار'!Q45)),"")</f>
        <v/>
      </c>
    </row>
    <row r="46" spans="1:14" x14ac:dyDescent="0.25">
      <c r="A46" s="65" t="str">
        <f>B34</f>
        <v>سرخس</v>
      </c>
      <c r="B46" s="11" t="s">
        <v>18</v>
      </c>
      <c r="C46" s="143" t="str">
        <f>IFERROR(IF(SUM(تجمیعی!C46,-'انبار مسقف'!C46,-'انبار بارانداز'!C46,-'انبار هانگار'!C46)=0,"",SUM(تجمیعی!C46,-'انبار مسقف'!C46,-'انبار بارانداز'!C46,-'انبار هانگار'!C46)),"")</f>
        <v/>
      </c>
      <c r="D46" s="144" t="str">
        <f>IFERROR(IF(SUM(تجمیعی!D46,-'انبار مسقف'!D46,-'انبار بارانداز'!D46,-'انبار هانگار'!D46)=0,"",SUM(تجمیعی!D46,-'انبار مسقف'!D46,-'انبار بارانداز'!D46,-'انبار هانگار'!D46)),"")</f>
        <v/>
      </c>
      <c r="E46" s="144" t="str">
        <f>IFERROR(IF(SUM(تجمیعی!E46,-'انبار مسقف'!E46,-'انبار بارانداز'!E46,-'انبار هانگار'!E46)=0,"",SUM(تجمیعی!E46,-'انبار مسقف'!E46,-'انبار بارانداز'!E46,-'انبار هانگار'!E46)),"")</f>
        <v/>
      </c>
      <c r="F46" s="144">
        <f>IFERROR(IF(SUM(تجمیعی!F46,-'انبار مسقف'!F46,-'انبار بارانداز'!F46,-'انبار هانگار'!F46)=0,"",SUM(تجمیعی!F46,-'انبار مسقف'!F46,-'انبار بارانداز'!F46,-'انبار هانگار'!F46)),"")</f>
        <v>18635</v>
      </c>
      <c r="G46" s="145">
        <f>IFERROR(IF(SUM(تجمیعی!G46,-'انبار مسقف'!G46,-'انبار بارانداز'!G46,-'انبار هانگار'!G46)=0,"",SUM(تجمیعی!G46,-'انبار مسقف'!G46,-'انبار بارانداز'!G46,-'انبار هانگار'!G46)),"")</f>
        <v>2249</v>
      </c>
      <c r="H46" s="65" t="str">
        <f>I34</f>
        <v>لطف آباد</v>
      </c>
      <c r="I46" s="11" t="s">
        <v>18</v>
      </c>
      <c r="J46" s="143" t="str">
        <f>IFERROR(IF(SUM(تجمیعی!K46,-'انبار مسقف'!M46,-'انبار بارانداز'!M46,-'انبار هانگار'!M46)=0,"",SUM(تجمیعی!K46,-'انبار مسقف'!M46,-'انبار بارانداز'!M46,-'انبار هانگار'!M46)),"")</f>
        <v/>
      </c>
      <c r="K46" s="144" t="str">
        <f>IFERROR(IF(SUM(تجمیعی!L46,-'انبار مسقف'!N46,-'انبار بارانداز'!N46,-'انبار هانگار'!N46)=0,"",SUM(تجمیعی!L46,-'انبار مسقف'!N46,-'انبار بارانداز'!N46,-'انبار هانگار'!N46)),"")</f>
        <v/>
      </c>
      <c r="L46" s="144" t="str">
        <f>IFERROR(IF(SUM(تجمیعی!M46,-'انبار مسقف'!O46,-'انبار بارانداز'!O46,-'انبار هانگار'!O46)=0,"",SUM(تجمیعی!M46,-'انبار مسقف'!O46,-'انبار بارانداز'!O46,-'انبار هانگار'!O46)),"")</f>
        <v/>
      </c>
      <c r="M46" s="144">
        <f>IFERROR(IF(SUM(تجمیعی!N46,-'انبار مسقف'!P46,-'انبار بارانداز'!P46,-'انبار هانگار'!P46)=0,"",SUM(تجمیعی!N46,-'انبار مسقف'!P46,-'انبار بارانداز'!P46,-'انبار هانگار'!P46)),"")</f>
        <v>84744</v>
      </c>
      <c r="N46" s="145">
        <f>IFERROR(IF(SUM(تجمیعی!O46,-'انبار مسقف'!Q46,-'انبار بارانداز'!Q46,-'انبار هانگار'!Q46)=0,"",SUM(تجمیعی!O46,-'انبار مسقف'!Q46,-'انبار بارانداز'!Q46,-'انبار هانگار'!Q46)),"")</f>
        <v>-1</v>
      </c>
    </row>
    <row r="47" spans="1:14" ht="20.25" thickBot="1" x14ac:dyDescent="0.3">
      <c r="A47" s="65" t="str">
        <f>B34</f>
        <v>سرخس</v>
      </c>
      <c r="B47" s="16" t="s">
        <v>19</v>
      </c>
      <c r="C47" s="146" t="str">
        <f>IFERROR(IF(SUM(تجمیعی!C47,-'انبار مسقف'!C47,-'انبار بارانداز'!C47,-'انبار هانگار'!C47)=0,"",SUM(تجمیعی!C47,-'انبار مسقف'!C47,-'انبار بارانداز'!C47,-'انبار هانگار'!C47)),"")</f>
        <v/>
      </c>
      <c r="D47" s="147" t="str">
        <f>IFERROR(IF(SUM(تجمیعی!D47,-'انبار مسقف'!D47,-'انبار بارانداز'!D47,-'انبار هانگار'!D47)=0,"",SUM(تجمیعی!D47,-'انبار مسقف'!D47,-'انبار بارانداز'!D47,-'انبار هانگار'!D47)),"")</f>
        <v/>
      </c>
      <c r="E47" s="147" t="str">
        <f>IFERROR(IF(SUM(تجمیعی!E47,-'انبار مسقف'!E47,-'انبار بارانداز'!E47,-'انبار هانگار'!E47)=0,"",SUM(تجمیعی!E47,-'انبار مسقف'!E47,-'انبار بارانداز'!E47,-'انبار هانگار'!E47)),"")</f>
        <v/>
      </c>
      <c r="F47" s="147">
        <f>IFERROR(IF(SUM(تجمیعی!F47,-'انبار مسقف'!F47,-'انبار بارانداز'!F47,-'انبار هانگار'!F47)=0,"",SUM(تجمیعی!F47,-'انبار مسقف'!F47,-'انبار بارانداز'!F47,-'انبار هانگار'!F47)),"")</f>
        <v>9951</v>
      </c>
      <c r="G47" s="148">
        <f>IFERROR(IF(SUM(تجمیعی!G47,-'انبار مسقف'!G47,-'انبار بارانداز'!G47,-'انبار هانگار'!G47)=0,"",SUM(تجمیعی!G47,-'انبار مسقف'!G47,-'انبار بارانداز'!G47,-'انبار هانگار'!G47)),"")</f>
        <v>280</v>
      </c>
      <c r="H47" s="65" t="str">
        <f>I34</f>
        <v>لطف آباد</v>
      </c>
      <c r="I47" s="16" t="s">
        <v>19</v>
      </c>
      <c r="J47" s="146" t="str">
        <f>IFERROR(IF(SUM(تجمیعی!K47,-'انبار مسقف'!M47,-'انبار بارانداز'!M47,-'انبار هانگار'!M47)=0,"",SUM(تجمیعی!K47,-'انبار مسقف'!M47,-'انبار بارانداز'!M47,-'انبار هانگار'!M47)),"")</f>
        <v/>
      </c>
      <c r="K47" s="147" t="str">
        <f>IFERROR(IF(SUM(تجمیعی!L47,-'انبار مسقف'!N47,-'انبار بارانداز'!N47,-'انبار هانگار'!N47)=0,"",SUM(تجمیعی!L47,-'انبار مسقف'!N47,-'انبار بارانداز'!N47,-'انبار هانگار'!N47)),"")</f>
        <v/>
      </c>
      <c r="L47" s="147" t="str">
        <f>IFERROR(IF(SUM(تجمیعی!M47,-'انبار مسقف'!O47,-'انبار بارانداز'!O47,-'انبار هانگار'!O47)=0,"",SUM(تجمیعی!M47,-'انبار مسقف'!O47,-'انبار بارانداز'!O47,-'انبار هانگار'!O47)),"")</f>
        <v/>
      </c>
      <c r="M47" s="147">
        <f>IFERROR(IF(SUM(تجمیعی!N47,-'انبار مسقف'!P47,-'انبار بارانداز'!P47,-'انبار هانگار'!P47)=0,"",SUM(تجمیعی!N47,-'انبار مسقف'!P47,-'انبار بارانداز'!P47,-'انبار هانگار'!P47)),"")</f>
        <v>86761</v>
      </c>
      <c r="N47" s="148" t="str">
        <f>IFERROR(IF(SUM(تجمیعی!O47,-'انبار مسقف'!Q47,-'انبار بارانداز'!Q47,-'انبار هانگار'!Q47)=0,"",SUM(تجمیعی!O47,-'انبار مسقف'!Q47,-'انبار بارانداز'!Q47,-'انبار هانگار'!Q47)),"")</f>
        <v/>
      </c>
    </row>
    <row r="48" spans="1:14" ht="21" thickBot="1" x14ac:dyDescent="0.3">
      <c r="A48" s="65"/>
      <c r="B48" s="139" t="s">
        <v>6</v>
      </c>
      <c r="C48" s="152">
        <f>IFERROR(IF(SUM(تجمیعی!C48,-'انبار مسقف'!C48,-'انبار بارانداز'!C48,-'انبار هانگار'!C48)=0,"",SUM(تجمیعی!C48,-'انبار مسقف'!C48,-'انبار بارانداز'!C48,-'انبار هانگار'!C48)),"")</f>
        <v>3</v>
      </c>
      <c r="D48" s="153" t="str">
        <f>IFERROR(IF(SUM(تجمیعی!D48,-'انبار مسقف'!D48,-'انبار بارانداز'!D48,-'انبار هانگار'!D48)=0,"",SUM(تجمیعی!D48,-'انبار مسقف'!D48,-'انبار بارانداز'!D48,-'انبار هانگار'!D48)),"")</f>
        <v/>
      </c>
      <c r="E48" s="153" t="str">
        <f>IFERROR(IF(SUM(تجمیعی!E48,-'انبار مسقف'!E48,-'انبار بارانداز'!E48,-'انبار هانگار'!E48)=0,"",SUM(تجمیعی!E48,-'انبار مسقف'!E48,-'انبار بارانداز'!E48,-'انبار هانگار'!E48)),"")</f>
        <v/>
      </c>
      <c r="F48" s="153">
        <f>IFERROR(IF(SUM(تجمیعی!F48,-'انبار مسقف'!F48,-'انبار بارانداز'!F48,-'انبار هانگار'!F48)=0,"",SUM(تجمیعی!F48,-'انبار مسقف'!F48,-'انبار بارانداز'!F48,-'انبار هانگار'!F48)),"")</f>
        <v>146339</v>
      </c>
      <c r="G48" s="154" t="str">
        <f>IFERROR(IF(SUM(تجمیعی!G48,-'انبار مسقف'!G48,-'انبار بارانداز'!G48,-'انبار هانگار'!G48)=0,"",SUM(تجمیعی!G48,-'انبار مسقف'!G48,-'انبار بارانداز'!G48,-'انبار هانگار'!G48)),"")</f>
        <v/>
      </c>
      <c r="H48" s="65"/>
      <c r="I48" s="139" t="s">
        <v>6</v>
      </c>
      <c r="J48" s="152" t="str">
        <f>IFERROR(IF(SUM(تجمیعی!K48,-'انبار مسقف'!M48,-'انبار بارانداز'!M48,-'انبار هانگار'!M48)=0,"",SUM(تجمیعی!K48,-'انبار مسقف'!M48,-'انبار بارانداز'!M48,-'انبار هانگار'!M48)),"")</f>
        <v/>
      </c>
      <c r="K48" s="153" t="str">
        <f>IFERROR(IF(SUM(تجمیعی!L48,-'انبار مسقف'!N48,-'انبار بارانداز'!N48,-'انبار هانگار'!N48)=0,"",SUM(تجمیعی!L48,-'انبار مسقف'!N48,-'انبار بارانداز'!N48,-'انبار هانگار'!N48)),"")</f>
        <v/>
      </c>
      <c r="L48" s="153" t="str">
        <f>IFERROR(IF(SUM(تجمیعی!M48,-'انبار مسقف'!O48,-'انبار بارانداز'!O48,-'انبار هانگار'!O48)=0,"",SUM(تجمیعی!M48,-'انبار مسقف'!O48,-'انبار بارانداز'!O48,-'انبار هانگار'!O48)),"")</f>
        <v/>
      </c>
      <c r="M48" s="153">
        <f>IFERROR(IF(SUM(تجمیعی!N48,-'انبار مسقف'!P48,-'انبار بارانداز'!P48,-'انبار هانگار'!P48)=0,"",SUM(تجمیعی!N48,-'انبار مسقف'!P48,-'انبار بارانداز'!P48,-'انبار هانگار'!P48)),"")</f>
        <v>912076</v>
      </c>
      <c r="N48" s="154" t="str">
        <f>IFERROR(IF(SUM(تجمیعی!O48,-'انبار مسقف'!Q48,-'انبار بارانداز'!Q48,-'انبار هانگار'!Q48)=0,"",SUM(تجمیعی!O48,-'انبار مسقف'!Q48,-'انبار بارانداز'!Q48,-'انبار هانگار'!Q48)),"")</f>
        <v/>
      </c>
    </row>
    <row r="49" spans="1:14" ht="3.95" customHeight="1" thickBot="1" x14ac:dyDescent="0.3">
      <c r="A49" s="65"/>
      <c r="H49" s="65"/>
    </row>
    <row r="50" spans="1:14" ht="26.25" thickBot="1" x14ac:dyDescent="0.3">
      <c r="A50" s="65"/>
      <c r="B50" s="210" t="s">
        <v>25</v>
      </c>
      <c r="C50" s="211"/>
      <c r="D50" s="211"/>
      <c r="E50" s="211"/>
      <c r="F50" s="211"/>
      <c r="G50" s="212"/>
      <c r="H50" s="65"/>
      <c r="I50" s="210" t="s">
        <v>26</v>
      </c>
      <c r="J50" s="211"/>
      <c r="K50" s="211"/>
      <c r="L50" s="211"/>
      <c r="M50" s="211"/>
      <c r="N50" s="212"/>
    </row>
    <row r="51" spans="1:14" ht="21" thickBot="1" x14ac:dyDescent="0.3">
      <c r="A51" s="65"/>
      <c r="B51" s="135" t="s">
        <v>0</v>
      </c>
      <c r="C51" s="136" t="s">
        <v>1</v>
      </c>
      <c r="D51" s="137" t="s">
        <v>2</v>
      </c>
      <c r="E51" s="137" t="s">
        <v>3</v>
      </c>
      <c r="F51" s="137" t="s">
        <v>4</v>
      </c>
      <c r="G51" s="138" t="s">
        <v>5</v>
      </c>
      <c r="H51" s="65"/>
      <c r="I51" s="135" t="s">
        <v>0</v>
      </c>
      <c r="J51" s="136" t="s">
        <v>1</v>
      </c>
      <c r="K51" s="137" t="s">
        <v>2</v>
      </c>
      <c r="L51" s="137" t="s">
        <v>3</v>
      </c>
      <c r="M51" s="137" t="s">
        <v>4</v>
      </c>
      <c r="N51" s="138" t="s">
        <v>5</v>
      </c>
    </row>
    <row r="52" spans="1:14" x14ac:dyDescent="0.25">
      <c r="A52" s="65" t="str">
        <f>B50</f>
        <v>نیشابور</v>
      </c>
      <c r="B52" s="6" t="s">
        <v>8</v>
      </c>
      <c r="C52" s="140" t="str">
        <f>IFERROR(IF(SUM(تجمیعی!C52,-'انبار مسقف'!C52,-'انبار بارانداز'!C52,-'انبار هانگار'!C52)=0,"",SUM(تجمیعی!C52,-'انبار مسقف'!C52,-'انبار بارانداز'!C52,-'انبار هانگار'!C52)),"")</f>
        <v/>
      </c>
      <c r="D52" s="141" t="str">
        <f>IFERROR(IF(SUM(تجمیعی!D52,-'انبار مسقف'!D52,-'انبار بارانداز'!D52,-'انبار هانگار'!D52)=0,"",SUM(تجمیعی!D52,-'انبار مسقف'!D52,-'انبار بارانداز'!D52,-'انبار هانگار'!D52)),"")</f>
        <v/>
      </c>
      <c r="E52" s="141" t="str">
        <f>IFERROR(IF(SUM(تجمیعی!E52,-'انبار مسقف'!E52,-'انبار بارانداز'!E52,-'انبار هانگار'!E52)=0,"",SUM(تجمیعی!E52,-'انبار مسقف'!E52,-'انبار بارانداز'!E52,-'انبار هانگار'!E52)),"")</f>
        <v/>
      </c>
      <c r="F52" s="141" t="str">
        <f>IFERROR(IF(SUM(تجمیعی!F52,-'انبار مسقف'!F52,-'انبار بارانداز'!F52,-'انبار هانگار'!F52)=0,"",SUM(تجمیعی!F52,-'انبار مسقف'!F52,-'انبار بارانداز'!F52,-'انبار هانگار'!F52)),"")</f>
        <v/>
      </c>
      <c r="G52" s="142">
        <f>IFERROR(IF(SUM(تجمیعی!G52,-'انبار مسقف'!G52,-'انبار بارانداز'!G52,-'انبار هانگار'!G52)=0,"",SUM(تجمیعی!G52,-'انبار مسقف'!G52,-'انبار بارانداز'!G52,-'انبار هانگار'!G52)),"")</f>
        <v>6915</v>
      </c>
      <c r="H52" s="65" t="str">
        <f>I50</f>
        <v>دوغارون</v>
      </c>
      <c r="I52" s="6" t="s">
        <v>8</v>
      </c>
      <c r="J52" s="140" t="str">
        <f>IFERROR(IF(SUM(تجمیعی!K52,-'انبار مسقف'!M52,-'انبار بارانداز'!M52,-'انبار هانگار'!M52)=0,"",SUM(تجمیعی!K52,-'انبار مسقف'!M52,-'انبار بارانداز'!M52,-'انبار هانگار'!M52)),"")</f>
        <v/>
      </c>
      <c r="K52" s="141" t="str">
        <f>IFERROR(IF(SUM(تجمیعی!L52,-'انبار مسقف'!N52,-'انبار بارانداز'!N52,-'انبار هانگار'!N52)=0,"",SUM(تجمیعی!L52,-'انبار مسقف'!N52,-'انبار بارانداز'!N52,-'انبار هانگار'!N52)),"")</f>
        <v/>
      </c>
      <c r="L52" s="141" t="str">
        <f>IFERROR(IF(SUM(تجمیعی!M52,-'انبار مسقف'!O52,-'انبار بارانداز'!O52,-'انبار هانگار'!O52)=0,"",SUM(تجمیعی!M52,-'انبار مسقف'!O52,-'انبار بارانداز'!O52,-'انبار هانگار'!O52)),"")</f>
        <v/>
      </c>
      <c r="M52" s="141">
        <f>IFERROR(IF(SUM(تجمیعی!N52,-'انبار مسقف'!P52,-'انبار بارانداز'!P52,-'انبار هانگار'!P52)=0,"",SUM(تجمیعی!N52,-'انبار مسقف'!P52,-'انبار بارانداز'!P52,-'انبار هانگار'!P52)),"")</f>
        <v>5084</v>
      </c>
      <c r="N52" s="142">
        <f>IFERROR(IF(SUM(تجمیعی!O52,-'انبار مسقف'!Q52,-'انبار بارانداز'!Q52,-'انبار هانگار'!Q52)=0,"",SUM(تجمیعی!O52,-'انبار مسقف'!Q52,-'انبار بارانداز'!Q52,-'انبار هانگار'!Q52)),"")</f>
        <v>10171</v>
      </c>
    </row>
    <row r="53" spans="1:14" x14ac:dyDescent="0.25">
      <c r="A53" s="65" t="str">
        <f>B50</f>
        <v>نیشابور</v>
      </c>
      <c r="B53" s="11" t="s">
        <v>9</v>
      </c>
      <c r="C53" s="143" t="str">
        <f>IFERROR(IF(SUM(تجمیعی!C53,-'انبار مسقف'!C53,-'انبار بارانداز'!C53,-'انبار هانگار'!C53)=0,"",SUM(تجمیعی!C53,-'انبار مسقف'!C53,-'انبار بارانداز'!C53,-'انبار هانگار'!C53)),"")</f>
        <v/>
      </c>
      <c r="D53" s="144">
        <f>IFERROR(IF(SUM(تجمیعی!D53,-'انبار مسقف'!D53,-'انبار بارانداز'!D53,-'انبار هانگار'!D53)=0,"",SUM(تجمیعی!D53,-'انبار مسقف'!D53,-'انبار بارانداز'!D53,-'انبار هانگار'!D53)),"")</f>
        <v>-17</v>
      </c>
      <c r="E53" s="144" t="str">
        <f>IFERROR(IF(SUM(تجمیعی!E53,-'انبار مسقف'!E53,-'انبار بارانداز'!E53,-'انبار هانگار'!E53)=0,"",SUM(تجمیعی!E53,-'انبار مسقف'!E53,-'انبار بارانداز'!E53,-'انبار هانگار'!E53)),"")</f>
        <v/>
      </c>
      <c r="F53" s="144" t="str">
        <f>IFERROR(IF(SUM(تجمیعی!F53,-'انبار مسقف'!F53,-'انبار بارانداز'!F53,-'انبار هانگار'!F53)=0,"",SUM(تجمیعی!F53,-'انبار مسقف'!F53,-'انبار بارانداز'!F53,-'انبار هانگار'!F53)),"")</f>
        <v/>
      </c>
      <c r="G53" s="145">
        <f>IFERROR(IF(SUM(تجمیعی!G53,-'انبار مسقف'!G53,-'انبار بارانداز'!G53,-'انبار هانگار'!G53)=0,"",SUM(تجمیعی!G53,-'انبار مسقف'!G53,-'انبار بارانداز'!G53,-'انبار هانگار'!G53)),"")</f>
        <v>6205</v>
      </c>
      <c r="H53" s="65" t="str">
        <f>I50</f>
        <v>دوغارون</v>
      </c>
      <c r="I53" s="11" t="s">
        <v>9</v>
      </c>
      <c r="J53" s="143" t="str">
        <f>IFERROR(IF(SUM(تجمیعی!K53,-'انبار مسقف'!M53,-'انبار بارانداز'!M53,-'انبار هانگار'!M53)=0,"",SUM(تجمیعی!K53,-'انبار مسقف'!M53,-'انبار بارانداز'!M53,-'انبار هانگار'!M53)),"")</f>
        <v/>
      </c>
      <c r="K53" s="144" t="str">
        <f>IFERROR(IF(SUM(تجمیعی!L53,-'انبار مسقف'!N53,-'انبار بارانداز'!N53,-'انبار هانگار'!N53)=0,"",SUM(تجمیعی!L53,-'انبار مسقف'!N53,-'انبار بارانداز'!N53,-'انبار هانگار'!N53)),"")</f>
        <v/>
      </c>
      <c r="L53" s="144">
        <f>IFERROR(IF(SUM(تجمیعی!M53,-'انبار مسقف'!O53,-'انبار بارانداز'!O53,-'انبار هانگار'!O53)=0,"",SUM(تجمیعی!M53,-'انبار مسقف'!O53,-'انبار بارانداز'!O53,-'انبار هانگار'!O53)),"")</f>
        <v>50</v>
      </c>
      <c r="M53" s="144">
        <f>IFERROR(IF(SUM(تجمیعی!N53,-'انبار مسقف'!P53,-'انبار بارانداز'!P53,-'انبار هانگار'!P53)=0,"",SUM(تجمیعی!N53,-'انبار مسقف'!P53,-'انبار بارانداز'!P53,-'انبار هانگار'!P53)),"")</f>
        <v>7806</v>
      </c>
      <c r="N53" s="145">
        <f>IFERROR(IF(SUM(تجمیعی!O53,-'انبار مسقف'!Q53,-'انبار بارانداز'!Q53,-'انبار هانگار'!Q53)=0,"",SUM(تجمیعی!O53,-'انبار مسقف'!Q53,-'انبار بارانداز'!Q53,-'انبار هانگار'!Q53)),"")</f>
        <v>9521</v>
      </c>
    </row>
    <row r="54" spans="1:14" x14ac:dyDescent="0.25">
      <c r="A54" s="65" t="str">
        <f>B50</f>
        <v>نیشابور</v>
      </c>
      <c r="B54" s="11" t="s">
        <v>10</v>
      </c>
      <c r="C54" s="143" t="str">
        <f>IFERROR(IF(SUM(تجمیعی!C54,-'انبار مسقف'!C54,-'انبار بارانداز'!C54,-'انبار هانگار'!C54)=0,"",SUM(تجمیعی!C54,-'انبار مسقف'!C54,-'انبار بارانداز'!C54,-'انبار هانگار'!C54)),"")</f>
        <v/>
      </c>
      <c r="D54" s="144" t="str">
        <f>IFERROR(IF(SUM(تجمیعی!D54,-'انبار مسقف'!D54,-'انبار بارانداز'!D54,-'انبار هانگار'!D54)=0,"",SUM(تجمیعی!D54,-'انبار مسقف'!D54,-'انبار بارانداز'!D54,-'انبار هانگار'!D54)),"")</f>
        <v/>
      </c>
      <c r="E54" s="144" t="str">
        <f>IFERROR(IF(SUM(تجمیعی!E54,-'انبار مسقف'!E54,-'انبار بارانداز'!E54,-'انبار هانگار'!E54)=0,"",SUM(تجمیعی!E54,-'انبار مسقف'!E54,-'انبار بارانداز'!E54,-'انبار هانگار'!E54)),"")</f>
        <v/>
      </c>
      <c r="F54" s="144" t="str">
        <f>IFERROR(IF(SUM(تجمیعی!F54,-'انبار مسقف'!F54,-'انبار بارانداز'!F54,-'انبار هانگار'!F54)=0,"",SUM(تجمیعی!F54,-'انبار مسقف'!F54,-'انبار بارانداز'!F54,-'انبار هانگار'!F54)),"")</f>
        <v/>
      </c>
      <c r="G54" s="145">
        <f>IFERROR(IF(SUM(تجمیعی!G54,-'انبار مسقف'!G54,-'انبار بارانداز'!G54,-'انبار هانگار'!G54)=0,"",SUM(تجمیعی!G54,-'انبار مسقف'!G54,-'انبار بارانداز'!G54,-'انبار هانگار'!G54)),"")</f>
        <v>5203</v>
      </c>
      <c r="H54" s="65" t="str">
        <f>I50</f>
        <v>دوغارون</v>
      </c>
      <c r="I54" s="11" t="s">
        <v>10</v>
      </c>
      <c r="J54" s="143" t="str">
        <f>IFERROR(IF(SUM(تجمیعی!K54,-'انبار مسقف'!M54,-'انبار بارانداز'!M54,-'انبار هانگار'!M54)=0,"",SUM(تجمیعی!K54,-'انبار مسقف'!M54,-'انبار بارانداز'!M54,-'انبار هانگار'!M54)),"")</f>
        <v/>
      </c>
      <c r="K54" s="144" t="str">
        <f>IFERROR(IF(SUM(تجمیعی!L54,-'انبار مسقف'!N54,-'انبار بارانداز'!N54,-'انبار هانگار'!N54)=0,"",SUM(تجمیعی!L54,-'انبار مسقف'!N54,-'انبار بارانداز'!N54,-'انبار هانگار'!N54)),"")</f>
        <v/>
      </c>
      <c r="L54" s="144" t="str">
        <f>IFERROR(IF(SUM(تجمیعی!M54,-'انبار مسقف'!O54,-'انبار بارانداز'!O54,-'انبار هانگار'!O54)=0,"",SUM(تجمیعی!M54,-'انبار مسقف'!O54,-'انبار بارانداز'!O54,-'انبار هانگار'!O54)),"")</f>
        <v/>
      </c>
      <c r="M54" s="144">
        <f>IFERROR(IF(SUM(تجمیعی!N54,-'انبار مسقف'!P54,-'انبار بارانداز'!P54,-'انبار هانگار'!P54)=0,"",SUM(تجمیعی!N54,-'انبار مسقف'!P54,-'انبار بارانداز'!P54,-'انبار هانگار'!P54)),"")</f>
        <v>5073</v>
      </c>
      <c r="N54" s="145">
        <f>IFERROR(IF(SUM(تجمیعی!O54,-'انبار مسقف'!Q54,-'انبار بارانداز'!Q54,-'انبار هانگار'!Q54)=0,"",SUM(تجمیعی!O54,-'انبار مسقف'!Q54,-'انبار بارانداز'!Q54,-'انبار هانگار'!Q54)),"")</f>
        <v>9314</v>
      </c>
    </row>
    <row r="55" spans="1:14" x14ac:dyDescent="0.25">
      <c r="A55" s="65" t="str">
        <f>B50</f>
        <v>نیشابور</v>
      </c>
      <c r="B55" s="11" t="s">
        <v>11</v>
      </c>
      <c r="C55" s="143" t="str">
        <f>IFERROR(IF(SUM(تجمیعی!C55,-'انبار مسقف'!C55,-'انبار بارانداز'!C55,-'انبار هانگار'!C55)=0,"",SUM(تجمیعی!C55,-'انبار مسقف'!C55,-'انبار بارانداز'!C55,-'انبار هانگار'!C55)),"")</f>
        <v/>
      </c>
      <c r="D55" s="144" t="str">
        <f>IFERROR(IF(SUM(تجمیعی!D55,-'انبار مسقف'!D55,-'انبار بارانداز'!D55,-'انبار هانگار'!D55)=0,"",SUM(تجمیعی!D55,-'انبار مسقف'!D55,-'انبار بارانداز'!D55,-'انبار هانگار'!D55)),"")</f>
        <v/>
      </c>
      <c r="E55" s="144" t="str">
        <f>IFERROR(IF(SUM(تجمیعی!E55,-'انبار مسقف'!E55,-'انبار بارانداز'!E55,-'انبار هانگار'!E55)=0,"",SUM(تجمیعی!E55,-'انبار مسقف'!E55,-'انبار بارانداز'!E55,-'انبار هانگار'!E55)),"")</f>
        <v/>
      </c>
      <c r="F55" s="144" t="str">
        <f>IFERROR(IF(SUM(تجمیعی!F55,-'انبار مسقف'!F55,-'انبار بارانداز'!F55,-'انبار هانگار'!F55)=0,"",SUM(تجمیعی!F55,-'انبار مسقف'!F55,-'انبار بارانداز'!F55,-'انبار هانگار'!F55)),"")</f>
        <v/>
      </c>
      <c r="G55" s="145">
        <f>IFERROR(IF(SUM(تجمیعی!G55,-'انبار مسقف'!G55,-'انبار بارانداز'!G55,-'انبار هانگار'!G55)=0,"",SUM(تجمیعی!G55,-'انبار مسقف'!G55,-'انبار بارانداز'!G55,-'انبار هانگار'!G55)),"")</f>
        <v>4080</v>
      </c>
      <c r="H55" s="65" t="str">
        <f>I50</f>
        <v>دوغارون</v>
      </c>
      <c r="I55" s="11" t="s">
        <v>11</v>
      </c>
      <c r="J55" s="143" t="str">
        <f>IFERROR(IF(SUM(تجمیعی!K55,-'انبار مسقف'!M55,-'انبار بارانداز'!M55,-'انبار هانگار'!M55)=0,"",SUM(تجمیعی!K55,-'انبار مسقف'!M55,-'انبار بارانداز'!M55,-'انبار هانگار'!M55)),"")</f>
        <v/>
      </c>
      <c r="K55" s="144" t="str">
        <f>IFERROR(IF(SUM(تجمیعی!L55,-'انبار مسقف'!N55,-'انبار بارانداز'!N55,-'انبار هانگار'!N55)=0,"",SUM(تجمیعی!L55,-'انبار مسقف'!N55,-'انبار بارانداز'!N55,-'انبار هانگار'!N55)),"")</f>
        <v/>
      </c>
      <c r="L55" s="144" t="str">
        <f>IFERROR(IF(SUM(تجمیعی!M55,-'انبار مسقف'!O55,-'انبار بارانداز'!O55,-'انبار هانگار'!O55)=0,"",SUM(تجمیعی!M55,-'انبار مسقف'!O55,-'انبار بارانداز'!O55,-'انبار هانگار'!O55)),"")</f>
        <v/>
      </c>
      <c r="M55" s="144">
        <f>IFERROR(IF(SUM(تجمیعی!N55,-'انبار مسقف'!P55,-'انبار بارانداز'!P55,-'انبار هانگار'!P55)=0,"",SUM(تجمیعی!N55,-'انبار مسقف'!P55,-'انبار بارانداز'!P55,-'انبار هانگار'!P55)),"")</f>
        <v>9685</v>
      </c>
      <c r="N55" s="145">
        <f>IFERROR(IF(SUM(تجمیعی!O55,-'انبار مسقف'!Q55,-'انبار بارانداز'!Q55,-'انبار هانگار'!Q55)=0,"",SUM(تجمیعی!O55,-'انبار مسقف'!Q55,-'انبار بارانداز'!Q55,-'انبار هانگار'!Q55)),"")</f>
        <v>8815</v>
      </c>
    </row>
    <row r="56" spans="1:14" x14ac:dyDescent="0.25">
      <c r="A56" s="65" t="str">
        <f>B50</f>
        <v>نیشابور</v>
      </c>
      <c r="B56" s="11" t="s">
        <v>12</v>
      </c>
      <c r="C56" s="143">
        <f>IFERROR(IF(SUM(تجمیعی!C56,-'انبار مسقف'!C56,-'انبار بارانداز'!C56,-'انبار هانگار'!C56)=0,"",SUM(تجمیعی!C56,-'انبار مسقف'!C56,-'انبار بارانداز'!C56,-'انبار هانگار'!C56)),"")</f>
        <v>3</v>
      </c>
      <c r="D56" s="144" t="str">
        <f>IFERROR(IF(SUM(تجمیعی!D56,-'انبار مسقف'!D56,-'انبار بارانداز'!D56,-'انبار هانگار'!D56)=0,"",SUM(تجمیعی!D56,-'انبار مسقف'!D56,-'انبار بارانداز'!D56,-'انبار هانگار'!D56)),"")</f>
        <v/>
      </c>
      <c r="E56" s="144">
        <f>IFERROR(IF(SUM(تجمیعی!E56,-'انبار مسقف'!E56,-'انبار بارانداز'!E56,-'انبار هانگار'!E56)=0,"",SUM(تجمیعی!E56,-'انبار مسقف'!E56,-'انبار بارانداز'!E56,-'انبار هانگار'!E56)),"")</f>
        <v>1</v>
      </c>
      <c r="F56" s="144" t="str">
        <f>IFERROR(IF(SUM(تجمیعی!F56,-'انبار مسقف'!F56,-'انبار بارانداز'!F56,-'انبار هانگار'!F56)=0,"",SUM(تجمیعی!F56,-'انبار مسقف'!F56,-'انبار بارانداز'!F56,-'انبار هانگار'!F56)),"")</f>
        <v/>
      </c>
      <c r="G56" s="145">
        <f>IFERROR(IF(SUM(تجمیعی!G56,-'انبار مسقف'!G56,-'انبار بارانداز'!G56,-'انبار هانگار'!G56)=0,"",SUM(تجمیعی!G56,-'انبار مسقف'!G56,-'انبار بارانداز'!G56,-'انبار هانگار'!G56)),"")</f>
        <v>3099</v>
      </c>
      <c r="H56" s="65" t="str">
        <f>I50</f>
        <v>دوغارون</v>
      </c>
      <c r="I56" s="11" t="s">
        <v>12</v>
      </c>
      <c r="J56" s="143" t="str">
        <f>IFERROR(IF(SUM(تجمیعی!K56,-'انبار مسقف'!M56,-'انبار بارانداز'!M56,-'انبار هانگار'!M56)=0,"",SUM(تجمیعی!K56,-'انبار مسقف'!M56,-'انبار بارانداز'!M56,-'انبار هانگار'!M56)),"")</f>
        <v/>
      </c>
      <c r="K56" s="144" t="str">
        <f>IFERROR(IF(SUM(تجمیعی!L56,-'انبار مسقف'!N56,-'انبار بارانداز'!N56,-'انبار هانگار'!N56)=0,"",SUM(تجمیعی!L56,-'انبار مسقف'!N56,-'انبار بارانداز'!N56,-'انبار هانگار'!N56)),"")</f>
        <v/>
      </c>
      <c r="L56" s="144" t="str">
        <f>IFERROR(IF(SUM(تجمیعی!M56,-'انبار مسقف'!O56,-'انبار بارانداز'!O56,-'انبار هانگار'!O56)=0,"",SUM(تجمیعی!M56,-'انبار مسقف'!O56,-'انبار بارانداز'!O56,-'انبار هانگار'!O56)),"")</f>
        <v/>
      </c>
      <c r="M56" s="144">
        <f>IFERROR(IF(SUM(تجمیعی!N56,-'انبار مسقف'!P56,-'انبار بارانداز'!P56,-'انبار هانگار'!P56)=0,"",SUM(تجمیعی!N56,-'انبار مسقف'!P56,-'انبار بارانداز'!P56,-'انبار هانگار'!P56)),"")</f>
        <v>9860</v>
      </c>
      <c r="N56" s="145">
        <f>IFERROR(IF(SUM(تجمیعی!O56,-'انبار مسقف'!Q56,-'انبار بارانداز'!Q56,-'انبار هانگار'!Q56)=0,"",SUM(تجمیعی!O56,-'انبار مسقف'!Q56,-'انبار بارانداز'!Q56,-'انبار هانگار'!Q56)),"")</f>
        <v>1019</v>
      </c>
    </row>
    <row r="57" spans="1:14" x14ac:dyDescent="0.25">
      <c r="A57" s="65" t="str">
        <f>B50</f>
        <v>نیشابور</v>
      </c>
      <c r="B57" s="11" t="s">
        <v>13</v>
      </c>
      <c r="C57" s="143" t="str">
        <f>IFERROR(IF(SUM(تجمیعی!C57,-'انبار مسقف'!C57,-'انبار بارانداز'!C57,-'انبار هانگار'!C57)=0,"",SUM(تجمیعی!C57,-'انبار مسقف'!C57,-'انبار بارانداز'!C57,-'انبار هانگار'!C57)),"")</f>
        <v/>
      </c>
      <c r="D57" s="144" t="str">
        <f>IFERROR(IF(SUM(تجمیعی!D57,-'انبار مسقف'!D57,-'انبار بارانداز'!D57,-'انبار هانگار'!D57)=0,"",SUM(تجمیعی!D57,-'انبار مسقف'!D57,-'انبار بارانداز'!D57,-'انبار هانگار'!D57)),"")</f>
        <v/>
      </c>
      <c r="E57" s="144" t="str">
        <f>IFERROR(IF(SUM(تجمیعی!E57,-'انبار مسقف'!E57,-'انبار بارانداز'!E57,-'انبار هانگار'!E57)=0,"",SUM(تجمیعی!E57,-'انبار مسقف'!E57,-'انبار بارانداز'!E57,-'انبار هانگار'!E57)),"")</f>
        <v/>
      </c>
      <c r="F57" s="144" t="str">
        <f>IFERROR(IF(SUM(تجمیعی!F57,-'انبار مسقف'!F57,-'انبار بارانداز'!F57,-'انبار هانگار'!F57)=0,"",SUM(تجمیعی!F57,-'انبار مسقف'!F57,-'انبار بارانداز'!F57,-'انبار هانگار'!F57)),"")</f>
        <v/>
      </c>
      <c r="G57" s="145">
        <f>IFERROR(IF(SUM(تجمیعی!G57,-'انبار مسقف'!G57,-'انبار بارانداز'!G57,-'انبار هانگار'!G57)=0,"",SUM(تجمیعی!G57,-'انبار مسقف'!G57,-'انبار بارانداز'!G57,-'انبار هانگار'!G57)),"")</f>
        <v>3181</v>
      </c>
      <c r="H57" s="65" t="str">
        <f>I50</f>
        <v>دوغارون</v>
      </c>
      <c r="I57" s="11" t="s">
        <v>13</v>
      </c>
      <c r="J57" s="143" t="str">
        <f>IFERROR(IF(SUM(تجمیعی!K57,-'انبار مسقف'!M57,-'انبار بارانداز'!M57,-'انبار هانگار'!M57)=0,"",SUM(تجمیعی!K57,-'انبار مسقف'!M57,-'انبار بارانداز'!M57,-'انبار هانگار'!M57)),"")</f>
        <v/>
      </c>
      <c r="K57" s="144" t="str">
        <f>IFERROR(IF(SUM(تجمیعی!L57,-'انبار مسقف'!N57,-'انبار بارانداز'!N57,-'انبار هانگار'!N57)=0,"",SUM(تجمیعی!L57,-'انبار مسقف'!N57,-'انبار بارانداز'!N57,-'انبار هانگار'!N57)),"")</f>
        <v/>
      </c>
      <c r="L57" s="144" t="str">
        <f>IFERROR(IF(SUM(تجمیعی!M57,-'انبار مسقف'!O57,-'انبار بارانداز'!O57,-'انبار هانگار'!O57)=0,"",SUM(تجمیعی!M57,-'انبار مسقف'!O57,-'انبار بارانداز'!O57,-'انبار هانگار'!O57)),"")</f>
        <v/>
      </c>
      <c r="M57" s="144">
        <f>IFERROR(IF(SUM(تجمیعی!N57,-'انبار مسقف'!P57,-'انبار بارانداز'!P57,-'انبار هانگار'!P57)=0,"",SUM(تجمیعی!N57,-'انبار مسقف'!P57,-'انبار بارانداز'!P57,-'انبار هانگار'!P57)),"")</f>
        <v>13031</v>
      </c>
      <c r="N57" s="145">
        <f>IFERROR(IF(SUM(تجمیعی!O57,-'انبار مسقف'!Q57,-'انبار بارانداز'!Q57,-'انبار هانگار'!Q57)=0,"",SUM(تجمیعی!O57,-'انبار مسقف'!Q57,-'انبار بارانداز'!Q57,-'انبار هانگار'!Q57)),"")</f>
        <v>1413</v>
      </c>
    </row>
    <row r="58" spans="1:14" x14ac:dyDescent="0.25">
      <c r="A58" s="65" t="str">
        <f>B50</f>
        <v>نیشابور</v>
      </c>
      <c r="B58" s="11" t="s">
        <v>14</v>
      </c>
      <c r="C58" s="143" t="str">
        <f>IFERROR(IF(SUM(تجمیعی!C58,-'انبار مسقف'!C58,-'انبار بارانداز'!C58,-'انبار هانگار'!C58)=0,"",SUM(تجمیعی!C58,-'انبار مسقف'!C58,-'انبار بارانداز'!C58,-'انبار هانگار'!C58)),"")</f>
        <v/>
      </c>
      <c r="D58" s="144" t="str">
        <f>IFERROR(IF(SUM(تجمیعی!D58,-'انبار مسقف'!D58,-'انبار بارانداز'!D58,-'انبار هانگار'!D58)=0,"",SUM(تجمیعی!D58,-'انبار مسقف'!D58,-'انبار بارانداز'!D58,-'انبار هانگار'!D58)),"")</f>
        <v/>
      </c>
      <c r="E58" s="144" t="str">
        <f>IFERROR(IF(SUM(تجمیعی!E58,-'انبار مسقف'!E58,-'انبار بارانداز'!E58,-'انبار هانگار'!E58)=0,"",SUM(تجمیعی!E58,-'انبار مسقف'!E58,-'انبار بارانداز'!E58,-'انبار هانگار'!E58)),"")</f>
        <v/>
      </c>
      <c r="F58" s="144" t="str">
        <f>IFERROR(IF(SUM(تجمیعی!F58,-'انبار مسقف'!F58,-'انبار بارانداز'!F58,-'انبار هانگار'!F58)=0,"",SUM(تجمیعی!F58,-'انبار مسقف'!F58,-'انبار بارانداز'!F58,-'انبار هانگار'!F58)),"")</f>
        <v/>
      </c>
      <c r="G58" s="145">
        <f>IFERROR(IF(SUM(تجمیعی!G58,-'انبار مسقف'!G58,-'انبار بارانداز'!G58,-'انبار هانگار'!G58)=0,"",SUM(تجمیعی!G58,-'انبار مسقف'!G58,-'انبار بارانداز'!G58,-'انبار هانگار'!G58)),"")</f>
        <v>3563</v>
      </c>
      <c r="H58" s="65" t="str">
        <f>I50</f>
        <v>دوغارون</v>
      </c>
      <c r="I58" s="11" t="s">
        <v>14</v>
      </c>
      <c r="J58" s="143" t="str">
        <f>IFERROR(IF(SUM(تجمیعی!K58,-'انبار مسقف'!M58,-'انبار بارانداز'!M58,-'انبار هانگار'!M58)=0,"",SUM(تجمیعی!K58,-'انبار مسقف'!M58,-'انبار بارانداز'!M58,-'انبار هانگار'!M58)),"")</f>
        <v/>
      </c>
      <c r="K58" s="144" t="str">
        <f>IFERROR(IF(SUM(تجمیعی!L58,-'انبار مسقف'!N58,-'انبار بارانداز'!N58,-'انبار هانگار'!N58)=0,"",SUM(تجمیعی!L58,-'انبار مسقف'!N58,-'انبار بارانداز'!N58,-'انبار هانگار'!N58)),"")</f>
        <v/>
      </c>
      <c r="L58" s="144" t="str">
        <f>IFERROR(IF(SUM(تجمیعی!M58,-'انبار مسقف'!O58,-'انبار بارانداز'!O58,-'انبار هانگار'!O58)=0,"",SUM(تجمیعی!M58,-'انبار مسقف'!O58,-'انبار بارانداز'!O58,-'انبار هانگار'!O58)),"")</f>
        <v/>
      </c>
      <c r="M58" s="144">
        <f>IFERROR(IF(SUM(تجمیعی!N58,-'انبار مسقف'!P58,-'انبار بارانداز'!P58,-'انبار هانگار'!P58)=0,"",SUM(تجمیعی!N58,-'انبار مسقف'!P58,-'انبار بارانداز'!P58,-'انبار هانگار'!P58)),"")</f>
        <v>21917</v>
      </c>
      <c r="N58" s="145">
        <f>IFERROR(IF(SUM(تجمیعی!O58,-'انبار مسقف'!Q58,-'انبار بارانداز'!Q58,-'انبار هانگار'!Q58)=0,"",SUM(تجمیعی!O58,-'انبار مسقف'!Q58,-'انبار بارانداز'!Q58,-'انبار هانگار'!Q58)),"")</f>
        <v>1731</v>
      </c>
    </row>
    <row r="59" spans="1:14" x14ac:dyDescent="0.25">
      <c r="A59" s="65" t="str">
        <f>B50</f>
        <v>نیشابور</v>
      </c>
      <c r="B59" s="11" t="s">
        <v>15</v>
      </c>
      <c r="C59" s="143" t="str">
        <f>IFERROR(IF(SUM(تجمیعی!C59,-'انبار مسقف'!C59,-'انبار بارانداز'!C59,-'انبار هانگار'!C59)=0,"",SUM(تجمیعی!C59,-'انبار مسقف'!C59,-'انبار بارانداز'!C59,-'انبار هانگار'!C59)),"")</f>
        <v/>
      </c>
      <c r="D59" s="144" t="str">
        <f>IFERROR(IF(SUM(تجمیعی!D59,-'انبار مسقف'!D59,-'انبار بارانداز'!D59,-'انبار هانگار'!D59)=0,"",SUM(تجمیعی!D59,-'انبار مسقف'!D59,-'انبار بارانداز'!D59,-'انبار هانگار'!D59)),"")</f>
        <v/>
      </c>
      <c r="E59" s="144" t="str">
        <f>IFERROR(IF(SUM(تجمیعی!E59,-'انبار مسقف'!E59,-'انبار بارانداز'!E59,-'انبار هانگار'!E59)=0,"",SUM(تجمیعی!E59,-'انبار مسقف'!E59,-'انبار بارانداز'!E59,-'انبار هانگار'!E59)),"")</f>
        <v/>
      </c>
      <c r="F59" s="144" t="str">
        <f>IFERROR(IF(SUM(تجمیعی!F59,-'انبار مسقف'!F59,-'انبار بارانداز'!F59,-'انبار هانگار'!F59)=0,"",SUM(تجمیعی!F59,-'انبار مسقف'!F59,-'انبار بارانداز'!F59,-'انبار هانگار'!F59)),"")</f>
        <v/>
      </c>
      <c r="G59" s="145">
        <f>IFERROR(IF(SUM(تجمیعی!G59,-'انبار مسقف'!G59,-'انبار بارانداز'!G59,-'انبار هانگار'!G59)=0,"",SUM(تجمیعی!G59,-'انبار مسقف'!G59,-'انبار بارانداز'!G59,-'انبار هانگار'!G59)),"")</f>
        <v>4736</v>
      </c>
      <c r="H59" s="65" t="str">
        <f>I50</f>
        <v>دوغارون</v>
      </c>
      <c r="I59" s="11" t="s">
        <v>15</v>
      </c>
      <c r="J59" s="143" t="str">
        <f>IFERROR(IF(SUM(تجمیعی!K59,-'انبار مسقف'!M59,-'انبار بارانداز'!M59,-'انبار هانگار'!M59)=0,"",SUM(تجمیعی!K59,-'انبار مسقف'!M59,-'انبار بارانداز'!M59,-'انبار هانگار'!M59)),"")</f>
        <v/>
      </c>
      <c r="K59" s="144" t="str">
        <f>IFERROR(IF(SUM(تجمیعی!L59,-'انبار مسقف'!N59,-'انبار بارانداز'!N59,-'انبار هانگار'!N59)=0,"",SUM(تجمیعی!L59,-'انبار مسقف'!N59,-'انبار بارانداز'!N59,-'انبار هانگار'!N59)),"")</f>
        <v/>
      </c>
      <c r="L59" s="144" t="str">
        <f>IFERROR(IF(SUM(تجمیعی!M59,-'انبار مسقف'!O59,-'انبار بارانداز'!O59,-'انبار هانگار'!O59)=0,"",SUM(تجمیعی!M59,-'انبار مسقف'!O59,-'انبار بارانداز'!O59,-'انبار هانگار'!O59)),"")</f>
        <v/>
      </c>
      <c r="M59" s="144">
        <f>IFERROR(IF(SUM(تجمیعی!N59,-'انبار مسقف'!P59,-'انبار بارانداز'!P59,-'انبار هانگار'!P59)=0,"",SUM(تجمیعی!N59,-'انبار مسقف'!P59,-'انبار بارانداز'!P59,-'انبار هانگار'!P59)),"")</f>
        <v>14904</v>
      </c>
      <c r="N59" s="145">
        <f>IFERROR(IF(SUM(تجمیعی!O59,-'انبار مسقف'!Q59,-'انبار بارانداز'!Q59,-'انبار هانگار'!Q59)=0,"",SUM(تجمیعی!O59,-'انبار مسقف'!Q59,-'انبار بارانداز'!Q59,-'انبار هانگار'!Q59)),"")</f>
        <v>17219</v>
      </c>
    </row>
    <row r="60" spans="1:14" x14ac:dyDescent="0.25">
      <c r="A60" s="65" t="str">
        <f>B50</f>
        <v>نیشابور</v>
      </c>
      <c r="B60" s="11" t="s">
        <v>16</v>
      </c>
      <c r="C60" s="143" t="str">
        <f>IFERROR(IF(SUM(تجمیعی!C60,-'انبار مسقف'!C60,-'انبار بارانداز'!C60,-'انبار هانگار'!C60)=0,"",SUM(تجمیعی!C60,-'انبار مسقف'!C60,-'انبار بارانداز'!C60,-'انبار هانگار'!C60)),"")</f>
        <v/>
      </c>
      <c r="D60" s="144" t="str">
        <f>IFERROR(IF(SUM(تجمیعی!D60,-'انبار مسقف'!D60,-'انبار بارانداز'!D60,-'انبار هانگار'!D60)=0,"",SUM(تجمیعی!D60,-'انبار مسقف'!D60,-'انبار بارانداز'!D60,-'انبار هانگار'!D60)),"")</f>
        <v/>
      </c>
      <c r="E60" s="144" t="str">
        <f>IFERROR(IF(SUM(تجمیعی!E60,-'انبار مسقف'!E60,-'انبار بارانداز'!E60,-'انبار هانگار'!E60)=0,"",SUM(تجمیعی!E60,-'انبار مسقف'!E60,-'انبار بارانداز'!E60,-'انبار هانگار'!E60)),"")</f>
        <v/>
      </c>
      <c r="F60" s="144" t="str">
        <f>IFERROR(IF(SUM(تجمیعی!F60,-'انبار مسقف'!F60,-'انبار بارانداز'!F60,-'انبار هانگار'!F60)=0,"",SUM(تجمیعی!F60,-'انبار مسقف'!F60,-'انبار بارانداز'!F60,-'انبار هانگار'!F60)),"")</f>
        <v/>
      </c>
      <c r="G60" s="145">
        <f>IFERROR(IF(SUM(تجمیعی!G60,-'انبار مسقف'!G60,-'انبار بارانداز'!G60,-'انبار هانگار'!G60)=0,"",SUM(تجمیعی!G60,-'انبار مسقف'!G60,-'انبار بارانداز'!G60,-'انبار هانگار'!G60)),"")</f>
        <v>4639</v>
      </c>
      <c r="H60" s="65" t="str">
        <f>I50</f>
        <v>دوغارون</v>
      </c>
      <c r="I60" s="11" t="s">
        <v>16</v>
      </c>
      <c r="J60" s="143" t="str">
        <f>IFERROR(IF(SUM(تجمیعی!K60,-'انبار مسقف'!M60,-'انبار بارانداز'!M60,-'انبار هانگار'!M60)=0,"",SUM(تجمیعی!K60,-'انبار مسقف'!M60,-'انبار بارانداز'!M60,-'انبار هانگار'!M60)),"")</f>
        <v/>
      </c>
      <c r="K60" s="144" t="str">
        <f>IFERROR(IF(SUM(تجمیعی!L60,-'انبار مسقف'!N60,-'انبار بارانداز'!N60,-'انبار هانگار'!N60)=0,"",SUM(تجمیعی!L60,-'انبار مسقف'!N60,-'انبار بارانداز'!N60,-'انبار هانگار'!N60)),"")</f>
        <v/>
      </c>
      <c r="L60" s="144" t="str">
        <f>IFERROR(IF(SUM(تجمیعی!M60,-'انبار مسقف'!O60,-'انبار بارانداز'!O60,-'انبار هانگار'!O60)=0,"",SUM(تجمیعی!M60,-'انبار مسقف'!O60,-'انبار بارانداز'!O60,-'انبار هانگار'!O60)),"")</f>
        <v/>
      </c>
      <c r="M60" s="144">
        <f>IFERROR(IF(SUM(تجمیعی!N60,-'انبار مسقف'!P60,-'انبار بارانداز'!P60,-'انبار هانگار'!P60)=0,"",SUM(تجمیعی!N60,-'انبار مسقف'!P60,-'انبار بارانداز'!P60,-'انبار هانگار'!P60)),"")</f>
        <v>20843</v>
      </c>
      <c r="N60" s="145">
        <f>IFERROR(IF(SUM(تجمیعی!O60,-'انبار مسقف'!Q60,-'انبار بارانداز'!Q60,-'انبار هانگار'!Q60)=0,"",SUM(تجمیعی!O60,-'انبار مسقف'!Q60,-'انبار بارانداز'!Q60,-'انبار هانگار'!Q60)),"")</f>
        <v>16221</v>
      </c>
    </row>
    <row r="61" spans="1:14" x14ac:dyDescent="0.25">
      <c r="A61" s="65" t="str">
        <f>B50</f>
        <v>نیشابور</v>
      </c>
      <c r="B61" s="11" t="s">
        <v>17</v>
      </c>
      <c r="C61" s="143" t="str">
        <f>IFERROR(IF(SUM(تجمیعی!C61,-'انبار مسقف'!C61,-'انبار بارانداز'!C61,-'انبار هانگار'!C61)=0,"",SUM(تجمیعی!C61,-'انبار مسقف'!C61,-'انبار بارانداز'!C61,-'انبار هانگار'!C61)),"")</f>
        <v/>
      </c>
      <c r="D61" s="144" t="str">
        <f>IFERROR(IF(SUM(تجمیعی!D61,-'انبار مسقف'!D61,-'انبار بارانداز'!D61,-'انبار هانگار'!D61)=0,"",SUM(تجمیعی!D61,-'انبار مسقف'!D61,-'انبار بارانداز'!D61,-'انبار هانگار'!D61)),"")</f>
        <v/>
      </c>
      <c r="E61" s="144" t="str">
        <f>IFERROR(IF(SUM(تجمیعی!E61,-'انبار مسقف'!E61,-'انبار بارانداز'!E61,-'انبار هانگار'!E61)=0,"",SUM(تجمیعی!E61,-'انبار مسقف'!E61,-'انبار بارانداز'!E61,-'انبار هانگار'!E61)),"")</f>
        <v/>
      </c>
      <c r="F61" s="144" t="str">
        <f>IFERROR(IF(SUM(تجمیعی!F61,-'انبار مسقف'!F61,-'انبار بارانداز'!F61,-'انبار هانگار'!F61)=0,"",SUM(تجمیعی!F61,-'انبار مسقف'!F61,-'انبار بارانداز'!F61,-'انبار هانگار'!F61)),"")</f>
        <v/>
      </c>
      <c r="G61" s="145">
        <f>IFERROR(IF(SUM(تجمیعی!G61,-'انبار مسقف'!G61,-'انبار بارانداز'!G61,-'انبار هانگار'!G61)=0,"",SUM(تجمیعی!G61,-'انبار مسقف'!G61,-'انبار بارانداز'!G61,-'انبار هانگار'!G61)),"")</f>
        <v>3576</v>
      </c>
      <c r="H61" s="65" t="str">
        <f>I50</f>
        <v>دوغارون</v>
      </c>
      <c r="I61" s="11" t="s">
        <v>17</v>
      </c>
      <c r="J61" s="143" t="str">
        <f>IFERROR(IF(SUM(تجمیعی!K61,-'انبار مسقف'!M61,-'انبار بارانداز'!M61,-'انبار هانگار'!M61)=0,"",SUM(تجمیعی!K61,-'انبار مسقف'!M61,-'انبار بارانداز'!M61,-'انبار هانگار'!M61)),"")</f>
        <v/>
      </c>
      <c r="K61" s="144" t="str">
        <f>IFERROR(IF(SUM(تجمیعی!L61,-'انبار مسقف'!N61,-'انبار بارانداز'!N61,-'انبار هانگار'!N61)=0,"",SUM(تجمیعی!L61,-'انبار مسقف'!N61,-'انبار بارانداز'!N61,-'انبار هانگار'!N61)),"")</f>
        <v/>
      </c>
      <c r="L61" s="144" t="str">
        <f>IFERROR(IF(SUM(تجمیعی!M61,-'انبار مسقف'!O61,-'انبار بارانداز'!O61,-'انبار هانگار'!O61)=0,"",SUM(تجمیعی!M61,-'انبار مسقف'!O61,-'انبار بارانداز'!O61,-'انبار هانگار'!O61)),"")</f>
        <v/>
      </c>
      <c r="M61" s="144">
        <f>IFERROR(IF(SUM(تجمیعی!N61,-'انبار مسقف'!P61,-'انبار بارانداز'!P61,-'انبار هانگار'!P61)=0,"",SUM(تجمیعی!N61,-'انبار مسقف'!P61,-'انبار بارانداز'!P61,-'انبار هانگار'!P61)),"")</f>
        <v>10848</v>
      </c>
      <c r="N61" s="145">
        <f>IFERROR(IF(SUM(تجمیعی!O61,-'انبار مسقف'!Q61,-'انبار بارانداز'!Q61,-'انبار هانگار'!Q61)=0,"",SUM(تجمیعی!O61,-'انبار مسقف'!Q61,-'انبار بارانداز'!Q61,-'انبار هانگار'!Q61)),"")</f>
        <v>9732</v>
      </c>
    </row>
    <row r="62" spans="1:14" x14ac:dyDescent="0.25">
      <c r="A62" s="65" t="str">
        <f>B50</f>
        <v>نیشابور</v>
      </c>
      <c r="B62" s="11" t="s">
        <v>18</v>
      </c>
      <c r="C62" s="143" t="str">
        <f>IFERROR(IF(SUM(تجمیعی!C62,-'انبار مسقف'!C62,-'انبار بارانداز'!C62,-'انبار هانگار'!C62)=0,"",SUM(تجمیعی!C62,-'انبار مسقف'!C62,-'انبار بارانداز'!C62,-'انبار هانگار'!C62)),"")</f>
        <v/>
      </c>
      <c r="D62" s="144" t="str">
        <f>IFERROR(IF(SUM(تجمیعی!D62,-'انبار مسقف'!D62,-'انبار بارانداز'!D62,-'انبار هانگار'!D62)=0,"",SUM(تجمیعی!D62,-'انبار مسقف'!D62,-'انبار بارانداز'!D62,-'انبار هانگار'!D62)),"")</f>
        <v/>
      </c>
      <c r="E62" s="144" t="str">
        <f>IFERROR(IF(SUM(تجمیعی!E62,-'انبار مسقف'!E62,-'انبار بارانداز'!E62,-'انبار هانگار'!E62)=0,"",SUM(تجمیعی!E62,-'انبار مسقف'!E62,-'انبار بارانداز'!E62,-'انبار هانگار'!E62)),"")</f>
        <v/>
      </c>
      <c r="F62" s="144" t="str">
        <f>IFERROR(IF(SUM(تجمیعی!F62,-'انبار مسقف'!F62,-'انبار بارانداز'!F62,-'انبار هانگار'!F62)=0,"",SUM(تجمیعی!F62,-'انبار مسقف'!F62,-'انبار بارانداز'!F62,-'انبار هانگار'!F62)),"")</f>
        <v/>
      </c>
      <c r="G62" s="145">
        <f>IFERROR(IF(SUM(تجمیعی!G62,-'انبار مسقف'!G62,-'انبار بارانداز'!G62,-'انبار هانگار'!G62)=0,"",SUM(تجمیعی!G62,-'انبار مسقف'!G62,-'انبار بارانداز'!G62,-'انبار هانگار'!G62)),"")</f>
        <v>3138</v>
      </c>
      <c r="H62" s="65" t="str">
        <f>I50</f>
        <v>دوغارون</v>
      </c>
      <c r="I62" s="11" t="s">
        <v>18</v>
      </c>
      <c r="J62" s="143" t="str">
        <f>IFERROR(IF(SUM(تجمیعی!K62,-'انبار مسقف'!M62,-'انبار بارانداز'!M62,-'انبار هانگار'!M62)=0,"",SUM(تجمیعی!K62,-'انبار مسقف'!M62,-'انبار بارانداز'!M62,-'انبار هانگار'!M62)),"")</f>
        <v/>
      </c>
      <c r="K62" s="144" t="str">
        <f>IFERROR(IF(SUM(تجمیعی!L62,-'انبار مسقف'!N62,-'انبار بارانداز'!N62,-'انبار هانگار'!N62)=0,"",SUM(تجمیعی!L62,-'انبار مسقف'!N62,-'انبار بارانداز'!N62,-'انبار هانگار'!N62)),"")</f>
        <v/>
      </c>
      <c r="L62" s="144" t="str">
        <f>IFERROR(IF(SUM(تجمیعی!M62,-'انبار مسقف'!O62,-'انبار بارانداز'!O62,-'انبار هانگار'!O62)=0,"",SUM(تجمیعی!M62,-'انبار مسقف'!O62,-'انبار بارانداز'!O62,-'انبار هانگار'!O62)),"")</f>
        <v/>
      </c>
      <c r="M62" s="144">
        <f>IFERROR(IF(SUM(تجمیعی!N62,-'انبار مسقف'!P62,-'انبار بارانداز'!P62,-'انبار هانگار'!P62)=0,"",SUM(تجمیعی!N62,-'انبار مسقف'!P62,-'انبار بارانداز'!P62,-'انبار هانگار'!P62)),"")</f>
        <v>19220</v>
      </c>
      <c r="N62" s="145">
        <f>IFERROR(IF(SUM(تجمیعی!O62,-'انبار مسقف'!Q62,-'انبار بارانداز'!Q62,-'انبار هانگار'!Q62)=0,"",SUM(تجمیعی!O62,-'انبار مسقف'!Q62,-'انبار بارانداز'!Q62,-'انبار هانگار'!Q62)),"")</f>
        <v>9030</v>
      </c>
    </row>
    <row r="63" spans="1:14" ht="20.25" thickBot="1" x14ac:dyDescent="0.3">
      <c r="A63" s="65" t="str">
        <f>B50</f>
        <v>نیشابور</v>
      </c>
      <c r="B63" s="16" t="s">
        <v>19</v>
      </c>
      <c r="C63" s="146" t="str">
        <f>IFERROR(IF(SUM(تجمیعی!C63,-'انبار مسقف'!C63,-'انبار بارانداز'!C63,-'انبار هانگار'!C63)=0,"",SUM(تجمیعی!C63,-'انبار مسقف'!C63,-'انبار بارانداز'!C63,-'انبار هانگار'!C63)),"")</f>
        <v/>
      </c>
      <c r="D63" s="147" t="str">
        <f>IFERROR(IF(SUM(تجمیعی!D63,-'انبار مسقف'!D63,-'انبار بارانداز'!D63,-'انبار هانگار'!D63)=0,"",SUM(تجمیعی!D63,-'انبار مسقف'!D63,-'انبار بارانداز'!D63,-'انبار هانگار'!D63)),"")</f>
        <v/>
      </c>
      <c r="E63" s="147" t="str">
        <f>IFERROR(IF(SUM(تجمیعی!E63,-'انبار مسقف'!E63,-'انبار بارانداز'!E63,-'انبار هانگار'!E63)=0,"",SUM(تجمیعی!E63,-'انبار مسقف'!E63,-'انبار بارانداز'!E63,-'انبار هانگار'!E63)),"")</f>
        <v/>
      </c>
      <c r="F63" s="147" t="str">
        <f>IFERROR(IF(SUM(تجمیعی!F63,-'انبار مسقف'!F63,-'انبار بارانداز'!F63,-'انبار هانگار'!F63)=0,"",SUM(تجمیعی!F63,-'انبار مسقف'!F63,-'انبار بارانداز'!F63,-'انبار هانگار'!F63)),"")</f>
        <v/>
      </c>
      <c r="G63" s="148">
        <f>IFERROR(IF(SUM(تجمیعی!G63,-'انبار مسقف'!G63,-'انبار بارانداز'!G63,-'انبار هانگار'!G63)=0,"",SUM(تجمیعی!G63,-'انبار مسقف'!G63,-'انبار بارانداز'!G63,-'انبار هانگار'!G63)),"")</f>
        <v>4836</v>
      </c>
      <c r="H63" s="65" t="str">
        <f>I50</f>
        <v>دوغارون</v>
      </c>
      <c r="I63" s="16" t="s">
        <v>19</v>
      </c>
      <c r="J63" s="146">
        <f>IFERROR(IF(SUM(تجمیعی!K63,-'انبار مسقف'!M63,-'انبار بارانداز'!M63,-'انبار هانگار'!M63)=0,"",SUM(تجمیعی!K63,-'انبار مسقف'!M63,-'انبار بارانداز'!M63,-'انبار هانگار'!M63)),"")</f>
        <v>-1000</v>
      </c>
      <c r="K63" s="147" t="str">
        <f>IFERROR(IF(SUM(تجمیعی!L63,-'انبار مسقف'!N63,-'انبار بارانداز'!N63,-'انبار هانگار'!N63)=0,"",SUM(تجمیعی!L63,-'انبار مسقف'!N63,-'انبار بارانداز'!N63,-'انبار هانگار'!N63)),"")</f>
        <v/>
      </c>
      <c r="L63" s="147" t="str">
        <f>IFERROR(IF(SUM(تجمیعی!M63,-'انبار مسقف'!O63,-'انبار بارانداز'!O63,-'انبار هانگار'!O63)=0,"",SUM(تجمیعی!M63,-'انبار مسقف'!O63,-'انبار بارانداز'!O63,-'انبار هانگار'!O63)),"")</f>
        <v/>
      </c>
      <c r="M63" s="147">
        <f>IFERROR(IF(SUM(تجمیعی!N63,-'انبار مسقف'!P63,-'انبار بارانداز'!P63,-'انبار هانگار'!P63)=0,"",SUM(تجمیعی!N63,-'انبار مسقف'!P63,-'انبار بارانداز'!P63,-'انبار هانگار'!P63)),"")</f>
        <v>30750</v>
      </c>
      <c r="N63" s="148">
        <f>IFERROR(IF(SUM(تجمیعی!O63,-'انبار مسقف'!Q63,-'انبار بارانداز'!Q63,-'انبار هانگار'!Q63)=0,"",SUM(تجمیعی!O63,-'انبار مسقف'!Q63,-'انبار بارانداز'!Q63,-'انبار هانگار'!Q63)),"")</f>
        <v>4595</v>
      </c>
    </row>
    <row r="64" spans="1:14" ht="21" thickBot="1" x14ac:dyDescent="0.3">
      <c r="A64" s="65"/>
      <c r="B64" s="139" t="s">
        <v>6</v>
      </c>
      <c r="C64" s="152">
        <f>IFERROR(IF(SUM(تجمیعی!C64,-'انبار مسقف'!C64,-'انبار بارانداز'!C64,-'انبار هانگار'!C64)=0,"",SUM(تجمیعی!C64,-'انبار مسقف'!C64,-'انبار بارانداز'!C64,-'انبار هانگار'!C64)),"")</f>
        <v>3</v>
      </c>
      <c r="D64" s="153">
        <f>IFERROR(IF(SUM(تجمیعی!D64,-'انبار مسقف'!D64,-'انبار بارانداز'!D64,-'انبار هانگار'!D64)=0,"",SUM(تجمیعی!D64,-'انبار مسقف'!D64,-'انبار بارانداز'!D64,-'انبار هانگار'!D64)),"")</f>
        <v>-17</v>
      </c>
      <c r="E64" s="153">
        <f>IFERROR(IF(SUM(تجمیعی!E64,-'انبار مسقف'!E64,-'انبار بارانداز'!E64,-'انبار هانگار'!E64)=0,"",SUM(تجمیعی!E64,-'انبار مسقف'!E64,-'انبار بارانداز'!E64,-'انبار هانگار'!E64)),"")</f>
        <v>1</v>
      </c>
      <c r="F64" s="153" t="str">
        <f>IFERROR(IF(SUM(تجمیعی!F64,-'انبار مسقف'!F64,-'انبار بارانداز'!F64,-'انبار هانگار'!F64)=0,"",SUM(تجمیعی!F64,-'انبار مسقف'!F64,-'انبار بارانداز'!F64,-'انبار هانگار'!F64)),"")</f>
        <v/>
      </c>
      <c r="G64" s="154" t="str">
        <f>IFERROR(IF(SUM(تجمیعی!G64,-'انبار مسقف'!G64,-'انبار بارانداز'!G64,-'انبار هانگار'!G64)=0,"",SUM(تجمیعی!G64,-'انبار مسقف'!G64,-'انبار بارانداز'!G64,-'انبار هانگار'!G64)),"")</f>
        <v/>
      </c>
      <c r="H64" s="65"/>
      <c r="I64" s="139" t="s">
        <v>6</v>
      </c>
      <c r="J64" s="152">
        <f>IFERROR(IF(SUM(تجمیعی!K64,-'انبار مسقف'!M64,-'انبار بارانداز'!M64,-'انبار هانگار'!M64)=0,"",SUM(تجمیعی!K64,-'انبار مسقف'!M64,-'انبار بارانداز'!M64,-'انبار هانگار'!M64)),"")</f>
        <v>-1000</v>
      </c>
      <c r="K64" s="153" t="str">
        <f>IFERROR(IF(SUM(تجمیعی!L64,-'انبار مسقف'!N64,-'انبار بارانداز'!N64,-'انبار هانگار'!N64)=0,"",SUM(تجمیعی!L64,-'انبار مسقف'!N64,-'انبار بارانداز'!N64,-'انبار هانگار'!N64)),"")</f>
        <v/>
      </c>
      <c r="L64" s="153">
        <f>IFERROR(IF(SUM(تجمیعی!M64,-'انبار مسقف'!O64,-'انبار بارانداز'!O64,-'انبار هانگار'!O64)=0,"",SUM(تجمیعی!M64,-'انبار مسقف'!O64,-'انبار بارانداز'!O64,-'انبار هانگار'!O64)),"")</f>
        <v>50</v>
      </c>
      <c r="M64" s="153">
        <f>IFERROR(IF(SUM(تجمیعی!N64,-'انبار مسقف'!P64,-'انبار بارانداز'!P64,-'انبار هانگار'!P64)=0,"",SUM(تجمیعی!N64,-'انبار مسقف'!P64,-'انبار بارانداز'!P64,-'انبار هانگار'!P64)),"")</f>
        <v>169021</v>
      </c>
      <c r="N64" s="154" t="str">
        <f>IFERROR(IF(SUM(تجمیعی!O64,-'انبار مسقف'!Q64,-'انبار بارانداز'!Q64,-'انبار هانگار'!Q64)=0,"",SUM(تجمیعی!O64,-'انبار مسقف'!Q64,-'انبار بارانداز'!Q64,-'انبار هانگار'!Q64)),"")</f>
        <v/>
      </c>
    </row>
    <row r="65" spans="1:14" ht="3.95" customHeight="1" thickBot="1" x14ac:dyDescent="0.3"/>
    <row r="66" spans="1:14" ht="26.25" thickBot="1" x14ac:dyDescent="0.3">
      <c r="B66" s="210" t="s">
        <v>38</v>
      </c>
      <c r="C66" s="211"/>
      <c r="D66" s="211"/>
      <c r="E66" s="211"/>
      <c r="F66" s="211"/>
      <c r="G66" s="212"/>
      <c r="I66" s="210" t="s">
        <v>40</v>
      </c>
      <c r="J66" s="211"/>
      <c r="K66" s="211"/>
      <c r="L66" s="211"/>
      <c r="M66" s="211"/>
      <c r="N66" s="212"/>
    </row>
    <row r="67" spans="1:14" ht="21" thickBot="1" x14ac:dyDescent="0.3">
      <c r="B67" s="135" t="s">
        <v>0</v>
      </c>
      <c r="C67" s="136" t="s">
        <v>1</v>
      </c>
      <c r="D67" s="137" t="s">
        <v>2</v>
      </c>
      <c r="E67" s="137" t="s">
        <v>3</v>
      </c>
      <c r="F67" s="137" t="s">
        <v>4</v>
      </c>
      <c r="G67" s="138" t="s">
        <v>5</v>
      </c>
      <c r="I67" s="135" t="s">
        <v>0</v>
      </c>
      <c r="J67" s="136" t="s">
        <v>1</v>
      </c>
      <c r="K67" s="137" t="s">
        <v>2</v>
      </c>
      <c r="L67" s="137" t="s">
        <v>3</v>
      </c>
      <c r="M67" s="137" t="s">
        <v>4</v>
      </c>
      <c r="N67" s="138" t="s">
        <v>5</v>
      </c>
    </row>
    <row r="68" spans="1:14" x14ac:dyDescent="0.25">
      <c r="A68" s="65" t="str">
        <f>B66</f>
        <v>بجنورد</v>
      </c>
      <c r="B68" s="6" t="s">
        <v>8</v>
      </c>
      <c r="C68" s="140" t="str">
        <f>IFERROR(IF(SUM(تجمیعی!C68,-'انبار مسقف'!C68,-'انبار بارانداز'!C68,-'انبار هانگار'!C68)=0,"",SUM(تجمیعی!C68,-'انبار مسقف'!C68,-'انبار بارانداز'!C68,-'انبار هانگار'!C68)),"")</f>
        <v/>
      </c>
      <c r="D68" s="141" t="str">
        <f>IFERROR(IF(SUM(تجمیعی!D68,-'انبار مسقف'!D68,-'انبار بارانداز'!D68,-'انبار هانگار'!D68)=0,"",SUM(تجمیعی!D68,-'انبار مسقف'!D68,-'انبار بارانداز'!D68,-'انبار هانگار'!D68)),"")</f>
        <v/>
      </c>
      <c r="E68" s="141" t="str">
        <f>IFERROR(IF(SUM(تجمیعی!E68,-'انبار مسقف'!E68,-'انبار بارانداز'!E68,-'انبار هانگار'!E68)=0,"",SUM(تجمیعی!E68,-'انبار مسقف'!E68,-'انبار بارانداز'!E68,-'انبار هانگار'!E68)),"")</f>
        <v/>
      </c>
      <c r="F68" s="141" t="str">
        <f>IFERROR(IF(SUM(تجمیعی!F68,-'انبار مسقف'!F68,-'انبار بارانداز'!F68,-'انبار هانگار'!F68)=0,"",SUM(تجمیعی!F68,-'انبار مسقف'!F68,-'انبار بارانداز'!F68,-'انبار هانگار'!F68)),"")</f>
        <v/>
      </c>
      <c r="G68" s="142">
        <f>IFERROR(IF(SUM(تجمیعی!G68,-'انبار مسقف'!G68,-'انبار بارانداز'!G68,-'انبار هانگار'!G68)=0,"",SUM(تجمیعی!G68,-'انبار مسقف'!G68,-'انبار بارانداز'!G68,-'انبار هانگار'!G68)),"")</f>
        <v>272</v>
      </c>
      <c r="H68" s="65" t="str">
        <f>I66</f>
        <v>بیرجند</v>
      </c>
      <c r="I68" s="6" t="s">
        <v>8</v>
      </c>
      <c r="J68" s="140" t="str">
        <f>IFERROR(IF(SUM(تجمیعی!K68,-'انبار مسقف'!M68,-'انبار بارانداز'!M68,-'انبار هانگار'!M68)=0,"",SUM(تجمیعی!K68,-'انبار مسقف'!M68,-'انبار بارانداز'!M68,-'انبار هانگار'!M68)),"")</f>
        <v/>
      </c>
      <c r="K68" s="141" t="str">
        <f>IFERROR(IF(SUM(تجمیعی!L68,-'انبار مسقف'!N68,-'انبار بارانداز'!N68,-'انبار هانگار'!N68)=0,"",SUM(تجمیعی!L68,-'انبار مسقف'!N68,-'انبار بارانداز'!N68,-'انبار هانگار'!N68)),"")</f>
        <v/>
      </c>
      <c r="L68" s="141" t="str">
        <f>IFERROR(IF(SUM(تجمیعی!M68,-'انبار مسقف'!O68,-'انبار بارانداز'!O68,-'انبار هانگار'!O68)=0,"",SUM(تجمیعی!M68,-'انبار مسقف'!O68,-'انبار بارانداز'!O68,-'انبار هانگار'!O68)),"")</f>
        <v/>
      </c>
      <c r="M68" s="141" t="str">
        <f>IFERROR(IF(SUM(تجمیعی!N68,-'انبار مسقف'!P68,-'انبار بارانداز'!P68,-'انبار هانگار'!P68)=0,"",SUM(تجمیعی!N68,-'انبار مسقف'!P68,-'انبار بارانداز'!P68,-'انبار هانگار'!P68)),"")</f>
        <v/>
      </c>
      <c r="N68" s="142" t="str">
        <f>IFERROR(IF(SUM(تجمیعی!O68,-'انبار مسقف'!Q68,-'انبار بارانداز'!Q68,-'انبار هانگار'!Q68)=0,"",SUM(تجمیعی!O68,-'انبار مسقف'!Q68,-'انبار بارانداز'!Q68,-'انبار هانگار'!Q68)),"")</f>
        <v/>
      </c>
    </row>
    <row r="69" spans="1:14" x14ac:dyDescent="0.25">
      <c r="A69" s="65" t="str">
        <f>B66</f>
        <v>بجنورد</v>
      </c>
      <c r="B69" s="11" t="s">
        <v>9</v>
      </c>
      <c r="C69" s="143" t="str">
        <f>IFERROR(IF(SUM(تجمیعی!C69,-'انبار مسقف'!C69,-'انبار بارانداز'!C69,-'انبار هانگار'!C69)=0,"",SUM(تجمیعی!C69,-'انبار مسقف'!C69,-'انبار بارانداز'!C69,-'انبار هانگار'!C69)),"")</f>
        <v/>
      </c>
      <c r="D69" s="144" t="str">
        <f>IFERROR(IF(SUM(تجمیعی!D69,-'انبار مسقف'!D69,-'انبار بارانداز'!D69,-'انبار هانگار'!D69)=0,"",SUM(تجمیعی!D69,-'انبار مسقف'!D69,-'انبار بارانداز'!D69,-'انبار هانگار'!D69)),"")</f>
        <v/>
      </c>
      <c r="E69" s="144">
        <f>IFERROR(IF(SUM(تجمیعی!E69,-'انبار مسقف'!E69,-'انبار بارانداز'!E69,-'انبار هانگار'!E69)=0,"",SUM(تجمیعی!E69,-'انبار مسقف'!E69,-'انبار بارانداز'!E69,-'انبار هانگار'!E69)),"")</f>
        <v>29</v>
      </c>
      <c r="F69" s="144" t="str">
        <f>IFERROR(IF(SUM(تجمیعی!F69,-'انبار مسقف'!F69,-'انبار بارانداز'!F69,-'انبار هانگار'!F69)=0,"",SUM(تجمیعی!F69,-'انبار مسقف'!F69,-'انبار بارانداز'!F69,-'انبار هانگار'!F69)),"")</f>
        <v/>
      </c>
      <c r="G69" s="145">
        <f>IFERROR(IF(SUM(تجمیعی!G69,-'انبار مسقف'!G69,-'انبار بارانداز'!G69,-'انبار هانگار'!G69)=0,"",SUM(تجمیعی!G69,-'انبار مسقف'!G69,-'انبار بارانداز'!G69,-'انبار هانگار'!G69)),"")</f>
        <v>251</v>
      </c>
      <c r="H69" s="65" t="str">
        <f>I66</f>
        <v>بیرجند</v>
      </c>
      <c r="I69" s="11" t="s">
        <v>9</v>
      </c>
      <c r="J69" s="143" t="str">
        <f>IFERROR(IF(SUM(تجمیعی!K69,-'انبار مسقف'!M69,-'انبار بارانداز'!M69,-'انبار هانگار'!M69)=0,"",SUM(تجمیعی!K69,-'انبار مسقف'!M69,-'انبار بارانداز'!M69,-'انبار هانگار'!M69)),"")</f>
        <v/>
      </c>
      <c r="K69" s="144" t="str">
        <f>IFERROR(IF(SUM(تجمیعی!L69,-'انبار مسقف'!N69,-'انبار بارانداز'!N69,-'انبار هانگار'!N69)=0,"",SUM(تجمیعی!L69,-'انبار مسقف'!N69,-'انبار بارانداز'!N69,-'انبار هانگار'!N69)),"")</f>
        <v/>
      </c>
      <c r="L69" s="144" t="str">
        <f>IFERROR(IF(SUM(تجمیعی!M69,-'انبار مسقف'!O69,-'انبار بارانداز'!O69,-'انبار هانگار'!O69)=0,"",SUM(تجمیعی!M69,-'انبار مسقف'!O69,-'انبار بارانداز'!O69,-'انبار هانگار'!O69)),"")</f>
        <v/>
      </c>
      <c r="M69" s="144" t="str">
        <f>IFERROR(IF(SUM(تجمیعی!N69,-'انبار مسقف'!P69,-'انبار بارانداز'!P69,-'انبار هانگار'!P69)=0,"",SUM(تجمیعی!N69,-'انبار مسقف'!P69,-'انبار بارانداز'!P69,-'انبار هانگار'!P69)),"")</f>
        <v/>
      </c>
      <c r="N69" s="145">
        <f>IFERROR(IF(SUM(تجمیعی!O69,-'انبار مسقف'!Q69,-'انبار بارانداز'!Q69,-'انبار هانگار'!Q69)=0,"",SUM(تجمیعی!O69,-'انبار مسقف'!Q69,-'انبار بارانداز'!Q69,-'انبار هانگار'!Q69)),"")</f>
        <v>1222</v>
      </c>
    </row>
    <row r="70" spans="1:14" x14ac:dyDescent="0.25">
      <c r="A70" s="65" t="str">
        <f>B66</f>
        <v>بجنورد</v>
      </c>
      <c r="B70" s="11" t="s">
        <v>10</v>
      </c>
      <c r="C70" s="143" t="str">
        <f>IFERROR(IF(SUM(تجمیعی!C70,-'انبار مسقف'!C70,-'انبار بارانداز'!C70,-'انبار هانگار'!C70)=0,"",SUM(تجمیعی!C70,-'انبار مسقف'!C70,-'انبار بارانداز'!C70,-'انبار هانگار'!C70)),"")</f>
        <v/>
      </c>
      <c r="D70" s="144" t="str">
        <f>IFERROR(IF(SUM(تجمیعی!D70,-'انبار مسقف'!D70,-'انبار بارانداز'!D70,-'انبار هانگار'!D70)=0,"",SUM(تجمیعی!D70,-'انبار مسقف'!D70,-'انبار بارانداز'!D70,-'انبار هانگار'!D70)),"")</f>
        <v/>
      </c>
      <c r="E70" s="144" t="str">
        <f>IFERROR(IF(SUM(تجمیعی!E70,-'انبار مسقف'!E70,-'انبار بارانداز'!E70,-'انبار هانگار'!E70)=0,"",SUM(تجمیعی!E70,-'انبار مسقف'!E70,-'انبار بارانداز'!E70,-'انبار هانگار'!E70)),"")</f>
        <v/>
      </c>
      <c r="F70" s="144" t="str">
        <f>IFERROR(IF(SUM(تجمیعی!F70,-'انبار مسقف'!F70,-'انبار بارانداز'!F70,-'انبار هانگار'!F70)=0,"",SUM(تجمیعی!F70,-'انبار مسقف'!F70,-'انبار بارانداز'!F70,-'انبار هانگار'!F70)),"")</f>
        <v/>
      </c>
      <c r="G70" s="145">
        <f>IFERROR(IF(SUM(تجمیعی!G70,-'انبار مسقف'!G70,-'انبار بارانداز'!G70,-'انبار هانگار'!G70)=0,"",SUM(تجمیعی!G70,-'انبار مسقف'!G70,-'انبار بارانداز'!G70,-'انبار هانگار'!G70)),"")</f>
        <v>297</v>
      </c>
      <c r="H70" s="65" t="str">
        <f>I66</f>
        <v>بیرجند</v>
      </c>
      <c r="I70" s="11" t="s">
        <v>10</v>
      </c>
      <c r="J70" s="143" t="str">
        <f>IFERROR(IF(SUM(تجمیعی!K70,-'انبار مسقف'!M70,-'انبار بارانداز'!M70,-'انبار هانگار'!M70)=0,"",SUM(تجمیعی!K70,-'انبار مسقف'!M70,-'انبار بارانداز'!M70,-'انبار هانگار'!M70)),"")</f>
        <v/>
      </c>
      <c r="K70" s="144" t="str">
        <f>IFERROR(IF(SUM(تجمیعی!L70,-'انبار مسقف'!N70,-'انبار بارانداز'!N70,-'انبار هانگار'!N70)=0,"",SUM(تجمیعی!L70,-'انبار مسقف'!N70,-'انبار بارانداز'!N70,-'انبار هانگار'!N70)),"")</f>
        <v/>
      </c>
      <c r="L70" s="144" t="str">
        <f>IFERROR(IF(SUM(تجمیعی!M70,-'انبار مسقف'!O70,-'انبار بارانداز'!O70,-'انبار هانگار'!O70)=0,"",SUM(تجمیعی!M70,-'انبار مسقف'!O70,-'انبار بارانداز'!O70,-'انبار هانگار'!O70)),"")</f>
        <v/>
      </c>
      <c r="M70" s="144" t="str">
        <f>IFERROR(IF(SUM(تجمیعی!N70,-'انبار مسقف'!P70,-'انبار بارانداز'!P70,-'انبار هانگار'!P70)=0,"",SUM(تجمیعی!N70,-'انبار مسقف'!P70,-'انبار بارانداز'!P70,-'انبار هانگار'!P70)),"")</f>
        <v/>
      </c>
      <c r="N70" s="145">
        <f>IFERROR(IF(SUM(تجمیعی!O70,-'انبار مسقف'!Q70,-'انبار بارانداز'!Q70,-'انبار هانگار'!Q70)=0,"",SUM(تجمیعی!O70,-'انبار مسقف'!Q70,-'انبار بارانداز'!Q70,-'انبار هانگار'!Q70)),"")</f>
        <v>1222</v>
      </c>
    </row>
    <row r="71" spans="1:14" x14ac:dyDescent="0.25">
      <c r="A71" s="65" t="str">
        <f>B66</f>
        <v>بجنورد</v>
      </c>
      <c r="B71" s="11" t="s">
        <v>11</v>
      </c>
      <c r="C71" s="143">
        <f>IFERROR(IF(SUM(تجمیعی!C71,-'انبار مسقف'!C71,-'انبار بارانداز'!C71,-'انبار هانگار'!C71)=0,"",SUM(تجمیعی!C71,-'انبار مسقف'!C71,-'انبار بارانداز'!C71,-'انبار هانگار'!C71)),"")</f>
        <v>-1</v>
      </c>
      <c r="D71" s="144" t="str">
        <f>IFERROR(IF(SUM(تجمیعی!D71,-'انبار مسقف'!D71,-'انبار بارانداز'!D71,-'انبار هانگار'!D71)=0,"",SUM(تجمیعی!D71,-'انبار مسقف'!D71,-'انبار بارانداز'!D71,-'انبار هانگار'!D71)),"")</f>
        <v/>
      </c>
      <c r="E71" s="144" t="str">
        <f>IFERROR(IF(SUM(تجمیعی!E71,-'انبار مسقف'!E71,-'انبار بارانداز'!E71,-'انبار هانگار'!E71)=0,"",SUM(تجمیعی!E71,-'انبار مسقف'!E71,-'انبار بارانداز'!E71,-'انبار هانگار'!E71)),"")</f>
        <v/>
      </c>
      <c r="F71" s="144" t="str">
        <f>IFERROR(IF(SUM(تجمیعی!F71,-'انبار مسقف'!F71,-'انبار بارانداز'!F71,-'انبار هانگار'!F71)=0,"",SUM(تجمیعی!F71,-'انبار مسقف'!F71,-'انبار بارانداز'!F71,-'انبار هانگار'!F71)),"")</f>
        <v/>
      </c>
      <c r="G71" s="145">
        <f>IFERROR(IF(SUM(تجمیعی!G71,-'انبار مسقف'!G71,-'انبار بارانداز'!G71,-'انبار هانگار'!G71)=0,"",SUM(تجمیعی!G71,-'انبار مسقف'!G71,-'انبار بارانداز'!G71,-'انبار هانگار'!G71)),"")</f>
        <v>382</v>
      </c>
      <c r="H71" s="65" t="str">
        <f>I66</f>
        <v>بیرجند</v>
      </c>
      <c r="I71" s="11" t="s">
        <v>11</v>
      </c>
      <c r="J71" s="143" t="str">
        <f>IFERROR(IF(SUM(تجمیعی!K71,-'انبار مسقف'!M71,-'انبار بارانداز'!M71,-'انبار هانگار'!M71)=0,"",SUM(تجمیعی!K71,-'انبار مسقف'!M71,-'انبار بارانداز'!M71,-'انبار هانگار'!M71)),"")</f>
        <v/>
      </c>
      <c r="K71" s="144" t="str">
        <f>IFERROR(IF(SUM(تجمیعی!L71,-'انبار مسقف'!N71,-'انبار بارانداز'!N71,-'انبار هانگار'!N71)=0,"",SUM(تجمیعی!L71,-'انبار مسقف'!N71,-'انبار بارانداز'!N71,-'انبار هانگار'!N71)),"")</f>
        <v/>
      </c>
      <c r="L71" s="144" t="str">
        <f>IFERROR(IF(SUM(تجمیعی!M71,-'انبار مسقف'!O71,-'انبار بارانداز'!O71,-'انبار هانگار'!O71)=0,"",SUM(تجمیعی!M71,-'انبار مسقف'!O71,-'انبار بارانداز'!O71,-'انبار هانگار'!O71)),"")</f>
        <v/>
      </c>
      <c r="M71" s="144" t="str">
        <f>IFERROR(IF(SUM(تجمیعی!N71,-'انبار مسقف'!P71,-'انبار بارانداز'!P71,-'انبار هانگار'!P71)=0,"",SUM(تجمیعی!N71,-'انبار مسقف'!P71,-'انبار بارانداز'!P71,-'انبار هانگار'!P71)),"")</f>
        <v/>
      </c>
      <c r="N71" s="145">
        <f>IFERROR(IF(SUM(تجمیعی!O71,-'انبار مسقف'!Q71,-'انبار بارانداز'!Q71,-'انبار هانگار'!Q71)=0,"",SUM(تجمیعی!O71,-'انبار مسقف'!Q71,-'انبار بارانداز'!Q71,-'انبار هانگار'!Q71)),"")</f>
        <v>1171</v>
      </c>
    </row>
    <row r="72" spans="1:14" x14ac:dyDescent="0.25">
      <c r="A72" s="65" t="str">
        <f>B66</f>
        <v>بجنورد</v>
      </c>
      <c r="B72" s="11" t="s">
        <v>12</v>
      </c>
      <c r="C72" s="143" t="str">
        <f>IFERROR(IF(SUM(تجمیعی!C72,-'انبار مسقف'!C72,-'انبار بارانداز'!C72,-'انبار هانگار'!C72)=0,"",SUM(تجمیعی!C72,-'انبار مسقف'!C72,-'انبار بارانداز'!C72,-'انبار هانگار'!C72)),"")</f>
        <v/>
      </c>
      <c r="D72" s="144" t="str">
        <f>IFERROR(IF(SUM(تجمیعی!D72,-'انبار مسقف'!D72,-'انبار بارانداز'!D72,-'انبار هانگار'!D72)=0,"",SUM(تجمیعی!D72,-'انبار مسقف'!D72,-'انبار بارانداز'!D72,-'انبار هانگار'!D72)),"")</f>
        <v/>
      </c>
      <c r="E72" s="144" t="str">
        <f>IFERROR(IF(SUM(تجمیعی!E72,-'انبار مسقف'!E72,-'انبار بارانداز'!E72,-'انبار هانگار'!E72)=0,"",SUM(تجمیعی!E72,-'انبار مسقف'!E72,-'انبار بارانداز'!E72,-'انبار هانگار'!E72)),"")</f>
        <v/>
      </c>
      <c r="F72" s="144" t="str">
        <f>IFERROR(IF(SUM(تجمیعی!F72,-'انبار مسقف'!F72,-'انبار بارانداز'!F72,-'انبار هانگار'!F72)=0,"",SUM(تجمیعی!F72,-'انبار مسقف'!F72,-'انبار بارانداز'!F72,-'انبار هانگار'!F72)),"")</f>
        <v/>
      </c>
      <c r="G72" s="145">
        <f>IFERROR(IF(SUM(تجمیعی!G72,-'انبار مسقف'!G72,-'انبار بارانداز'!G72,-'انبار هانگار'!G72)=0,"",SUM(تجمیعی!G72,-'انبار مسقف'!G72,-'انبار بارانداز'!G72,-'انبار هانگار'!G72)),"")</f>
        <v>229</v>
      </c>
      <c r="H72" s="65" t="str">
        <f>I66</f>
        <v>بیرجند</v>
      </c>
      <c r="I72" s="11" t="s">
        <v>12</v>
      </c>
      <c r="J72" s="143" t="str">
        <f>IFERROR(IF(SUM(تجمیعی!K72,-'انبار مسقف'!M72,-'انبار بارانداز'!M72,-'انبار هانگار'!M72)=0,"",SUM(تجمیعی!K72,-'انبار مسقف'!M72,-'انبار بارانداز'!M72,-'انبار هانگار'!M72)),"")</f>
        <v/>
      </c>
      <c r="K72" s="144" t="str">
        <f>IFERROR(IF(SUM(تجمیعی!L72,-'انبار مسقف'!N72,-'انبار بارانداز'!N72,-'انبار هانگار'!N72)=0,"",SUM(تجمیعی!L72,-'انبار مسقف'!N72,-'انبار بارانداز'!N72,-'انبار هانگار'!N72)),"")</f>
        <v/>
      </c>
      <c r="L72" s="144" t="str">
        <f>IFERROR(IF(SUM(تجمیعی!M72,-'انبار مسقف'!O72,-'انبار بارانداز'!O72,-'انبار هانگار'!O72)=0,"",SUM(تجمیعی!M72,-'انبار مسقف'!O72,-'انبار بارانداز'!O72,-'انبار هانگار'!O72)),"")</f>
        <v/>
      </c>
      <c r="M72" s="144" t="str">
        <f>IFERROR(IF(SUM(تجمیعی!N72,-'انبار مسقف'!P72,-'انبار بارانداز'!P72,-'انبار هانگار'!P72)=0,"",SUM(تجمیعی!N72,-'انبار مسقف'!P72,-'انبار بارانداز'!P72,-'انبار هانگار'!P72)),"")</f>
        <v/>
      </c>
      <c r="N72" s="145">
        <f>IFERROR(IF(SUM(تجمیعی!O72,-'انبار مسقف'!Q72,-'انبار بارانداز'!Q72,-'انبار هانگار'!Q72)=0,"",SUM(تجمیعی!O72,-'انبار مسقف'!Q72,-'انبار بارانداز'!Q72,-'انبار هانگار'!Q72)),"")</f>
        <v>1069</v>
      </c>
    </row>
    <row r="73" spans="1:14" x14ac:dyDescent="0.25">
      <c r="A73" s="65" t="str">
        <f>B66</f>
        <v>بجنورد</v>
      </c>
      <c r="B73" s="11" t="s">
        <v>13</v>
      </c>
      <c r="C73" s="143" t="str">
        <f>IFERROR(IF(SUM(تجمیعی!C73,-'انبار مسقف'!C73,-'انبار بارانداز'!C73,-'انبار هانگار'!C73)=0,"",SUM(تجمیعی!C73,-'انبار مسقف'!C73,-'انبار بارانداز'!C73,-'انبار هانگار'!C73)),"")</f>
        <v/>
      </c>
      <c r="D73" s="144" t="str">
        <f>IFERROR(IF(SUM(تجمیعی!D73,-'انبار مسقف'!D73,-'انبار بارانداز'!D73,-'انبار هانگار'!D73)=0,"",SUM(تجمیعی!D73,-'انبار مسقف'!D73,-'انبار بارانداز'!D73,-'انبار هانگار'!D73)),"")</f>
        <v/>
      </c>
      <c r="E73" s="144" t="str">
        <f>IFERROR(IF(SUM(تجمیعی!E73,-'انبار مسقف'!E73,-'انبار بارانداز'!E73,-'انبار هانگار'!E73)=0,"",SUM(تجمیعی!E73,-'انبار مسقف'!E73,-'انبار بارانداز'!E73,-'انبار هانگار'!E73)),"")</f>
        <v/>
      </c>
      <c r="F73" s="144" t="str">
        <f>IFERROR(IF(SUM(تجمیعی!F73,-'انبار مسقف'!F73,-'انبار بارانداز'!F73,-'انبار هانگار'!F73)=0,"",SUM(تجمیعی!F73,-'انبار مسقف'!F73,-'انبار بارانداز'!F73,-'انبار هانگار'!F73)),"")</f>
        <v/>
      </c>
      <c r="G73" s="145">
        <f>IFERROR(IF(SUM(تجمیعی!G73,-'انبار مسقف'!G73,-'انبار بارانداز'!G73,-'انبار هانگار'!G73)=0,"",SUM(تجمیعی!G73,-'انبار مسقف'!G73,-'انبار بارانداز'!G73,-'انبار هانگار'!G73)),"")</f>
        <v>147</v>
      </c>
      <c r="H73" s="65" t="str">
        <f>I66</f>
        <v>بیرجند</v>
      </c>
      <c r="I73" s="11" t="s">
        <v>13</v>
      </c>
      <c r="J73" s="143" t="str">
        <f>IFERROR(IF(SUM(تجمیعی!K73,-'انبار مسقف'!M73,-'انبار بارانداز'!M73,-'انبار هانگار'!M73)=0,"",SUM(تجمیعی!K73,-'انبار مسقف'!M73,-'انبار بارانداز'!M73,-'انبار هانگار'!M73)),"")</f>
        <v/>
      </c>
      <c r="K73" s="144" t="str">
        <f>IFERROR(IF(SUM(تجمیعی!L73,-'انبار مسقف'!N73,-'انبار بارانداز'!N73,-'انبار هانگار'!N73)=0,"",SUM(تجمیعی!L73,-'انبار مسقف'!N73,-'انبار بارانداز'!N73,-'انبار هانگار'!N73)),"")</f>
        <v/>
      </c>
      <c r="L73" s="144" t="str">
        <f>IFERROR(IF(SUM(تجمیعی!M73,-'انبار مسقف'!O73,-'انبار بارانداز'!O73,-'انبار هانگار'!O73)=0,"",SUM(تجمیعی!M73,-'انبار مسقف'!O73,-'انبار بارانداز'!O73,-'انبار هانگار'!O73)),"")</f>
        <v/>
      </c>
      <c r="M73" s="144" t="str">
        <f>IFERROR(IF(SUM(تجمیعی!N73,-'انبار مسقف'!P73,-'انبار بارانداز'!P73,-'انبار هانگار'!P73)=0,"",SUM(تجمیعی!N73,-'انبار مسقف'!P73,-'انبار بارانداز'!P73,-'انبار هانگار'!P73)),"")</f>
        <v/>
      </c>
      <c r="N73" s="145">
        <f>IFERROR(IF(SUM(تجمیعی!O73,-'انبار مسقف'!Q73,-'انبار بارانداز'!Q73,-'انبار هانگار'!Q73)=0,"",SUM(تجمیعی!O73,-'انبار مسقف'!Q73,-'انبار بارانداز'!Q73,-'انبار هانگار'!Q73)),"")</f>
        <v>1222</v>
      </c>
    </row>
    <row r="74" spans="1:14" x14ac:dyDescent="0.25">
      <c r="A74" s="65" t="str">
        <f>B66</f>
        <v>بجنورد</v>
      </c>
      <c r="B74" s="11" t="s">
        <v>14</v>
      </c>
      <c r="C74" s="143" t="str">
        <f>IFERROR(IF(SUM(تجمیعی!C74,-'انبار مسقف'!C74,-'انبار بارانداز'!C74,-'انبار هانگار'!C74)=0,"",SUM(تجمیعی!C74,-'انبار مسقف'!C74,-'انبار بارانداز'!C74,-'انبار هانگار'!C74)),"")</f>
        <v/>
      </c>
      <c r="D74" s="144" t="str">
        <f>IFERROR(IF(SUM(تجمیعی!D74,-'انبار مسقف'!D74,-'انبار بارانداز'!D74,-'انبار هانگار'!D74)=0,"",SUM(تجمیعی!D74,-'انبار مسقف'!D74,-'انبار بارانداز'!D74,-'انبار هانگار'!D74)),"")</f>
        <v/>
      </c>
      <c r="E74" s="144" t="str">
        <f>IFERROR(IF(SUM(تجمیعی!E74,-'انبار مسقف'!E74,-'انبار بارانداز'!E74,-'انبار هانگار'!E74)=0,"",SUM(تجمیعی!E74,-'انبار مسقف'!E74,-'انبار بارانداز'!E74,-'انبار هانگار'!E74)),"")</f>
        <v/>
      </c>
      <c r="F74" s="144" t="str">
        <f>IFERROR(IF(SUM(تجمیعی!F74,-'انبار مسقف'!F74,-'انبار بارانداز'!F74,-'انبار هانگار'!F74)=0,"",SUM(تجمیعی!F74,-'انبار مسقف'!F74,-'انبار بارانداز'!F74,-'انبار هانگار'!F74)),"")</f>
        <v/>
      </c>
      <c r="G74" s="145">
        <f>IFERROR(IF(SUM(تجمیعی!G74,-'انبار مسقف'!G74,-'انبار بارانداز'!G74,-'انبار هانگار'!G74)=0,"",SUM(تجمیعی!G74,-'انبار مسقف'!G74,-'انبار بارانداز'!G74,-'انبار هانگار'!G74)),"")</f>
        <v>139</v>
      </c>
      <c r="H74" s="65" t="str">
        <f>I66</f>
        <v>بیرجند</v>
      </c>
      <c r="I74" s="11" t="s">
        <v>14</v>
      </c>
      <c r="J74" s="143" t="str">
        <f>IFERROR(IF(SUM(تجمیعی!K74,-'انبار مسقف'!M74,-'انبار بارانداز'!M74,-'انبار هانگار'!M74)=0,"",SUM(تجمیعی!K74,-'انبار مسقف'!M74,-'انبار بارانداز'!M74,-'انبار هانگار'!M74)),"")</f>
        <v/>
      </c>
      <c r="K74" s="144" t="str">
        <f>IFERROR(IF(SUM(تجمیعی!L74,-'انبار مسقف'!N74,-'انبار بارانداز'!N74,-'انبار هانگار'!N74)=0,"",SUM(تجمیعی!L74,-'انبار مسقف'!N74,-'انبار بارانداز'!N74,-'انبار هانگار'!N74)),"")</f>
        <v/>
      </c>
      <c r="L74" s="144" t="str">
        <f>IFERROR(IF(SUM(تجمیعی!M74,-'انبار مسقف'!O74,-'انبار بارانداز'!O74,-'انبار هانگار'!O74)=0,"",SUM(تجمیعی!M74,-'انبار مسقف'!O74,-'انبار بارانداز'!O74,-'انبار هانگار'!O74)),"")</f>
        <v/>
      </c>
      <c r="M74" s="144" t="str">
        <f>IFERROR(IF(SUM(تجمیعی!N74,-'انبار مسقف'!P74,-'انبار بارانداز'!P74,-'انبار هانگار'!P74)=0,"",SUM(تجمیعی!N74,-'انبار مسقف'!P74,-'انبار بارانداز'!P74,-'انبار هانگار'!P74)),"")</f>
        <v/>
      </c>
      <c r="N74" s="145">
        <f>IFERROR(IF(SUM(تجمیعی!O74,-'انبار مسقف'!Q74,-'انبار بارانداز'!Q74,-'انبار هانگار'!Q74)=0,"",SUM(تجمیعی!O74,-'انبار مسقف'!Q74,-'انبار بارانداز'!Q74,-'انبار هانگار'!Q74)),"")</f>
        <v>959</v>
      </c>
    </row>
    <row r="75" spans="1:14" x14ac:dyDescent="0.25">
      <c r="A75" s="65" t="str">
        <f>B66</f>
        <v>بجنورد</v>
      </c>
      <c r="B75" s="11" t="s">
        <v>15</v>
      </c>
      <c r="C75" s="143" t="str">
        <f>IFERROR(IF(SUM(تجمیعی!C75,-'انبار مسقف'!C75,-'انبار بارانداز'!C75,-'انبار هانگار'!C75)=0,"",SUM(تجمیعی!C75,-'انبار مسقف'!C75,-'انبار بارانداز'!C75,-'انبار هانگار'!C75)),"")</f>
        <v/>
      </c>
      <c r="D75" s="144" t="str">
        <f>IFERROR(IF(SUM(تجمیعی!D75,-'انبار مسقف'!D75,-'انبار بارانداز'!D75,-'انبار هانگار'!D75)=0,"",SUM(تجمیعی!D75,-'انبار مسقف'!D75,-'انبار بارانداز'!D75,-'انبار هانگار'!D75)),"")</f>
        <v/>
      </c>
      <c r="E75" s="144" t="str">
        <f>IFERROR(IF(SUM(تجمیعی!E75,-'انبار مسقف'!E75,-'انبار بارانداز'!E75,-'انبار هانگار'!E75)=0,"",SUM(تجمیعی!E75,-'انبار مسقف'!E75,-'انبار بارانداز'!E75,-'انبار هانگار'!E75)),"")</f>
        <v/>
      </c>
      <c r="F75" s="144" t="str">
        <f>IFERROR(IF(SUM(تجمیعی!F75,-'انبار مسقف'!F75,-'انبار بارانداز'!F75,-'انبار هانگار'!F75)=0,"",SUM(تجمیعی!F75,-'انبار مسقف'!F75,-'انبار بارانداز'!F75,-'انبار هانگار'!F75)),"")</f>
        <v/>
      </c>
      <c r="G75" s="145">
        <f>IFERROR(IF(SUM(تجمیعی!G75,-'انبار مسقف'!G75,-'انبار بارانداز'!G75,-'انبار هانگار'!G75)=0,"",SUM(تجمیعی!G75,-'انبار مسقف'!G75,-'انبار بارانداز'!G75,-'انبار هانگار'!G75)),"")</f>
        <v>112</v>
      </c>
      <c r="H75" s="65" t="str">
        <f>I66</f>
        <v>بیرجند</v>
      </c>
      <c r="I75" s="11" t="s">
        <v>15</v>
      </c>
      <c r="J75" s="143" t="str">
        <f>IFERROR(IF(SUM(تجمیعی!K75,-'انبار مسقف'!M75,-'انبار بارانداز'!M75,-'انبار هانگار'!M75)=0,"",SUM(تجمیعی!K75,-'انبار مسقف'!M75,-'انبار بارانداز'!M75,-'انبار هانگار'!M75)),"")</f>
        <v/>
      </c>
      <c r="K75" s="144" t="str">
        <f>IFERROR(IF(SUM(تجمیعی!L75,-'انبار مسقف'!N75,-'انبار بارانداز'!N75,-'انبار هانگار'!N75)=0,"",SUM(تجمیعی!L75,-'انبار مسقف'!N75,-'انبار بارانداز'!N75,-'انبار هانگار'!N75)),"")</f>
        <v/>
      </c>
      <c r="L75" s="144" t="str">
        <f>IFERROR(IF(SUM(تجمیعی!M75,-'انبار مسقف'!O75,-'انبار بارانداز'!O75,-'انبار هانگار'!O75)=0,"",SUM(تجمیعی!M75,-'انبار مسقف'!O75,-'انبار بارانداز'!O75,-'انبار هانگار'!O75)),"")</f>
        <v/>
      </c>
      <c r="M75" s="144" t="str">
        <f>IFERROR(IF(SUM(تجمیعی!N75,-'انبار مسقف'!P75,-'انبار بارانداز'!P75,-'انبار هانگار'!P75)=0,"",SUM(تجمیعی!N75,-'انبار مسقف'!P75,-'انبار بارانداز'!P75,-'انبار هانگار'!P75)),"")</f>
        <v/>
      </c>
      <c r="N75" s="145">
        <f>IFERROR(IF(SUM(تجمیعی!O75,-'انبار مسقف'!Q75,-'انبار بارانداز'!Q75,-'انبار هانگار'!Q75)=0,"",SUM(تجمیعی!O75,-'انبار مسقف'!Q75,-'انبار بارانداز'!Q75,-'انبار هانگار'!Q75)),"")</f>
        <v>35</v>
      </c>
    </row>
    <row r="76" spans="1:14" x14ac:dyDescent="0.25">
      <c r="A76" s="65" t="str">
        <f>B66</f>
        <v>بجنورد</v>
      </c>
      <c r="B76" s="11" t="s">
        <v>16</v>
      </c>
      <c r="C76" s="143" t="str">
        <f>IFERROR(IF(SUM(تجمیعی!C76,-'انبار مسقف'!C76,-'انبار بارانداز'!C76,-'انبار هانگار'!C76)=0,"",SUM(تجمیعی!C76,-'انبار مسقف'!C76,-'انبار بارانداز'!C76,-'انبار هانگار'!C76)),"")</f>
        <v/>
      </c>
      <c r="D76" s="144" t="str">
        <f>IFERROR(IF(SUM(تجمیعی!D76,-'انبار مسقف'!D76,-'انبار بارانداز'!D76,-'انبار هانگار'!D76)=0,"",SUM(تجمیعی!D76,-'انبار مسقف'!D76,-'انبار بارانداز'!D76,-'انبار هانگار'!D76)),"")</f>
        <v/>
      </c>
      <c r="E76" s="144" t="str">
        <f>IFERROR(IF(SUM(تجمیعی!E76,-'انبار مسقف'!E76,-'انبار بارانداز'!E76,-'انبار هانگار'!E76)=0,"",SUM(تجمیعی!E76,-'انبار مسقف'!E76,-'انبار بارانداز'!E76,-'انبار هانگار'!E76)),"")</f>
        <v/>
      </c>
      <c r="F76" s="144" t="str">
        <f>IFERROR(IF(SUM(تجمیعی!F76,-'انبار مسقف'!F76,-'انبار بارانداز'!F76,-'انبار هانگار'!F76)=0,"",SUM(تجمیعی!F76,-'انبار مسقف'!F76,-'انبار بارانداز'!F76,-'انبار هانگار'!F76)),"")</f>
        <v/>
      </c>
      <c r="G76" s="145">
        <f>IFERROR(IF(SUM(تجمیعی!G76,-'انبار مسقف'!G76,-'انبار بارانداز'!G76,-'انبار هانگار'!G76)=0,"",SUM(تجمیعی!G76,-'انبار مسقف'!G76,-'انبار بارانداز'!G76,-'انبار هانگار'!G76)),"")</f>
        <v>112</v>
      </c>
      <c r="H76" s="65" t="str">
        <f>I66</f>
        <v>بیرجند</v>
      </c>
      <c r="I76" s="11" t="s">
        <v>16</v>
      </c>
      <c r="J76" s="143" t="str">
        <f>IFERROR(IF(SUM(تجمیعی!K76,-'انبار مسقف'!M76,-'انبار بارانداز'!M76,-'انبار هانگار'!M76)=0,"",SUM(تجمیعی!K76,-'انبار مسقف'!M76,-'انبار بارانداز'!M76,-'انبار هانگار'!M76)),"")</f>
        <v/>
      </c>
      <c r="K76" s="144" t="str">
        <f>IFERROR(IF(SUM(تجمیعی!L76,-'انبار مسقف'!N76,-'انبار بارانداز'!N76,-'انبار هانگار'!N76)=0,"",SUM(تجمیعی!L76,-'انبار مسقف'!N76,-'انبار بارانداز'!N76,-'انبار هانگار'!N76)),"")</f>
        <v/>
      </c>
      <c r="L76" s="144" t="str">
        <f>IFERROR(IF(SUM(تجمیعی!M76,-'انبار مسقف'!O76,-'انبار بارانداز'!O76,-'انبار هانگار'!O76)=0,"",SUM(تجمیعی!M76,-'انبار مسقف'!O76,-'انبار بارانداز'!O76,-'انبار هانگار'!O76)),"")</f>
        <v/>
      </c>
      <c r="M76" s="144" t="str">
        <f>IFERROR(IF(SUM(تجمیعی!N76,-'انبار مسقف'!P76,-'انبار بارانداز'!P76,-'انبار هانگار'!P76)=0,"",SUM(تجمیعی!N76,-'انبار مسقف'!P76,-'انبار بارانداز'!P76,-'انبار هانگار'!P76)),"")</f>
        <v/>
      </c>
      <c r="N76" s="145">
        <f>IFERROR(IF(SUM(تجمیعی!O76,-'انبار مسقف'!Q76,-'انبار بارانداز'!Q76,-'انبار هانگار'!Q76)=0,"",SUM(تجمیعی!O76,-'انبار مسقف'!Q76,-'انبار بارانداز'!Q76,-'انبار هانگار'!Q76)),"")</f>
        <v>95</v>
      </c>
    </row>
    <row r="77" spans="1:14" x14ac:dyDescent="0.25">
      <c r="A77" s="65" t="str">
        <f>B66</f>
        <v>بجنورد</v>
      </c>
      <c r="B77" s="11" t="s">
        <v>17</v>
      </c>
      <c r="C77" s="143" t="str">
        <f>IFERROR(IF(SUM(تجمیعی!C77,-'انبار مسقف'!C77,-'انبار بارانداز'!C77,-'انبار هانگار'!C77)=0,"",SUM(تجمیعی!C77,-'انبار مسقف'!C77,-'انبار بارانداز'!C77,-'انبار هانگار'!C77)),"")</f>
        <v/>
      </c>
      <c r="D77" s="144" t="str">
        <f>IFERROR(IF(SUM(تجمیعی!D77,-'انبار مسقف'!D77,-'انبار بارانداز'!D77,-'انبار هانگار'!D77)=0,"",SUM(تجمیعی!D77,-'انبار مسقف'!D77,-'انبار بارانداز'!D77,-'انبار هانگار'!D77)),"")</f>
        <v/>
      </c>
      <c r="E77" s="144" t="str">
        <f>IFERROR(IF(SUM(تجمیعی!E77,-'انبار مسقف'!E77,-'انبار بارانداز'!E77,-'انبار هانگار'!E77)=0,"",SUM(تجمیعی!E77,-'انبار مسقف'!E77,-'انبار بارانداز'!E77,-'انبار هانگار'!E77)),"")</f>
        <v/>
      </c>
      <c r="F77" s="144" t="str">
        <f>IFERROR(IF(SUM(تجمیعی!F77,-'انبار مسقف'!F77,-'انبار بارانداز'!F77,-'انبار هانگار'!F77)=0,"",SUM(تجمیعی!F77,-'انبار مسقف'!F77,-'انبار بارانداز'!F77,-'انبار هانگار'!F77)),"")</f>
        <v/>
      </c>
      <c r="G77" s="145" t="str">
        <f>IFERROR(IF(SUM(تجمیعی!G77,-'انبار مسقف'!G77,-'انبار بارانداز'!G77,-'انبار هانگار'!G77)=0,"",SUM(تجمیعی!G77,-'انبار مسقف'!G77,-'انبار بارانداز'!G77,-'انبار هانگار'!G77)),"")</f>
        <v/>
      </c>
      <c r="H77" s="65" t="str">
        <f>I66</f>
        <v>بیرجند</v>
      </c>
      <c r="I77" s="11" t="s">
        <v>17</v>
      </c>
      <c r="J77" s="143" t="str">
        <f>IFERROR(IF(SUM(تجمیعی!K77,-'انبار مسقف'!M77,-'انبار بارانداز'!M77,-'انبار هانگار'!M77)=0,"",SUM(تجمیعی!K77,-'انبار مسقف'!M77,-'انبار بارانداز'!M77,-'انبار هانگار'!M77)),"")</f>
        <v/>
      </c>
      <c r="K77" s="144" t="str">
        <f>IFERROR(IF(SUM(تجمیعی!L77,-'انبار مسقف'!N77,-'انبار بارانداز'!N77,-'انبار هانگار'!N77)=0,"",SUM(تجمیعی!L77,-'انبار مسقف'!N77,-'انبار بارانداز'!N77,-'انبار هانگار'!N77)),"")</f>
        <v/>
      </c>
      <c r="L77" s="144" t="str">
        <f>IFERROR(IF(SUM(تجمیعی!M77,-'انبار مسقف'!O77,-'انبار بارانداز'!O77,-'انبار هانگار'!O77)=0,"",SUM(تجمیعی!M77,-'انبار مسقف'!O77,-'انبار بارانداز'!O77,-'انبار هانگار'!O77)),"")</f>
        <v/>
      </c>
      <c r="M77" s="144" t="str">
        <f>IFERROR(IF(SUM(تجمیعی!N77,-'انبار مسقف'!P77,-'انبار بارانداز'!P77,-'انبار هانگار'!P77)=0,"",SUM(تجمیعی!N77,-'انبار مسقف'!P77,-'انبار بارانداز'!P77,-'انبار هانگار'!P77)),"")</f>
        <v/>
      </c>
      <c r="N77" s="145">
        <f>IFERROR(IF(SUM(تجمیعی!O77,-'انبار مسقف'!Q77,-'انبار بارانداز'!Q77,-'انبار هانگار'!Q77)=0,"",SUM(تجمیعی!O77,-'انبار مسقف'!Q77,-'انبار بارانداز'!Q77,-'انبار هانگار'!Q77)),"")</f>
        <v>294</v>
      </c>
    </row>
    <row r="78" spans="1:14" x14ac:dyDescent="0.25">
      <c r="A78" s="65" t="str">
        <f>B66</f>
        <v>بجنورد</v>
      </c>
      <c r="B78" s="11" t="s">
        <v>18</v>
      </c>
      <c r="C78" s="143" t="str">
        <f>IFERROR(IF(SUM(تجمیعی!C78,-'انبار مسقف'!C78,-'انبار بارانداز'!C78,-'انبار هانگار'!C78)=0,"",SUM(تجمیعی!C78,-'انبار مسقف'!C78,-'انبار بارانداز'!C78,-'انبار هانگار'!C78)),"")</f>
        <v/>
      </c>
      <c r="D78" s="144" t="str">
        <f>IFERROR(IF(SUM(تجمیعی!D78,-'انبار مسقف'!D78,-'انبار بارانداز'!D78,-'انبار هانگار'!D78)=0,"",SUM(تجمیعی!D78,-'انبار مسقف'!D78,-'انبار بارانداز'!D78,-'انبار هانگار'!D78)),"")</f>
        <v/>
      </c>
      <c r="E78" s="144" t="str">
        <f>IFERROR(IF(SUM(تجمیعی!E78,-'انبار مسقف'!E78,-'انبار بارانداز'!E78,-'انبار هانگار'!E78)=0,"",SUM(تجمیعی!E78,-'انبار مسقف'!E78,-'انبار بارانداز'!E78,-'انبار هانگار'!E78)),"")</f>
        <v/>
      </c>
      <c r="F78" s="144" t="str">
        <f>IFERROR(IF(SUM(تجمیعی!F78,-'انبار مسقف'!F78,-'انبار بارانداز'!F78,-'انبار هانگار'!F78)=0,"",SUM(تجمیعی!F78,-'انبار مسقف'!F78,-'انبار بارانداز'!F78,-'انبار هانگار'!F78)),"")</f>
        <v/>
      </c>
      <c r="G78" s="145">
        <f>IFERROR(IF(SUM(تجمیعی!G78,-'انبار مسقف'!G78,-'انبار بارانداز'!G78,-'انبار هانگار'!G78)=0,"",SUM(تجمیعی!G78,-'انبار مسقف'!G78,-'انبار بارانداز'!G78,-'انبار هانگار'!G78)),"")</f>
        <v>131</v>
      </c>
      <c r="H78" s="65" t="str">
        <f>I66</f>
        <v>بیرجند</v>
      </c>
      <c r="I78" s="11" t="s">
        <v>18</v>
      </c>
      <c r="J78" s="143" t="str">
        <f>IFERROR(IF(SUM(تجمیعی!K78,-'انبار مسقف'!M78,-'انبار بارانداز'!M78,-'انبار هانگار'!M78)=0,"",SUM(تجمیعی!K78,-'انبار مسقف'!M78,-'انبار بارانداز'!M78,-'انبار هانگار'!M78)),"")</f>
        <v/>
      </c>
      <c r="K78" s="144" t="str">
        <f>IFERROR(IF(SUM(تجمیعی!L78,-'انبار مسقف'!N78,-'انبار بارانداز'!N78,-'انبار هانگار'!N78)=0,"",SUM(تجمیعی!L78,-'انبار مسقف'!N78,-'انبار بارانداز'!N78,-'انبار هانگار'!N78)),"")</f>
        <v/>
      </c>
      <c r="L78" s="144" t="str">
        <f>IFERROR(IF(SUM(تجمیعی!M78,-'انبار مسقف'!O78,-'انبار بارانداز'!O78,-'انبار هانگار'!O78)=0,"",SUM(تجمیعی!M78,-'انبار مسقف'!O78,-'انبار بارانداز'!O78,-'انبار هانگار'!O78)),"")</f>
        <v/>
      </c>
      <c r="M78" s="144" t="str">
        <f>IFERROR(IF(SUM(تجمیعی!N78,-'انبار مسقف'!P78,-'انبار بارانداز'!P78,-'انبار هانگار'!P78)=0,"",SUM(تجمیعی!N78,-'انبار مسقف'!P78,-'انبار بارانداز'!P78,-'انبار هانگار'!P78)),"")</f>
        <v/>
      </c>
      <c r="N78" s="145">
        <f>IFERROR(IF(SUM(تجمیعی!O78,-'انبار مسقف'!Q78,-'انبار بارانداز'!Q78,-'انبار هانگار'!Q78)=0,"",SUM(تجمیعی!O78,-'انبار مسقف'!Q78,-'انبار بارانداز'!Q78,-'انبار هانگار'!Q78)),"")</f>
        <v>431</v>
      </c>
    </row>
    <row r="79" spans="1:14" ht="20.25" thickBot="1" x14ac:dyDescent="0.3">
      <c r="A79" s="65" t="str">
        <f>B66</f>
        <v>بجنورد</v>
      </c>
      <c r="B79" s="16" t="s">
        <v>19</v>
      </c>
      <c r="C79" s="146" t="str">
        <f>IFERROR(IF(SUM(تجمیعی!C79,-'انبار مسقف'!C79,-'انبار بارانداز'!C79,-'انبار هانگار'!C79)=0,"",SUM(تجمیعی!C79,-'انبار مسقف'!C79,-'انبار بارانداز'!C79,-'انبار هانگار'!C79)),"")</f>
        <v/>
      </c>
      <c r="D79" s="147" t="str">
        <f>IFERROR(IF(SUM(تجمیعی!D79,-'انبار مسقف'!D79,-'انبار بارانداز'!D79,-'انبار هانگار'!D79)=0,"",SUM(تجمیعی!D79,-'انبار مسقف'!D79,-'انبار بارانداز'!D79,-'انبار هانگار'!D79)),"")</f>
        <v/>
      </c>
      <c r="E79" s="147" t="str">
        <f>IFERROR(IF(SUM(تجمیعی!E79,-'انبار مسقف'!E79,-'انبار بارانداز'!E79,-'انبار هانگار'!E79)=0,"",SUM(تجمیعی!E79,-'انبار مسقف'!E79,-'انبار بارانداز'!E79,-'انبار هانگار'!E79)),"")</f>
        <v/>
      </c>
      <c r="F79" s="147" t="str">
        <f>IFERROR(IF(SUM(تجمیعی!F79,-'انبار مسقف'!F79,-'انبار بارانداز'!F79,-'انبار هانگار'!F79)=0,"",SUM(تجمیعی!F79,-'انبار مسقف'!F79,-'انبار بارانداز'!F79,-'انبار هانگار'!F79)),"")</f>
        <v/>
      </c>
      <c r="G79" s="148">
        <f>IFERROR(IF(SUM(تجمیعی!G79,-'انبار مسقف'!G79,-'انبار بارانداز'!G79,-'انبار هانگار'!G79)=0,"",SUM(تجمیعی!G79,-'انبار مسقف'!G79,-'انبار بارانداز'!G79,-'انبار هانگار'!G79)),"")</f>
        <v>28</v>
      </c>
      <c r="H79" s="65" t="str">
        <f>I66</f>
        <v>بیرجند</v>
      </c>
      <c r="I79" s="16" t="s">
        <v>19</v>
      </c>
      <c r="J79" s="146" t="str">
        <f>IFERROR(IF(SUM(تجمیعی!K79,-'انبار مسقف'!M79,-'انبار بارانداز'!M79,-'انبار هانگار'!M79)=0,"",SUM(تجمیعی!K79,-'انبار مسقف'!M79,-'انبار بارانداز'!M79,-'انبار هانگار'!M79)),"")</f>
        <v/>
      </c>
      <c r="K79" s="147" t="str">
        <f>IFERROR(IF(SUM(تجمیعی!L79,-'انبار مسقف'!N79,-'انبار بارانداز'!N79,-'انبار هانگار'!N79)=0,"",SUM(تجمیعی!L79,-'انبار مسقف'!N79,-'انبار بارانداز'!N79,-'انبار هانگار'!N79)),"")</f>
        <v/>
      </c>
      <c r="L79" s="147" t="str">
        <f>IFERROR(IF(SUM(تجمیعی!M79,-'انبار مسقف'!O79,-'انبار بارانداز'!O79,-'انبار هانگار'!O79)=0,"",SUM(تجمیعی!M79,-'انبار مسقف'!O79,-'انبار بارانداز'!O79,-'انبار هانگار'!O79)),"")</f>
        <v/>
      </c>
      <c r="M79" s="147" t="str">
        <f>IFERROR(IF(SUM(تجمیعی!N79,-'انبار مسقف'!P79,-'انبار بارانداز'!P79,-'انبار هانگار'!P79)=0,"",SUM(تجمیعی!N79,-'انبار مسقف'!P79,-'انبار بارانداز'!P79,-'انبار هانگار'!P79)),"")</f>
        <v/>
      </c>
      <c r="N79" s="148">
        <f>IFERROR(IF(SUM(تجمیعی!O79,-'انبار مسقف'!Q79,-'انبار بارانداز'!Q79,-'انبار هانگار'!Q79)=0,"",SUM(تجمیعی!O79,-'انبار مسقف'!Q79,-'انبار بارانداز'!Q79,-'انبار هانگار'!Q79)),"")</f>
        <v>448</v>
      </c>
    </row>
    <row r="80" spans="1:14" ht="21" thickBot="1" x14ac:dyDescent="0.3">
      <c r="B80" s="139" t="s">
        <v>6</v>
      </c>
      <c r="C80" s="152">
        <f>IFERROR(IF(SUM(تجمیعی!C80,-'انبار مسقف'!C80,-'انبار بارانداز'!C80,-'انبار هانگار'!C80)=0,"",SUM(تجمیعی!C80,-'انبار مسقف'!C80,-'انبار بارانداز'!C80,-'انبار هانگار'!C80)),"")</f>
        <v>-1</v>
      </c>
      <c r="D80" s="153" t="str">
        <f>IFERROR(IF(SUM(تجمیعی!D80,-'انبار مسقف'!D80,-'انبار بارانداز'!D80,-'انبار هانگار'!D80)=0,"",SUM(تجمیعی!D80,-'انبار مسقف'!D80,-'انبار بارانداز'!D80,-'انبار هانگار'!D80)),"")</f>
        <v/>
      </c>
      <c r="E80" s="153">
        <f>IFERROR(IF(SUM(تجمیعی!E80,-'انبار مسقف'!E80,-'انبار بارانداز'!E80,-'انبار هانگار'!E80)=0,"",SUM(تجمیعی!E80,-'انبار مسقف'!E80,-'انبار بارانداز'!E80,-'انبار هانگار'!E80)),"")</f>
        <v>29</v>
      </c>
      <c r="F80" s="153" t="str">
        <f>IFERROR(IF(SUM(تجمیعی!F80,-'انبار مسقف'!F80,-'انبار بارانداز'!F80,-'انبار هانگار'!F80)=0,"",SUM(تجمیعی!F80,-'انبار مسقف'!F80,-'انبار بارانداز'!F80,-'انبار هانگار'!F80)),"")</f>
        <v/>
      </c>
      <c r="G80" s="154" t="str">
        <f>IFERROR(IF(SUM(تجمیعی!G80,-'انبار مسقف'!G80,-'انبار بارانداز'!G80,-'انبار هانگار'!G80)=0,"",SUM(تجمیعی!G80,-'انبار مسقف'!G80,-'انبار بارانداز'!G80,-'انبار هانگار'!G80)),"")</f>
        <v/>
      </c>
      <c r="I80" s="139" t="s">
        <v>6</v>
      </c>
      <c r="J80" s="152" t="str">
        <f>IFERROR(IF(SUM(تجمیعی!K80,-'انبار مسقف'!M80,-'انبار بارانداز'!M80,-'انبار هانگار'!M80)=0,"",SUM(تجمیعی!K80,-'انبار مسقف'!M80,-'انبار بارانداز'!M80,-'انبار هانگار'!M80)),"")</f>
        <v/>
      </c>
      <c r="K80" s="153" t="str">
        <f>IFERROR(IF(SUM(تجمیعی!L80,-'انبار مسقف'!N80,-'انبار بارانداز'!N80,-'انبار هانگار'!N80)=0,"",SUM(تجمیعی!L80,-'انبار مسقف'!N80,-'انبار بارانداز'!N80,-'انبار هانگار'!N80)),"")</f>
        <v/>
      </c>
      <c r="L80" s="153" t="str">
        <f>IFERROR(IF(SUM(تجمیعی!M80,-'انبار مسقف'!O80,-'انبار بارانداز'!O80,-'انبار هانگار'!O80)=0,"",SUM(تجمیعی!M80,-'انبار مسقف'!O80,-'انبار بارانداز'!O80,-'انبار هانگار'!O80)),"")</f>
        <v/>
      </c>
      <c r="M80" s="153" t="str">
        <f>IFERROR(IF(SUM(تجمیعی!N80,-'انبار مسقف'!P80,-'انبار بارانداز'!P80,-'انبار هانگار'!P80)=0,"",SUM(تجمیعی!N80,-'انبار مسقف'!P80,-'انبار بارانداز'!P80,-'انبار هانگار'!P80)),"")</f>
        <v/>
      </c>
      <c r="N80" s="154" t="str">
        <f>IFERROR(IF(SUM(تجمیعی!O80,-'انبار مسقف'!Q80,-'انبار بارانداز'!Q80,-'انبار هانگار'!Q80)=0,"",SUM(تجمیعی!O80,-'انبار مسقف'!Q80,-'انبار بارانداز'!Q80,-'انبار هانگار'!Q80)),"")</f>
        <v/>
      </c>
    </row>
    <row r="81" spans="1:14" ht="3.95" customHeight="1" thickBot="1" x14ac:dyDescent="0.3"/>
    <row r="82" spans="1:14" ht="26.25" thickBot="1" x14ac:dyDescent="0.3">
      <c r="B82" s="210" t="s">
        <v>41</v>
      </c>
      <c r="C82" s="211"/>
      <c r="D82" s="211"/>
      <c r="E82" s="211"/>
      <c r="F82" s="211"/>
      <c r="G82" s="212"/>
      <c r="I82" s="210" t="s">
        <v>56</v>
      </c>
      <c r="J82" s="211"/>
      <c r="K82" s="211"/>
      <c r="L82" s="211"/>
      <c r="M82" s="211"/>
      <c r="N82" s="212"/>
    </row>
    <row r="83" spans="1:14" ht="21" thickBot="1" x14ac:dyDescent="0.3">
      <c r="B83" s="135" t="s">
        <v>0</v>
      </c>
      <c r="C83" s="136" t="s">
        <v>1</v>
      </c>
      <c r="D83" s="137" t="s">
        <v>2</v>
      </c>
      <c r="E83" s="137" t="s">
        <v>3</v>
      </c>
      <c r="F83" s="137" t="s">
        <v>4</v>
      </c>
      <c r="G83" s="138" t="s">
        <v>5</v>
      </c>
      <c r="I83" s="135" t="s">
        <v>0</v>
      </c>
      <c r="J83" s="136" t="s">
        <v>1</v>
      </c>
      <c r="K83" s="137" t="s">
        <v>2</v>
      </c>
      <c r="L83" s="137" t="s">
        <v>3</v>
      </c>
      <c r="M83" s="137" t="s">
        <v>4</v>
      </c>
      <c r="N83" s="138" t="s">
        <v>5</v>
      </c>
    </row>
    <row r="84" spans="1:14" x14ac:dyDescent="0.25">
      <c r="A84" s="65" t="str">
        <f>B82</f>
        <v>ماهیرود</v>
      </c>
      <c r="B84" s="6" t="s">
        <v>8</v>
      </c>
      <c r="C84" s="140" t="str">
        <f>IFERROR(IF(SUM(تجمیعی!C84,-'انبار مسقف'!C84,-'انبار بارانداز'!C84,-'انبار هانگار'!C84)=0,"",SUM(تجمیعی!C84,-'انبار مسقف'!C84,-'انبار بارانداز'!C84,-'انبار هانگار'!C84)),"")</f>
        <v/>
      </c>
      <c r="D84" s="141" t="str">
        <f>IFERROR(IF(SUM(تجمیعی!D84,-'انبار مسقف'!D84,-'انبار بارانداز'!D84,-'انبار هانگار'!D84)=0,"",SUM(تجمیعی!D84,-'انبار مسقف'!D84,-'انبار بارانداز'!D84,-'انبار هانگار'!D84)),"")</f>
        <v/>
      </c>
      <c r="E84" s="141" t="str">
        <f>IFERROR(IF(SUM(تجمیعی!E84,-'انبار مسقف'!E84,-'انبار بارانداز'!E84,-'انبار هانگار'!E84)=0,"",SUM(تجمیعی!E84,-'انبار مسقف'!E84,-'انبار بارانداز'!E84,-'انبار هانگار'!E84)),"")</f>
        <v/>
      </c>
      <c r="F84" s="141" t="str">
        <f>IFERROR(IF(SUM(تجمیعی!F84,-'انبار مسقف'!F84,-'انبار بارانداز'!F84,-'انبار هانگار'!F84)=0,"",SUM(تجمیعی!F84,-'انبار مسقف'!F84,-'انبار بارانداز'!F84,-'انبار هانگار'!F84)),"")</f>
        <v/>
      </c>
      <c r="G84" s="142">
        <f>IFERROR(IF(SUM(تجمیعی!G84,-'انبار مسقف'!G84,-'انبار بارانداز'!G84,-'انبار هانگار'!G84)=0,"",SUM(تجمیعی!G84,-'انبار مسقف'!G84,-'انبار بارانداز'!G84,-'انبار هانگار'!G84)),"")</f>
        <v>507</v>
      </c>
      <c r="H84" s="65" t="str">
        <f>I82</f>
        <v>باجگیران</v>
      </c>
      <c r="I84" s="6" t="s">
        <v>8</v>
      </c>
      <c r="J84" s="140" t="str">
        <f>IFERROR(IF(SUM(تجمیعی!K84,-'انبار مسقف'!M84,-'انبار بارانداز'!M84,-'انبار هانگار'!M84)=0,"",SUM(تجمیعی!K84,-'انبار مسقف'!M84,-'انبار بارانداز'!M84,-'انبار هانگار'!M84)),"")</f>
        <v/>
      </c>
      <c r="K84" s="141" t="str">
        <f>IFERROR(IF(SUM(تجمیعی!L84,-'انبار مسقف'!N84,-'انبار بارانداز'!N84,-'انبار هانگار'!N84)=0,"",SUM(تجمیعی!L84,-'انبار مسقف'!N84,-'انبار بارانداز'!N84,-'انبار هانگار'!N84)),"")</f>
        <v/>
      </c>
      <c r="L84" s="141" t="str">
        <f>IFERROR(IF(SUM(تجمیعی!M84,-'انبار مسقف'!O84,-'انبار بارانداز'!O84,-'انبار هانگار'!O84)=0,"",SUM(تجمیعی!M84,-'انبار مسقف'!O84,-'انبار بارانداز'!O84,-'انبار هانگار'!O84)),"")</f>
        <v/>
      </c>
      <c r="M84" s="141" t="str">
        <f>IFERROR(IF(SUM(تجمیعی!N84,-'انبار مسقف'!P84,-'انبار بارانداز'!P84,-'انبار هانگار'!P84)=0,"",SUM(تجمیعی!N84,-'انبار مسقف'!P84,-'انبار بارانداز'!P84,-'انبار هانگار'!P84)),"")</f>
        <v/>
      </c>
      <c r="N84" s="142" t="str">
        <f>IFERROR(IF(SUM(تجمیعی!O84,-'انبار مسقف'!Q84,-'انبار بارانداز'!Q84,-'انبار هانگار'!Q84)=0,"",SUM(تجمیعی!O84,-'انبار مسقف'!Q84,-'انبار بارانداز'!Q84,-'انبار هانگار'!Q84)),"")</f>
        <v/>
      </c>
    </row>
    <row r="85" spans="1:14" x14ac:dyDescent="0.25">
      <c r="A85" s="65" t="str">
        <f>B82</f>
        <v>ماهیرود</v>
      </c>
      <c r="B85" s="11" t="s">
        <v>9</v>
      </c>
      <c r="C85" s="143">
        <f>IFERROR(IF(SUM(تجمیعی!C85,-'انبار مسقف'!C85,-'انبار بارانداز'!C85,-'انبار هانگار'!C85)=0,"",SUM(تجمیعی!C85,-'انبار مسقف'!C85,-'انبار بارانداز'!C85,-'انبار هانگار'!C85)),"")</f>
        <v>43</v>
      </c>
      <c r="D85" s="144">
        <f>IFERROR(IF(SUM(تجمیعی!D85,-'انبار مسقف'!D85,-'انبار بارانداز'!D85,-'انبار هانگار'!D85)=0,"",SUM(تجمیعی!D85,-'انبار مسقف'!D85,-'انبار بارانداز'!D85,-'انبار هانگار'!D85)),"")</f>
        <v>-48</v>
      </c>
      <c r="E85" s="144" t="str">
        <f>IFERROR(IF(SUM(تجمیعی!E85,-'انبار مسقف'!E85,-'انبار بارانداز'!E85,-'انبار هانگار'!E85)=0,"",SUM(تجمیعی!E85,-'انبار مسقف'!E85,-'انبار بارانداز'!E85,-'انبار هانگار'!E85)),"")</f>
        <v/>
      </c>
      <c r="F85" s="144" t="str">
        <f>IFERROR(IF(SUM(تجمیعی!F85,-'انبار مسقف'!F85,-'انبار بارانداز'!F85,-'انبار هانگار'!F85)=0,"",SUM(تجمیعی!F85,-'انبار مسقف'!F85,-'انبار بارانداز'!F85,-'انبار هانگار'!F85)),"")</f>
        <v/>
      </c>
      <c r="G85" s="145">
        <f>IFERROR(IF(SUM(تجمیعی!G85,-'انبار مسقف'!G85,-'انبار بارانداز'!G85,-'انبار هانگار'!G85)=0,"",SUM(تجمیعی!G85,-'انبار مسقف'!G85,-'انبار بارانداز'!G85,-'انبار هانگار'!G85)),"")</f>
        <v>1008</v>
      </c>
      <c r="H85" s="65" t="str">
        <f>I82</f>
        <v>باجگیران</v>
      </c>
      <c r="I85" s="11" t="s">
        <v>9</v>
      </c>
      <c r="J85" s="143" t="str">
        <f>IFERROR(IF(SUM(تجمیعی!K85,-'انبار مسقف'!M85,-'انبار بارانداز'!M85,-'انبار هانگار'!M85)=0,"",SUM(تجمیعی!K85,-'انبار مسقف'!M85,-'انبار بارانداز'!M85,-'انبار هانگار'!M85)),"")</f>
        <v/>
      </c>
      <c r="K85" s="144" t="str">
        <f>IFERROR(IF(SUM(تجمیعی!L85,-'انبار مسقف'!N85,-'انبار بارانداز'!N85,-'انبار هانگار'!N85)=0,"",SUM(تجمیعی!L85,-'انبار مسقف'!N85,-'انبار بارانداز'!N85,-'انبار هانگار'!N85)),"")</f>
        <v/>
      </c>
      <c r="L85" s="144" t="str">
        <f>IFERROR(IF(SUM(تجمیعی!M85,-'انبار مسقف'!O85,-'انبار بارانداز'!O85,-'انبار هانگار'!O85)=0,"",SUM(تجمیعی!M85,-'انبار مسقف'!O85,-'انبار بارانداز'!O85,-'انبار هانگار'!O85)),"")</f>
        <v/>
      </c>
      <c r="M85" s="144" t="str">
        <f>IFERROR(IF(SUM(تجمیعی!N85,-'انبار مسقف'!P85,-'انبار بارانداز'!P85,-'انبار هانگار'!P85)=0,"",SUM(تجمیعی!N85,-'انبار مسقف'!P85,-'انبار بارانداز'!P85,-'انبار هانگار'!P85)),"")</f>
        <v/>
      </c>
      <c r="N85" s="145" t="str">
        <f>IFERROR(IF(SUM(تجمیعی!O85,-'انبار مسقف'!Q85,-'انبار بارانداز'!Q85,-'انبار هانگار'!Q85)=0,"",SUM(تجمیعی!O85,-'انبار مسقف'!Q85,-'انبار بارانداز'!Q85,-'انبار هانگار'!Q85)),"")</f>
        <v/>
      </c>
    </row>
    <row r="86" spans="1:14" x14ac:dyDescent="0.25">
      <c r="A86" s="65" t="str">
        <f>B82</f>
        <v>ماهیرود</v>
      </c>
      <c r="B86" s="11" t="s">
        <v>10</v>
      </c>
      <c r="C86" s="143" t="str">
        <f>IFERROR(IF(SUM(تجمیعی!C86,-'انبار مسقف'!C86,-'انبار بارانداز'!C86,-'انبار هانگار'!C86)=0,"",SUM(تجمیعی!C86,-'انبار مسقف'!C86,-'انبار بارانداز'!C86,-'انبار هانگار'!C86)),"")</f>
        <v/>
      </c>
      <c r="D86" s="144" t="str">
        <f>IFERROR(IF(SUM(تجمیعی!D86,-'انبار مسقف'!D86,-'انبار بارانداز'!D86,-'انبار هانگار'!D86)=0,"",SUM(تجمیعی!D86,-'انبار مسقف'!D86,-'انبار بارانداز'!D86,-'انبار هانگار'!D86)),"")</f>
        <v/>
      </c>
      <c r="E86" s="144" t="str">
        <f>IFERROR(IF(SUM(تجمیعی!E86,-'انبار مسقف'!E86,-'انبار بارانداز'!E86,-'انبار هانگار'!E86)=0,"",SUM(تجمیعی!E86,-'انبار مسقف'!E86,-'انبار بارانداز'!E86,-'انبار هانگار'!E86)),"")</f>
        <v/>
      </c>
      <c r="F86" s="144" t="str">
        <f>IFERROR(IF(SUM(تجمیعی!F86,-'انبار مسقف'!F86,-'انبار بارانداز'!F86,-'انبار هانگار'!F86)=0,"",SUM(تجمیعی!F86,-'انبار مسقف'!F86,-'انبار بارانداز'!F86,-'انبار هانگار'!F86)),"")</f>
        <v/>
      </c>
      <c r="G86" s="145">
        <f>IFERROR(IF(SUM(تجمیعی!G86,-'انبار مسقف'!G86,-'انبار بارانداز'!G86,-'انبار هانگار'!G86)=0,"",SUM(تجمیعی!G86,-'انبار مسقف'!G86,-'انبار بارانداز'!G86,-'انبار هانگار'!G86)),"")</f>
        <v>1145</v>
      </c>
      <c r="H86" s="65" t="str">
        <f>I82</f>
        <v>باجگیران</v>
      </c>
      <c r="I86" s="11" t="s">
        <v>10</v>
      </c>
      <c r="J86" s="143" t="str">
        <f>IFERROR(IF(SUM(تجمیعی!K86,-'انبار مسقف'!M86,-'انبار بارانداز'!M86,-'انبار هانگار'!M86)=0,"",SUM(تجمیعی!K86,-'انبار مسقف'!M86,-'انبار بارانداز'!M86,-'انبار هانگار'!M86)),"")</f>
        <v/>
      </c>
      <c r="K86" s="144" t="str">
        <f>IFERROR(IF(SUM(تجمیعی!L86,-'انبار مسقف'!N86,-'انبار بارانداز'!N86,-'انبار هانگار'!N86)=0,"",SUM(تجمیعی!L86,-'انبار مسقف'!N86,-'انبار بارانداز'!N86,-'انبار هانگار'!N86)),"")</f>
        <v/>
      </c>
      <c r="L86" s="144" t="str">
        <f>IFERROR(IF(SUM(تجمیعی!M86,-'انبار مسقف'!O86,-'انبار بارانداز'!O86,-'انبار هانگار'!O86)=0,"",SUM(تجمیعی!M86,-'انبار مسقف'!O86,-'انبار بارانداز'!O86,-'انبار هانگار'!O86)),"")</f>
        <v/>
      </c>
      <c r="M86" s="144" t="str">
        <f>IFERROR(IF(SUM(تجمیعی!N86,-'انبار مسقف'!P86,-'انبار بارانداز'!P86,-'انبار هانگار'!P86)=0,"",SUM(تجمیعی!N86,-'انبار مسقف'!P86,-'انبار بارانداز'!P86,-'انبار هانگار'!P86)),"")</f>
        <v/>
      </c>
      <c r="N86" s="145" t="str">
        <f>IFERROR(IF(SUM(تجمیعی!O86,-'انبار مسقف'!Q86,-'انبار بارانداز'!Q86,-'انبار هانگار'!Q86)=0,"",SUM(تجمیعی!O86,-'انبار مسقف'!Q86,-'انبار بارانداز'!Q86,-'انبار هانگار'!Q86)),"")</f>
        <v/>
      </c>
    </row>
    <row r="87" spans="1:14" x14ac:dyDescent="0.25">
      <c r="A87" s="65" t="str">
        <f>B82</f>
        <v>ماهیرود</v>
      </c>
      <c r="B87" s="11" t="s">
        <v>11</v>
      </c>
      <c r="C87" s="143" t="str">
        <f>IFERROR(IF(SUM(تجمیعی!C87,-'انبار مسقف'!C87,-'انبار بارانداز'!C87,-'انبار هانگار'!C87)=0,"",SUM(تجمیعی!C87,-'انبار مسقف'!C87,-'انبار بارانداز'!C87,-'انبار هانگار'!C87)),"")</f>
        <v/>
      </c>
      <c r="D87" s="144" t="str">
        <f>IFERROR(IF(SUM(تجمیعی!D87,-'انبار مسقف'!D87,-'انبار بارانداز'!D87,-'انبار هانگار'!D87)=0,"",SUM(تجمیعی!D87,-'انبار مسقف'!D87,-'انبار بارانداز'!D87,-'انبار هانگار'!D87)),"")</f>
        <v/>
      </c>
      <c r="E87" s="144" t="str">
        <f>IFERROR(IF(SUM(تجمیعی!E87,-'انبار مسقف'!E87,-'انبار بارانداز'!E87,-'انبار هانگار'!E87)=0,"",SUM(تجمیعی!E87,-'انبار مسقف'!E87,-'انبار بارانداز'!E87,-'انبار هانگار'!E87)),"")</f>
        <v/>
      </c>
      <c r="F87" s="144" t="str">
        <f>IFERROR(IF(SUM(تجمیعی!F87,-'انبار مسقف'!F87,-'انبار بارانداز'!F87,-'انبار هانگار'!F87)=0,"",SUM(تجمیعی!F87,-'انبار مسقف'!F87,-'انبار بارانداز'!F87,-'انبار هانگار'!F87)),"")</f>
        <v/>
      </c>
      <c r="G87" s="145">
        <f>IFERROR(IF(SUM(تجمیعی!G87,-'انبار مسقف'!G87,-'انبار بارانداز'!G87,-'انبار هانگار'!G87)=0,"",SUM(تجمیعی!G87,-'انبار مسقف'!G87,-'انبار بارانداز'!G87,-'انبار هانگار'!G87)),"")</f>
        <v>708</v>
      </c>
      <c r="H87" s="65" t="str">
        <f>I82</f>
        <v>باجگیران</v>
      </c>
      <c r="I87" s="11" t="s">
        <v>11</v>
      </c>
      <c r="J87" s="143" t="str">
        <f>IFERROR(IF(SUM(تجمیعی!K87,-'انبار مسقف'!M87,-'انبار بارانداز'!M87,-'انبار هانگار'!M87)=0,"",SUM(تجمیعی!K87,-'انبار مسقف'!M87,-'انبار بارانداز'!M87,-'انبار هانگار'!M87)),"")</f>
        <v/>
      </c>
      <c r="K87" s="144" t="str">
        <f>IFERROR(IF(SUM(تجمیعی!L87,-'انبار مسقف'!N87,-'انبار بارانداز'!N87,-'انبار هانگار'!N87)=0,"",SUM(تجمیعی!L87,-'انبار مسقف'!N87,-'انبار بارانداز'!N87,-'انبار هانگار'!N87)),"")</f>
        <v/>
      </c>
      <c r="L87" s="144" t="str">
        <f>IFERROR(IF(SUM(تجمیعی!M87,-'انبار مسقف'!O87,-'انبار بارانداز'!O87,-'انبار هانگار'!O87)=0,"",SUM(تجمیعی!M87,-'انبار مسقف'!O87,-'انبار بارانداز'!O87,-'انبار هانگار'!O87)),"")</f>
        <v/>
      </c>
      <c r="M87" s="144" t="str">
        <f>IFERROR(IF(SUM(تجمیعی!N87,-'انبار مسقف'!P87,-'انبار بارانداز'!P87,-'انبار هانگار'!P87)=0,"",SUM(تجمیعی!N87,-'انبار مسقف'!P87,-'انبار بارانداز'!P87,-'انبار هانگار'!P87)),"")</f>
        <v/>
      </c>
      <c r="N87" s="145" t="str">
        <f>IFERROR(IF(SUM(تجمیعی!O87,-'انبار مسقف'!Q87,-'انبار بارانداز'!Q87,-'انبار هانگار'!Q87)=0,"",SUM(تجمیعی!O87,-'انبار مسقف'!Q87,-'انبار بارانداز'!Q87,-'انبار هانگار'!Q87)),"")</f>
        <v/>
      </c>
    </row>
    <row r="88" spans="1:14" x14ac:dyDescent="0.25">
      <c r="A88" s="65" t="str">
        <f>B82</f>
        <v>ماهیرود</v>
      </c>
      <c r="B88" s="11" t="s">
        <v>12</v>
      </c>
      <c r="C88" s="143" t="str">
        <f>IFERROR(IF(SUM(تجمیعی!C88,-'انبار مسقف'!C88,-'انبار بارانداز'!C88,-'انبار هانگار'!C88)=0,"",SUM(تجمیعی!C88,-'انبار مسقف'!C88,-'انبار بارانداز'!C88,-'انبار هانگار'!C88)),"")</f>
        <v/>
      </c>
      <c r="D88" s="144" t="str">
        <f>IFERROR(IF(SUM(تجمیعی!D88,-'انبار مسقف'!D88,-'انبار بارانداز'!D88,-'انبار هانگار'!D88)=0,"",SUM(تجمیعی!D88,-'انبار مسقف'!D88,-'انبار بارانداز'!D88,-'انبار هانگار'!D88)),"")</f>
        <v/>
      </c>
      <c r="E88" s="144" t="str">
        <f>IFERROR(IF(SUM(تجمیعی!E88,-'انبار مسقف'!E88,-'انبار بارانداز'!E88,-'انبار هانگار'!E88)=0,"",SUM(تجمیعی!E88,-'انبار مسقف'!E88,-'انبار بارانداز'!E88,-'انبار هانگار'!E88)),"")</f>
        <v/>
      </c>
      <c r="F88" s="144" t="str">
        <f>IFERROR(IF(SUM(تجمیعی!F88,-'انبار مسقف'!F88,-'انبار بارانداز'!F88,-'انبار هانگار'!F88)=0,"",SUM(تجمیعی!F88,-'انبار مسقف'!F88,-'انبار بارانداز'!F88,-'انبار هانگار'!F88)),"")</f>
        <v/>
      </c>
      <c r="G88" s="145">
        <f>IFERROR(IF(SUM(تجمیعی!G88,-'انبار مسقف'!G88,-'انبار بارانداز'!G88,-'انبار هانگار'!G88)=0,"",SUM(تجمیعی!G88,-'انبار مسقف'!G88,-'انبار بارانداز'!G88,-'انبار هانگار'!G88)),"")</f>
        <v>50</v>
      </c>
      <c r="H88" s="65" t="str">
        <f>I82</f>
        <v>باجگیران</v>
      </c>
      <c r="I88" s="11" t="s">
        <v>12</v>
      </c>
      <c r="J88" s="143" t="str">
        <f>IFERROR(IF(SUM(تجمیعی!K88,-'انبار مسقف'!M88,-'انبار بارانداز'!M88,-'انبار هانگار'!M88)=0,"",SUM(تجمیعی!K88,-'انبار مسقف'!M88,-'انبار بارانداز'!M88,-'انبار هانگار'!M88)),"")</f>
        <v/>
      </c>
      <c r="K88" s="144" t="str">
        <f>IFERROR(IF(SUM(تجمیعی!L88,-'انبار مسقف'!N88,-'انبار بارانداز'!N88,-'انبار هانگار'!N88)=0,"",SUM(تجمیعی!L88,-'انبار مسقف'!N88,-'انبار بارانداز'!N88,-'انبار هانگار'!N88)),"")</f>
        <v/>
      </c>
      <c r="L88" s="144" t="str">
        <f>IFERROR(IF(SUM(تجمیعی!M88,-'انبار مسقف'!O88,-'انبار بارانداز'!O88,-'انبار هانگار'!O88)=0,"",SUM(تجمیعی!M88,-'انبار مسقف'!O88,-'انبار بارانداز'!O88,-'انبار هانگار'!O88)),"")</f>
        <v/>
      </c>
      <c r="M88" s="144" t="str">
        <f>IFERROR(IF(SUM(تجمیعی!N88,-'انبار مسقف'!P88,-'انبار بارانداز'!P88,-'انبار هانگار'!P88)=0,"",SUM(تجمیعی!N88,-'انبار مسقف'!P88,-'انبار بارانداز'!P88,-'انبار هانگار'!P88)),"")</f>
        <v/>
      </c>
      <c r="N88" s="145" t="str">
        <f>IFERROR(IF(SUM(تجمیعی!O88,-'انبار مسقف'!Q88,-'انبار بارانداز'!Q88,-'انبار هانگار'!Q88)=0,"",SUM(تجمیعی!O88,-'انبار مسقف'!Q88,-'انبار بارانداز'!Q88,-'انبار هانگار'!Q88)),"")</f>
        <v/>
      </c>
    </row>
    <row r="89" spans="1:14" x14ac:dyDescent="0.25">
      <c r="A89" s="65" t="str">
        <f>B82</f>
        <v>ماهیرود</v>
      </c>
      <c r="B89" s="11" t="s">
        <v>13</v>
      </c>
      <c r="C89" s="143" t="str">
        <f>IFERROR(IF(SUM(تجمیعی!C89,-'انبار مسقف'!C89,-'انبار بارانداز'!C89,-'انبار هانگار'!C89)=0,"",SUM(تجمیعی!C89,-'انبار مسقف'!C89,-'انبار بارانداز'!C89,-'انبار هانگار'!C89)),"")</f>
        <v/>
      </c>
      <c r="D89" s="144" t="str">
        <f>IFERROR(IF(SUM(تجمیعی!D89,-'انبار مسقف'!D89,-'انبار بارانداز'!D89,-'انبار هانگار'!D89)=0,"",SUM(تجمیعی!D89,-'انبار مسقف'!D89,-'انبار بارانداز'!D89,-'انبار هانگار'!D89)),"")</f>
        <v/>
      </c>
      <c r="E89" s="144" t="str">
        <f>IFERROR(IF(SUM(تجمیعی!E89,-'انبار مسقف'!E89,-'انبار بارانداز'!E89,-'انبار هانگار'!E89)=0,"",SUM(تجمیعی!E89,-'انبار مسقف'!E89,-'انبار بارانداز'!E89,-'انبار هانگار'!E89)),"")</f>
        <v/>
      </c>
      <c r="F89" s="144" t="str">
        <f>IFERROR(IF(SUM(تجمیعی!F89,-'انبار مسقف'!F89,-'انبار بارانداز'!F89,-'انبار هانگار'!F89)=0,"",SUM(تجمیعی!F89,-'انبار مسقف'!F89,-'انبار بارانداز'!F89,-'انبار هانگار'!F89)),"")</f>
        <v/>
      </c>
      <c r="G89" s="145">
        <f>IFERROR(IF(SUM(تجمیعی!G89,-'انبار مسقف'!G89,-'انبار بارانداز'!G89,-'انبار هانگار'!G89)=0,"",SUM(تجمیعی!G89,-'انبار مسقف'!G89,-'انبار بارانداز'!G89,-'انبار هانگار'!G89)),"")</f>
        <v>230</v>
      </c>
      <c r="H89" s="65" t="str">
        <f>I82</f>
        <v>باجگیران</v>
      </c>
      <c r="I89" s="11" t="s">
        <v>13</v>
      </c>
      <c r="J89" s="143" t="str">
        <f>IFERROR(IF(SUM(تجمیعی!K89,-'انبار مسقف'!M89,-'انبار بارانداز'!M89,-'انبار هانگار'!M89)=0,"",SUM(تجمیعی!K89,-'انبار مسقف'!M89,-'انبار بارانداز'!M89,-'انبار هانگار'!M89)),"")</f>
        <v/>
      </c>
      <c r="K89" s="144" t="str">
        <f>IFERROR(IF(SUM(تجمیعی!L89,-'انبار مسقف'!N89,-'انبار بارانداز'!N89,-'انبار هانگار'!N89)=0,"",SUM(تجمیعی!L89,-'انبار مسقف'!N89,-'انبار بارانداز'!N89,-'انبار هانگار'!N89)),"")</f>
        <v/>
      </c>
      <c r="L89" s="144" t="str">
        <f>IFERROR(IF(SUM(تجمیعی!M89,-'انبار مسقف'!O89,-'انبار بارانداز'!O89,-'انبار هانگار'!O89)=0,"",SUM(تجمیعی!M89,-'انبار مسقف'!O89,-'انبار بارانداز'!O89,-'انبار هانگار'!O89)),"")</f>
        <v/>
      </c>
      <c r="M89" s="144" t="str">
        <f>IFERROR(IF(SUM(تجمیعی!N89,-'انبار مسقف'!P89,-'انبار بارانداز'!P89,-'انبار هانگار'!P89)=0,"",SUM(تجمیعی!N89,-'انبار مسقف'!P89,-'انبار بارانداز'!P89,-'انبار هانگار'!P89)),"")</f>
        <v/>
      </c>
      <c r="N89" s="145" t="str">
        <f>IFERROR(IF(SUM(تجمیعی!O89,-'انبار مسقف'!Q89,-'انبار بارانداز'!Q89,-'انبار هانگار'!Q89)=0,"",SUM(تجمیعی!O89,-'انبار مسقف'!Q89,-'انبار بارانداز'!Q89,-'انبار هانگار'!Q89)),"")</f>
        <v/>
      </c>
    </row>
    <row r="90" spans="1:14" x14ac:dyDescent="0.25">
      <c r="A90" s="65" t="str">
        <f>B82</f>
        <v>ماهیرود</v>
      </c>
      <c r="B90" s="11" t="s">
        <v>14</v>
      </c>
      <c r="C90" s="143" t="str">
        <f>IFERROR(IF(SUM(تجمیعی!C90,-'انبار مسقف'!C90,-'انبار بارانداز'!C90,-'انبار هانگار'!C90)=0,"",SUM(تجمیعی!C90,-'انبار مسقف'!C90,-'انبار بارانداز'!C90,-'انبار هانگار'!C90)),"")</f>
        <v/>
      </c>
      <c r="D90" s="144" t="str">
        <f>IFERROR(IF(SUM(تجمیعی!D90,-'انبار مسقف'!D90,-'انبار بارانداز'!D90,-'انبار هانگار'!D90)=0,"",SUM(تجمیعی!D90,-'انبار مسقف'!D90,-'انبار بارانداز'!D90,-'انبار هانگار'!D90)),"")</f>
        <v/>
      </c>
      <c r="E90" s="144" t="str">
        <f>IFERROR(IF(SUM(تجمیعی!E90,-'انبار مسقف'!E90,-'انبار بارانداز'!E90,-'انبار هانگار'!E90)=0,"",SUM(تجمیعی!E90,-'انبار مسقف'!E90,-'انبار بارانداز'!E90,-'انبار هانگار'!E90)),"")</f>
        <v/>
      </c>
      <c r="F90" s="144" t="str">
        <f>IFERROR(IF(SUM(تجمیعی!F90,-'انبار مسقف'!F90,-'انبار بارانداز'!F90,-'انبار هانگار'!F90)=0,"",SUM(تجمیعی!F90,-'انبار مسقف'!F90,-'انبار بارانداز'!F90,-'انبار هانگار'!F90)),"")</f>
        <v/>
      </c>
      <c r="G90" s="145">
        <f>IFERROR(IF(SUM(تجمیعی!G90,-'انبار مسقف'!G90,-'انبار بارانداز'!G90,-'انبار هانگار'!G90)=0,"",SUM(تجمیعی!G90,-'انبار مسقف'!G90,-'انبار بارانداز'!G90,-'انبار هانگار'!G90)),"")</f>
        <v>428</v>
      </c>
      <c r="H90" s="65" t="str">
        <f>I82</f>
        <v>باجگیران</v>
      </c>
      <c r="I90" s="11" t="s">
        <v>14</v>
      </c>
      <c r="J90" s="143" t="str">
        <f>IFERROR(IF(SUM(تجمیعی!K90,-'انبار مسقف'!M90,-'انبار بارانداز'!M90,-'انبار هانگار'!M90)=0,"",SUM(تجمیعی!K90,-'انبار مسقف'!M90,-'انبار بارانداز'!M90,-'انبار هانگار'!M90)),"")</f>
        <v/>
      </c>
      <c r="K90" s="144" t="str">
        <f>IFERROR(IF(SUM(تجمیعی!L90,-'انبار مسقف'!N90,-'انبار بارانداز'!N90,-'انبار هانگار'!N90)=0,"",SUM(تجمیعی!L90,-'انبار مسقف'!N90,-'انبار بارانداز'!N90,-'انبار هانگار'!N90)),"")</f>
        <v/>
      </c>
      <c r="L90" s="144" t="str">
        <f>IFERROR(IF(SUM(تجمیعی!M90,-'انبار مسقف'!O90,-'انبار بارانداز'!O90,-'انبار هانگار'!O90)=0,"",SUM(تجمیعی!M90,-'انبار مسقف'!O90,-'انبار بارانداز'!O90,-'انبار هانگار'!O90)),"")</f>
        <v/>
      </c>
      <c r="M90" s="144" t="str">
        <f>IFERROR(IF(SUM(تجمیعی!N90,-'انبار مسقف'!P90,-'انبار بارانداز'!P90,-'انبار هانگار'!P90)=0,"",SUM(تجمیعی!N90,-'انبار مسقف'!P90,-'انبار بارانداز'!P90,-'انبار هانگار'!P90)),"")</f>
        <v/>
      </c>
      <c r="N90" s="145" t="str">
        <f>IFERROR(IF(SUM(تجمیعی!O90,-'انبار مسقف'!Q90,-'انبار بارانداز'!Q90,-'انبار هانگار'!Q90)=0,"",SUM(تجمیعی!O90,-'انبار مسقف'!Q90,-'انبار بارانداز'!Q90,-'انبار هانگار'!Q90)),"")</f>
        <v/>
      </c>
    </row>
    <row r="91" spans="1:14" x14ac:dyDescent="0.25">
      <c r="A91" s="65" t="str">
        <f>B82</f>
        <v>ماهیرود</v>
      </c>
      <c r="B91" s="11" t="s">
        <v>15</v>
      </c>
      <c r="C91" s="143" t="str">
        <f>IFERROR(IF(SUM(تجمیعی!C91,-'انبار مسقف'!C91,-'انبار بارانداز'!C91,-'انبار هانگار'!C91)=0,"",SUM(تجمیعی!C91,-'انبار مسقف'!C91,-'انبار بارانداز'!C91,-'انبار هانگار'!C91)),"")</f>
        <v/>
      </c>
      <c r="D91" s="144" t="str">
        <f>IFERROR(IF(SUM(تجمیعی!D91,-'انبار مسقف'!D91,-'انبار بارانداز'!D91,-'انبار هانگار'!D91)=0,"",SUM(تجمیعی!D91,-'انبار مسقف'!D91,-'انبار بارانداز'!D91,-'انبار هانگار'!D91)),"")</f>
        <v/>
      </c>
      <c r="E91" s="144" t="str">
        <f>IFERROR(IF(SUM(تجمیعی!E91,-'انبار مسقف'!E91,-'انبار بارانداز'!E91,-'انبار هانگار'!E91)=0,"",SUM(تجمیعی!E91,-'انبار مسقف'!E91,-'انبار بارانداز'!E91,-'انبار هانگار'!E91)),"")</f>
        <v/>
      </c>
      <c r="F91" s="144" t="str">
        <f>IFERROR(IF(SUM(تجمیعی!F91,-'انبار مسقف'!F91,-'انبار بارانداز'!F91,-'انبار هانگار'!F91)=0,"",SUM(تجمیعی!F91,-'انبار مسقف'!F91,-'انبار بارانداز'!F91,-'انبار هانگار'!F91)),"")</f>
        <v/>
      </c>
      <c r="G91" s="145">
        <f>IFERROR(IF(SUM(تجمیعی!G91,-'انبار مسقف'!G91,-'انبار بارانداز'!G91,-'انبار هانگار'!G91)=0,"",SUM(تجمیعی!G91,-'انبار مسقف'!G91,-'انبار بارانداز'!G91,-'انبار هانگار'!G91)),"")</f>
        <v>255</v>
      </c>
      <c r="H91" s="65" t="str">
        <f>I82</f>
        <v>باجگیران</v>
      </c>
      <c r="I91" s="11" t="s">
        <v>15</v>
      </c>
      <c r="J91" s="143" t="str">
        <f>IFERROR(IF(SUM(تجمیعی!K91,-'انبار مسقف'!M91,-'انبار بارانداز'!M91,-'انبار هانگار'!M91)=0,"",SUM(تجمیعی!K91,-'انبار مسقف'!M91,-'انبار بارانداز'!M91,-'انبار هانگار'!M91)),"")</f>
        <v/>
      </c>
      <c r="K91" s="144" t="str">
        <f>IFERROR(IF(SUM(تجمیعی!L91,-'انبار مسقف'!N91,-'انبار بارانداز'!N91,-'انبار هانگار'!N91)=0,"",SUM(تجمیعی!L91,-'انبار مسقف'!N91,-'انبار بارانداز'!N91,-'انبار هانگار'!N91)),"")</f>
        <v/>
      </c>
      <c r="L91" s="144" t="str">
        <f>IFERROR(IF(SUM(تجمیعی!M91,-'انبار مسقف'!O91,-'انبار بارانداز'!O91,-'انبار هانگار'!O91)=0,"",SUM(تجمیعی!M91,-'انبار مسقف'!O91,-'انبار بارانداز'!O91,-'انبار هانگار'!O91)),"")</f>
        <v/>
      </c>
      <c r="M91" s="144" t="str">
        <f>IFERROR(IF(SUM(تجمیعی!N91,-'انبار مسقف'!P91,-'انبار بارانداز'!P91,-'انبار هانگار'!P91)=0,"",SUM(تجمیعی!N91,-'انبار مسقف'!P91,-'انبار بارانداز'!P91,-'انبار هانگار'!P91)),"")</f>
        <v/>
      </c>
      <c r="N91" s="145" t="str">
        <f>IFERROR(IF(SUM(تجمیعی!O91,-'انبار مسقف'!Q91,-'انبار بارانداز'!Q91,-'انبار هانگار'!Q91)=0,"",SUM(تجمیعی!O91,-'انبار مسقف'!Q91,-'انبار بارانداز'!Q91,-'انبار هانگار'!Q91)),"")</f>
        <v/>
      </c>
    </row>
    <row r="92" spans="1:14" x14ac:dyDescent="0.25">
      <c r="A92" s="65" t="str">
        <f>B82</f>
        <v>ماهیرود</v>
      </c>
      <c r="B92" s="11" t="s">
        <v>16</v>
      </c>
      <c r="C92" s="143" t="str">
        <f>IFERROR(IF(SUM(تجمیعی!C92,-'انبار مسقف'!C92,-'انبار بارانداز'!C92,-'انبار هانگار'!C92)=0,"",SUM(تجمیعی!C92,-'انبار مسقف'!C92,-'انبار بارانداز'!C92,-'انبار هانگار'!C92)),"")</f>
        <v/>
      </c>
      <c r="D92" s="144" t="str">
        <f>IFERROR(IF(SUM(تجمیعی!D92,-'انبار مسقف'!D92,-'انبار بارانداز'!D92,-'انبار هانگار'!D92)=0,"",SUM(تجمیعی!D92,-'انبار مسقف'!D92,-'انبار بارانداز'!D92,-'انبار هانگار'!D92)),"")</f>
        <v/>
      </c>
      <c r="E92" s="144" t="str">
        <f>IFERROR(IF(SUM(تجمیعی!E92,-'انبار مسقف'!E92,-'انبار بارانداز'!E92,-'انبار هانگار'!E92)=0,"",SUM(تجمیعی!E92,-'انبار مسقف'!E92,-'انبار بارانداز'!E92,-'انبار هانگار'!E92)),"")</f>
        <v/>
      </c>
      <c r="F92" s="144" t="str">
        <f>IFERROR(IF(SUM(تجمیعی!F92,-'انبار مسقف'!F92,-'انبار بارانداز'!F92,-'انبار هانگار'!F92)=0,"",SUM(تجمیعی!F92,-'انبار مسقف'!F92,-'انبار بارانداز'!F92,-'انبار هانگار'!F92)),"")</f>
        <v/>
      </c>
      <c r="G92" s="145">
        <f>IFERROR(IF(SUM(تجمیعی!G92,-'انبار مسقف'!G92,-'انبار بارانداز'!G92,-'انبار هانگار'!G92)=0,"",SUM(تجمیعی!G92,-'انبار مسقف'!G92,-'انبار بارانداز'!G92,-'انبار هانگار'!G92)),"")</f>
        <v>24</v>
      </c>
      <c r="H92" s="65" t="str">
        <f>I82</f>
        <v>باجگیران</v>
      </c>
      <c r="I92" s="11" t="s">
        <v>16</v>
      </c>
      <c r="J92" s="143" t="str">
        <f>IFERROR(IF(SUM(تجمیعی!K92,-'انبار مسقف'!M92,-'انبار بارانداز'!M92,-'انبار هانگار'!M92)=0,"",SUM(تجمیعی!K92,-'انبار مسقف'!M92,-'انبار بارانداز'!M92,-'انبار هانگار'!M92)),"")</f>
        <v/>
      </c>
      <c r="K92" s="144" t="str">
        <f>IFERROR(IF(SUM(تجمیعی!L92,-'انبار مسقف'!N92,-'انبار بارانداز'!N92,-'انبار هانگار'!N92)=0,"",SUM(تجمیعی!L92,-'انبار مسقف'!N92,-'انبار بارانداز'!N92,-'انبار هانگار'!N92)),"")</f>
        <v/>
      </c>
      <c r="L92" s="144" t="str">
        <f>IFERROR(IF(SUM(تجمیعی!M92,-'انبار مسقف'!O92,-'انبار بارانداز'!O92,-'انبار هانگار'!O92)=0,"",SUM(تجمیعی!M92,-'انبار مسقف'!O92,-'انبار بارانداز'!O92,-'انبار هانگار'!O92)),"")</f>
        <v/>
      </c>
      <c r="M92" s="144" t="str">
        <f>IFERROR(IF(SUM(تجمیعی!N92,-'انبار مسقف'!P92,-'انبار بارانداز'!P92,-'انبار هانگار'!P92)=0,"",SUM(تجمیعی!N92,-'انبار مسقف'!P92,-'انبار بارانداز'!P92,-'انبار هانگار'!P92)),"")</f>
        <v/>
      </c>
      <c r="N92" s="145" t="str">
        <f>IFERROR(IF(SUM(تجمیعی!O92,-'انبار مسقف'!Q92,-'انبار بارانداز'!Q92,-'انبار هانگار'!Q92)=0,"",SUM(تجمیعی!O92,-'انبار مسقف'!Q92,-'انبار بارانداز'!Q92,-'انبار هانگار'!Q92)),"")</f>
        <v/>
      </c>
    </row>
    <row r="93" spans="1:14" x14ac:dyDescent="0.25">
      <c r="A93" s="65" t="str">
        <f>B82</f>
        <v>ماهیرود</v>
      </c>
      <c r="B93" s="11" t="s">
        <v>17</v>
      </c>
      <c r="C93" s="143" t="str">
        <f>IFERROR(IF(SUM(تجمیعی!C93,-'انبار مسقف'!C93,-'انبار بارانداز'!C93,-'انبار هانگار'!C93)=0,"",SUM(تجمیعی!C93,-'انبار مسقف'!C93,-'انبار بارانداز'!C93,-'انبار هانگار'!C93)),"")</f>
        <v/>
      </c>
      <c r="D93" s="144" t="str">
        <f>IFERROR(IF(SUM(تجمیعی!D93,-'انبار مسقف'!D93,-'انبار بارانداز'!D93,-'انبار هانگار'!D93)=0,"",SUM(تجمیعی!D93,-'انبار مسقف'!D93,-'انبار بارانداز'!D93,-'انبار هانگار'!D93)),"")</f>
        <v/>
      </c>
      <c r="E93" s="144" t="str">
        <f>IFERROR(IF(SUM(تجمیعی!E93,-'انبار مسقف'!E93,-'انبار بارانداز'!E93,-'انبار هانگار'!E93)=0,"",SUM(تجمیعی!E93,-'انبار مسقف'!E93,-'انبار بارانداز'!E93,-'انبار هانگار'!E93)),"")</f>
        <v/>
      </c>
      <c r="F93" s="144" t="str">
        <f>IFERROR(IF(SUM(تجمیعی!F93,-'انبار مسقف'!F93,-'انبار بارانداز'!F93,-'انبار هانگار'!F93)=0,"",SUM(تجمیعی!F93,-'انبار مسقف'!F93,-'انبار بارانداز'!F93,-'انبار هانگار'!F93)),"")</f>
        <v/>
      </c>
      <c r="G93" s="145">
        <f>IFERROR(IF(SUM(تجمیعی!G93,-'انبار مسقف'!G93,-'انبار بارانداز'!G93,-'انبار هانگار'!G93)=0,"",SUM(تجمیعی!G93,-'انبار مسقف'!G93,-'انبار بارانداز'!G93,-'انبار هانگار'!G93)),"")</f>
        <v>712</v>
      </c>
      <c r="H93" s="65" t="str">
        <f>I82</f>
        <v>باجگیران</v>
      </c>
      <c r="I93" s="11" t="s">
        <v>17</v>
      </c>
      <c r="J93" s="143" t="str">
        <f>IFERROR(IF(SUM(تجمیعی!K93,-'انبار مسقف'!M93,-'انبار بارانداز'!M93,-'انبار هانگار'!M93)=0,"",SUM(تجمیعی!K93,-'انبار مسقف'!M93,-'انبار بارانداز'!M93,-'انبار هانگار'!M93)),"")</f>
        <v/>
      </c>
      <c r="K93" s="144" t="str">
        <f>IFERROR(IF(SUM(تجمیعی!L93,-'انبار مسقف'!N93,-'انبار بارانداز'!N93,-'انبار هانگار'!N93)=0,"",SUM(تجمیعی!L93,-'انبار مسقف'!N93,-'انبار بارانداز'!N93,-'انبار هانگار'!N93)),"")</f>
        <v/>
      </c>
      <c r="L93" s="144" t="str">
        <f>IFERROR(IF(SUM(تجمیعی!M93,-'انبار مسقف'!O93,-'انبار بارانداز'!O93,-'انبار هانگار'!O93)=0,"",SUM(تجمیعی!M93,-'انبار مسقف'!O93,-'انبار بارانداز'!O93,-'انبار هانگار'!O93)),"")</f>
        <v/>
      </c>
      <c r="M93" s="144" t="str">
        <f>IFERROR(IF(SUM(تجمیعی!N93,-'انبار مسقف'!P93,-'انبار بارانداز'!P93,-'انبار هانگار'!P93)=0,"",SUM(تجمیعی!N93,-'انبار مسقف'!P93,-'انبار بارانداز'!P93,-'انبار هانگار'!P93)),"")</f>
        <v/>
      </c>
      <c r="N93" s="145" t="str">
        <f>IFERROR(IF(SUM(تجمیعی!O93,-'انبار مسقف'!Q93,-'انبار بارانداز'!Q93,-'انبار هانگار'!Q93)=0,"",SUM(تجمیعی!O93,-'انبار مسقف'!Q93,-'انبار بارانداز'!Q93,-'انبار هانگار'!Q93)),"")</f>
        <v/>
      </c>
    </row>
    <row r="94" spans="1:14" x14ac:dyDescent="0.25">
      <c r="A94" s="65" t="str">
        <f>B82</f>
        <v>ماهیرود</v>
      </c>
      <c r="B94" s="11" t="s">
        <v>18</v>
      </c>
      <c r="C94" s="143" t="str">
        <f>IFERROR(IF(SUM(تجمیعی!C94,-'انبار مسقف'!C94,-'انبار بارانداز'!C94,-'انبار هانگار'!C94)=0,"",SUM(تجمیعی!C94,-'انبار مسقف'!C94,-'انبار بارانداز'!C94,-'انبار هانگار'!C94)),"")</f>
        <v/>
      </c>
      <c r="D94" s="144" t="str">
        <f>IFERROR(IF(SUM(تجمیعی!D94,-'انبار مسقف'!D94,-'انبار بارانداز'!D94,-'انبار هانگار'!D94)=0,"",SUM(تجمیعی!D94,-'انبار مسقف'!D94,-'انبار بارانداز'!D94,-'انبار هانگار'!D94)),"")</f>
        <v/>
      </c>
      <c r="E94" s="144" t="str">
        <f>IFERROR(IF(SUM(تجمیعی!E94,-'انبار مسقف'!E94,-'انبار بارانداز'!E94,-'انبار هانگار'!E94)=0,"",SUM(تجمیعی!E94,-'انبار مسقف'!E94,-'انبار بارانداز'!E94,-'انبار هانگار'!E94)),"")</f>
        <v/>
      </c>
      <c r="F94" s="144" t="str">
        <f>IFERROR(IF(SUM(تجمیعی!F94,-'انبار مسقف'!F94,-'انبار بارانداز'!F94,-'انبار هانگار'!F94)=0,"",SUM(تجمیعی!F94,-'انبار مسقف'!F94,-'انبار بارانداز'!F94,-'انبار هانگار'!F94)),"")</f>
        <v/>
      </c>
      <c r="G94" s="145">
        <f>IFERROR(IF(SUM(تجمیعی!G94,-'انبار مسقف'!G94,-'انبار بارانداز'!G94,-'انبار هانگار'!G94)=0,"",SUM(تجمیعی!G94,-'انبار مسقف'!G94,-'انبار بارانداز'!G94,-'انبار هانگار'!G94)),"")</f>
        <v>1066</v>
      </c>
      <c r="H94" s="65" t="str">
        <f>I82</f>
        <v>باجگیران</v>
      </c>
      <c r="I94" s="11" t="s">
        <v>18</v>
      </c>
      <c r="J94" s="143" t="str">
        <f>IFERROR(IF(SUM(تجمیعی!K94,-'انبار مسقف'!M94,-'انبار بارانداز'!M94,-'انبار هانگار'!M94)=0,"",SUM(تجمیعی!K94,-'انبار مسقف'!M94,-'انبار بارانداز'!M94,-'انبار هانگار'!M94)),"")</f>
        <v/>
      </c>
      <c r="K94" s="144" t="str">
        <f>IFERROR(IF(SUM(تجمیعی!L94,-'انبار مسقف'!N94,-'انبار بارانداز'!N94,-'انبار هانگار'!N94)=0,"",SUM(تجمیعی!L94,-'انبار مسقف'!N94,-'انبار بارانداز'!N94,-'انبار هانگار'!N94)),"")</f>
        <v/>
      </c>
      <c r="L94" s="144" t="str">
        <f>IFERROR(IF(SUM(تجمیعی!M94,-'انبار مسقف'!O94,-'انبار بارانداز'!O94,-'انبار هانگار'!O94)=0,"",SUM(تجمیعی!M94,-'انبار مسقف'!O94,-'انبار بارانداز'!O94,-'انبار هانگار'!O94)),"")</f>
        <v/>
      </c>
      <c r="M94" s="144" t="str">
        <f>IFERROR(IF(SUM(تجمیعی!N94,-'انبار مسقف'!P94,-'انبار بارانداز'!P94,-'انبار هانگار'!P94)=0,"",SUM(تجمیعی!N94,-'انبار مسقف'!P94,-'انبار بارانداز'!P94,-'انبار هانگار'!P94)),"")</f>
        <v/>
      </c>
      <c r="N94" s="145" t="str">
        <f>IFERROR(IF(SUM(تجمیعی!O94,-'انبار مسقف'!Q94,-'انبار بارانداز'!Q94,-'انبار هانگار'!Q94)=0,"",SUM(تجمیعی!O94,-'انبار مسقف'!Q94,-'انبار بارانداز'!Q94,-'انبار هانگار'!Q94)),"")</f>
        <v/>
      </c>
    </row>
    <row r="95" spans="1:14" ht="20.25" thickBot="1" x14ac:dyDescent="0.3">
      <c r="A95" s="65" t="str">
        <f>B82</f>
        <v>ماهیرود</v>
      </c>
      <c r="B95" s="16" t="s">
        <v>19</v>
      </c>
      <c r="C95" s="146" t="str">
        <f>IFERROR(IF(SUM(تجمیعی!C95,-'انبار مسقف'!C95,-'انبار بارانداز'!C95,-'انبار هانگار'!C95)=0,"",SUM(تجمیعی!C95,-'انبار مسقف'!C95,-'انبار بارانداز'!C95,-'انبار هانگار'!C95)),"")</f>
        <v/>
      </c>
      <c r="D95" s="147" t="str">
        <f>IFERROR(IF(SUM(تجمیعی!D95,-'انبار مسقف'!D95,-'انبار بارانداز'!D95,-'انبار هانگار'!D95)=0,"",SUM(تجمیعی!D95,-'انبار مسقف'!D95,-'انبار بارانداز'!D95,-'انبار هانگار'!D95)),"")</f>
        <v/>
      </c>
      <c r="E95" s="147" t="str">
        <f>IFERROR(IF(SUM(تجمیعی!E95,-'انبار مسقف'!E95,-'انبار بارانداز'!E95,-'انبار هانگار'!E95)=0,"",SUM(تجمیعی!E95,-'انبار مسقف'!E95,-'انبار بارانداز'!E95,-'انبار هانگار'!E95)),"")</f>
        <v/>
      </c>
      <c r="F95" s="147" t="str">
        <f>IFERROR(IF(SUM(تجمیعی!F95,-'انبار مسقف'!F95,-'انبار بارانداز'!F95,-'انبار هانگار'!F95)=0,"",SUM(تجمیعی!F95,-'انبار مسقف'!F95,-'انبار بارانداز'!F95,-'انبار هانگار'!F95)),"")</f>
        <v/>
      </c>
      <c r="G95" s="148">
        <f>IFERROR(IF(SUM(تجمیعی!G95,-'انبار مسقف'!G95,-'انبار بارانداز'!G95,-'انبار هانگار'!G95)=0,"",SUM(تجمیعی!G95,-'انبار مسقف'!G95,-'انبار بارانداز'!G95,-'انبار هانگار'!G95)),"")</f>
        <v>1030</v>
      </c>
      <c r="H95" s="65" t="str">
        <f>I82</f>
        <v>باجگیران</v>
      </c>
      <c r="I95" s="16" t="s">
        <v>19</v>
      </c>
      <c r="J95" s="146" t="str">
        <f>IFERROR(IF(SUM(تجمیعی!K95,-'انبار مسقف'!M95,-'انبار بارانداز'!M95,-'انبار هانگار'!M95)=0,"",SUM(تجمیعی!K95,-'انبار مسقف'!M95,-'انبار بارانداز'!M95,-'انبار هانگار'!M95)),"")</f>
        <v/>
      </c>
      <c r="K95" s="147" t="str">
        <f>IFERROR(IF(SUM(تجمیعی!L95,-'انبار مسقف'!N95,-'انبار بارانداز'!N95,-'انبار هانگار'!N95)=0,"",SUM(تجمیعی!L95,-'انبار مسقف'!N95,-'انبار بارانداز'!N95,-'انبار هانگار'!N95)),"")</f>
        <v/>
      </c>
      <c r="L95" s="147" t="str">
        <f>IFERROR(IF(SUM(تجمیعی!M95,-'انبار مسقف'!O95,-'انبار بارانداز'!O95,-'انبار هانگار'!O95)=0,"",SUM(تجمیعی!M95,-'انبار مسقف'!O95,-'انبار بارانداز'!O95,-'انبار هانگار'!O95)),"")</f>
        <v/>
      </c>
      <c r="M95" s="147" t="str">
        <f>IFERROR(IF(SUM(تجمیعی!N95,-'انبار مسقف'!P95,-'انبار بارانداز'!P95,-'انبار هانگار'!P95)=0,"",SUM(تجمیعی!N95,-'انبار مسقف'!P95,-'انبار بارانداز'!P95,-'انبار هانگار'!P95)),"")</f>
        <v/>
      </c>
      <c r="N95" s="148" t="str">
        <f>IFERROR(IF(SUM(تجمیعی!O95,-'انبار مسقف'!Q95,-'انبار بارانداز'!Q95,-'انبار هانگار'!Q95)=0,"",SUM(تجمیعی!O95,-'انبار مسقف'!Q95,-'انبار بارانداز'!Q95,-'انبار هانگار'!Q95)),"")</f>
        <v/>
      </c>
    </row>
    <row r="96" spans="1:14" ht="21" thickBot="1" x14ac:dyDescent="0.3">
      <c r="B96" s="139" t="s">
        <v>6</v>
      </c>
      <c r="C96" s="152">
        <f>IFERROR(IF(SUM(تجمیعی!C96,-'انبار مسقف'!C96,-'انبار بارانداز'!C96,-'انبار هانگار'!C96)=0,"",SUM(تجمیعی!C96,-'انبار مسقف'!C96,-'انبار بارانداز'!C96,-'انبار هانگار'!C96)),"")</f>
        <v>43</v>
      </c>
      <c r="D96" s="153">
        <f>IFERROR(IF(SUM(تجمیعی!D96,-'انبار مسقف'!D96,-'انبار بارانداز'!D96,-'انبار هانگار'!D96)=0,"",SUM(تجمیعی!D96,-'انبار مسقف'!D96,-'انبار بارانداز'!D96,-'انبار هانگار'!D96)),"")</f>
        <v>-48</v>
      </c>
      <c r="E96" s="153" t="str">
        <f>IFERROR(IF(SUM(تجمیعی!E96,-'انبار مسقف'!E96,-'انبار بارانداز'!E96,-'انبار هانگار'!E96)=0,"",SUM(تجمیعی!E96,-'انبار مسقف'!E96,-'انبار بارانداز'!E96,-'انبار هانگار'!E96)),"")</f>
        <v/>
      </c>
      <c r="F96" s="153" t="str">
        <f>IFERROR(IF(SUM(تجمیعی!F96,-'انبار مسقف'!F96,-'انبار بارانداز'!F96,-'انبار هانگار'!F96)=0,"",SUM(تجمیعی!F96,-'انبار مسقف'!F96,-'انبار بارانداز'!F96,-'انبار هانگار'!F96)),"")</f>
        <v/>
      </c>
      <c r="G96" s="154" t="str">
        <f>IFERROR(IF(SUM(تجمیعی!G96,-'انبار مسقف'!G96,-'انبار بارانداز'!G96,-'انبار هانگار'!G96)=0,"",SUM(تجمیعی!G96,-'انبار مسقف'!G96,-'انبار بارانداز'!G96,-'انبار هانگار'!G96)),"")</f>
        <v/>
      </c>
      <c r="I96" s="139" t="s">
        <v>6</v>
      </c>
      <c r="J96" s="152" t="str">
        <f>IFERROR(IF(SUM(تجمیعی!J96,-'انبار مسقف'!J96,-'انبار بارانداز'!J96,-'انبار هانگار'!J96)=0,"",SUM(تجمیعی!J96,-'انبار مسقف'!J96,-'انبار بارانداز'!J96,-'انبار هانگار'!J96)),"")</f>
        <v/>
      </c>
      <c r="K96" s="153">
        <f>IFERROR(IF(SUM(تجمیعی!K96,-'انبار مسقف'!K96,-'انبار بارانداز'!K96,-'انبار هانگار'!K96)=0,"",SUM(تجمیعی!K96,-'انبار مسقف'!K96,-'انبار بارانداز'!K96,-'انبار هانگار'!K96)),"")</f>
        <v>2.758</v>
      </c>
      <c r="L96" s="153" t="str">
        <f>IFERROR(IF(SUM(تجمیعی!L96,-'انبار مسقف'!L96,-'انبار بارانداز'!L96,-'انبار هانگار'!L96)=0,"",SUM(تجمیعی!L96,-'انبار مسقف'!L96,-'انبار بارانداز'!L96,-'انبار هانگار'!L96)),"")</f>
        <v/>
      </c>
      <c r="M96" s="153">
        <f>IFERROR(IF(SUM(تجمیعی!M96,-'انبار مسقف'!M96,-'انبار بارانداز'!M96,-'انبار هانگار'!M96)=0,"",SUM(تجمیعی!M96,-'انبار مسقف'!M96,-'انبار بارانداز'!M96,-'انبار هانگار'!M96)),"")</f>
        <v>-2.758</v>
      </c>
      <c r="N96" s="154">
        <f>IFERROR(IF(SUM(تجمیعی!N96,-'انبار مسقف'!N96,-'انبار بارانداز'!N96,-'انبار هانگار'!N96)=0,"",SUM(تجمیعی!N96,-'انبار مسقف'!N96,-'انبار بارانداز'!N96,-'انبار هانگار'!N96)),"")</f>
        <v>-1.137</v>
      </c>
    </row>
  </sheetData>
  <sheetProtection algorithmName="SHA-512" hashValue="Dyt6huWoIqRXzuwVaruvWjrc6Egi777bxTIXyNz7p2LVgNVfSJ8Moxn3YznL9gx/FqMFuVNRxbk/AsiHuffKCQ==" saltValue="tsaWTZayDE2FkyP3ekq7iA==" spinCount="100000" sheet="1" selectLockedCells="1" selectUnlockedCells="1"/>
  <mergeCells count="14">
    <mergeCell ref="Q4:X5"/>
    <mergeCell ref="Q6:X7"/>
    <mergeCell ref="B50:G50"/>
    <mergeCell ref="I50:N50"/>
    <mergeCell ref="I66:N66"/>
    <mergeCell ref="B82:G82"/>
    <mergeCell ref="B2:G2"/>
    <mergeCell ref="I2:N2"/>
    <mergeCell ref="B18:G18"/>
    <mergeCell ref="I18:N18"/>
    <mergeCell ref="B34:G34"/>
    <mergeCell ref="I34:N34"/>
    <mergeCell ref="B66:G66"/>
    <mergeCell ref="I82:N8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 x14ac:dyDescent="0.3">
      <c r="B1" s="190" t="s">
        <v>55</v>
      </c>
      <c r="C1" s="191">
        <v>12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 x14ac:dyDescent="0.3">
      <c r="B2" s="223" t="s">
        <v>47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</row>
    <row r="3" spans="1:36" s="158" customFormat="1" ht="24.95" customHeight="1" x14ac:dyDescent="0.25">
      <c r="B3" s="237" t="s">
        <v>42</v>
      </c>
      <c r="C3" s="218" t="s">
        <v>0</v>
      </c>
      <c r="D3" s="235" t="s">
        <v>1</v>
      </c>
      <c r="E3" s="236"/>
      <c r="F3" s="236"/>
      <c r="G3" s="236"/>
      <c r="H3" s="232" t="s">
        <v>2</v>
      </c>
      <c r="I3" s="233"/>
      <c r="J3" s="233"/>
      <c r="K3" s="234"/>
      <c r="L3" s="229" t="s">
        <v>3</v>
      </c>
      <c r="M3" s="230"/>
      <c r="N3" s="230"/>
      <c r="O3" s="231"/>
      <c r="P3" s="226" t="s">
        <v>4</v>
      </c>
      <c r="Q3" s="227"/>
      <c r="R3" s="227"/>
      <c r="S3" s="228"/>
      <c r="T3" s="235" t="s">
        <v>49</v>
      </c>
      <c r="U3" s="236"/>
      <c r="V3" s="236"/>
      <c r="W3" s="236"/>
      <c r="X3" s="232" t="s">
        <v>50</v>
      </c>
      <c r="Y3" s="233"/>
      <c r="Z3" s="233"/>
      <c r="AA3" s="234"/>
      <c r="AB3" s="229" t="s">
        <v>51</v>
      </c>
      <c r="AC3" s="230"/>
      <c r="AD3" s="230"/>
      <c r="AE3" s="231"/>
      <c r="AF3" s="226" t="s">
        <v>52</v>
      </c>
      <c r="AG3" s="227"/>
      <c r="AH3" s="227"/>
      <c r="AI3" s="228"/>
    </row>
    <row r="4" spans="1:36" s="158" customFormat="1" ht="36" customHeight="1" thickBot="1" x14ac:dyDescent="0.3">
      <c r="B4" s="238"/>
      <c r="C4" s="21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>IF(B5="",A4,B5)</f>
        <v>مجتمع خراسان</v>
      </c>
      <c r="B5" s="220" t="s">
        <v>48</v>
      </c>
      <c r="C5" s="192" t="str">
        <f>تجمیعی!B4</f>
        <v>فروردین</v>
      </c>
      <c r="D5" s="183">
        <f t="shared" ref="D5:E16" si="0">SUMIFS(D$29:D$1812,$C$29:$C$1812,$C5)</f>
        <v>16718</v>
      </c>
      <c r="E5" s="184">
        <f t="shared" si="0"/>
        <v>37300.892584719411</v>
      </c>
      <c r="F5" s="184">
        <f>IFERROR(SUM(D5,-E5),"")</f>
        <v>-20582.892584719411</v>
      </c>
      <c r="G5" s="185">
        <f>IF(SUM(D5:D16)=0,"",IFERROR(D5/E5,""))</f>
        <v>0.44819302814347806</v>
      </c>
      <c r="H5" s="183">
        <f t="shared" ref="H5:I16" si="1">SUMIFS(H$29:H$1812,$C$29:$C$1812,$C5)</f>
        <v>19111</v>
      </c>
      <c r="I5" s="184">
        <f t="shared" si="1"/>
        <v>34986.089675108575</v>
      </c>
      <c r="J5" s="184">
        <f>IFERROR(SUM(H5,-I5),"")</f>
        <v>-15875.089675108575</v>
      </c>
      <c r="K5" s="185">
        <f>IF(SUM(H5:H16)=0,"",IFERROR(H5/I5,""))</f>
        <v>0.54624567013548908</v>
      </c>
      <c r="L5" s="183">
        <f t="shared" ref="L5:M16" si="2">SUMIFS(L$29:L$1812,$C$29:$C$1812,$C5)</f>
        <v>407</v>
      </c>
      <c r="M5" s="184">
        <f t="shared" si="2"/>
        <v>3093.3922246697771</v>
      </c>
      <c r="N5" s="184">
        <f>IFERROR(SUM(L5,-M5),"")</f>
        <v>-2686.3922246697771</v>
      </c>
      <c r="O5" s="185">
        <f>IF(SUM(L5:L16)=0,"",IFERROR(L5/M5,""))</f>
        <v>0.13157077099831649</v>
      </c>
      <c r="P5" s="183">
        <f t="shared" ref="P5:Q16" si="3">SUMIFS(P$29:P$1812,$C$29:$C$1812,$C5)</f>
        <v>90473</v>
      </c>
      <c r="Q5" s="184">
        <f t="shared" si="3"/>
        <v>104285.20676965722</v>
      </c>
      <c r="R5" s="184">
        <f>IFERROR(SUM(P5,-Q5),"")</f>
        <v>-13812.206769657219</v>
      </c>
      <c r="S5" s="185">
        <f>IF(SUM(P5:P16)=0,"",IFERROR(P5/Q5,""))</f>
        <v>0.86755353709788097</v>
      </c>
      <c r="T5" s="183">
        <f t="shared" ref="T5:T36" si="4">IF(OR($C$1="",$AJ5&gt;$C$1),"",IFERROR(SUMIFS(D$5:D$5012,$A$5:$A$5012,$A5,$AJ$5:$AJ$5012,"&lt;"&amp;$AJ5+1),""))</f>
        <v>16718</v>
      </c>
      <c r="U5" s="184">
        <f t="shared" ref="U5:U36" si="5">IF($C$1="","",IFERROR(SUMIFS(E$5:E$5012,$A$5:$A$5012,$A5,$AJ$5:$AJ$5012,"&lt;"&amp;$AJ5+1),""))</f>
        <v>37300.892584719411</v>
      </c>
      <c r="V5" s="184">
        <f>IFERROR(SUM(T5,-U5),"")</f>
        <v>-20582.892584719411</v>
      </c>
      <c r="W5" s="185">
        <f>IF(SUM(T5:T16)=0,"",IFERROR(T5/U5,""))</f>
        <v>0.44819302814347806</v>
      </c>
      <c r="X5" s="183">
        <f t="shared" ref="X5:X36" si="6">IF(OR($C$1="",$AJ5&gt;$C$1),"",IFERROR(SUMIFS(H$5:H$5012,$A$5:$A$5012,$A5,$AJ$5:$AJ$5012,"&lt;"&amp;$AJ5+1),""))</f>
        <v>19111</v>
      </c>
      <c r="Y5" s="184">
        <f t="shared" ref="Y5:Y36" si="7">IF($C$1="","",IFERROR(SUMIFS(I$5:I$5012,$A$5:$A$5012,$A5,$AJ$5:$AJ$5012,"&lt;"&amp;$AJ5+1),""))</f>
        <v>34986.089675108575</v>
      </c>
      <c r="Z5" s="184">
        <f>IFERROR(SUM(X5,-Y5),"")</f>
        <v>-15875.089675108575</v>
      </c>
      <c r="AA5" s="185">
        <f>IF(SUM(X5:X16)=0,"",IFERROR(X5/Y5,""))</f>
        <v>0.54624567013548908</v>
      </c>
      <c r="AB5" s="183">
        <f t="shared" ref="AB5:AB36" si="8">IF(OR($C$1="",$AJ5&gt;$C$1),"",IFERROR(SUMIFS(L$5:L$5012,$A$5:$A$5012,$A5,$AJ$5:$AJ$5012,"&lt;"&amp;$AJ5+1),""))</f>
        <v>407</v>
      </c>
      <c r="AC5" s="184">
        <f t="shared" ref="AC5:AC36" si="9">IF($C$1="","",IFERROR(SUMIFS(M$5:M$5012,$A$5:$A$5012,$A5,$AJ$5:$AJ$5012,"&lt;"&amp;$AJ5+1),""))</f>
        <v>3093.3922246697771</v>
      </c>
      <c r="AD5" s="184">
        <f>IFERROR(SUM(AB5,-AC5),"")</f>
        <v>-2686.3922246697771</v>
      </c>
      <c r="AE5" s="185">
        <f>IF(SUM(AB5:AB16)=0,"",IFERROR(AB5/AC5,""))</f>
        <v>0.13157077099831649</v>
      </c>
      <c r="AF5" s="183">
        <f t="shared" ref="AF5:AF36" si="10">IF(OR($C$1="",$AJ5&gt;$C$1),"",IFERROR(SUMIFS(P$5:P$5012,$A$5:$A$5012,$A5,$AJ$5:$AJ$5012,"&lt;"&amp;$AJ5+1),""))</f>
        <v>90473</v>
      </c>
      <c r="AG5" s="184">
        <f t="shared" ref="AG5:AG36" si="11">IF($C$1="","",IFERROR(SUMIFS(Q$5:Q$5012,$A$5:$A$5012,$A5,$AJ$5:$AJ$5012,"&lt;"&amp;$AJ5+1),""))</f>
        <v>104285.20676965722</v>
      </c>
      <c r="AH5" s="184">
        <f>IFERROR(SUM(AF5,-AG5),"")</f>
        <v>-13812.206769657219</v>
      </c>
      <c r="AI5" s="186">
        <f>IF(SUM(AF5:AF16)=0,"",IFERROR(AF5/AG5,""))</f>
        <v>0.86755353709788097</v>
      </c>
      <c r="AJ5" s="157">
        <v>1</v>
      </c>
    </row>
    <row r="6" spans="1:36" ht="24.95" customHeight="1" x14ac:dyDescent="0.25">
      <c r="A6" s="182" t="str">
        <f t="shared" ref="A6:A16" si="12">IF(B6="",A5,B6)</f>
        <v>مجتمع خراسان</v>
      </c>
      <c r="B6" s="221"/>
      <c r="C6" s="193" t="str">
        <f>تجمیعی!B5</f>
        <v>اردیبهشت</v>
      </c>
      <c r="D6" s="171">
        <f t="shared" si="0"/>
        <v>17719</v>
      </c>
      <c r="E6" s="159">
        <f t="shared" si="0"/>
        <v>37300.892584719411</v>
      </c>
      <c r="F6" s="159">
        <f t="shared" ref="F6:F17" si="13">IFERROR(SUM(D6,-E6),"")</f>
        <v>-19581.892584719411</v>
      </c>
      <c r="G6" s="175">
        <f>IF(SUM(D6:D16)=0,"",IFERROR(D6/E6,""))</f>
        <v>0.47502884709141574</v>
      </c>
      <c r="H6" s="171">
        <f t="shared" si="1"/>
        <v>17949</v>
      </c>
      <c r="I6" s="159">
        <f t="shared" si="1"/>
        <v>34986.089675108575</v>
      </c>
      <c r="J6" s="159">
        <f t="shared" ref="J6:J69" si="14">IFERROR(SUM(H6,-I6),"")</f>
        <v>-17037.089675108575</v>
      </c>
      <c r="K6" s="175">
        <f>IF(SUM(H6:H16)=0,"",IFERROR(H6/I6,""))</f>
        <v>0.51303246995248253</v>
      </c>
      <c r="L6" s="171">
        <f t="shared" si="2"/>
        <v>657</v>
      </c>
      <c r="M6" s="159">
        <f t="shared" si="2"/>
        <v>3093.3922246697771</v>
      </c>
      <c r="N6" s="159">
        <f t="shared" ref="N6:N69" si="15">IFERROR(SUM(L6,-M6),"")</f>
        <v>-2436.3922246697771</v>
      </c>
      <c r="O6" s="175">
        <f>IF(SUM(L6:L16)=0,"",IFERROR(L6/M6,""))</f>
        <v>0.21238819790145927</v>
      </c>
      <c r="P6" s="171">
        <f t="shared" si="3"/>
        <v>84907</v>
      </c>
      <c r="Q6" s="159">
        <f t="shared" si="3"/>
        <v>104285.20676965722</v>
      </c>
      <c r="R6" s="159">
        <f t="shared" ref="R6:R69" si="16">IFERROR(SUM(P6,-Q6),"")</f>
        <v>-19378.206769657219</v>
      </c>
      <c r="S6" s="175">
        <f>IF(SUM(P6:P16)=0,"",IFERROR(P6/Q6,""))</f>
        <v>0.81418067461419186</v>
      </c>
      <c r="T6" s="171">
        <f t="shared" si="4"/>
        <v>34437</v>
      </c>
      <c r="U6" s="159">
        <f t="shared" si="5"/>
        <v>74601.785169438823</v>
      </c>
      <c r="V6" s="159">
        <f t="shared" ref="V6:V17" si="17">IFERROR(SUM(T6,-U6),"")</f>
        <v>-40164.785169438823</v>
      </c>
      <c r="W6" s="175">
        <f>IF(SUM(T6:T16)=0,"",IFERROR(T6/U6,""))</f>
        <v>0.46161093761744693</v>
      </c>
      <c r="X6" s="171">
        <f t="shared" si="6"/>
        <v>37060</v>
      </c>
      <c r="Y6" s="159">
        <f t="shared" si="7"/>
        <v>69972.179350217149</v>
      </c>
      <c r="Z6" s="159">
        <f t="shared" ref="Z6:Z17" si="18">IFERROR(SUM(X6,-Y6),"")</f>
        <v>-32912.179350217149</v>
      </c>
      <c r="AA6" s="175">
        <f>IF(SUM(X6:X16)=0,"",IFERROR(X6/Y6,""))</f>
        <v>0.5296390700439858</v>
      </c>
      <c r="AB6" s="171">
        <f t="shared" si="8"/>
        <v>1064</v>
      </c>
      <c r="AC6" s="159">
        <f t="shared" si="9"/>
        <v>6186.7844493395542</v>
      </c>
      <c r="AD6" s="159">
        <f t="shared" ref="AD6:AD17" si="19">IFERROR(SUM(AB6,-AC6),"")</f>
        <v>-5122.7844493395542</v>
      </c>
      <c r="AE6" s="175">
        <f>IF(SUM(AB6:AB16)=0,"",IFERROR(AB6/AC6,""))</f>
        <v>0.17197948444988789</v>
      </c>
      <c r="AF6" s="171">
        <f t="shared" si="10"/>
        <v>175380</v>
      </c>
      <c r="AG6" s="159">
        <f t="shared" si="11"/>
        <v>208570.41353931444</v>
      </c>
      <c r="AH6" s="159">
        <f t="shared" ref="AH6:AH17" si="20">IFERROR(SUM(AF6,-AG6),"")</f>
        <v>-33190.413539314439</v>
      </c>
      <c r="AI6" s="187">
        <f>IF(SUM(AF6:AF16)=0,"",IFERROR(AF6/AG6,""))</f>
        <v>0.84086710585603641</v>
      </c>
      <c r="AJ6" s="157">
        <f>AJ5+1</f>
        <v>2</v>
      </c>
    </row>
    <row r="7" spans="1:36" ht="24.95" customHeight="1" x14ac:dyDescent="0.25">
      <c r="A7" s="182" t="str">
        <f t="shared" si="12"/>
        <v>مجتمع خراسان</v>
      </c>
      <c r="B7" s="221"/>
      <c r="C7" s="193" t="str">
        <f>تجمیعی!B6</f>
        <v>خرداد</v>
      </c>
      <c r="D7" s="171">
        <f t="shared" si="0"/>
        <v>17760</v>
      </c>
      <c r="E7" s="159">
        <f t="shared" si="0"/>
        <v>37300.892584719411</v>
      </c>
      <c r="F7" s="159">
        <f t="shared" si="13"/>
        <v>-19540.892584719411</v>
      </c>
      <c r="G7" s="175">
        <f>IF(SUM(D7:D16)=0,"",IFERROR(D7/E7,""))</f>
        <v>0.47612801649887371</v>
      </c>
      <c r="H7" s="171">
        <f t="shared" si="1"/>
        <v>15467</v>
      </c>
      <c r="I7" s="159">
        <f t="shared" si="1"/>
        <v>34986.089675108575</v>
      </c>
      <c r="J7" s="159">
        <f t="shared" si="14"/>
        <v>-19519.089675108575</v>
      </c>
      <c r="K7" s="175">
        <f>IF(SUM(H7:H16)=0,"",IFERROR(H7/I7,""))</f>
        <v>0.44208998901081104</v>
      </c>
      <c r="L7" s="171">
        <f t="shared" si="2"/>
        <v>863</v>
      </c>
      <c r="M7" s="159">
        <f t="shared" si="2"/>
        <v>3093.3922246697771</v>
      </c>
      <c r="N7" s="159">
        <f t="shared" si="15"/>
        <v>-2230.3922246697771</v>
      </c>
      <c r="O7" s="175">
        <f>IF(SUM(L7:L16)=0,"",IFERROR(L7/M7,""))</f>
        <v>0.27898175766964894</v>
      </c>
      <c r="P7" s="171">
        <f t="shared" si="3"/>
        <v>70721</v>
      </c>
      <c r="Q7" s="159">
        <f t="shared" si="3"/>
        <v>104285.20676965722</v>
      </c>
      <c r="R7" s="159">
        <f t="shared" si="16"/>
        <v>-33564.206769657219</v>
      </c>
      <c r="S7" s="175">
        <f>IF(SUM(P7:P16)=0,"",IFERROR(P7/Q7,""))</f>
        <v>0.67814987562144768</v>
      </c>
      <c r="T7" s="171">
        <f t="shared" si="4"/>
        <v>52197</v>
      </c>
      <c r="U7" s="159">
        <f t="shared" si="5"/>
        <v>111902.67775415824</v>
      </c>
      <c r="V7" s="159">
        <f t="shared" si="17"/>
        <v>-59705.677754158241</v>
      </c>
      <c r="W7" s="175">
        <f>IF(SUM(T7:T16)=0,"",IFERROR(T7/U7,""))</f>
        <v>0.46644996391125582</v>
      </c>
      <c r="X7" s="171">
        <f t="shared" si="6"/>
        <v>52527</v>
      </c>
      <c r="Y7" s="159">
        <f t="shared" si="7"/>
        <v>104958.26902532572</v>
      </c>
      <c r="Z7" s="159">
        <f t="shared" si="18"/>
        <v>-52431.269025325717</v>
      </c>
      <c r="AA7" s="175">
        <f>IF(SUM(X7:X16)=0,"",IFERROR(X7/Y7,""))</f>
        <v>0.50045604303292757</v>
      </c>
      <c r="AB7" s="171">
        <f t="shared" si="8"/>
        <v>1927</v>
      </c>
      <c r="AC7" s="159">
        <f t="shared" si="9"/>
        <v>9280.1766740093317</v>
      </c>
      <c r="AD7" s="159">
        <f t="shared" si="19"/>
        <v>-7353.1766740093317</v>
      </c>
      <c r="AE7" s="175">
        <f>IF(SUM(AB7:AB16)=0,"",IFERROR(AB7/AC7,""))</f>
        <v>0.20764690885647488</v>
      </c>
      <c r="AF7" s="171">
        <f t="shared" si="10"/>
        <v>246101</v>
      </c>
      <c r="AG7" s="159">
        <f t="shared" si="11"/>
        <v>312855.62030897167</v>
      </c>
      <c r="AH7" s="159">
        <f t="shared" si="20"/>
        <v>-66754.620308971673</v>
      </c>
      <c r="AI7" s="187">
        <f>IF(SUM(AF7:AF16)=0,"",IFERROR(AF7/AG7,""))</f>
        <v>0.78662802911117347</v>
      </c>
      <c r="AJ7" s="157">
        <f t="shared" ref="AJ7:AJ15" si="21">AJ6+1</f>
        <v>3</v>
      </c>
    </row>
    <row r="8" spans="1:36" ht="24.95" customHeight="1" x14ac:dyDescent="0.25">
      <c r="A8" s="182" t="str">
        <f t="shared" si="12"/>
        <v>مجتمع خراسان</v>
      </c>
      <c r="B8" s="221"/>
      <c r="C8" s="193" t="str">
        <f>تجمیعی!B7</f>
        <v>تیر</v>
      </c>
      <c r="D8" s="171">
        <f t="shared" si="0"/>
        <v>13439</v>
      </c>
      <c r="E8" s="159">
        <f t="shared" si="0"/>
        <v>30220.762840887826</v>
      </c>
      <c r="F8" s="159">
        <f t="shared" si="13"/>
        <v>-16781.762840887826</v>
      </c>
      <c r="G8" s="175">
        <f>IF(SUM(D8:D16)=0,"",IFERROR(D8/E8,""))</f>
        <v>0.4446942676714109</v>
      </c>
      <c r="H8" s="171">
        <f t="shared" si="1"/>
        <v>19960</v>
      </c>
      <c r="I8" s="159">
        <f t="shared" si="1"/>
        <v>36120.311833301588</v>
      </c>
      <c r="J8" s="159">
        <f t="shared" si="14"/>
        <v>-16160.311833301588</v>
      </c>
      <c r="K8" s="175">
        <f>IF(SUM(H8:H16)=0,"",IFERROR(H8/I8,""))</f>
        <v>0.55259766560480306</v>
      </c>
      <c r="L8" s="171">
        <f t="shared" si="2"/>
        <v>293</v>
      </c>
      <c r="M8" s="159">
        <f t="shared" si="2"/>
        <v>642.19202006956118</v>
      </c>
      <c r="N8" s="159">
        <f t="shared" si="15"/>
        <v>-349.19202006956118</v>
      </c>
      <c r="O8" s="175">
        <f>IF(SUM(L8:L16)=0,"",IFERROR(L8/M8,""))</f>
        <v>0.45624983002476849</v>
      </c>
      <c r="P8" s="171">
        <f t="shared" si="3"/>
        <v>74800</v>
      </c>
      <c r="Q8" s="159">
        <f t="shared" si="3"/>
        <v>81653.714910707495</v>
      </c>
      <c r="R8" s="159">
        <f t="shared" si="16"/>
        <v>-6853.7149107074947</v>
      </c>
      <c r="S8" s="175">
        <f>IF(SUM(P8:P16)=0,"",IFERROR(P8/Q8,""))</f>
        <v>0.91606364856513411</v>
      </c>
      <c r="T8" s="171">
        <f t="shared" si="4"/>
        <v>65636</v>
      </c>
      <c r="U8" s="159">
        <f t="shared" si="5"/>
        <v>142123.44059504606</v>
      </c>
      <c r="V8" s="159">
        <f t="shared" si="17"/>
        <v>-76487.440595046064</v>
      </c>
      <c r="W8" s="175">
        <f>IF(SUM(T8:T16)=0,"",IFERROR(T8/U8,""))</f>
        <v>0.4618238886224082</v>
      </c>
      <c r="X8" s="171">
        <f t="shared" si="6"/>
        <v>72487</v>
      </c>
      <c r="Y8" s="159">
        <f t="shared" si="7"/>
        <v>141078.58085862731</v>
      </c>
      <c r="Z8" s="159">
        <f t="shared" si="18"/>
        <v>-68591.580858627305</v>
      </c>
      <c r="AA8" s="175">
        <f>IF(SUM(X8:X16)=0,"",IFERROR(X8/Y8,""))</f>
        <v>0.51380584890230874</v>
      </c>
      <c r="AB8" s="171">
        <f t="shared" si="8"/>
        <v>2220</v>
      </c>
      <c r="AC8" s="159">
        <f t="shared" si="9"/>
        <v>9922.3686940788921</v>
      </c>
      <c r="AD8" s="159">
        <f t="shared" si="19"/>
        <v>-7702.3686940788921</v>
      </c>
      <c r="AE8" s="175">
        <f>IF(SUM(AB8:AB16)=0,"",IFERROR(AB8/AC8,""))</f>
        <v>0.22373689876337394</v>
      </c>
      <c r="AF8" s="171">
        <f t="shared" si="10"/>
        <v>320901</v>
      </c>
      <c r="AG8" s="159">
        <f t="shared" si="11"/>
        <v>394509.33521967917</v>
      </c>
      <c r="AH8" s="159">
        <f t="shared" si="20"/>
        <v>-73608.335219679167</v>
      </c>
      <c r="AI8" s="187">
        <f>IF(SUM(AF8:AF16)=0,"",IFERROR(AF8/AG8,""))</f>
        <v>0.81341801410430248</v>
      </c>
      <c r="AJ8" s="157">
        <f t="shared" si="21"/>
        <v>4</v>
      </c>
    </row>
    <row r="9" spans="1:36" ht="24.95" customHeight="1" x14ac:dyDescent="0.25">
      <c r="A9" s="182" t="str">
        <f t="shared" si="12"/>
        <v>مجتمع خراسان</v>
      </c>
      <c r="B9" s="221"/>
      <c r="C9" s="193" t="str">
        <f>تجمیعی!B8</f>
        <v>مرداد</v>
      </c>
      <c r="D9" s="171">
        <f t="shared" si="0"/>
        <v>16219</v>
      </c>
      <c r="E9" s="159">
        <f t="shared" si="0"/>
        <v>30220.762840887826</v>
      </c>
      <c r="F9" s="159">
        <f t="shared" si="13"/>
        <v>-14001.762840887826</v>
      </c>
      <c r="G9" s="175">
        <f>IF(SUM(D9:D16)=0,"",IFERROR(D9/E9,""))</f>
        <v>0.5366840038219074</v>
      </c>
      <c r="H9" s="171">
        <f t="shared" si="1"/>
        <v>25347</v>
      </c>
      <c r="I9" s="159">
        <f t="shared" si="1"/>
        <v>36120.311833301588</v>
      </c>
      <c r="J9" s="159">
        <f t="shared" si="14"/>
        <v>-10773.311833301588</v>
      </c>
      <c r="K9" s="175">
        <f>IF(SUM(H9:H16)=0,"",IFERROR(H9/I9,""))</f>
        <v>0.70173812775976663</v>
      </c>
      <c r="L9" s="171">
        <f t="shared" si="2"/>
        <v>1520</v>
      </c>
      <c r="M9" s="159">
        <f t="shared" si="2"/>
        <v>642.19202006956118</v>
      </c>
      <c r="N9" s="159">
        <f t="shared" si="15"/>
        <v>877.80797993043882</v>
      </c>
      <c r="O9" s="175">
        <f>IF(SUM(L9:L16)=0,"",IFERROR(L9/M9,""))</f>
        <v>2.3668933161694476</v>
      </c>
      <c r="P9" s="171">
        <f t="shared" si="3"/>
        <v>84582</v>
      </c>
      <c r="Q9" s="159">
        <f t="shared" si="3"/>
        <v>81653.714910707495</v>
      </c>
      <c r="R9" s="159">
        <f t="shared" si="16"/>
        <v>2928.2850892925053</v>
      </c>
      <c r="S9" s="175">
        <f>IF(SUM(P9:P16)=0,"",IFERROR(P9/Q9,""))</f>
        <v>1.0358622396114461</v>
      </c>
      <c r="T9" s="171">
        <f t="shared" si="4"/>
        <v>81855</v>
      </c>
      <c r="U9" s="159">
        <f t="shared" si="5"/>
        <v>172344.20343593389</v>
      </c>
      <c r="V9" s="159">
        <f t="shared" si="17"/>
        <v>-90489.203435933887</v>
      </c>
      <c r="W9" s="175">
        <f>IF(SUM(T9:T16)=0,"",IFERROR(T9/U9,""))</f>
        <v>0.47495069963538544</v>
      </c>
      <c r="X9" s="171">
        <f t="shared" si="6"/>
        <v>97834</v>
      </c>
      <c r="Y9" s="159">
        <f t="shared" si="7"/>
        <v>177198.89269192889</v>
      </c>
      <c r="Z9" s="159">
        <f t="shared" si="18"/>
        <v>-79364.892691928893</v>
      </c>
      <c r="AA9" s="175">
        <f>IF(SUM(X9:X16)=0,"",IFERROR(X9/Y9,""))</f>
        <v>0.55211405959567927</v>
      </c>
      <c r="AB9" s="171">
        <f t="shared" si="8"/>
        <v>3740</v>
      </c>
      <c r="AC9" s="159">
        <f t="shared" si="9"/>
        <v>10564.560714148452</v>
      </c>
      <c r="AD9" s="159">
        <f t="shared" si="19"/>
        <v>-6824.5607141484525</v>
      </c>
      <c r="AE9" s="175">
        <f>IF(SUM(AB9:AB16)=0,"",IFERROR(AB9/AC9,""))</f>
        <v>0.35401377314167476</v>
      </c>
      <c r="AF9" s="171">
        <f t="shared" si="10"/>
        <v>405483</v>
      </c>
      <c r="AG9" s="159">
        <f t="shared" si="11"/>
        <v>476163.05013038666</v>
      </c>
      <c r="AH9" s="159">
        <f t="shared" si="20"/>
        <v>-70680.050130386662</v>
      </c>
      <c r="AI9" s="187">
        <f>IF(SUM(AF9:AF16)=0,"",IFERROR(AF9/AG9,""))</f>
        <v>0.85156334555771918</v>
      </c>
      <c r="AJ9" s="157">
        <f t="shared" si="21"/>
        <v>5</v>
      </c>
    </row>
    <row r="10" spans="1:36" ht="24.95" customHeight="1" x14ac:dyDescent="0.25">
      <c r="A10" s="182" t="str">
        <f t="shared" si="12"/>
        <v>مجتمع خراسان</v>
      </c>
      <c r="B10" s="221"/>
      <c r="C10" s="193" t="str">
        <f>تجمیعی!B9</f>
        <v>شهریور</v>
      </c>
      <c r="D10" s="171">
        <f t="shared" si="0"/>
        <v>20754</v>
      </c>
      <c r="E10" s="159">
        <f t="shared" si="0"/>
        <v>30220.762840887826</v>
      </c>
      <c r="F10" s="159">
        <f t="shared" ref="F10" si="22">IFERROR(SUM(D10,-E10),"")</f>
        <v>-9466.7628408878263</v>
      </c>
      <c r="G10" s="175">
        <f>IF(SUM(D10:D16)=0,"",IFERROR(D10/E10,""))</f>
        <v>0.68674639714654828</v>
      </c>
      <c r="H10" s="171">
        <f t="shared" si="1"/>
        <v>15888</v>
      </c>
      <c r="I10" s="159">
        <f t="shared" si="1"/>
        <v>36120.311833301588</v>
      </c>
      <c r="J10" s="159">
        <f t="shared" ref="J10" si="23">IFERROR(SUM(H10,-I10),"")</f>
        <v>-20232.311833301588</v>
      </c>
      <c r="K10" s="175">
        <f>IF(SUM(H10:H16)=0,"",IFERROR(H10/I10,""))</f>
        <v>0.43986331218081715</v>
      </c>
      <c r="L10" s="171">
        <f t="shared" si="2"/>
        <v>162</v>
      </c>
      <c r="M10" s="159">
        <f t="shared" si="2"/>
        <v>642.19202006956118</v>
      </c>
      <c r="N10" s="159">
        <f t="shared" ref="N10" si="24">IFERROR(SUM(L10,-M10),"")</f>
        <v>-480.19202006956118</v>
      </c>
      <c r="O10" s="175">
        <f>IF(SUM(L10:L16)=0,"",IFERROR(L10/M10,""))</f>
        <v>0.25226099817069109</v>
      </c>
      <c r="P10" s="171">
        <f t="shared" si="3"/>
        <v>92863</v>
      </c>
      <c r="Q10" s="159">
        <f t="shared" si="3"/>
        <v>81653.714910707495</v>
      </c>
      <c r="R10" s="159">
        <f t="shared" ref="R10" si="25">IFERROR(SUM(P10,-Q10),"")</f>
        <v>11209.285089292505</v>
      </c>
      <c r="S10" s="175">
        <f>IF(SUM(P10:P16)=0,"",IFERROR(P10/Q10,""))</f>
        <v>1.1372783234853483</v>
      </c>
      <c r="T10" s="171">
        <f t="shared" si="4"/>
        <v>102609</v>
      </c>
      <c r="U10" s="159">
        <f t="shared" si="5"/>
        <v>202564.96627682171</v>
      </c>
      <c r="V10" s="159">
        <f t="shared" ref="V10" si="26">IFERROR(SUM(T10,-U10),"")</f>
        <v>-99955.966276821709</v>
      </c>
      <c r="W10" s="175">
        <f>IF(SUM(T10:T16)=0,"",IFERROR(T10/U10,""))</f>
        <v>0.50654859962199161</v>
      </c>
      <c r="X10" s="171">
        <f t="shared" si="6"/>
        <v>113722</v>
      </c>
      <c r="Y10" s="159">
        <f t="shared" si="7"/>
        <v>213319.20452523048</v>
      </c>
      <c r="Z10" s="159">
        <f t="shared" ref="Z10" si="27">IFERROR(SUM(X10,-Y10),"")</f>
        <v>-99597.204525230482</v>
      </c>
      <c r="AA10" s="175">
        <f>IF(SUM(X10:X16)=0,"",IFERROR(X10/Y10,""))</f>
        <v>0.53310718204253127</v>
      </c>
      <c r="AB10" s="171">
        <f t="shared" si="8"/>
        <v>3902</v>
      </c>
      <c r="AC10" s="159">
        <f t="shared" si="9"/>
        <v>11206.752734218013</v>
      </c>
      <c r="AD10" s="159">
        <f t="shared" ref="AD10" si="28">IFERROR(SUM(AB10,-AC10),"")</f>
        <v>-7304.7527342180128</v>
      </c>
      <c r="AE10" s="175">
        <f>IF(SUM(AB10:AB16)=0,"",IFERROR(AB10/AC10,""))</f>
        <v>0.34818292975144105</v>
      </c>
      <c r="AF10" s="171">
        <f t="shared" si="10"/>
        <v>498346</v>
      </c>
      <c r="AG10" s="159">
        <f t="shared" si="11"/>
        <v>557816.76504109416</v>
      </c>
      <c r="AH10" s="159">
        <f t="shared" ref="AH10" si="29">IFERROR(SUM(AF10,-AG10),"")</f>
        <v>-59470.765041094157</v>
      </c>
      <c r="AI10" s="187">
        <f>IF(SUM(AF10:AF16)=0,"",IFERROR(AF10/AG10,""))</f>
        <v>0.89338655851135462</v>
      </c>
      <c r="AJ10" s="157">
        <f t="shared" si="21"/>
        <v>6</v>
      </c>
    </row>
    <row r="11" spans="1:36" ht="24.95" customHeight="1" x14ac:dyDescent="0.25">
      <c r="A11" s="182" t="str">
        <f t="shared" si="12"/>
        <v>مجتمع خراسان</v>
      </c>
      <c r="B11" s="221"/>
      <c r="C11" s="193" t="str">
        <f>تجمیعی!B10</f>
        <v>مهر</v>
      </c>
      <c r="D11" s="171">
        <f t="shared" si="0"/>
        <v>18829</v>
      </c>
      <c r="E11" s="159">
        <f t="shared" si="0"/>
        <v>33284.843147737585</v>
      </c>
      <c r="F11" s="159">
        <f t="shared" si="13"/>
        <v>-14455.843147737585</v>
      </c>
      <c r="G11" s="175">
        <f>IF(SUM(D11:D16)=0,"",IFERROR(D11/E11,""))</f>
        <v>0.56569291663553567</v>
      </c>
      <c r="H11" s="171">
        <f t="shared" si="1"/>
        <v>19819</v>
      </c>
      <c r="I11" s="159">
        <f t="shared" si="1"/>
        <v>31945.972638924417</v>
      </c>
      <c r="J11" s="159">
        <f t="shared" si="14"/>
        <v>-12126.972638924417</v>
      </c>
      <c r="K11" s="175">
        <f>IF(SUM(H11:H16)=0,"",IFERROR(H11/I11,""))</f>
        <v>0.62039119058944026</v>
      </c>
      <c r="L11" s="171">
        <f t="shared" si="2"/>
        <v>0</v>
      </c>
      <c r="M11" s="159">
        <f t="shared" si="2"/>
        <v>78.119458964365066</v>
      </c>
      <c r="N11" s="159">
        <f t="shared" si="15"/>
        <v>-78.119458964365066</v>
      </c>
      <c r="O11" s="175">
        <f>IF(SUM(L11:L16)=0,"",IFERROR(L11/M11,""))</f>
        <v>0</v>
      </c>
      <c r="P11" s="171">
        <f t="shared" si="3"/>
        <v>100787</v>
      </c>
      <c r="Q11" s="159">
        <f t="shared" si="3"/>
        <v>91433.411652968673</v>
      </c>
      <c r="R11" s="159">
        <f t="shared" si="16"/>
        <v>9353.5883470313274</v>
      </c>
      <c r="S11" s="175">
        <f>IF(SUM(P11:P16)=0,"",IFERROR(P11/Q11,""))</f>
        <v>1.1022994568170816</v>
      </c>
      <c r="T11" s="171">
        <f t="shared" si="4"/>
        <v>121438</v>
      </c>
      <c r="U11" s="159">
        <f t="shared" si="5"/>
        <v>235849.80942455929</v>
      </c>
      <c r="V11" s="159">
        <f t="shared" si="17"/>
        <v>-114411.80942455929</v>
      </c>
      <c r="W11" s="175">
        <f>IF(SUM(T11:T16)=0,"",IFERROR(T11/U11,""))</f>
        <v>0.51489547647416722</v>
      </c>
      <c r="X11" s="171">
        <f t="shared" si="6"/>
        <v>133541</v>
      </c>
      <c r="Y11" s="159">
        <f t="shared" si="7"/>
        <v>245265.17716415488</v>
      </c>
      <c r="Z11" s="159">
        <f t="shared" si="18"/>
        <v>-111724.17716415488</v>
      </c>
      <c r="AA11" s="175">
        <f>IF(SUM(X11:X16)=0,"",IFERROR(X11/Y11,""))</f>
        <v>0.54447598939258146</v>
      </c>
      <c r="AB11" s="171">
        <f t="shared" si="8"/>
        <v>3902</v>
      </c>
      <c r="AC11" s="159">
        <f t="shared" si="9"/>
        <v>11284.872193182378</v>
      </c>
      <c r="AD11" s="159">
        <f t="shared" si="19"/>
        <v>-7382.8721931823784</v>
      </c>
      <c r="AE11" s="175">
        <f>IF(SUM(AB11:AB16)=0,"",IFERROR(AB11/AC11,""))</f>
        <v>0.34577263554277088</v>
      </c>
      <c r="AF11" s="171">
        <f t="shared" si="10"/>
        <v>599133</v>
      </c>
      <c r="AG11" s="159">
        <f t="shared" si="11"/>
        <v>649250.17669406277</v>
      </c>
      <c r="AH11" s="159">
        <f t="shared" si="20"/>
        <v>-50117.176694062771</v>
      </c>
      <c r="AI11" s="187">
        <f>IF(SUM(AF11:AF16)=0,"",IFERROR(AF11/AG11,""))</f>
        <v>0.92280760407450946</v>
      </c>
      <c r="AJ11" s="157">
        <f t="shared" si="21"/>
        <v>7</v>
      </c>
    </row>
    <row r="12" spans="1:36" ht="24.95" customHeight="1" x14ac:dyDescent="0.25">
      <c r="A12" s="182" t="str">
        <f t="shared" si="12"/>
        <v>مجتمع خراسان</v>
      </c>
      <c r="B12" s="221"/>
      <c r="C12" s="193" t="str">
        <f>تجمیعی!B11</f>
        <v>آبان</v>
      </c>
      <c r="D12" s="171">
        <f t="shared" si="0"/>
        <v>35741</v>
      </c>
      <c r="E12" s="159">
        <f t="shared" si="0"/>
        <v>33284.843147737585</v>
      </c>
      <c r="F12" s="159">
        <f t="shared" si="13"/>
        <v>2456.1568522624148</v>
      </c>
      <c r="G12" s="175">
        <f>IF(SUM(D12:D16)=0,"",IFERROR(D12/E12,""))</f>
        <v>1.073792051275728</v>
      </c>
      <c r="H12" s="171">
        <f t="shared" si="1"/>
        <v>21498</v>
      </c>
      <c r="I12" s="159">
        <f t="shared" si="1"/>
        <v>31945.972638924417</v>
      </c>
      <c r="J12" s="159">
        <f t="shared" si="14"/>
        <v>-10447.972638924417</v>
      </c>
      <c r="K12" s="175">
        <f>IF(SUM(H12:H16)=0,"",IFERROR(H12/I12,""))</f>
        <v>0.67294867628496824</v>
      </c>
      <c r="L12" s="171">
        <f t="shared" si="2"/>
        <v>0</v>
      </c>
      <c r="M12" s="159">
        <f t="shared" si="2"/>
        <v>78.119458964365066</v>
      </c>
      <c r="N12" s="159">
        <f t="shared" si="15"/>
        <v>-78.119458964365066</v>
      </c>
      <c r="O12" s="175">
        <f>IF(SUM(L12:L16)=0,"",IFERROR(L12/M12,""))</f>
        <v>0</v>
      </c>
      <c r="P12" s="171">
        <f t="shared" si="3"/>
        <v>102708</v>
      </c>
      <c r="Q12" s="159">
        <f t="shared" si="3"/>
        <v>91433.411652968673</v>
      </c>
      <c r="R12" s="159">
        <f t="shared" si="16"/>
        <v>11274.588347031327</v>
      </c>
      <c r="S12" s="175">
        <f>IF(SUM(P12:P16)=0,"",IFERROR(P12/Q12,""))</f>
        <v>1.1233092820578927</v>
      </c>
      <c r="T12" s="171">
        <f t="shared" si="4"/>
        <v>157179</v>
      </c>
      <c r="U12" s="159">
        <f t="shared" si="5"/>
        <v>269134.65257229691</v>
      </c>
      <c r="V12" s="159">
        <f t="shared" si="17"/>
        <v>-111955.65257229691</v>
      </c>
      <c r="W12" s="175">
        <f>IF(SUM(T12:T16)=0,"",IFERROR(T12/U12,""))</f>
        <v>0.58401621083623723</v>
      </c>
      <c r="X12" s="171">
        <f t="shared" si="6"/>
        <v>155039</v>
      </c>
      <c r="Y12" s="159">
        <f t="shared" si="7"/>
        <v>277211.14980307932</v>
      </c>
      <c r="Z12" s="159">
        <f t="shared" si="18"/>
        <v>-122172.14980307932</v>
      </c>
      <c r="AA12" s="175">
        <f>IF(SUM(X12:X16)=0,"",IFERROR(X12/Y12,""))</f>
        <v>0.55928125585905919</v>
      </c>
      <c r="AB12" s="171">
        <f t="shared" si="8"/>
        <v>3902</v>
      </c>
      <c r="AC12" s="159">
        <f t="shared" si="9"/>
        <v>11362.991652146744</v>
      </c>
      <c r="AD12" s="159">
        <f t="shared" si="19"/>
        <v>-7460.9916521467439</v>
      </c>
      <c r="AE12" s="175">
        <f>IF(SUM(AB12:AB16)=0,"",IFERROR(AB12/AC12,""))</f>
        <v>0.34339548240914336</v>
      </c>
      <c r="AF12" s="171">
        <f t="shared" si="10"/>
        <v>701841</v>
      </c>
      <c r="AG12" s="159">
        <f t="shared" si="11"/>
        <v>740683.5883470315</v>
      </c>
      <c r="AH12" s="159">
        <f t="shared" si="20"/>
        <v>-38842.588347031502</v>
      </c>
      <c r="AI12" s="187">
        <f>IF(SUM(AF12:AF16)=0,"",IFERROR(AF12/AG12,""))</f>
        <v>0.94755845956609397</v>
      </c>
      <c r="AJ12" s="157">
        <f t="shared" si="21"/>
        <v>8</v>
      </c>
    </row>
    <row r="13" spans="1:36" ht="24.95" customHeight="1" x14ac:dyDescent="0.25">
      <c r="A13" s="182" t="str">
        <f t="shared" si="12"/>
        <v>مجتمع خراسان</v>
      </c>
      <c r="B13" s="221"/>
      <c r="C13" s="193" t="str">
        <f>تجمیعی!B12</f>
        <v>آذر</v>
      </c>
      <c r="D13" s="171">
        <f t="shared" si="0"/>
        <v>26777</v>
      </c>
      <c r="E13" s="159">
        <f t="shared" si="0"/>
        <v>33284.843147737585</v>
      </c>
      <c r="F13" s="159">
        <f t="shared" si="13"/>
        <v>-6507.8431477375852</v>
      </c>
      <c r="G13" s="175">
        <f>IF(SUM(D13:D16)=0,"",IFERROR(D13/E13,""))</f>
        <v>0.80448028194538956</v>
      </c>
      <c r="H13" s="171">
        <f t="shared" si="1"/>
        <v>24206</v>
      </c>
      <c r="I13" s="159">
        <f t="shared" si="1"/>
        <v>31945.972638924417</v>
      </c>
      <c r="J13" s="159">
        <f t="shared" si="14"/>
        <v>-7739.972638924417</v>
      </c>
      <c r="K13" s="175">
        <f>IF(SUM(H13:H16)=0,"",IFERROR(H13/I13,""))</f>
        <v>0.75771679496483124</v>
      </c>
      <c r="L13" s="171">
        <f t="shared" si="2"/>
        <v>4</v>
      </c>
      <c r="M13" s="159">
        <f t="shared" si="2"/>
        <v>78.119458964365066</v>
      </c>
      <c r="N13" s="159">
        <f t="shared" si="15"/>
        <v>-74.119458964365066</v>
      </c>
      <c r="O13" s="175">
        <f>IF(SUM(L13:L16)=0,"",IFERROR(L13/M13,""))</f>
        <v>5.120363163068805E-2</v>
      </c>
      <c r="P13" s="171">
        <f t="shared" si="3"/>
        <v>112833</v>
      </c>
      <c r="Q13" s="159">
        <f t="shared" si="3"/>
        <v>91433.411652968673</v>
      </c>
      <c r="R13" s="159">
        <f t="shared" si="16"/>
        <v>21399.588347031327</v>
      </c>
      <c r="S13" s="175">
        <f>IF(SUM(P13:P16)=0,"",IFERROR(P13/Q13,""))</f>
        <v>1.2340456071818964</v>
      </c>
      <c r="T13" s="171">
        <f t="shared" si="4"/>
        <v>183956</v>
      </c>
      <c r="U13" s="159">
        <f t="shared" si="5"/>
        <v>302419.49572003447</v>
      </c>
      <c r="V13" s="159">
        <f t="shared" si="17"/>
        <v>-118463.49572003447</v>
      </c>
      <c r="W13" s="175">
        <f>IF(SUM(T13:T16)=0,"",IFERROR(T13/U13,""))</f>
        <v>0.60828088996715235</v>
      </c>
      <c r="X13" s="171">
        <f t="shared" si="6"/>
        <v>179245</v>
      </c>
      <c r="Y13" s="159">
        <f t="shared" si="7"/>
        <v>309157.12244200375</v>
      </c>
      <c r="Z13" s="159">
        <f t="shared" si="18"/>
        <v>-129912.12244200375</v>
      </c>
      <c r="AA13" s="175">
        <f>IF(SUM(X13:X16)=0,"",IFERROR(X13/Y13,""))</f>
        <v>0.57978609253495506</v>
      </c>
      <c r="AB13" s="171">
        <f t="shared" si="8"/>
        <v>3906</v>
      </c>
      <c r="AC13" s="159">
        <f t="shared" si="9"/>
        <v>11441.111111111109</v>
      </c>
      <c r="AD13" s="159">
        <f t="shared" si="19"/>
        <v>-7535.1111111111095</v>
      </c>
      <c r="AE13" s="175">
        <f>IF(SUM(AB13:AB16)=0,"",IFERROR(AB13/AC13,""))</f>
        <v>0.34140040788579201</v>
      </c>
      <c r="AF13" s="171">
        <f t="shared" si="10"/>
        <v>814674</v>
      </c>
      <c r="AG13" s="159">
        <f t="shared" si="11"/>
        <v>832117.00000000023</v>
      </c>
      <c r="AH13" s="159">
        <f t="shared" si="20"/>
        <v>-17443.000000000233</v>
      </c>
      <c r="AI13" s="187">
        <f>IF(SUM(AF13:AF16)=0,"",IFERROR(AF13/AG13,""))</f>
        <v>0.97903780357810233</v>
      </c>
      <c r="AJ13" s="157">
        <f t="shared" si="21"/>
        <v>9</v>
      </c>
    </row>
    <row r="14" spans="1:36" ht="24.95" customHeight="1" x14ac:dyDescent="0.25">
      <c r="A14" s="182" t="str">
        <f t="shared" si="12"/>
        <v>مجتمع خراسان</v>
      </c>
      <c r="B14" s="221"/>
      <c r="C14" s="193" t="str">
        <f>تجمیعی!B13</f>
        <v>دی</v>
      </c>
      <c r="D14" s="171">
        <f t="shared" si="0"/>
        <v>17385</v>
      </c>
      <c r="E14" s="159">
        <f t="shared" si="0"/>
        <v>38887.036123027385</v>
      </c>
      <c r="F14" s="159">
        <f t="shared" si="13"/>
        <v>-21502.036123027385</v>
      </c>
      <c r="G14" s="175">
        <f>IF(SUM(D14:D16)=0,"",IFERROR(D14/E14,""))</f>
        <v>0.4470641564196064</v>
      </c>
      <c r="H14" s="171">
        <f t="shared" si="1"/>
        <v>26844</v>
      </c>
      <c r="I14" s="159">
        <f t="shared" si="1"/>
        <v>38256.904164703927</v>
      </c>
      <c r="J14" s="159">
        <f t="shared" si="14"/>
        <v>-11412.904164703927</v>
      </c>
      <c r="K14" s="175">
        <f>IF(SUM(H14:H16)=0,"",IFERROR(H14/I14,""))</f>
        <v>0.70167726809338782</v>
      </c>
      <c r="L14" s="171">
        <f t="shared" si="2"/>
        <v>20</v>
      </c>
      <c r="M14" s="159">
        <f t="shared" si="2"/>
        <v>4169.4074074074069</v>
      </c>
      <c r="N14" s="159">
        <f t="shared" si="15"/>
        <v>-4149.4074074074069</v>
      </c>
      <c r="O14" s="175">
        <f>IF(SUM(L14:L16)=0,"",IFERROR(L14/M14,""))</f>
        <v>4.7968447421251805E-3</v>
      </c>
      <c r="P14" s="171">
        <f t="shared" si="3"/>
        <v>107111</v>
      </c>
      <c r="Q14" s="159">
        <f t="shared" si="3"/>
        <v>108251.69756837943</v>
      </c>
      <c r="R14" s="159">
        <f t="shared" si="16"/>
        <v>-1140.6975683794299</v>
      </c>
      <c r="S14" s="175">
        <f>IF(SUM(P14:P16)=0,"",IFERROR(P14/Q14,""))</f>
        <v>0.98946254336881057</v>
      </c>
      <c r="T14" s="171">
        <f t="shared" si="4"/>
        <v>201341</v>
      </c>
      <c r="U14" s="159">
        <f t="shared" si="5"/>
        <v>341306.53184306185</v>
      </c>
      <c r="V14" s="159">
        <f t="shared" si="17"/>
        <v>-139965.53184306185</v>
      </c>
      <c r="W14" s="175">
        <f>IF(SUM(T14:T16)=0,"",IFERROR(T14/U14,""))</f>
        <v>0.58991253086413176</v>
      </c>
      <c r="X14" s="171">
        <f t="shared" si="6"/>
        <v>206089</v>
      </c>
      <c r="Y14" s="159">
        <f t="shared" si="7"/>
        <v>347414.02660670766</v>
      </c>
      <c r="Z14" s="159">
        <f t="shared" si="18"/>
        <v>-141325.02660670766</v>
      </c>
      <c r="AA14" s="175">
        <f>IF(SUM(X14:X16)=0,"",IFERROR(X14/Y14,""))</f>
        <v>0.5932086335515302</v>
      </c>
      <c r="AB14" s="171">
        <f t="shared" si="8"/>
        <v>3926</v>
      </c>
      <c r="AC14" s="159">
        <f t="shared" si="9"/>
        <v>15610.518518518516</v>
      </c>
      <c r="AD14" s="159">
        <f t="shared" si="19"/>
        <v>-11684.518518518516</v>
      </c>
      <c r="AE14" s="175">
        <f>IF(SUM(AB14:AB16)=0,"",IFERROR(AB14/AC14,""))</f>
        <v>0.25149709123003489</v>
      </c>
      <c r="AF14" s="171">
        <f t="shared" si="10"/>
        <v>921785</v>
      </c>
      <c r="AG14" s="159">
        <f t="shared" si="11"/>
        <v>940368.69756837969</v>
      </c>
      <c r="AH14" s="159">
        <f t="shared" si="20"/>
        <v>-18583.697568379692</v>
      </c>
      <c r="AI14" s="187">
        <f>IF(SUM(AF14:AF16)=0,"",IFERROR(AF14/AG14,""))</f>
        <v>0.98023786030263049</v>
      </c>
      <c r="AJ14" s="157">
        <f t="shared" si="21"/>
        <v>10</v>
      </c>
    </row>
    <row r="15" spans="1:36" ht="24.95" customHeight="1" x14ac:dyDescent="0.25">
      <c r="A15" s="182" t="str">
        <f t="shared" si="12"/>
        <v>مجتمع خراسان</v>
      </c>
      <c r="B15" s="221"/>
      <c r="C15" s="193" t="str">
        <f>تجمیعی!B14</f>
        <v>بهمن</v>
      </c>
      <c r="D15" s="171">
        <f t="shared" si="0"/>
        <v>23040</v>
      </c>
      <c r="E15" s="159">
        <f t="shared" si="0"/>
        <v>38887.036123027385</v>
      </c>
      <c r="F15" s="159">
        <f t="shared" si="13"/>
        <v>-15847.036123027385</v>
      </c>
      <c r="G15" s="175">
        <f>IF(SUM(D15:D16)=0,"",IFERROR(D15/E15,""))</f>
        <v>0.59248537037145421</v>
      </c>
      <c r="H15" s="171">
        <f t="shared" si="1"/>
        <v>25455</v>
      </c>
      <c r="I15" s="159">
        <f t="shared" si="1"/>
        <v>38256.904164703927</v>
      </c>
      <c r="J15" s="159">
        <f t="shared" si="14"/>
        <v>-12801.904164703927</v>
      </c>
      <c r="K15" s="175">
        <f>IF(SUM(H15:H16)=0,"",IFERROR(H15/I15,""))</f>
        <v>0.66537009608542641</v>
      </c>
      <c r="L15" s="171">
        <f t="shared" si="2"/>
        <v>0</v>
      </c>
      <c r="M15" s="159">
        <f t="shared" si="2"/>
        <v>4169.4074074074069</v>
      </c>
      <c r="N15" s="159">
        <f t="shared" si="15"/>
        <v>-4169.4074074074069</v>
      </c>
      <c r="O15" s="175" t="str">
        <f>IF(SUM(L15:L16)=0,"",IFERROR(L15/M15,""))</f>
        <v/>
      </c>
      <c r="P15" s="171">
        <f t="shared" si="3"/>
        <v>116832</v>
      </c>
      <c r="Q15" s="159">
        <f t="shared" si="3"/>
        <v>108251.69756837943</v>
      </c>
      <c r="R15" s="159">
        <f t="shared" si="16"/>
        <v>8580.3024316205701</v>
      </c>
      <c r="S15" s="175">
        <f>IF(SUM(P15:P16)=0,"",IFERROR(P15/Q15,""))</f>
        <v>1.0792625208135942</v>
      </c>
      <c r="T15" s="171">
        <f t="shared" si="4"/>
        <v>224381</v>
      </c>
      <c r="U15" s="159">
        <f t="shared" si="5"/>
        <v>380193.56796608923</v>
      </c>
      <c r="V15" s="159">
        <f t="shared" si="17"/>
        <v>-155812.56796608923</v>
      </c>
      <c r="W15" s="175">
        <f>IF(SUM(T15:T16)=0,"",IFERROR(T15/U15,""))</f>
        <v>0.59017568655978236</v>
      </c>
      <c r="X15" s="171">
        <f t="shared" si="6"/>
        <v>231544</v>
      </c>
      <c r="Y15" s="159">
        <f t="shared" si="7"/>
        <v>385670.93077141157</v>
      </c>
      <c r="Z15" s="159">
        <f t="shared" si="18"/>
        <v>-154126.93077141157</v>
      </c>
      <c r="AA15" s="175">
        <f>IF(SUM(X15:X16)=0,"",IFERROR(X15/Y15,""))</f>
        <v>0.60036674150387781</v>
      </c>
      <c r="AB15" s="171">
        <f t="shared" si="8"/>
        <v>3926</v>
      </c>
      <c r="AC15" s="159">
        <f t="shared" si="9"/>
        <v>19779.925925925923</v>
      </c>
      <c r="AD15" s="159">
        <f t="shared" si="19"/>
        <v>-15853.925925925923</v>
      </c>
      <c r="AE15" s="175">
        <f>IF(SUM(AB15:AB16)=0,"",IFERROR(AB15/AC15,""))</f>
        <v>0.19848405978376882</v>
      </c>
      <c r="AF15" s="171">
        <f t="shared" si="10"/>
        <v>1038617</v>
      </c>
      <c r="AG15" s="159">
        <f t="shared" si="11"/>
        <v>1048620.3951367592</v>
      </c>
      <c r="AH15" s="159">
        <f t="shared" si="20"/>
        <v>-10003.395136759151</v>
      </c>
      <c r="AI15" s="187">
        <f>IF(SUM(AF15:AF16)=0,"",IFERROR(AF15/AG15,""))</f>
        <v>0.99046042287261205</v>
      </c>
      <c r="AJ15" s="157">
        <f t="shared" si="21"/>
        <v>11</v>
      </c>
    </row>
    <row r="16" spans="1:36" ht="24.95" customHeight="1" thickBot="1" x14ac:dyDescent="0.3">
      <c r="A16" s="182" t="str">
        <f t="shared" si="12"/>
        <v>مجتمع خراسان</v>
      </c>
      <c r="B16" s="222"/>
      <c r="C16" s="194" t="str">
        <f>تجمیعی!B15</f>
        <v>اسفند</v>
      </c>
      <c r="D16" s="172">
        <f t="shared" si="0"/>
        <v>23502</v>
      </c>
      <c r="E16" s="173">
        <f t="shared" si="0"/>
        <v>38887.036123027385</v>
      </c>
      <c r="F16" s="173">
        <f t="shared" si="13"/>
        <v>-15385.036123027385</v>
      </c>
      <c r="G16" s="176">
        <f>IF(SUM(D16)=0,"",IFERROR(D16/E16,""))</f>
        <v>0.60436593639192349</v>
      </c>
      <c r="H16" s="172">
        <f t="shared" si="1"/>
        <v>23751</v>
      </c>
      <c r="I16" s="173">
        <f t="shared" si="1"/>
        <v>38256.904164703927</v>
      </c>
      <c r="J16" s="173">
        <f t="shared" si="14"/>
        <v>-14505.904164703927</v>
      </c>
      <c r="K16" s="176">
        <f>IF(SUM(H16)=0,"",IFERROR(H16/I16,""))</f>
        <v>0.62082911617069192</v>
      </c>
      <c r="L16" s="172">
        <f t="shared" si="2"/>
        <v>0</v>
      </c>
      <c r="M16" s="173">
        <f t="shared" si="2"/>
        <v>4169.4074074074069</v>
      </c>
      <c r="N16" s="173">
        <f t="shared" si="15"/>
        <v>-4169.4074074074069</v>
      </c>
      <c r="O16" s="176" t="str">
        <f>IF(SUM(L16)=0,"",IFERROR(L16/M16,""))</f>
        <v/>
      </c>
      <c r="P16" s="172">
        <f t="shared" si="3"/>
        <v>124202</v>
      </c>
      <c r="Q16" s="173">
        <f t="shared" si="3"/>
        <v>108251.69756837943</v>
      </c>
      <c r="R16" s="173">
        <f t="shared" si="16"/>
        <v>15950.30243162057</v>
      </c>
      <c r="S16" s="176">
        <f>IF(SUM(P16)=0,"",IFERROR(P16/Q16,""))</f>
        <v>1.1473445940332274</v>
      </c>
      <c r="T16" s="172">
        <f t="shared" si="4"/>
        <v>247883</v>
      </c>
      <c r="U16" s="173">
        <f t="shared" si="5"/>
        <v>419080.60408911662</v>
      </c>
      <c r="V16" s="173">
        <f t="shared" si="17"/>
        <v>-171197.60408911662</v>
      </c>
      <c r="W16" s="176">
        <f>IF(SUM(T16)=0,"",IFERROR(T16/U16,""))</f>
        <v>0.59149241835894695</v>
      </c>
      <c r="X16" s="172">
        <f t="shared" si="6"/>
        <v>255295</v>
      </c>
      <c r="Y16" s="173">
        <f t="shared" si="7"/>
        <v>423927.83493611548</v>
      </c>
      <c r="Z16" s="173">
        <f t="shared" si="18"/>
        <v>-168632.83493611548</v>
      </c>
      <c r="AA16" s="176">
        <f>IF(SUM(X16)=0,"",IFERROR(X16/Y16,""))</f>
        <v>0.60221334614291633</v>
      </c>
      <c r="AB16" s="172">
        <f t="shared" si="8"/>
        <v>3926</v>
      </c>
      <c r="AC16" s="173">
        <f t="shared" si="9"/>
        <v>23949.333333333328</v>
      </c>
      <c r="AD16" s="173">
        <f t="shared" si="19"/>
        <v>-20023.333333333328</v>
      </c>
      <c r="AE16" s="176">
        <f>IF(SUM(AB16)=0,"",IFERROR(AB16/AC16,""))</f>
        <v>0.16392940652488591</v>
      </c>
      <c r="AF16" s="172">
        <f t="shared" si="10"/>
        <v>1162819</v>
      </c>
      <c r="AG16" s="173">
        <f t="shared" si="11"/>
        <v>1156872.0927051385</v>
      </c>
      <c r="AH16" s="173">
        <f t="shared" si="20"/>
        <v>5946.9072948615067</v>
      </c>
      <c r="AI16" s="188">
        <f>IF(SUM(AF16)=0,"",IFERROR(AF16/AG16,""))</f>
        <v>1.005140505447716</v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15" t="str">
        <f>واردات!J2</f>
        <v>فرودگاه هاشمی نژاد</v>
      </c>
      <c r="C17" s="166" t="str">
        <f>C5</f>
        <v>فروردین</v>
      </c>
      <c r="D17" s="170">
        <f>SUMIFS(واردات!$K$4:$K$500,واردات!$J$4:$J$500,$C17,واردات!$I$4:$I$500,$A17)+SUMIFS(واردات!$C$4:$C$500,واردات!$B$4:$B$500,$C17,واردات!$A$4:$A$500,$A17)</f>
        <v>0</v>
      </c>
      <c r="E17" s="160"/>
      <c r="F17" s="160">
        <f t="shared" si="13"/>
        <v>0</v>
      </c>
      <c r="G17" s="185" t="str">
        <f>IF(SUM(D17:D28)=0,"",IFERROR(D17/E17,""))</f>
        <v/>
      </c>
      <c r="H17" s="170">
        <f>SUMIFS(واردات!$L$4:$L$500,واردات!$J$4:$J$500,$C17,واردات!$I$4:$I$500,$A17)+SUMIFS(واردات!$D$4:$D$500,واردات!$B$4:$B$500,$C17,واردات!$A$4:$A$500,$A17)</f>
        <v>0</v>
      </c>
      <c r="I17" s="160"/>
      <c r="J17" s="160">
        <f t="shared" si="14"/>
        <v>0</v>
      </c>
      <c r="K17" s="185" t="str">
        <f>IF(SUM(H17:H28)=0,"",IFERROR(H17/I17,""))</f>
        <v/>
      </c>
      <c r="L17" s="170">
        <f>SUMIFS(واردات!$M$4:$M$500,واردات!$J$4:$J$500,$C17,واردات!$I$4:$I$500,$A17)+SUMIFS(واردات!$E$4:$E$500,واردات!$B$4:$B$500,$C17,واردات!$A$4:$A$500,$A17)</f>
        <v>0</v>
      </c>
      <c r="M17" s="160">
        <v>0</v>
      </c>
      <c r="N17" s="160">
        <f t="shared" si="15"/>
        <v>0</v>
      </c>
      <c r="O17" s="185" t="str">
        <f>IF(SUM(L17:L28)=0,"",IFERROR(L17/M17,""))</f>
        <v/>
      </c>
      <c r="P17" s="170">
        <f>SUMIFS(واردات!$N$4:$N$500,واردات!$J$4:$J$500,$C17,واردات!$I$4:$I$500,$A17)+SUMIFS(واردات!$F$4:$F$500,واردات!$B$4:$B$500,$C17,واردات!$A$4:$A$500,$A17)</f>
        <v>0</v>
      </c>
      <c r="Q17" s="160">
        <v>0</v>
      </c>
      <c r="R17" s="160">
        <f t="shared" si="16"/>
        <v>0</v>
      </c>
      <c r="S17" s="185" t="str">
        <f>IF(SUM(P17:P28)=0,"",IFERROR(P17/Q17,""))</f>
        <v/>
      </c>
      <c r="T17" s="183">
        <f t="shared" si="4"/>
        <v>0</v>
      </c>
      <c r="U17" s="160">
        <f t="shared" si="5"/>
        <v>0</v>
      </c>
      <c r="V17" s="160">
        <f t="shared" si="17"/>
        <v>0</v>
      </c>
      <c r="W17" s="185" t="str">
        <f t="shared" ref="W17" si="30">IF(SUM(T17:T28)=0,"",IFERROR(T17/U17,""))</f>
        <v/>
      </c>
      <c r="X17" s="183">
        <f t="shared" si="6"/>
        <v>0</v>
      </c>
      <c r="Y17" s="160">
        <f t="shared" si="7"/>
        <v>0</v>
      </c>
      <c r="Z17" s="160">
        <f t="shared" si="18"/>
        <v>0</v>
      </c>
      <c r="AA17" s="185" t="str">
        <f t="shared" ref="AA17" si="31">IF(SUM(X17:X28)=0,"",IFERROR(X17/Y17,""))</f>
        <v/>
      </c>
      <c r="AB17" s="183">
        <f t="shared" si="8"/>
        <v>0</v>
      </c>
      <c r="AC17" s="160">
        <f t="shared" si="9"/>
        <v>0</v>
      </c>
      <c r="AD17" s="160">
        <f t="shared" si="19"/>
        <v>0</v>
      </c>
      <c r="AE17" s="185" t="str">
        <f t="shared" ref="AE17" si="32">IF(SUM(AB17:AB28)=0,"",IFERROR(AB17/AC17,""))</f>
        <v/>
      </c>
      <c r="AF17" s="183">
        <f t="shared" si="10"/>
        <v>0</v>
      </c>
      <c r="AG17" s="160">
        <f t="shared" si="11"/>
        <v>0</v>
      </c>
      <c r="AH17" s="160">
        <f t="shared" si="20"/>
        <v>0</v>
      </c>
      <c r="AI17" s="186" t="str">
        <f t="shared" ref="AI17" si="33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34">IF(B18="",A17,B18)</f>
        <v>فرودگاه هاشمی نژاد</v>
      </c>
      <c r="B18" s="216"/>
      <c r="C18" s="167" t="str">
        <f t="shared" ref="C18:C81" si="35">C6</f>
        <v>اردیبهشت</v>
      </c>
      <c r="D18" s="171">
        <f>SUMIFS(واردات!$K$4:$K$500,واردات!$J$4:$J$500,$C18,واردات!$I$4:$I$500,$A18)+SUMIFS(واردات!$C$4:$C$500,واردات!$B$4:$B$500,$C18,واردات!$A$4:$A$500,$A18)</f>
        <v>0</v>
      </c>
      <c r="E18" s="159"/>
      <c r="F18" s="159">
        <f t="shared" ref="F18:F81" si="36">IFERROR(SUM(D18,-E18),"")</f>
        <v>0</v>
      </c>
      <c r="G18" s="175" t="str">
        <f>IF(SUM(D18:D28)=0,"",IFERROR(D18/E18,""))</f>
        <v/>
      </c>
      <c r="H18" s="171">
        <f>SUMIFS(واردات!$L$4:$L$500,واردات!$J$4:$J$500,$C18,واردات!$I$4:$I$500,$A18)+SUMIFS(واردات!$D$4:$D$500,واردات!$B$4:$B$500,$C18,واردات!$A$4:$A$500,$A18)</f>
        <v>0</v>
      </c>
      <c r="I18" s="159"/>
      <c r="J18" s="159">
        <f t="shared" si="14"/>
        <v>0</v>
      </c>
      <c r="K18" s="175" t="str">
        <f>IF(SUM(H18:H28)=0,"",IFERROR(H18/I18,""))</f>
        <v/>
      </c>
      <c r="L18" s="171">
        <f>SUMIFS(واردات!$M$4:$M$500,واردات!$J$4:$J$500,$C18,واردات!$I$4:$I$500,$A18)+SUMIFS(واردات!$E$4:$E$500,واردات!$B$4:$B$500,$C18,واردات!$A$4:$A$500,$A18)</f>
        <v>0</v>
      </c>
      <c r="M18" s="159">
        <v>0</v>
      </c>
      <c r="N18" s="159">
        <f t="shared" si="15"/>
        <v>0</v>
      </c>
      <c r="O18" s="175" t="str">
        <f>IF(SUM(L18:L28)=0,"",IFERROR(L18/M18,""))</f>
        <v/>
      </c>
      <c r="P18" s="171">
        <f>SUMIFS(واردات!$N$4:$N$500,واردات!$J$4:$J$500,$C18,واردات!$I$4:$I$500,$A18)+SUMIFS(واردات!$F$4:$F$500,واردات!$B$4:$B$500,$C18,واردات!$A$4:$A$500,$A18)</f>
        <v>0</v>
      </c>
      <c r="Q18" s="159"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4"/>
        <v>0</v>
      </c>
      <c r="U18" s="159">
        <f t="shared" si="5"/>
        <v>0</v>
      </c>
      <c r="V18" s="159">
        <f t="shared" ref="V18:V81" si="37">IFERROR(SUM(T18,-U18),"")</f>
        <v>0</v>
      </c>
      <c r="W18" s="175" t="str">
        <f t="shared" ref="W18" si="38">IF(SUM(T18:T28)=0,"",IFERROR(T18/U18,""))</f>
        <v/>
      </c>
      <c r="X18" s="171">
        <f t="shared" si="6"/>
        <v>0</v>
      </c>
      <c r="Y18" s="159">
        <f t="shared" si="7"/>
        <v>0</v>
      </c>
      <c r="Z18" s="159">
        <f t="shared" ref="Z18:Z81" si="39">IFERROR(SUM(X18,-Y18),"")</f>
        <v>0</v>
      </c>
      <c r="AA18" s="175" t="str">
        <f t="shared" ref="AA18" si="40">IF(SUM(X18:X28)=0,"",IFERROR(X18/Y18,""))</f>
        <v/>
      </c>
      <c r="AB18" s="171">
        <f t="shared" si="8"/>
        <v>0</v>
      </c>
      <c r="AC18" s="159">
        <f t="shared" si="9"/>
        <v>0</v>
      </c>
      <c r="AD18" s="159">
        <f t="shared" ref="AD18:AD81" si="41">IFERROR(SUM(AB18,-AC18),"")</f>
        <v>0</v>
      </c>
      <c r="AE18" s="175" t="str">
        <f t="shared" ref="AE18" si="42">IF(SUM(AB18:AB28)=0,"",IFERROR(AB18/AC18,""))</f>
        <v/>
      </c>
      <c r="AF18" s="171">
        <f t="shared" si="10"/>
        <v>0</v>
      </c>
      <c r="AG18" s="159">
        <f t="shared" si="11"/>
        <v>0</v>
      </c>
      <c r="AH18" s="159">
        <f t="shared" ref="AH18:AH81" si="43">IFERROR(SUM(AF18,-AG18),"")</f>
        <v>0</v>
      </c>
      <c r="AI18" s="187" t="str">
        <f t="shared" ref="AI18" si="44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34"/>
        <v>فرودگاه هاشمی نژاد</v>
      </c>
      <c r="B19" s="216"/>
      <c r="C19" s="167" t="str">
        <f t="shared" si="35"/>
        <v>خرداد</v>
      </c>
      <c r="D19" s="171">
        <f>SUMIFS(واردات!$K$4:$K$500,واردات!$J$4:$J$500,$C19,واردات!$I$4:$I$500,$A19)+SUMIFS(واردات!$C$4:$C$500,واردات!$B$4:$B$500,$C19,واردات!$A$4:$A$500,$A19)</f>
        <v>0</v>
      </c>
      <c r="E19" s="159"/>
      <c r="F19" s="159">
        <f t="shared" si="36"/>
        <v>0</v>
      </c>
      <c r="G19" s="175" t="str">
        <f>IF(SUM(D19:D28)=0,"",IFERROR(D19/E19,""))</f>
        <v/>
      </c>
      <c r="H19" s="171">
        <f>SUMIFS(واردات!$L$4:$L$500,واردات!$J$4:$J$500,$C19,واردات!$I$4:$I$500,$A19)+SUMIFS(واردات!$D$4:$D$500,واردات!$B$4:$B$500,$C19,واردات!$A$4:$A$500,$A19)</f>
        <v>0</v>
      </c>
      <c r="I19" s="159"/>
      <c r="J19" s="159">
        <f t="shared" si="14"/>
        <v>0</v>
      </c>
      <c r="K19" s="175" t="str">
        <f>IF(SUM(H19:H28)=0,"",IFERROR(H19/I19,""))</f>
        <v/>
      </c>
      <c r="L19" s="171">
        <f>SUMIFS(واردات!$M$4:$M$500,واردات!$J$4:$J$500,$C19,واردات!$I$4:$I$500,$A19)+SUMIFS(واردات!$E$4:$E$500,واردات!$B$4:$B$500,$C19,واردات!$A$4:$A$500,$A19)</f>
        <v>0</v>
      </c>
      <c r="M19" s="159">
        <v>0</v>
      </c>
      <c r="N19" s="159">
        <f t="shared" si="15"/>
        <v>0</v>
      </c>
      <c r="O19" s="175" t="str">
        <f>IF(SUM(L19:L28)=0,"",IFERROR(L19/M19,""))</f>
        <v/>
      </c>
      <c r="P19" s="171">
        <f>SUMIFS(واردات!$N$4:$N$500,واردات!$J$4:$J$500,$C19,واردات!$I$4:$I$500,$A19)+SUMIFS(واردات!$F$4:$F$500,واردات!$B$4:$B$500,$C19,واردات!$A$4:$A$500,$A19)</f>
        <v>0</v>
      </c>
      <c r="Q19" s="159"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4"/>
        <v>0</v>
      </c>
      <c r="U19" s="159">
        <f t="shared" si="5"/>
        <v>0</v>
      </c>
      <c r="V19" s="159">
        <f t="shared" si="37"/>
        <v>0</v>
      </c>
      <c r="W19" s="175" t="str">
        <f t="shared" ref="W19" si="45">IF(SUM(T19:T28)=0,"",IFERROR(T19/U19,""))</f>
        <v/>
      </c>
      <c r="X19" s="171">
        <f t="shared" si="6"/>
        <v>0</v>
      </c>
      <c r="Y19" s="159">
        <f t="shared" si="7"/>
        <v>0</v>
      </c>
      <c r="Z19" s="159">
        <f t="shared" si="39"/>
        <v>0</v>
      </c>
      <c r="AA19" s="175" t="str">
        <f t="shared" ref="AA19" si="46">IF(SUM(X19:X28)=0,"",IFERROR(X19/Y19,""))</f>
        <v/>
      </c>
      <c r="AB19" s="171">
        <f t="shared" si="8"/>
        <v>0</v>
      </c>
      <c r="AC19" s="159">
        <f t="shared" si="9"/>
        <v>0</v>
      </c>
      <c r="AD19" s="159">
        <f t="shared" si="41"/>
        <v>0</v>
      </c>
      <c r="AE19" s="175" t="str">
        <f t="shared" ref="AE19" si="47">IF(SUM(AB19:AB28)=0,"",IFERROR(AB19/AC19,""))</f>
        <v/>
      </c>
      <c r="AF19" s="171">
        <f t="shared" si="10"/>
        <v>0</v>
      </c>
      <c r="AG19" s="159">
        <f t="shared" si="11"/>
        <v>0</v>
      </c>
      <c r="AH19" s="159">
        <f t="shared" si="43"/>
        <v>0</v>
      </c>
      <c r="AI19" s="187" t="str">
        <f t="shared" ref="AI19" si="48">IF(SUM(AF19:AF28)=0,"",IFERROR(AF19/AG19,""))</f>
        <v/>
      </c>
      <c r="AJ19" s="157">
        <f t="shared" ref="AJ19:AJ27" si="49">AJ18+1</f>
        <v>3</v>
      </c>
    </row>
    <row r="20" spans="1:36" ht="24.95" hidden="1" customHeight="1" x14ac:dyDescent="0.25">
      <c r="A20" s="182" t="str">
        <f t="shared" si="34"/>
        <v>فرودگاه هاشمی نژاد</v>
      </c>
      <c r="B20" s="216"/>
      <c r="C20" s="167" t="str">
        <f t="shared" si="35"/>
        <v>تیر</v>
      </c>
      <c r="D20" s="171">
        <f>SUMIFS(واردات!$K$4:$K$500,واردات!$J$4:$J$500,$C20,واردات!$I$4:$I$500,$A20)+SUMIFS(واردات!$C$4:$C$500,واردات!$B$4:$B$500,$C20,واردات!$A$4:$A$500,$A20)</f>
        <v>0</v>
      </c>
      <c r="E20" s="159"/>
      <c r="F20" s="159">
        <f t="shared" si="36"/>
        <v>0</v>
      </c>
      <c r="G20" s="175" t="str">
        <f>IF(SUM(D20:D28)=0,"",IFERROR(D20/E20,""))</f>
        <v/>
      </c>
      <c r="H20" s="171">
        <f>SUMIFS(واردات!$L$4:$L$500,واردات!$J$4:$J$500,$C20,واردات!$I$4:$I$500,$A20)+SUMIFS(واردات!$D$4:$D$500,واردات!$B$4:$B$500,$C20,واردات!$A$4:$A$500,$A20)</f>
        <v>0</v>
      </c>
      <c r="I20" s="159"/>
      <c r="J20" s="159">
        <f t="shared" si="14"/>
        <v>0</v>
      </c>
      <c r="K20" s="175" t="str">
        <f>IF(SUM(H20:H28)=0,"",IFERROR(H20/I20,""))</f>
        <v/>
      </c>
      <c r="L20" s="171">
        <f>SUMIFS(واردات!$M$4:$M$500,واردات!$J$4:$J$500,$C20,واردات!$I$4:$I$500,$A20)+SUMIFS(واردات!$E$4:$E$500,واردات!$B$4:$B$500,$C20,واردات!$A$4:$A$500,$A20)</f>
        <v>0</v>
      </c>
      <c r="M20" s="159">
        <v>0</v>
      </c>
      <c r="N20" s="159">
        <f t="shared" si="15"/>
        <v>0</v>
      </c>
      <c r="O20" s="175" t="str">
        <f>IF(SUM(L20:L28)=0,"",IFERROR(L20/M20,""))</f>
        <v/>
      </c>
      <c r="P20" s="171">
        <f>SUMIFS(واردات!$N$4:$N$500,واردات!$J$4:$J$500,$C20,واردات!$I$4:$I$500,$A20)+SUMIFS(واردات!$F$4:$F$500,واردات!$B$4:$B$500,$C20,واردات!$A$4:$A$500,$A20)</f>
        <v>0</v>
      </c>
      <c r="Q20" s="159"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4"/>
        <v>0</v>
      </c>
      <c r="U20" s="159">
        <f t="shared" si="5"/>
        <v>0</v>
      </c>
      <c r="V20" s="159">
        <f t="shared" si="37"/>
        <v>0</v>
      </c>
      <c r="W20" s="175" t="str">
        <f t="shared" ref="W20" si="50">IF(SUM(T20:T28)=0,"",IFERROR(T20/U20,""))</f>
        <v/>
      </c>
      <c r="X20" s="171">
        <f t="shared" si="6"/>
        <v>0</v>
      </c>
      <c r="Y20" s="159">
        <f t="shared" si="7"/>
        <v>0</v>
      </c>
      <c r="Z20" s="159">
        <f t="shared" si="39"/>
        <v>0</v>
      </c>
      <c r="AA20" s="175" t="str">
        <f t="shared" ref="AA20" si="51">IF(SUM(X20:X28)=0,"",IFERROR(X20/Y20,""))</f>
        <v/>
      </c>
      <c r="AB20" s="171">
        <f t="shared" si="8"/>
        <v>0</v>
      </c>
      <c r="AC20" s="159">
        <f t="shared" si="9"/>
        <v>0</v>
      </c>
      <c r="AD20" s="159">
        <f t="shared" si="41"/>
        <v>0</v>
      </c>
      <c r="AE20" s="175" t="str">
        <f t="shared" ref="AE20" si="52">IF(SUM(AB20:AB28)=0,"",IFERROR(AB20/AC20,""))</f>
        <v/>
      </c>
      <c r="AF20" s="171">
        <f t="shared" si="10"/>
        <v>0</v>
      </c>
      <c r="AG20" s="159">
        <f t="shared" si="11"/>
        <v>0</v>
      </c>
      <c r="AH20" s="159">
        <f t="shared" si="43"/>
        <v>0</v>
      </c>
      <c r="AI20" s="187" t="str">
        <f t="shared" ref="AI20" si="53">IF(SUM(AF20:AF28)=0,"",IFERROR(AF20/AG20,""))</f>
        <v/>
      </c>
      <c r="AJ20" s="157">
        <f t="shared" si="49"/>
        <v>4</v>
      </c>
    </row>
    <row r="21" spans="1:36" ht="24.95" hidden="1" customHeight="1" x14ac:dyDescent="0.25">
      <c r="A21" s="182" t="str">
        <f t="shared" si="34"/>
        <v>فرودگاه هاشمی نژاد</v>
      </c>
      <c r="B21" s="216"/>
      <c r="C21" s="167" t="str">
        <f t="shared" si="35"/>
        <v>مرداد</v>
      </c>
      <c r="D21" s="171">
        <f>SUMIFS(واردات!$K$4:$K$500,واردات!$J$4:$J$500,$C21,واردات!$I$4:$I$500,$A21)+SUMIFS(واردات!$C$4:$C$500,واردات!$B$4:$B$500,$C21,واردات!$A$4:$A$500,$A21)</f>
        <v>0</v>
      </c>
      <c r="E21" s="159"/>
      <c r="F21" s="159">
        <f t="shared" si="36"/>
        <v>0</v>
      </c>
      <c r="G21" s="175" t="str">
        <f>IF(SUM(D21:D28)=0,"",IFERROR(D21/E21,""))</f>
        <v/>
      </c>
      <c r="H21" s="171">
        <f>SUMIFS(واردات!$L$4:$L$500,واردات!$J$4:$J$500,$C21,واردات!$I$4:$I$500,$A21)+SUMIFS(واردات!$D$4:$D$500,واردات!$B$4:$B$500,$C21,واردات!$A$4:$A$500,$A21)</f>
        <v>0</v>
      </c>
      <c r="I21" s="159"/>
      <c r="J21" s="159">
        <f t="shared" si="14"/>
        <v>0</v>
      </c>
      <c r="K21" s="175" t="str">
        <f>IF(SUM(H21:H28)=0,"",IFERROR(H21/I21,""))</f>
        <v/>
      </c>
      <c r="L21" s="171">
        <f>SUMIFS(واردات!$M$4:$M$500,واردات!$J$4:$J$500,$C21,واردات!$I$4:$I$500,$A21)+SUMIFS(واردات!$E$4:$E$500,واردات!$B$4:$B$500,$C21,واردات!$A$4:$A$500,$A21)</f>
        <v>0</v>
      </c>
      <c r="M21" s="159">
        <v>0</v>
      </c>
      <c r="N21" s="159">
        <f t="shared" si="15"/>
        <v>0</v>
      </c>
      <c r="O21" s="175" t="str">
        <f>IF(SUM(L21:L28)=0,"",IFERROR(L21/M21,""))</f>
        <v/>
      </c>
      <c r="P21" s="171">
        <f>SUMIFS(واردات!$N$4:$N$500,واردات!$J$4:$J$500,$C21,واردات!$I$4:$I$500,$A21)+SUMIFS(واردات!$F$4:$F$500,واردات!$B$4:$B$500,$C21,واردات!$A$4:$A$500,$A21)</f>
        <v>0</v>
      </c>
      <c r="Q21" s="159"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4"/>
        <v>0</v>
      </c>
      <c r="U21" s="159">
        <f t="shared" si="5"/>
        <v>0</v>
      </c>
      <c r="V21" s="159">
        <f t="shared" si="37"/>
        <v>0</v>
      </c>
      <c r="W21" s="175" t="str">
        <f t="shared" ref="W21" si="54">IF(SUM(T21:T28)=0,"",IFERROR(T21/U21,""))</f>
        <v/>
      </c>
      <c r="X21" s="171">
        <f t="shared" si="6"/>
        <v>0</v>
      </c>
      <c r="Y21" s="159">
        <f t="shared" si="7"/>
        <v>0</v>
      </c>
      <c r="Z21" s="159">
        <f t="shared" si="39"/>
        <v>0</v>
      </c>
      <c r="AA21" s="175" t="str">
        <f t="shared" ref="AA21" si="55">IF(SUM(X21:X28)=0,"",IFERROR(X21/Y21,""))</f>
        <v/>
      </c>
      <c r="AB21" s="171">
        <f t="shared" si="8"/>
        <v>0</v>
      </c>
      <c r="AC21" s="159">
        <f t="shared" si="9"/>
        <v>0</v>
      </c>
      <c r="AD21" s="159">
        <f t="shared" si="41"/>
        <v>0</v>
      </c>
      <c r="AE21" s="175" t="str">
        <f t="shared" ref="AE21" si="56">IF(SUM(AB21:AB28)=0,"",IFERROR(AB21/AC21,""))</f>
        <v/>
      </c>
      <c r="AF21" s="171">
        <f t="shared" si="10"/>
        <v>0</v>
      </c>
      <c r="AG21" s="159">
        <f t="shared" si="11"/>
        <v>0</v>
      </c>
      <c r="AH21" s="159">
        <f t="shared" si="43"/>
        <v>0</v>
      </c>
      <c r="AI21" s="187" t="str">
        <f t="shared" ref="AI21" si="57">IF(SUM(AF21:AF28)=0,"",IFERROR(AF21/AG21,""))</f>
        <v/>
      </c>
      <c r="AJ21" s="157">
        <f t="shared" si="49"/>
        <v>5</v>
      </c>
    </row>
    <row r="22" spans="1:36" ht="24.95" hidden="1" customHeight="1" x14ac:dyDescent="0.25">
      <c r="A22" s="182" t="str">
        <f t="shared" si="34"/>
        <v>فرودگاه هاشمی نژاد</v>
      </c>
      <c r="B22" s="216"/>
      <c r="C22" s="167" t="str">
        <f t="shared" si="35"/>
        <v>شهریور</v>
      </c>
      <c r="D22" s="171">
        <f>SUMIFS(واردات!$K$4:$K$500,واردات!$J$4:$J$500,$C22,واردات!$I$4:$I$500,$A22)+SUMIFS(واردات!$C$4:$C$500,واردات!$B$4:$B$500,$C22,واردات!$A$4:$A$500,$A22)</f>
        <v>0</v>
      </c>
      <c r="E22" s="159"/>
      <c r="F22" s="159">
        <f t="shared" si="36"/>
        <v>0</v>
      </c>
      <c r="G22" s="175" t="str">
        <f>IF(SUM(D22:D28)=0,"",IFERROR(D22/E22,""))</f>
        <v/>
      </c>
      <c r="H22" s="171">
        <f>SUMIFS(واردات!$L$4:$L$500,واردات!$J$4:$J$500,$C22,واردات!$I$4:$I$500,$A22)+SUMIFS(واردات!$D$4:$D$500,واردات!$B$4:$B$500,$C22,واردات!$A$4:$A$500,$A22)</f>
        <v>0</v>
      </c>
      <c r="I22" s="159"/>
      <c r="J22" s="159">
        <f t="shared" si="14"/>
        <v>0</v>
      </c>
      <c r="K22" s="175" t="str">
        <f>IF(SUM(H22:H28)=0,"",IFERROR(H22/I22,""))</f>
        <v/>
      </c>
      <c r="L22" s="171">
        <f>SUMIFS(واردات!$M$4:$M$500,واردات!$J$4:$J$500,$C22,واردات!$I$4:$I$500,$A22)+SUMIFS(واردات!$E$4:$E$500,واردات!$B$4:$B$500,$C22,واردات!$A$4:$A$500,$A22)</f>
        <v>0</v>
      </c>
      <c r="M22" s="159">
        <v>0</v>
      </c>
      <c r="N22" s="159">
        <f t="shared" si="15"/>
        <v>0</v>
      </c>
      <c r="O22" s="175" t="str">
        <f>IF(SUM(L22:L28)=0,"",IFERROR(L22/M22,""))</f>
        <v/>
      </c>
      <c r="P22" s="171">
        <f>SUMIFS(واردات!$N$4:$N$500,واردات!$J$4:$J$500,$C22,واردات!$I$4:$I$500,$A22)+SUMIFS(واردات!$F$4:$F$500,واردات!$B$4:$B$500,$C22,واردات!$A$4:$A$500,$A22)</f>
        <v>0</v>
      </c>
      <c r="Q22" s="159"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4"/>
        <v>0</v>
      </c>
      <c r="U22" s="159">
        <f t="shared" si="5"/>
        <v>0</v>
      </c>
      <c r="V22" s="159">
        <f t="shared" si="37"/>
        <v>0</v>
      </c>
      <c r="W22" s="175" t="str">
        <f t="shared" ref="W22" si="58">IF(SUM(T22:T28)=0,"",IFERROR(T22/U22,""))</f>
        <v/>
      </c>
      <c r="X22" s="171">
        <f t="shared" si="6"/>
        <v>0</v>
      </c>
      <c r="Y22" s="159">
        <f t="shared" si="7"/>
        <v>0</v>
      </c>
      <c r="Z22" s="159">
        <f t="shared" si="39"/>
        <v>0</v>
      </c>
      <c r="AA22" s="175" t="str">
        <f t="shared" ref="AA22" si="59">IF(SUM(X22:X28)=0,"",IFERROR(X22/Y22,""))</f>
        <v/>
      </c>
      <c r="AB22" s="171">
        <f t="shared" si="8"/>
        <v>0</v>
      </c>
      <c r="AC22" s="159">
        <f t="shared" si="9"/>
        <v>0</v>
      </c>
      <c r="AD22" s="159">
        <f t="shared" si="41"/>
        <v>0</v>
      </c>
      <c r="AE22" s="175" t="str">
        <f t="shared" ref="AE22" si="60">IF(SUM(AB22:AB28)=0,"",IFERROR(AB22/AC22,""))</f>
        <v/>
      </c>
      <c r="AF22" s="171">
        <f t="shared" si="10"/>
        <v>0</v>
      </c>
      <c r="AG22" s="159">
        <f t="shared" si="11"/>
        <v>0</v>
      </c>
      <c r="AH22" s="159">
        <f t="shared" si="43"/>
        <v>0</v>
      </c>
      <c r="AI22" s="187" t="str">
        <f t="shared" ref="AI22" si="61">IF(SUM(AF22:AF28)=0,"",IFERROR(AF22/AG22,""))</f>
        <v/>
      </c>
      <c r="AJ22" s="157">
        <f t="shared" si="49"/>
        <v>6</v>
      </c>
    </row>
    <row r="23" spans="1:36" ht="24.95" hidden="1" customHeight="1" x14ac:dyDescent="0.25">
      <c r="A23" s="182" t="str">
        <f t="shared" si="34"/>
        <v>فرودگاه هاشمی نژاد</v>
      </c>
      <c r="B23" s="216"/>
      <c r="C23" s="167" t="str">
        <f t="shared" si="35"/>
        <v>مهر</v>
      </c>
      <c r="D23" s="171">
        <f>SUMIFS(واردات!$K$4:$K$500,واردات!$J$4:$J$500,$C23,واردات!$I$4:$I$500,$A23)+SUMIFS(واردات!$C$4:$C$500,واردات!$B$4:$B$500,$C23,واردات!$A$4:$A$500,$A23)</f>
        <v>0</v>
      </c>
      <c r="E23" s="159"/>
      <c r="F23" s="159">
        <f t="shared" si="36"/>
        <v>0</v>
      </c>
      <c r="G23" s="175" t="str">
        <f>IF(SUM(D23:D28)=0,"",IFERROR(D23/E23,""))</f>
        <v/>
      </c>
      <c r="H23" s="171">
        <f>SUMIFS(واردات!$L$4:$L$500,واردات!$J$4:$J$500,$C23,واردات!$I$4:$I$500,$A23)+SUMIFS(واردات!$D$4:$D$500,واردات!$B$4:$B$500,$C23,واردات!$A$4:$A$500,$A23)</f>
        <v>0</v>
      </c>
      <c r="I23" s="159"/>
      <c r="J23" s="159">
        <f t="shared" si="14"/>
        <v>0</v>
      </c>
      <c r="K23" s="175" t="str">
        <f>IF(SUM(H23:H28)=0,"",IFERROR(H23/I23,""))</f>
        <v/>
      </c>
      <c r="L23" s="171">
        <f>SUMIFS(واردات!$M$4:$M$500,واردات!$J$4:$J$500,$C23,واردات!$I$4:$I$500,$A23)+SUMIFS(واردات!$E$4:$E$500,واردات!$B$4:$B$500,$C23,واردات!$A$4:$A$500,$A23)</f>
        <v>0</v>
      </c>
      <c r="M23" s="159">
        <v>0</v>
      </c>
      <c r="N23" s="159">
        <f t="shared" si="15"/>
        <v>0</v>
      </c>
      <c r="O23" s="175" t="str">
        <f>IF(SUM(L23:L28)=0,"",IFERROR(L23/M23,""))</f>
        <v/>
      </c>
      <c r="P23" s="171">
        <f>SUMIFS(واردات!$N$4:$N$500,واردات!$J$4:$J$500,$C23,واردات!$I$4:$I$500,$A23)+SUMIFS(واردات!$F$4:$F$500,واردات!$B$4:$B$500,$C23,واردات!$A$4:$A$500,$A23)</f>
        <v>0</v>
      </c>
      <c r="Q23" s="159"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4"/>
        <v>0</v>
      </c>
      <c r="U23" s="159">
        <f t="shared" si="5"/>
        <v>0</v>
      </c>
      <c r="V23" s="159">
        <f t="shared" si="37"/>
        <v>0</v>
      </c>
      <c r="W23" s="175" t="str">
        <f t="shared" ref="W23" si="62">IF(SUM(T23:T28)=0,"",IFERROR(T23/U23,""))</f>
        <v/>
      </c>
      <c r="X23" s="171">
        <f t="shared" si="6"/>
        <v>0</v>
      </c>
      <c r="Y23" s="159">
        <f t="shared" si="7"/>
        <v>0</v>
      </c>
      <c r="Z23" s="159">
        <f t="shared" si="39"/>
        <v>0</v>
      </c>
      <c r="AA23" s="175" t="str">
        <f t="shared" ref="AA23" si="63">IF(SUM(X23:X28)=0,"",IFERROR(X23/Y23,""))</f>
        <v/>
      </c>
      <c r="AB23" s="171">
        <f t="shared" si="8"/>
        <v>0</v>
      </c>
      <c r="AC23" s="159">
        <f t="shared" si="9"/>
        <v>0</v>
      </c>
      <c r="AD23" s="159">
        <f t="shared" si="41"/>
        <v>0</v>
      </c>
      <c r="AE23" s="175" t="str">
        <f t="shared" ref="AE23" si="64">IF(SUM(AB23:AB28)=0,"",IFERROR(AB23/AC23,""))</f>
        <v/>
      </c>
      <c r="AF23" s="171">
        <f t="shared" si="10"/>
        <v>0</v>
      </c>
      <c r="AG23" s="159">
        <f t="shared" si="11"/>
        <v>0</v>
      </c>
      <c r="AH23" s="159">
        <f t="shared" si="43"/>
        <v>0</v>
      </c>
      <c r="AI23" s="187" t="str">
        <f t="shared" ref="AI23" si="65">IF(SUM(AF23:AF28)=0,"",IFERROR(AF23/AG23,""))</f>
        <v/>
      </c>
      <c r="AJ23" s="157">
        <f t="shared" si="49"/>
        <v>7</v>
      </c>
    </row>
    <row r="24" spans="1:36" ht="24.95" hidden="1" customHeight="1" x14ac:dyDescent="0.25">
      <c r="A24" s="182" t="str">
        <f t="shared" si="34"/>
        <v>فرودگاه هاشمی نژاد</v>
      </c>
      <c r="B24" s="216"/>
      <c r="C24" s="167" t="str">
        <f t="shared" si="35"/>
        <v>آبان</v>
      </c>
      <c r="D24" s="171">
        <f>SUMIFS(واردات!$K$4:$K$500,واردات!$J$4:$J$500,$C24,واردات!$I$4:$I$500,$A24)+SUMIFS(واردات!$C$4:$C$500,واردات!$B$4:$B$500,$C24,واردات!$A$4:$A$500,$A24)</f>
        <v>0</v>
      </c>
      <c r="E24" s="159"/>
      <c r="F24" s="159">
        <f t="shared" si="36"/>
        <v>0</v>
      </c>
      <c r="G24" s="175" t="str">
        <f>IF(SUM(D24:D28)=0,"",IFERROR(D24/E24,""))</f>
        <v/>
      </c>
      <c r="H24" s="171">
        <f>SUMIFS(واردات!$L$4:$L$500,واردات!$J$4:$J$500,$C24,واردات!$I$4:$I$500,$A24)+SUMIFS(واردات!$D$4:$D$500,واردات!$B$4:$B$500,$C24,واردات!$A$4:$A$500,$A24)</f>
        <v>0</v>
      </c>
      <c r="I24" s="159"/>
      <c r="J24" s="159">
        <f t="shared" si="14"/>
        <v>0</v>
      </c>
      <c r="K24" s="175" t="str">
        <f>IF(SUM(H24:H28)=0,"",IFERROR(H24/I24,""))</f>
        <v/>
      </c>
      <c r="L24" s="171">
        <f>SUMIFS(واردات!$M$4:$M$500,واردات!$J$4:$J$500,$C24,واردات!$I$4:$I$500,$A24)+SUMIFS(واردات!$E$4:$E$500,واردات!$B$4:$B$500,$C24,واردات!$A$4:$A$500,$A24)</f>
        <v>0</v>
      </c>
      <c r="M24" s="159">
        <v>0</v>
      </c>
      <c r="N24" s="159">
        <f t="shared" si="15"/>
        <v>0</v>
      </c>
      <c r="O24" s="175" t="str">
        <f>IF(SUM(L24:L28)=0,"",IFERROR(L24/M24,""))</f>
        <v/>
      </c>
      <c r="P24" s="171">
        <f>SUMIFS(واردات!$N$4:$N$500,واردات!$J$4:$J$500,$C24,واردات!$I$4:$I$500,$A24)+SUMIFS(واردات!$F$4:$F$500,واردات!$B$4:$B$500,$C24,واردات!$A$4:$A$500,$A24)</f>
        <v>0</v>
      </c>
      <c r="Q24" s="159"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4"/>
        <v>0</v>
      </c>
      <c r="U24" s="159">
        <f t="shared" si="5"/>
        <v>0</v>
      </c>
      <c r="V24" s="159">
        <f t="shared" si="37"/>
        <v>0</v>
      </c>
      <c r="W24" s="175" t="str">
        <f t="shared" ref="W24" si="66">IF(SUM(T24:T28)=0,"",IFERROR(T24/U24,""))</f>
        <v/>
      </c>
      <c r="X24" s="171">
        <f t="shared" si="6"/>
        <v>0</v>
      </c>
      <c r="Y24" s="159">
        <f t="shared" si="7"/>
        <v>0</v>
      </c>
      <c r="Z24" s="159">
        <f t="shared" si="39"/>
        <v>0</v>
      </c>
      <c r="AA24" s="175" t="str">
        <f t="shared" ref="AA24" si="67">IF(SUM(X24:X28)=0,"",IFERROR(X24/Y24,""))</f>
        <v/>
      </c>
      <c r="AB24" s="171">
        <f t="shared" si="8"/>
        <v>0</v>
      </c>
      <c r="AC24" s="159">
        <f t="shared" si="9"/>
        <v>0</v>
      </c>
      <c r="AD24" s="159">
        <f t="shared" si="41"/>
        <v>0</v>
      </c>
      <c r="AE24" s="175" t="str">
        <f t="shared" ref="AE24" si="68">IF(SUM(AB24:AB28)=0,"",IFERROR(AB24/AC24,""))</f>
        <v/>
      </c>
      <c r="AF24" s="171">
        <f t="shared" si="10"/>
        <v>0</v>
      </c>
      <c r="AG24" s="159">
        <f t="shared" si="11"/>
        <v>0</v>
      </c>
      <c r="AH24" s="159">
        <f t="shared" si="43"/>
        <v>0</v>
      </c>
      <c r="AI24" s="187" t="str">
        <f t="shared" ref="AI24" si="69">IF(SUM(AF24:AF28)=0,"",IFERROR(AF24/AG24,""))</f>
        <v/>
      </c>
      <c r="AJ24" s="157">
        <f t="shared" si="49"/>
        <v>8</v>
      </c>
    </row>
    <row r="25" spans="1:36" ht="24.95" hidden="1" customHeight="1" x14ac:dyDescent="0.25">
      <c r="A25" s="182" t="str">
        <f t="shared" si="34"/>
        <v>فرودگاه هاشمی نژاد</v>
      </c>
      <c r="B25" s="216"/>
      <c r="C25" s="167" t="str">
        <f t="shared" si="35"/>
        <v>آذر</v>
      </c>
      <c r="D25" s="171">
        <f>SUMIFS(واردات!$K$4:$K$500,واردات!$J$4:$J$500,$C25,واردات!$I$4:$I$500,$A25)+SUMIFS(واردات!$C$4:$C$500,واردات!$B$4:$B$500,$C25,واردات!$A$4:$A$500,$A25)</f>
        <v>0</v>
      </c>
      <c r="E25" s="159"/>
      <c r="F25" s="159">
        <f t="shared" si="36"/>
        <v>0</v>
      </c>
      <c r="G25" s="175" t="str">
        <f>IF(SUM(D25:D28)=0,"",IFERROR(D25/E25,""))</f>
        <v/>
      </c>
      <c r="H25" s="171">
        <f>SUMIFS(واردات!$L$4:$L$500,واردات!$J$4:$J$500,$C25,واردات!$I$4:$I$500,$A25)+SUMIFS(واردات!$D$4:$D$500,واردات!$B$4:$B$500,$C25,واردات!$A$4:$A$500,$A25)</f>
        <v>0</v>
      </c>
      <c r="I25" s="159"/>
      <c r="J25" s="159">
        <f t="shared" si="14"/>
        <v>0</v>
      </c>
      <c r="K25" s="175" t="str">
        <f>IF(SUM(H25:H28)=0,"",IFERROR(H25/I25,""))</f>
        <v/>
      </c>
      <c r="L25" s="171">
        <f>SUMIFS(واردات!$M$4:$M$500,واردات!$J$4:$J$500,$C25,واردات!$I$4:$I$500,$A25)+SUMIFS(واردات!$E$4:$E$500,واردات!$B$4:$B$500,$C25,واردات!$A$4:$A$500,$A25)</f>
        <v>0</v>
      </c>
      <c r="M25" s="159">
        <v>0</v>
      </c>
      <c r="N25" s="159">
        <f t="shared" si="15"/>
        <v>0</v>
      </c>
      <c r="O25" s="175" t="str">
        <f>IF(SUM(L25:L28)=0,"",IFERROR(L25/M25,""))</f>
        <v/>
      </c>
      <c r="P25" s="171">
        <f>SUMIFS(واردات!$N$4:$N$500,واردات!$J$4:$J$500,$C25,واردات!$I$4:$I$500,$A25)+SUMIFS(واردات!$F$4:$F$500,واردات!$B$4:$B$500,$C25,واردات!$A$4:$A$500,$A25)</f>
        <v>0</v>
      </c>
      <c r="Q25" s="159"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4"/>
        <v>0</v>
      </c>
      <c r="U25" s="159">
        <f t="shared" si="5"/>
        <v>0</v>
      </c>
      <c r="V25" s="159">
        <f t="shared" si="37"/>
        <v>0</v>
      </c>
      <c r="W25" s="175" t="str">
        <f t="shared" ref="W25" si="70">IF(SUM(T25:T28)=0,"",IFERROR(T25/U25,""))</f>
        <v/>
      </c>
      <c r="X25" s="171">
        <f t="shared" si="6"/>
        <v>0</v>
      </c>
      <c r="Y25" s="159">
        <f t="shared" si="7"/>
        <v>0</v>
      </c>
      <c r="Z25" s="159">
        <f t="shared" si="39"/>
        <v>0</v>
      </c>
      <c r="AA25" s="175" t="str">
        <f t="shared" ref="AA25" si="71">IF(SUM(X25:X28)=0,"",IFERROR(X25/Y25,""))</f>
        <v/>
      </c>
      <c r="AB25" s="171">
        <f t="shared" si="8"/>
        <v>0</v>
      </c>
      <c r="AC25" s="159">
        <f t="shared" si="9"/>
        <v>0</v>
      </c>
      <c r="AD25" s="159">
        <f t="shared" si="41"/>
        <v>0</v>
      </c>
      <c r="AE25" s="175" t="str">
        <f t="shared" ref="AE25" si="72">IF(SUM(AB25:AB28)=0,"",IFERROR(AB25/AC25,""))</f>
        <v/>
      </c>
      <c r="AF25" s="171">
        <f t="shared" si="10"/>
        <v>0</v>
      </c>
      <c r="AG25" s="159">
        <f t="shared" si="11"/>
        <v>0</v>
      </c>
      <c r="AH25" s="159">
        <f t="shared" si="43"/>
        <v>0</v>
      </c>
      <c r="AI25" s="187" t="str">
        <f t="shared" ref="AI25" si="73">IF(SUM(AF25:AF28)=0,"",IFERROR(AF25/AG25,""))</f>
        <v/>
      </c>
      <c r="AJ25" s="157">
        <f t="shared" si="49"/>
        <v>9</v>
      </c>
    </row>
    <row r="26" spans="1:36" ht="24.95" hidden="1" customHeight="1" x14ac:dyDescent="0.25">
      <c r="A26" s="182" t="str">
        <f t="shared" si="34"/>
        <v>فرودگاه هاشمی نژاد</v>
      </c>
      <c r="B26" s="216"/>
      <c r="C26" s="167" t="str">
        <f t="shared" si="35"/>
        <v>دی</v>
      </c>
      <c r="D26" s="171">
        <f>SUMIFS(واردات!$K$4:$K$500,واردات!$J$4:$J$500,$C26,واردات!$I$4:$I$500,$A26)+SUMIFS(واردات!$C$4:$C$500,واردات!$B$4:$B$500,$C26,واردات!$A$4:$A$500,$A26)</f>
        <v>0</v>
      </c>
      <c r="E26" s="159"/>
      <c r="F26" s="159">
        <f t="shared" si="36"/>
        <v>0</v>
      </c>
      <c r="G26" s="175" t="str">
        <f>IF(SUM(D26:D28)=0,"",IFERROR(D26/E26,""))</f>
        <v/>
      </c>
      <c r="H26" s="171">
        <f>SUMIFS(واردات!$L$4:$L$500,واردات!$J$4:$J$500,$C26,واردات!$I$4:$I$500,$A26)+SUMIFS(واردات!$D$4:$D$500,واردات!$B$4:$B$500,$C26,واردات!$A$4:$A$500,$A26)</f>
        <v>0</v>
      </c>
      <c r="I26" s="159"/>
      <c r="J26" s="159">
        <f t="shared" si="14"/>
        <v>0</v>
      </c>
      <c r="K26" s="175" t="str">
        <f>IF(SUM(H26:H28)=0,"",IFERROR(H26/I26,""))</f>
        <v/>
      </c>
      <c r="L26" s="171">
        <f>SUMIFS(واردات!$M$4:$M$500,واردات!$J$4:$J$500,$C26,واردات!$I$4:$I$500,$A26)+SUMIFS(واردات!$E$4:$E$500,واردات!$B$4:$B$500,$C26,واردات!$A$4:$A$500,$A26)</f>
        <v>0</v>
      </c>
      <c r="M26" s="159">
        <v>0</v>
      </c>
      <c r="N26" s="159">
        <f t="shared" si="15"/>
        <v>0</v>
      </c>
      <c r="O26" s="175" t="str">
        <f>IF(SUM(L26:L28)=0,"",IFERROR(L26/M26,""))</f>
        <v/>
      </c>
      <c r="P26" s="171">
        <f>SUMIFS(واردات!$N$4:$N$500,واردات!$J$4:$J$500,$C26,واردات!$I$4:$I$500,$A26)+SUMIFS(واردات!$F$4:$F$500,واردات!$B$4:$B$500,$C26,واردات!$A$4:$A$500,$A26)</f>
        <v>0</v>
      </c>
      <c r="Q26" s="159"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4"/>
        <v>0</v>
      </c>
      <c r="U26" s="159">
        <f t="shared" si="5"/>
        <v>0</v>
      </c>
      <c r="V26" s="159">
        <f t="shared" si="37"/>
        <v>0</v>
      </c>
      <c r="W26" s="175" t="str">
        <f t="shared" ref="W26" si="74">IF(SUM(T26:T28)=0,"",IFERROR(T26/U26,""))</f>
        <v/>
      </c>
      <c r="X26" s="171">
        <f t="shared" si="6"/>
        <v>0</v>
      </c>
      <c r="Y26" s="159">
        <f t="shared" si="7"/>
        <v>0</v>
      </c>
      <c r="Z26" s="159">
        <f t="shared" si="39"/>
        <v>0</v>
      </c>
      <c r="AA26" s="175" t="str">
        <f t="shared" ref="AA26" si="75">IF(SUM(X26:X28)=0,"",IFERROR(X26/Y26,""))</f>
        <v/>
      </c>
      <c r="AB26" s="171">
        <f t="shared" si="8"/>
        <v>0</v>
      </c>
      <c r="AC26" s="159">
        <f t="shared" si="9"/>
        <v>0</v>
      </c>
      <c r="AD26" s="159">
        <f t="shared" si="41"/>
        <v>0</v>
      </c>
      <c r="AE26" s="175" t="str">
        <f t="shared" ref="AE26" si="76">IF(SUM(AB26:AB28)=0,"",IFERROR(AB26/AC26,""))</f>
        <v/>
      </c>
      <c r="AF26" s="171">
        <f t="shared" si="10"/>
        <v>0</v>
      </c>
      <c r="AG26" s="159">
        <f t="shared" si="11"/>
        <v>0</v>
      </c>
      <c r="AH26" s="159">
        <f t="shared" si="43"/>
        <v>0</v>
      </c>
      <c r="AI26" s="187" t="str">
        <f t="shared" ref="AI26" si="77">IF(SUM(AF26:AF28)=0,"",IFERROR(AF26/AG26,""))</f>
        <v/>
      </c>
      <c r="AJ26" s="157">
        <f t="shared" si="49"/>
        <v>10</v>
      </c>
    </row>
    <row r="27" spans="1:36" ht="24.95" hidden="1" customHeight="1" x14ac:dyDescent="0.25">
      <c r="A27" s="182" t="str">
        <f t="shared" si="34"/>
        <v>فرودگاه هاشمی نژاد</v>
      </c>
      <c r="B27" s="216"/>
      <c r="C27" s="167" t="str">
        <f t="shared" si="35"/>
        <v>بهمن</v>
      </c>
      <c r="D27" s="171">
        <f>SUMIFS(واردات!$K$4:$K$500,واردات!$J$4:$J$500,$C27,واردات!$I$4:$I$500,$A27)+SUMIFS(واردات!$C$4:$C$500,واردات!$B$4:$B$500,$C27,واردات!$A$4:$A$500,$A27)</f>
        <v>0</v>
      </c>
      <c r="E27" s="159"/>
      <c r="F27" s="159">
        <f t="shared" si="36"/>
        <v>0</v>
      </c>
      <c r="G27" s="175" t="str">
        <f>IF(SUM(D27:D28)=0,"",IFERROR(D27/E27,""))</f>
        <v/>
      </c>
      <c r="H27" s="171">
        <f>SUMIFS(واردات!$L$4:$L$500,واردات!$J$4:$J$500,$C27,واردات!$I$4:$I$500,$A27)+SUMIFS(واردات!$D$4:$D$500,واردات!$B$4:$B$500,$C27,واردات!$A$4:$A$500,$A27)</f>
        <v>0</v>
      </c>
      <c r="I27" s="159"/>
      <c r="J27" s="159">
        <f t="shared" si="14"/>
        <v>0</v>
      </c>
      <c r="K27" s="175" t="str">
        <f>IF(SUM(H27:H28)=0,"",IFERROR(H27/I27,""))</f>
        <v/>
      </c>
      <c r="L27" s="171">
        <f>SUMIFS(واردات!$M$4:$M$500,واردات!$J$4:$J$500,$C27,واردات!$I$4:$I$500,$A27)+SUMIFS(واردات!$E$4:$E$500,واردات!$B$4:$B$500,$C27,واردات!$A$4:$A$500,$A27)</f>
        <v>0</v>
      </c>
      <c r="M27" s="159">
        <v>0</v>
      </c>
      <c r="N27" s="159">
        <f t="shared" si="15"/>
        <v>0</v>
      </c>
      <c r="O27" s="175" t="str">
        <f>IF(SUM(L27:L28)=0,"",IFERROR(L27/M27,""))</f>
        <v/>
      </c>
      <c r="P27" s="171">
        <f>SUMIFS(واردات!$N$4:$N$500,واردات!$J$4:$J$500,$C27,واردات!$I$4:$I$500,$A27)+SUMIFS(واردات!$F$4:$F$500,واردات!$B$4:$B$500,$C27,واردات!$A$4:$A$500,$A27)</f>
        <v>0</v>
      </c>
      <c r="Q27" s="159"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4"/>
        <v>0</v>
      </c>
      <c r="U27" s="159">
        <f t="shared" si="5"/>
        <v>0</v>
      </c>
      <c r="V27" s="159">
        <f t="shared" si="37"/>
        <v>0</v>
      </c>
      <c r="W27" s="175" t="str">
        <f t="shared" ref="W27" si="78">IF(SUM(T27:T28)=0,"",IFERROR(T27/U27,""))</f>
        <v/>
      </c>
      <c r="X27" s="171">
        <f t="shared" si="6"/>
        <v>0</v>
      </c>
      <c r="Y27" s="159">
        <f t="shared" si="7"/>
        <v>0</v>
      </c>
      <c r="Z27" s="159">
        <f t="shared" si="39"/>
        <v>0</v>
      </c>
      <c r="AA27" s="175" t="str">
        <f t="shared" ref="AA27" si="79">IF(SUM(X27:X28)=0,"",IFERROR(X27/Y27,""))</f>
        <v/>
      </c>
      <c r="AB27" s="171">
        <f t="shared" si="8"/>
        <v>0</v>
      </c>
      <c r="AC27" s="159">
        <f t="shared" si="9"/>
        <v>0</v>
      </c>
      <c r="AD27" s="159">
        <f t="shared" si="41"/>
        <v>0</v>
      </c>
      <c r="AE27" s="175" t="str">
        <f t="shared" ref="AE27" si="80">IF(SUM(AB27:AB28)=0,"",IFERROR(AB27/AC27,""))</f>
        <v/>
      </c>
      <c r="AF27" s="171">
        <f t="shared" si="10"/>
        <v>0</v>
      </c>
      <c r="AG27" s="159">
        <f t="shared" si="11"/>
        <v>0</v>
      </c>
      <c r="AH27" s="159">
        <f t="shared" si="43"/>
        <v>0</v>
      </c>
      <c r="AI27" s="187" t="str">
        <f t="shared" ref="AI27" si="81">IF(SUM(AF27:AF28)=0,"",IFERROR(AF27/AG27,""))</f>
        <v/>
      </c>
      <c r="AJ27" s="157">
        <f t="shared" si="49"/>
        <v>11</v>
      </c>
    </row>
    <row r="28" spans="1:36" ht="24.95" hidden="1" customHeight="1" thickBot="1" x14ac:dyDescent="0.3">
      <c r="A28" s="182" t="str">
        <f t="shared" si="34"/>
        <v>فرودگاه هاشمی نژاد</v>
      </c>
      <c r="B28" s="217"/>
      <c r="C28" s="168" t="str">
        <f t="shared" si="35"/>
        <v>اسفند</v>
      </c>
      <c r="D28" s="172">
        <f>SUMIFS(واردات!$K$4:$K$500,واردات!$J$4:$J$500,$C28,واردات!$I$4:$I$500,$A28)+SUMIFS(واردات!$C$4:$C$500,واردات!$B$4:$B$500,$C28,واردات!$A$4:$A$500,$A28)</f>
        <v>0</v>
      </c>
      <c r="E28" s="173"/>
      <c r="F28" s="173">
        <f t="shared" si="36"/>
        <v>0</v>
      </c>
      <c r="G28" s="176" t="str">
        <f>IF(SUM(D28)=0,"",IFERROR(D28/E28,""))</f>
        <v/>
      </c>
      <c r="H28" s="172">
        <f>SUMIFS(واردات!$L$4:$L$500,واردات!$J$4:$J$500,$C28,واردات!$I$4:$I$500,$A28)+SUMIFS(واردات!$D$4:$D$500,واردات!$B$4:$B$500,$C28,واردات!$A$4:$A$500,$A28)</f>
        <v>0</v>
      </c>
      <c r="I28" s="173"/>
      <c r="J28" s="173">
        <f t="shared" si="14"/>
        <v>0</v>
      </c>
      <c r="K28" s="176" t="str">
        <f>IF(SUM(H28)=0,"",IFERROR(H28/I28,""))</f>
        <v/>
      </c>
      <c r="L28" s="172">
        <f>SUMIFS(واردات!$M$4:$M$500,واردات!$J$4:$J$500,$C28,واردات!$I$4:$I$500,$A28)+SUMIFS(واردات!$E$4:$E$500,واردات!$B$4:$B$500,$C28,واردات!$A$4:$A$500,$A28)</f>
        <v>0</v>
      </c>
      <c r="M28" s="173">
        <v>0</v>
      </c>
      <c r="N28" s="173">
        <f t="shared" si="15"/>
        <v>0</v>
      </c>
      <c r="O28" s="176" t="str">
        <f>IF(SUM(L28)=0,"",IFERROR(L28/M28,""))</f>
        <v/>
      </c>
      <c r="P28" s="172">
        <f>SUMIFS(واردات!$N$4:$N$500,واردات!$J$4:$J$500,$C28,واردات!$I$4:$I$500,$A28)+SUMIFS(واردات!$F$4:$F$500,واردات!$B$4:$B$500,$C28,واردات!$A$4:$A$500,$A28)</f>
        <v>0</v>
      </c>
      <c r="Q28" s="173">
        <v>0</v>
      </c>
      <c r="R28" s="173">
        <f t="shared" si="16"/>
        <v>0</v>
      </c>
      <c r="S28" s="176" t="str">
        <f>IF(SUM(P28)=0,"",IFERROR(P28/Q28,""))</f>
        <v/>
      </c>
      <c r="T28" s="172">
        <f t="shared" si="4"/>
        <v>0</v>
      </c>
      <c r="U28" s="173">
        <f t="shared" si="5"/>
        <v>0</v>
      </c>
      <c r="V28" s="173">
        <f t="shared" si="37"/>
        <v>0</v>
      </c>
      <c r="W28" s="176" t="str">
        <f t="shared" ref="W28" si="82">IF(SUM(T28)=0,"",IFERROR(T28/U28,""))</f>
        <v/>
      </c>
      <c r="X28" s="172">
        <f t="shared" si="6"/>
        <v>0</v>
      </c>
      <c r="Y28" s="173">
        <f t="shared" si="7"/>
        <v>0</v>
      </c>
      <c r="Z28" s="173">
        <f t="shared" si="39"/>
        <v>0</v>
      </c>
      <c r="AA28" s="176" t="str">
        <f t="shared" ref="AA28" si="83">IF(SUM(X28)=0,"",IFERROR(X28/Y28,""))</f>
        <v/>
      </c>
      <c r="AB28" s="172">
        <f t="shared" si="8"/>
        <v>0</v>
      </c>
      <c r="AC28" s="173">
        <f t="shared" si="9"/>
        <v>0</v>
      </c>
      <c r="AD28" s="173">
        <f t="shared" si="41"/>
        <v>0</v>
      </c>
      <c r="AE28" s="176" t="str">
        <f t="shared" ref="AE28" si="84">IF(SUM(AB28)=0,"",IFERROR(AB28/AC28,""))</f>
        <v/>
      </c>
      <c r="AF28" s="172">
        <f t="shared" si="10"/>
        <v>0</v>
      </c>
      <c r="AG28" s="173">
        <f t="shared" si="11"/>
        <v>0</v>
      </c>
      <c r="AH28" s="173">
        <f t="shared" si="43"/>
        <v>0</v>
      </c>
      <c r="AI28" s="188" t="str">
        <f t="shared" ref="AI28" si="85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34"/>
        <v>شهید کاوه</v>
      </c>
      <c r="B29" s="215" t="str">
        <f>واردات!B18</f>
        <v>شهید کاوه</v>
      </c>
      <c r="C29" s="166" t="str">
        <f>C17</f>
        <v>فروردین</v>
      </c>
      <c r="D29" s="170">
        <f>SUMIFS(واردات!$K$4:$K$500,واردات!$J$4:$J$500,$C29,واردات!$I$4:$I$500,$A29)+SUMIFS(واردات!$C$4:$C$500,واردات!$B$4:$B$500,$C29,واردات!$A$4:$A$500,$A29)</f>
        <v>1297</v>
      </c>
      <c r="E29" s="160">
        <v>12593.869698755057</v>
      </c>
      <c r="F29" s="160">
        <f t="shared" si="36"/>
        <v>-11296.869698755057</v>
      </c>
      <c r="G29" s="185">
        <f>IF(SUM(D29:D40)=0,"",IFERROR(D29/E29,""))</f>
        <v>0.10298661420391005</v>
      </c>
      <c r="H29" s="170">
        <f>SUMIFS(واردات!$L$4:$L$500,واردات!$J$4:$J$500,$C29,واردات!$I$4:$I$500,$A29)+SUMIFS(واردات!$D$4:$D$500,واردات!$B$4:$B$500,$C29,واردات!$A$4:$A$500,$A29)</f>
        <v>1101</v>
      </c>
      <c r="I29" s="160">
        <v>9915.5045522595938</v>
      </c>
      <c r="J29" s="160">
        <f t="shared" si="14"/>
        <v>-8814.5045522595938</v>
      </c>
      <c r="K29" s="185">
        <f>IF(SUM(H29:H40)=0,"",IFERROR(H29/I29,""))</f>
        <v>0.11103822243206965</v>
      </c>
      <c r="L29" s="170">
        <f>SUMIFS(واردات!$M$4:$M$500,واردات!$J$4:$J$500,$C29,واردات!$I$4:$I$500,$A29)+SUMIFS(واردات!$E$4:$E$500,واردات!$B$4:$B$500,$C29,واردات!$A$4:$A$500,$A29)</f>
        <v>407</v>
      </c>
      <c r="M29" s="160">
        <v>3089.5033357808884</v>
      </c>
      <c r="N29" s="160">
        <f t="shared" si="15"/>
        <v>-2682.5033357808884</v>
      </c>
      <c r="O29" s="185">
        <f>IF(SUM(L29:L40)=0,"",IFERROR(L29/M29,""))</f>
        <v>0.13173638470829765</v>
      </c>
      <c r="P29" s="170">
        <f>SUMIFS(واردات!$N$4:$N$500,واردات!$J$4:$J$500,$C29,واردات!$I$4:$I$500,$A29)+SUMIFS(واردات!$F$4:$F$500,واردات!$B$4:$B$500,$C29,واردات!$A$4:$A$500,$A29)</f>
        <v>0</v>
      </c>
      <c r="Q29" s="160">
        <v>0</v>
      </c>
      <c r="R29" s="160">
        <f t="shared" si="16"/>
        <v>0</v>
      </c>
      <c r="S29" s="185" t="str">
        <f>IF(SUM(P29:P40)=0,"",IFERROR(P29/Q29,""))</f>
        <v/>
      </c>
      <c r="T29" s="183">
        <f t="shared" si="4"/>
        <v>1297</v>
      </c>
      <c r="U29" s="160">
        <f t="shared" si="5"/>
        <v>12593.869698755057</v>
      </c>
      <c r="V29" s="160">
        <f t="shared" si="37"/>
        <v>-11296.869698755057</v>
      </c>
      <c r="W29" s="185">
        <f t="shared" ref="W29" si="86">IF(SUM(T29:T40)=0,"",IFERROR(T29/U29,""))</f>
        <v>0.10298661420391005</v>
      </c>
      <c r="X29" s="183">
        <f t="shared" si="6"/>
        <v>1101</v>
      </c>
      <c r="Y29" s="160">
        <f t="shared" si="7"/>
        <v>9915.5045522595938</v>
      </c>
      <c r="Z29" s="160">
        <f t="shared" si="39"/>
        <v>-8814.5045522595938</v>
      </c>
      <c r="AA29" s="185">
        <f t="shared" ref="AA29" si="87">IF(SUM(X29:X40)=0,"",IFERROR(X29/Y29,""))</f>
        <v>0.11103822243206965</v>
      </c>
      <c r="AB29" s="183">
        <f t="shared" si="8"/>
        <v>407</v>
      </c>
      <c r="AC29" s="160">
        <f t="shared" si="9"/>
        <v>3089.5033357808884</v>
      </c>
      <c r="AD29" s="160">
        <f t="shared" si="41"/>
        <v>-2682.5033357808884</v>
      </c>
      <c r="AE29" s="185">
        <f t="shared" ref="AE29" si="88">IF(SUM(AB29:AB40)=0,"",IFERROR(AB29/AC29,""))</f>
        <v>0.13173638470829765</v>
      </c>
      <c r="AF29" s="183">
        <f t="shared" si="10"/>
        <v>0</v>
      </c>
      <c r="AG29" s="160">
        <f t="shared" si="11"/>
        <v>0</v>
      </c>
      <c r="AH29" s="160">
        <f t="shared" si="43"/>
        <v>0</v>
      </c>
      <c r="AI29" s="186" t="str">
        <f t="shared" ref="AI29" si="89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34"/>
        <v>شهید کاوه</v>
      </c>
      <c r="B30" s="216"/>
      <c r="C30" s="167" t="str">
        <f t="shared" si="35"/>
        <v>اردیبهشت</v>
      </c>
      <c r="D30" s="171">
        <f>SUMIFS(واردات!$K$4:$K$500,واردات!$J$4:$J$500,$C30,واردات!$I$4:$I$500,$A30)+SUMIFS(واردات!$C$4:$C$500,واردات!$B$4:$B$500,$C30,واردات!$A$4:$A$500,$A30)</f>
        <v>2604</v>
      </c>
      <c r="E30" s="159">
        <v>12593.869698755057</v>
      </c>
      <c r="F30" s="159">
        <f t="shared" si="36"/>
        <v>-9989.8696987550575</v>
      </c>
      <c r="G30" s="175">
        <f>IF(SUM(D30:D40)=0,"",IFERROR(D30/E30,""))</f>
        <v>0.20676726552581479</v>
      </c>
      <c r="H30" s="171">
        <f>SUMIFS(واردات!$L$4:$L$500,واردات!$J$4:$J$500,$C30,واردات!$I$4:$I$500,$A30)+SUMIFS(واردات!$D$4:$D$500,واردات!$B$4:$B$500,$C30,واردات!$A$4:$A$500,$A30)</f>
        <v>1646</v>
      </c>
      <c r="I30" s="159">
        <v>9915.5045522595938</v>
      </c>
      <c r="J30" s="159">
        <f t="shared" si="14"/>
        <v>-8269.5045522595938</v>
      </c>
      <c r="K30" s="175">
        <f>IF(SUM(H30:H40)=0,"",IFERROR(H30/I30,""))</f>
        <v>0.16600264679671811</v>
      </c>
      <c r="L30" s="171">
        <f>SUMIFS(واردات!$M$4:$M$500,واردات!$J$4:$J$500,$C30,واردات!$I$4:$I$500,$A30)+SUMIFS(واردات!$E$4:$E$500,واردات!$B$4:$B$500,$C30,واردات!$A$4:$A$500,$A30)</f>
        <v>578</v>
      </c>
      <c r="M30" s="159">
        <v>3089.5033357808884</v>
      </c>
      <c r="N30" s="159">
        <f t="shared" si="15"/>
        <v>-2511.5033357808884</v>
      </c>
      <c r="O30" s="175">
        <f>IF(SUM(L30:L40)=0,"",IFERROR(L30/M30,""))</f>
        <v>0.18708508688303696</v>
      </c>
      <c r="P30" s="171">
        <f>SUMIFS(واردات!$N$4:$N$500,واردات!$J$4:$J$500,$C30,واردات!$I$4:$I$500,$A30)+SUMIFS(واردات!$F$4:$F$500,واردات!$B$4:$B$500,$C30,واردات!$A$4:$A$500,$A30)</f>
        <v>0</v>
      </c>
      <c r="Q30" s="159">
        <v>0</v>
      </c>
      <c r="R30" s="159">
        <f t="shared" si="16"/>
        <v>0</v>
      </c>
      <c r="S30" s="175" t="str">
        <f>IF(SUM(P30:P40)=0,"",IFERROR(P30/Q30,""))</f>
        <v/>
      </c>
      <c r="T30" s="171">
        <f t="shared" si="4"/>
        <v>3901</v>
      </c>
      <c r="U30" s="159">
        <f t="shared" si="5"/>
        <v>25187.739397510115</v>
      </c>
      <c r="V30" s="159">
        <f t="shared" si="37"/>
        <v>-21286.739397510115</v>
      </c>
      <c r="W30" s="175">
        <f t="shared" ref="W30" si="90">IF(SUM(T30:T40)=0,"",IFERROR(T30/U30,""))</f>
        <v>0.15487693986486242</v>
      </c>
      <c r="X30" s="171">
        <f t="shared" si="6"/>
        <v>2747</v>
      </c>
      <c r="Y30" s="159">
        <f t="shared" si="7"/>
        <v>19831.009104519188</v>
      </c>
      <c r="Z30" s="159">
        <f t="shared" si="39"/>
        <v>-17084.009104519188</v>
      </c>
      <c r="AA30" s="175">
        <f t="shared" ref="AA30" si="91">IF(SUM(X30:X40)=0,"",IFERROR(X30/Y30,""))</f>
        <v>0.13852043461439389</v>
      </c>
      <c r="AB30" s="171">
        <f t="shared" si="8"/>
        <v>985</v>
      </c>
      <c r="AC30" s="159">
        <f t="shared" si="9"/>
        <v>6179.0066715617768</v>
      </c>
      <c r="AD30" s="159">
        <f t="shared" si="41"/>
        <v>-5194.0066715617768</v>
      </c>
      <c r="AE30" s="175">
        <f t="shared" ref="AE30" si="92">IF(SUM(AB30:AB40)=0,"",IFERROR(AB30/AC30,""))</f>
        <v>0.15941073579566731</v>
      </c>
      <c r="AF30" s="171">
        <f t="shared" si="10"/>
        <v>0</v>
      </c>
      <c r="AG30" s="159">
        <f t="shared" si="11"/>
        <v>0</v>
      </c>
      <c r="AH30" s="159">
        <f t="shared" si="43"/>
        <v>0</v>
      </c>
      <c r="AI30" s="187" t="str">
        <f t="shared" ref="AI30" si="93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34"/>
        <v>شهید کاوه</v>
      </c>
      <c r="B31" s="216"/>
      <c r="C31" s="167" t="str">
        <f t="shared" si="35"/>
        <v>خرداد</v>
      </c>
      <c r="D31" s="171">
        <f>SUMIFS(واردات!$K$4:$K$500,واردات!$J$4:$J$500,$C31,واردات!$I$4:$I$500,$A31)+SUMIFS(واردات!$C$4:$C$500,واردات!$B$4:$B$500,$C31,واردات!$A$4:$A$500,$A31)</f>
        <v>1549</v>
      </c>
      <c r="E31" s="159">
        <v>12593.869698755057</v>
      </c>
      <c r="F31" s="159">
        <f t="shared" si="36"/>
        <v>-11044.869698755057</v>
      </c>
      <c r="G31" s="175">
        <f>IF(SUM(D31:D40)=0,"",IFERROR(D31/E31,""))</f>
        <v>0.122996349577376</v>
      </c>
      <c r="H31" s="171">
        <f>SUMIFS(واردات!$L$4:$L$500,واردات!$J$4:$J$500,$C31,واردات!$I$4:$I$500,$A31)+SUMIFS(واردات!$D$4:$D$500,واردات!$B$4:$B$500,$C31,واردات!$A$4:$A$500,$A31)</f>
        <v>2007</v>
      </c>
      <c r="I31" s="159">
        <v>9915.5045522595938</v>
      </c>
      <c r="J31" s="159">
        <f t="shared" si="14"/>
        <v>-7908.5045522595938</v>
      </c>
      <c r="K31" s="175">
        <f>IF(SUM(H31:H40)=0,"",IFERROR(H31/I31,""))</f>
        <v>0.20241027467862288</v>
      </c>
      <c r="L31" s="171">
        <f>SUMIFS(واردات!$M$4:$M$500,واردات!$J$4:$J$500,$C31,واردات!$I$4:$I$500,$A31)+SUMIFS(واردات!$E$4:$E$500,واردات!$B$4:$B$500,$C31,واردات!$A$4:$A$500,$A31)</f>
        <v>863</v>
      </c>
      <c r="M31" s="159">
        <v>3089.5033357808884</v>
      </c>
      <c r="N31" s="159">
        <f t="shared" si="15"/>
        <v>-2226.5033357808884</v>
      </c>
      <c r="O31" s="175">
        <f>IF(SUM(L31:L40)=0,"",IFERROR(L31/M31,""))</f>
        <v>0.27933292384093578</v>
      </c>
      <c r="P31" s="171">
        <f>SUMIFS(واردات!$N$4:$N$500,واردات!$J$4:$J$500,$C31,واردات!$I$4:$I$500,$A31)+SUMIFS(واردات!$F$4:$F$500,واردات!$B$4:$B$500,$C31,واردات!$A$4:$A$500,$A31)</f>
        <v>0</v>
      </c>
      <c r="Q31" s="159">
        <v>0</v>
      </c>
      <c r="R31" s="159">
        <f t="shared" si="16"/>
        <v>0</v>
      </c>
      <c r="S31" s="175" t="str">
        <f>IF(SUM(P31:P40)=0,"",IFERROR(P31/Q31,""))</f>
        <v/>
      </c>
      <c r="T31" s="171">
        <f t="shared" si="4"/>
        <v>5450</v>
      </c>
      <c r="U31" s="159">
        <f t="shared" si="5"/>
        <v>37781.609096265172</v>
      </c>
      <c r="V31" s="159">
        <f t="shared" si="37"/>
        <v>-32331.609096265172</v>
      </c>
      <c r="W31" s="175">
        <f t="shared" ref="W31" si="94">IF(SUM(T31:T40)=0,"",IFERROR(T31/U31,""))</f>
        <v>0.14425007643570029</v>
      </c>
      <c r="X31" s="171">
        <f t="shared" si="6"/>
        <v>4754</v>
      </c>
      <c r="Y31" s="159">
        <f t="shared" si="7"/>
        <v>29746.513656778781</v>
      </c>
      <c r="Z31" s="159">
        <f t="shared" si="39"/>
        <v>-24992.513656778781</v>
      </c>
      <c r="AA31" s="175">
        <f t="shared" ref="AA31" si="95">IF(SUM(X31:X40)=0,"",IFERROR(X31/Y31,""))</f>
        <v>0.1598170479691369</v>
      </c>
      <c r="AB31" s="171">
        <f t="shared" si="8"/>
        <v>1848</v>
      </c>
      <c r="AC31" s="159">
        <f t="shared" si="9"/>
        <v>9268.5100073426656</v>
      </c>
      <c r="AD31" s="159">
        <f t="shared" si="41"/>
        <v>-7420.5100073426656</v>
      </c>
      <c r="AE31" s="175">
        <f t="shared" ref="AE31" si="96">IF(SUM(AB31:AB40)=0,"",IFERROR(AB31/AC31,""))</f>
        <v>0.19938479847742346</v>
      </c>
      <c r="AF31" s="171">
        <f t="shared" si="10"/>
        <v>0</v>
      </c>
      <c r="AG31" s="159">
        <f t="shared" si="11"/>
        <v>0</v>
      </c>
      <c r="AH31" s="159">
        <f t="shared" si="43"/>
        <v>0</v>
      </c>
      <c r="AI31" s="187" t="str">
        <f t="shared" ref="AI31" si="97">IF(SUM(AF31:AF40)=0,"",IFERROR(AF31/AG31,""))</f>
        <v/>
      </c>
      <c r="AJ31" s="157">
        <f t="shared" ref="AJ31:AJ39" si="98">AJ30+1</f>
        <v>3</v>
      </c>
    </row>
    <row r="32" spans="1:36" ht="24.95" customHeight="1" x14ac:dyDescent="0.25">
      <c r="A32" s="182" t="str">
        <f>IF(B32="",A31,B32)</f>
        <v>شهید کاوه</v>
      </c>
      <c r="B32" s="216"/>
      <c r="C32" s="167" t="str">
        <f t="shared" si="35"/>
        <v>تیر</v>
      </c>
      <c r="D32" s="171">
        <f>SUMIFS(واردات!$K$4:$K$500,واردات!$J$4:$J$500,$C32,واردات!$I$4:$I$500,$A32)+SUMIFS(واردات!$C$4:$C$500,واردات!$B$4:$B$500,$C32,واردات!$A$4:$A$500,$A32)</f>
        <v>1858</v>
      </c>
      <c r="E32" s="159">
        <v>7824.0355788318984</v>
      </c>
      <c r="F32" s="159">
        <f t="shared" si="36"/>
        <v>-5966.0355788318984</v>
      </c>
      <c r="G32" s="175">
        <f>IF(SUM(D32:D40)=0,"",IFERROR(D32/E32,""))</f>
        <v>0.23747335774224496</v>
      </c>
      <c r="H32" s="171">
        <f>SUMIFS(واردات!$L$4:$L$500,واردات!$J$4:$J$500,$C32,واردات!$I$4:$I$500,$A32)+SUMIFS(واردات!$D$4:$D$500,واردات!$B$4:$B$500,$C32,واردات!$A$4:$A$500,$A32)</f>
        <v>2119</v>
      </c>
      <c r="I32" s="159">
        <v>10649.226614715826</v>
      </c>
      <c r="J32" s="159">
        <f t="shared" si="14"/>
        <v>-8530.2266147158261</v>
      </c>
      <c r="K32" s="175">
        <f>IF(SUM(H32:H40)=0,"",IFERROR(H32/I32,""))</f>
        <v>0.19898158586200257</v>
      </c>
      <c r="L32" s="171">
        <f>SUMIFS(واردات!$M$4:$M$500,واردات!$J$4:$J$500,$C32,واردات!$I$4:$I$500,$A32)+SUMIFS(واردات!$E$4:$E$500,واردات!$B$4:$B$500,$C32,واردات!$A$4:$A$500,$A32)</f>
        <v>293</v>
      </c>
      <c r="M32" s="159">
        <v>639.781551750002</v>
      </c>
      <c r="N32" s="159">
        <f t="shared" si="15"/>
        <v>-346.781551750002</v>
      </c>
      <c r="O32" s="175">
        <f>IF(SUM(L32:L40)=0,"",IFERROR(L32/M32,""))</f>
        <v>0.45796881638514531</v>
      </c>
      <c r="P32" s="171">
        <f>SUMIFS(واردات!$N$4:$N$500,واردات!$J$4:$J$500,$C32,واردات!$I$4:$I$500,$A32)+SUMIFS(واردات!$F$4:$F$500,واردات!$B$4:$B$500,$C32,واردات!$A$4:$A$500,$A32)</f>
        <v>0</v>
      </c>
      <c r="Q32" s="159">
        <v>0</v>
      </c>
      <c r="R32" s="159">
        <f t="shared" si="16"/>
        <v>0</v>
      </c>
      <c r="S32" s="175" t="str">
        <f>IF(SUM(P32:P40)=0,"",IFERROR(P32/Q32,""))</f>
        <v/>
      </c>
      <c r="T32" s="171">
        <f t="shared" si="4"/>
        <v>7308</v>
      </c>
      <c r="U32" s="159">
        <f t="shared" si="5"/>
        <v>45605.644675097072</v>
      </c>
      <c r="V32" s="159">
        <f t="shared" si="37"/>
        <v>-38297.644675097072</v>
      </c>
      <c r="W32" s="175">
        <f t="shared" ref="W32" si="99">IF(SUM(T32:T40)=0,"",IFERROR(T32/U32,""))</f>
        <v>0.16024332189718016</v>
      </c>
      <c r="X32" s="171">
        <f t="shared" si="6"/>
        <v>6873</v>
      </c>
      <c r="Y32" s="159">
        <f t="shared" si="7"/>
        <v>40395.740271494607</v>
      </c>
      <c r="Z32" s="159">
        <f t="shared" si="39"/>
        <v>-33522.740271494607</v>
      </c>
      <c r="AA32" s="175">
        <f t="shared" ref="AA32" si="100">IF(SUM(X32:X40)=0,"",IFERROR(X32/Y32,""))</f>
        <v>0.17014170191726766</v>
      </c>
      <c r="AB32" s="171">
        <f t="shared" si="8"/>
        <v>2141</v>
      </c>
      <c r="AC32" s="159">
        <f t="shared" si="9"/>
        <v>9908.2915590926677</v>
      </c>
      <c r="AD32" s="159">
        <f t="shared" si="41"/>
        <v>-7767.2915590926677</v>
      </c>
      <c r="AE32" s="175">
        <f t="shared" ref="AE32" si="101">IF(SUM(AB32:AB40)=0,"",IFERROR(AB32/AC32,""))</f>
        <v>0.21608165113341274</v>
      </c>
      <c r="AF32" s="171">
        <f t="shared" si="10"/>
        <v>0</v>
      </c>
      <c r="AG32" s="159">
        <f t="shared" si="11"/>
        <v>0</v>
      </c>
      <c r="AH32" s="159">
        <f t="shared" si="43"/>
        <v>0</v>
      </c>
      <c r="AI32" s="187" t="str">
        <f t="shared" ref="AI32" si="102">IF(SUM(AF32:AF40)=0,"",IFERROR(AF32/AG32,""))</f>
        <v/>
      </c>
      <c r="AJ32" s="157">
        <f t="shared" si="98"/>
        <v>4</v>
      </c>
    </row>
    <row r="33" spans="1:36" ht="24.95" customHeight="1" x14ac:dyDescent="0.25">
      <c r="A33" s="182" t="str">
        <f t="shared" si="34"/>
        <v>شهید کاوه</v>
      </c>
      <c r="B33" s="216"/>
      <c r="C33" s="167" t="str">
        <f t="shared" si="35"/>
        <v>مرداد</v>
      </c>
      <c r="D33" s="171">
        <f>SUMIFS(واردات!$K$4:$K$500,واردات!$J$4:$J$500,$C33,واردات!$I$4:$I$500,$A33)+SUMIFS(واردات!$C$4:$C$500,واردات!$B$4:$B$500,$C33,واردات!$A$4:$A$500,$A33)</f>
        <v>1871</v>
      </c>
      <c r="E33" s="159">
        <v>7824.0355788318984</v>
      </c>
      <c r="F33" s="159">
        <f t="shared" si="36"/>
        <v>-5953.0355788318984</v>
      </c>
      <c r="G33" s="175">
        <f>IF(SUM(D33:D40)=0,"",IFERROR(D33/E33,""))</f>
        <v>0.23913490437876228</v>
      </c>
      <c r="H33" s="171">
        <f>SUMIFS(واردات!$L$4:$L$500,واردات!$J$4:$J$500,$C33,واردات!$I$4:$I$500,$A33)+SUMIFS(واردات!$D$4:$D$500,واردات!$B$4:$B$500,$C33,واردات!$A$4:$A$500,$A33)</f>
        <v>2661</v>
      </c>
      <c r="I33" s="159">
        <v>10649.226614715826</v>
      </c>
      <c r="J33" s="159">
        <f t="shared" si="14"/>
        <v>-7988.2266147158261</v>
      </c>
      <c r="K33" s="175">
        <f>IF(SUM(H33:H40)=0,"",IFERROR(H33/I33,""))</f>
        <v>0.24987730060348692</v>
      </c>
      <c r="L33" s="171">
        <f>SUMIFS(واردات!$M$4:$M$500,واردات!$J$4:$J$500,$C33,واردات!$I$4:$I$500,$A33)+SUMIFS(واردات!$E$4:$E$500,واردات!$B$4:$B$500,$C33,واردات!$A$4:$A$500,$A33)</f>
        <v>1519</v>
      </c>
      <c r="M33" s="159">
        <v>639.781551750002</v>
      </c>
      <c r="N33" s="159">
        <f t="shared" si="15"/>
        <v>879.218448249998</v>
      </c>
      <c r="O33" s="175">
        <f>IF(SUM(L33:L40)=0,"",IFERROR(L33/M33,""))</f>
        <v>2.3742478910888591</v>
      </c>
      <c r="P33" s="171">
        <f>SUMIFS(واردات!$N$4:$N$500,واردات!$J$4:$J$500,$C33,واردات!$I$4:$I$500,$A33)+SUMIFS(واردات!$F$4:$F$500,واردات!$B$4:$B$500,$C33,واردات!$A$4:$A$500,$A33)</f>
        <v>0</v>
      </c>
      <c r="Q33" s="159">
        <v>0</v>
      </c>
      <c r="R33" s="159">
        <f t="shared" si="16"/>
        <v>0</v>
      </c>
      <c r="S33" s="175" t="str">
        <f>IF(SUM(P33:P40)=0,"",IFERROR(P33/Q33,""))</f>
        <v/>
      </c>
      <c r="T33" s="171">
        <f t="shared" si="4"/>
        <v>9179</v>
      </c>
      <c r="U33" s="159">
        <f t="shared" si="5"/>
        <v>53429.680253928971</v>
      </c>
      <c r="V33" s="159">
        <f t="shared" si="37"/>
        <v>-44250.680253928971</v>
      </c>
      <c r="W33" s="175">
        <f t="shared" ref="W33" si="103">IF(SUM(T33:T40)=0,"",IFERROR(T33/U33,""))</f>
        <v>0.17179589988890151</v>
      </c>
      <c r="X33" s="171">
        <f t="shared" si="6"/>
        <v>9534</v>
      </c>
      <c r="Y33" s="159">
        <f t="shared" si="7"/>
        <v>51044.96688621043</v>
      </c>
      <c r="Z33" s="159">
        <f t="shared" si="39"/>
        <v>-41510.96688621043</v>
      </c>
      <c r="AA33" s="175">
        <f t="shared" ref="AA33" si="104">IF(SUM(X33:X40)=0,"",IFERROR(X33/Y33,""))</f>
        <v>0.18677649495303264</v>
      </c>
      <c r="AB33" s="171">
        <f t="shared" si="8"/>
        <v>3660</v>
      </c>
      <c r="AC33" s="159">
        <f t="shared" si="9"/>
        <v>10548.07311084267</v>
      </c>
      <c r="AD33" s="159">
        <f t="shared" si="41"/>
        <v>-6888.0731108426698</v>
      </c>
      <c r="AE33" s="175">
        <f t="shared" ref="AE33" si="105">IF(SUM(AB33:AB40)=0,"",IFERROR(AB33/AC33,""))</f>
        <v>0.34698280544128768</v>
      </c>
      <c r="AF33" s="171">
        <f t="shared" si="10"/>
        <v>0</v>
      </c>
      <c r="AG33" s="159">
        <f t="shared" si="11"/>
        <v>0</v>
      </c>
      <c r="AH33" s="159">
        <f t="shared" si="43"/>
        <v>0</v>
      </c>
      <c r="AI33" s="187" t="str">
        <f t="shared" ref="AI33" si="106">IF(SUM(AF33:AF40)=0,"",IFERROR(AF33/AG33,""))</f>
        <v/>
      </c>
      <c r="AJ33" s="157">
        <f t="shared" si="98"/>
        <v>5</v>
      </c>
    </row>
    <row r="34" spans="1:36" ht="24.95" customHeight="1" x14ac:dyDescent="0.25">
      <c r="A34" s="182" t="str">
        <f t="shared" si="34"/>
        <v>شهید کاوه</v>
      </c>
      <c r="B34" s="216"/>
      <c r="C34" s="167" t="str">
        <f t="shared" si="35"/>
        <v>شهریور</v>
      </c>
      <c r="D34" s="171">
        <f>SUMIFS(واردات!$K$4:$K$500,واردات!$J$4:$J$500,$C34,واردات!$I$4:$I$500,$A34)+SUMIFS(واردات!$C$4:$C$500,واردات!$B$4:$B$500,$C34,واردات!$A$4:$A$500,$A34)</f>
        <v>1275</v>
      </c>
      <c r="E34" s="159">
        <v>7824.0355788318984</v>
      </c>
      <c r="F34" s="159">
        <f t="shared" si="36"/>
        <v>-6549.0355788318984</v>
      </c>
      <c r="G34" s="175">
        <f>IF(SUM(D34:D40)=0,"",IFERROR(D34/E34,""))</f>
        <v>0.16295938165842966</v>
      </c>
      <c r="H34" s="171">
        <f>SUMIFS(واردات!$L$4:$L$500,واردات!$J$4:$J$500,$C34,واردات!$I$4:$I$500,$A34)+SUMIFS(واردات!$D$4:$D$500,واردات!$B$4:$B$500,$C34,واردات!$A$4:$A$500,$A34)</f>
        <v>1591</v>
      </c>
      <c r="I34" s="159">
        <v>10649.226614715826</v>
      </c>
      <c r="J34" s="159">
        <f t="shared" si="14"/>
        <v>-9058.2266147158261</v>
      </c>
      <c r="K34" s="175">
        <f>IF(SUM(H34:H40)=0,"",IFERROR(H34/I34,""))</f>
        <v>0.14940052057878531</v>
      </c>
      <c r="L34" s="171">
        <f>SUMIFS(واردات!$M$4:$M$500,واردات!$J$4:$J$500,$C34,واردات!$I$4:$I$500,$A34)+SUMIFS(واردات!$E$4:$E$500,واردات!$B$4:$B$500,$C34,واردات!$A$4:$A$500,$A34)</f>
        <v>162</v>
      </c>
      <c r="M34" s="159">
        <v>639.781551750002</v>
      </c>
      <c r="N34" s="159">
        <f t="shared" si="15"/>
        <v>-477.781551750002</v>
      </c>
      <c r="O34" s="175">
        <f>IF(SUM(L34:L40)=0,"",IFERROR(L34/M34,""))</f>
        <v>0.25321142748939773</v>
      </c>
      <c r="P34" s="171">
        <f>SUMIFS(واردات!$N$4:$N$500,واردات!$J$4:$J$500,$C34,واردات!$I$4:$I$500,$A34)+SUMIFS(واردات!$F$4:$F$500,واردات!$B$4:$B$500,$C34,واردات!$A$4:$A$500,$A34)</f>
        <v>0</v>
      </c>
      <c r="Q34" s="159">
        <v>0</v>
      </c>
      <c r="R34" s="159">
        <f t="shared" si="16"/>
        <v>0</v>
      </c>
      <c r="S34" s="175" t="str">
        <f>IF(SUM(P34:P40)=0,"",IFERROR(P34/Q34,""))</f>
        <v/>
      </c>
      <c r="T34" s="171">
        <f t="shared" si="4"/>
        <v>10454</v>
      </c>
      <c r="U34" s="159">
        <f t="shared" si="5"/>
        <v>61253.71583276087</v>
      </c>
      <c r="V34" s="159">
        <f t="shared" si="37"/>
        <v>-50799.71583276087</v>
      </c>
      <c r="W34" s="175">
        <f t="shared" ref="W34" si="107">IF(SUM(T34:T40)=0,"",IFERROR(T34/U34,""))</f>
        <v>0.17066719721203907</v>
      </c>
      <c r="X34" s="171">
        <f t="shared" si="6"/>
        <v>11125</v>
      </c>
      <c r="Y34" s="159">
        <f t="shared" si="7"/>
        <v>61694.193500926252</v>
      </c>
      <c r="Z34" s="159">
        <f t="shared" si="39"/>
        <v>-50569.193500926252</v>
      </c>
      <c r="AA34" s="175">
        <f t="shared" ref="AA34" si="108">IF(SUM(X34:X40)=0,"",IFERROR(X34/Y34,""))</f>
        <v>0.18032491177363349</v>
      </c>
      <c r="AB34" s="171">
        <f t="shared" si="8"/>
        <v>3822</v>
      </c>
      <c r="AC34" s="159">
        <f t="shared" si="9"/>
        <v>11187.854662592672</v>
      </c>
      <c r="AD34" s="159">
        <f t="shared" si="41"/>
        <v>-7365.854662592672</v>
      </c>
      <c r="AE34" s="175">
        <f t="shared" ref="AE34" si="109">IF(SUM(AB34:AB40)=0,"",IFERROR(AB34/AC34,""))</f>
        <v>0.3416204549724004</v>
      </c>
      <c r="AF34" s="171">
        <f t="shared" si="10"/>
        <v>0</v>
      </c>
      <c r="AG34" s="159">
        <f t="shared" si="11"/>
        <v>0</v>
      </c>
      <c r="AH34" s="159">
        <f t="shared" si="43"/>
        <v>0</v>
      </c>
      <c r="AI34" s="187" t="str">
        <f t="shared" ref="AI34" si="110">IF(SUM(AF34:AF40)=0,"",IFERROR(AF34/AG34,""))</f>
        <v/>
      </c>
      <c r="AJ34" s="157">
        <f t="shared" si="98"/>
        <v>6</v>
      </c>
    </row>
    <row r="35" spans="1:36" ht="24.95" customHeight="1" x14ac:dyDescent="0.25">
      <c r="A35" s="182" t="str">
        <f t="shared" si="34"/>
        <v>شهید کاوه</v>
      </c>
      <c r="B35" s="216"/>
      <c r="C35" s="167" t="str">
        <f t="shared" si="35"/>
        <v>مهر</v>
      </c>
      <c r="D35" s="171">
        <f>SUMIFS(واردات!$K$4:$K$500,واردات!$J$4:$J$500,$C35,واردات!$I$4:$I$500,$A35)+SUMIFS(واردات!$C$4:$C$500,واردات!$B$4:$B$500,$C35,واردات!$A$4:$A$500,$A35)</f>
        <v>1603</v>
      </c>
      <c r="E35" s="159">
        <v>6809.4530099833564</v>
      </c>
      <c r="F35" s="159">
        <f t="shared" si="36"/>
        <v>-5206.4530099833564</v>
      </c>
      <c r="G35" s="175">
        <f>IF(SUM(D35:D40)=0,"",IFERROR(D35/E35,""))</f>
        <v>0.23540804197486018</v>
      </c>
      <c r="H35" s="171">
        <f>SUMIFS(واردات!$L$4:$L$500,واردات!$J$4:$J$500,$C35,واردات!$I$4:$I$500,$A35)+SUMIFS(واردات!$D$4:$D$500,واردات!$B$4:$B$500,$C35,واردات!$A$4:$A$500,$A35)</f>
        <v>1732</v>
      </c>
      <c r="I35" s="159">
        <v>6512.0565119914463</v>
      </c>
      <c r="J35" s="159">
        <f t="shared" si="14"/>
        <v>-4780.0565119914463</v>
      </c>
      <c r="K35" s="175">
        <f>IF(SUM(H35:H40)=0,"",IFERROR(H35/I35,""))</f>
        <v>0.26596820786346931</v>
      </c>
      <c r="L35" s="171">
        <f>SUMIFS(واردات!$M$4:$M$500,واردات!$J$4:$J$500,$C35,واردات!$I$4:$I$500,$A35)+SUMIFS(واردات!$E$4:$E$500,واردات!$B$4:$B$500,$C35,واردات!$A$4:$A$500,$A35)</f>
        <v>0</v>
      </c>
      <c r="M35" s="159">
        <v>61.085482839479845</v>
      </c>
      <c r="N35" s="159">
        <f t="shared" si="15"/>
        <v>-61.085482839479845</v>
      </c>
      <c r="O35" s="175">
        <f>IF(SUM(L35:L40)=0,"",IFERROR(L35/M35,""))</f>
        <v>0</v>
      </c>
      <c r="P35" s="171">
        <f>SUMIFS(واردات!$N$4:$N$500,واردات!$J$4:$J$500,$C35,واردات!$I$4:$I$500,$A35)+SUMIFS(واردات!$F$4:$F$500,واردات!$B$4:$B$500,$C35,واردات!$A$4:$A$500,$A35)</f>
        <v>0</v>
      </c>
      <c r="Q35" s="159">
        <v>0</v>
      </c>
      <c r="R35" s="159">
        <f t="shared" si="16"/>
        <v>0</v>
      </c>
      <c r="S35" s="175" t="str">
        <f>IF(SUM(P35:P40)=0,"",IFERROR(P35/Q35,""))</f>
        <v/>
      </c>
      <c r="T35" s="171">
        <f t="shared" si="4"/>
        <v>12057</v>
      </c>
      <c r="U35" s="159">
        <f t="shared" si="5"/>
        <v>68063.168842744228</v>
      </c>
      <c r="V35" s="159">
        <f t="shared" si="37"/>
        <v>-56006.168842744228</v>
      </c>
      <c r="W35" s="175">
        <f t="shared" ref="W35" si="111">IF(SUM(T35:T40)=0,"",IFERROR(T35/U35,""))</f>
        <v>0.17714426473232472</v>
      </c>
      <c r="X35" s="171">
        <f t="shared" si="6"/>
        <v>12857</v>
      </c>
      <c r="Y35" s="159">
        <f t="shared" si="7"/>
        <v>68206.250012917706</v>
      </c>
      <c r="Z35" s="159">
        <f t="shared" si="39"/>
        <v>-55349.250012917706</v>
      </c>
      <c r="AA35" s="175">
        <f t="shared" ref="AA35" si="112">IF(SUM(X35:X40)=0,"",IFERROR(X35/Y35,""))</f>
        <v>0.18850178682400789</v>
      </c>
      <c r="AB35" s="171">
        <f t="shared" si="8"/>
        <v>3822</v>
      </c>
      <c r="AC35" s="159">
        <f t="shared" si="9"/>
        <v>11248.940145432152</v>
      </c>
      <c r="AD35" s="159">
        <f t="shared" si="41"/>
        <v>-7426.9401454321523</v>
      </c>
      <c r="AE35" s="175">
        <f t="shared" ref="AE35" si="113">IF(SUM(AB35:AB40)=0,"",IFERROR(AB35/AC35,""))</f>
        <v>0.33976534238667777</v>
      </c>
      <c r="AF35" s="171">
        <f t="shared" si="10"/>
        <v>0</v>
      </c>
      <c r="AG35" s="159">
        <f t="shared" si="11"/>
        <v>0</v>
      </c>
      <c r="AH35" s="159">
        <f t="shared" si="43"/>
        <v>0</v>
      </c>
      <c r="AI35" s="187" t="str">
        <f t="shared" ref="AI35" si="114">IF(SUM(AF35:AF40)=0,"",IFERROR(AF35/AG35,""))</f>
        <v/>
      </c>
      <c r="AJ35" s="157">
        <f t="shared" si="98"/>
        <v>7</v>
      </c>
    </row>
    <row r="36" spans="1:36" ht="24.95" customHeight="1" x14ac:dyDescent="0.25">
      <c r="A36" s="182" t="str">
        <f t="shared" si="34"/>
        <v>شهید کاوه</v>
      </c>
      <c r="B36" s="216"/>
      <c r="C36" s="167" t="str">
        <f t="shared" si="35"/>
        <v>آبان</v>
      </c>
      <c r="D36" s="171">
        <f>SUMIFS(واردات!$K$4:$K$500,واردات!$J$4:$J$500,$C36,واردات!$I$4:$I$500,$A36)+SUMIFS(واردات!$C$4:$C$500,واردات!$B$4:$B$500,$C36,واردات!$A$4:$A$500,$A36)</f>
        <v>1238</v>
      </c>
      <c r="E36" s="159">
        <v>6809.4530099833564</v>
      </c>
      <c r="F36" s="159">
        <f t="shared" si="36"/>
        <v>-5571.4530099833564</v>
      </c>
      <c r="G36" s="175">
        <f>IF(SUM(D36:D40)=0,"",IFERROR(D36/E36,""))</f>
        <v>0.18180608606667306</v>
      </c>
      <c r="H36" s="171">
        <f>SUMIFS(واردات!$L$4:$L$500,واردات!$J$4:$J$500,$C36,واردات!$I$4:$I$500,$A36)+SUMIFS(واردات!$D$4:$D$500,واردات!$B$4:$B$500,$C36,واردات!$A$4:$A$500,$A36)</f>
        <v>1578</v>
      </c>
      <c r="I36" s="159">
        <v>6512.0565119914463</v>
      </c>
      <c r="J36" s="159">
        <f t="shared" si="14"/>
        <v>-4934.0565119914463</v>
      </c>
      <c r="K36" s="175">
        <f>IF(SUM(H36:H40)=0,"",IFERROR(H36/I36,""))</f>
        <v>0.24231976443911929</v>
      </c>
      <c r="L36" s="171">
        <f>SUMIFS(واردات!$M$4:$M$500,واردات!$J$4:$J$500,$C36,واردات!$I$4:$I$500,$A36)+SUMIFS(واردات!$E$4:$E$500,واردات!$B$4:$B$500,$C36,واردات!$A$4:$A$500,$A36)</f>
        <v>0</v>
      </c>
      <c r="M36" s="159">
        <v>61.085482839479845</v>
      </c>
      <c r="N36" s="159">
        <f t="shared" si="15"/>
        <v>-61.085482839479845</v>
      </c>
      <c r="O36" s="175">
        <f>IF(SUM(L36:L40)=0,"",IFERROR(L36/M36,""))</f>
        <v>0</v>
      </c>
      <c r="P36" s="171">
        <f>SUMIFS(واردات!$N$4:$N$500,واردات!$J$4:$J$500,$C36,واردات!$I$4:$I$500,$A36)+SUMIFS(واردات!$F$4:$F$500,واردات!$B$4:$B$500,$C36,واردات!$A$4:$A$500,$A36)</f>
        <v>0</v>
      </c>
      <c r="Q36" s="159">
        <v>0</v>
      </c>
      <c r="R36" s="159">
        <f t="shared" si="16"/>
        <v>0</v>
      </c>
      <c r="S36" s="175" t="str">
        <f>IF(SUM(P36:P40)=0,"",IFERROR(P36/Q36,""))</f>
        <v/>
      </c>
      <c r="T36" s="171">
        <f t="shared" si="4"/>
        <v>13295</v>
      </c>
      <c r="U36" s="159">
        <f t="shared" si="5"/>
        <v>74872.621852727578</v>
      </c>
      <c r="V36" s="159">
        <f t="shared" si="37"/>
        <v>-61577.621852727578</v>
      </c>
      <c r="W36" s="175">
        <f t="shared" ref="W36" si="115">IF(SUM(T36:T40)=0,"",IFERROR(T36/U36,""))</f>
        <v>0.17756824418611794</v>
      </c>
      <c r="X36" s="171">
        <f t="shared" si="6"/>
        <v>14435</v>
      </c>
      <c r="Y36" s="159">
        <f t="shared" si="7"/>
        <v>74718.30652490916</v>
      </c>
      <c r="Z36" s="159">
        <f t="shared" si="39"/>
        <v>-60283.30652490916</v>
      </c>
      <c r="AA36" s="175">
        <f t="shared" ref="AA36" si="116">IF(SUM(X36:X40)=0,"",IFERROR(X36/Y36,""))</f>
        <v>0.19319228006308925</v>
      </c>
      <c r="AB36" s="171">
        <f t="shared" si="8"/>
        <v>3822</v>
      </c>
      <c r="AC36" s="159">
        <f t="shared" si="9"/>
        <v>11310.025628271633</v>
      </c>
      <c r="AD36" s="159">
        <f t="shared" si="41"/>
        <v>-7488.0256282716327</v>
      </c>
      <c r="AE36" s="175">
        <f t="shared" ref="AE36" si="117">IF(SUM(AB36:AB40)=0,"",IFERROR(AB36/AC36,""))</f>
        <v>0.33793026873839788</v>
      </c>
      <c r="AF36" s="171">
        <f t="shared" si="10"/>
        <v>0</v>
      </c>
      <c r="AG36" s="159">
        <f t="shared" si="11"/>
        <v>0</v>
      </c>
      <c r="AH36" s="159">
        <f t="shared" si="43"/>
        <v>0</v>
      </c>
      <c r="AI36" s="187" t="str">
        <f t="shared" ref="AI36" si="118">IF(SUM(AF36:AF40)=0,"",IFERROR(AF36/AG36,""))</f>
        <v/>
      </c>
      <c r="AJ36" s="157">
        <f t="shared" si="98"/>
        <v>8</v>
      </c>
    </row>
    <row r="37" spans="1:36" ht="24.95" customHeight="1" x14ac:dyDescent="0.25">
      <c r="A37" s="182" t="str">
        <f t="shared" si="34"/>
        <v>شهید کاوه</v>
      </c>
      <c r="B37" s="216"/>
      <c r="C37" s="167" t="str">
        <f t="shared" si="35"/>
        <v>آذر</v>
      </c>
      <c r="D37" s="171">
        <f>SUMIFS(واردات!$K$4:$K$500,واردات!$J$4:$J$500,$C37,واردات!$I$4:$I$500,$A37)+SUMIFS(واردات!$C$4:$C$500,واردات!$B$4:$B$500,$C37,واردات!$A$4:$A$500,$A37)</f>
        <v>1289</v>
      </c>
      <c r="E37" s="159">
        <v>6809.4530099833564</v>
      </c>
      <c r="F37" s="159">
        <f t="shared" si="36"/>
        <v>-5520.4530099833564</v>
      </c>
      <c r="G37" s="175">
        <f>IF(SUM(D37:D40)=0,"",IFERROR(D37/E37,""))</f>
        <v>0.18929567442644715</v>
      </c>
      <c r="H37" s="171">
        <f>SUMIFS(واردات!$L$4:$L$500,واردات!$J$4:$J$500,$C37,واردات!$I$4:$I$500,$A37)+SUMIFS(واردات!$D$4:$D$500,واردات!$B$4:$B$500,$C37,واردات!$A$4:$A$500,$A37)</f>
        <v>1006</v>
      </c>
      <c r="I37" s="159">
        <v>6512.0565119914463</v>
      </c>
      <c r="J37" s="159">
        <f t="shared" si="14"/>
        <v>-5506.0565119914463</v>
      </c>
      <c r="K37" s="175">
        <f>IF(SUM(H37:H40)=0,"",IFERROR(H37/I37,""))</f>
        <v>0.15448268886296199</v>
      </c>
      <c r="L37" s="171">
        <f>SUMIFS(واردات!$M$4:$M$500,واردات!$J$4:$J$500,$C37,واردات!$I$4:$I$500,$A37)+SUMIFS(واردات!$E$4:$E$500,واردات!$B$4:$B$500,$C37,واردات!$A$4:$A$500,$A37)</f>
        <v>4</v>
      </c>
      <c r="M37" s="159">
        <v>61.085482839479845</v>
      </c>
      <c r="N37" s="159">
        <f t="shared" si="15"/>
        <v>-57.085482839479845</v>
      </c>
      <c r="O37" s="175">
        <f>IF(SUM(L37:L40)=0,"",IFERROR(L37/M37,""))</f>
        <v>6.5482006756190855E-2</v>
      </c>
      <c r="P37" s="171">
        <f>SUMIFS(واردات!$N$4:$N$500,واردات!$J$4:$J$500,$C37,واردات!$I$4:$I$500,$A37)+SUMIFS(واردات!$F$4:$F$500,واردات!$B$4:$B$500,$C37,واردات!$A$4:$A$500,$A37)</f>
        <v>0</v>
      </c>
      <c r="Q37" s="159">
        <v>0</v>
      </c>
      <c r="R37" s="159">
        <f t="shared" si="16"/>
        <v>0</v>
      </c>
      <c r="S37" s="175" t="str">
        <f>IF(SUM(P37:P40)=0,"",IFERROR(P37/Q37,""))</f>
        <v/>
      </c>
      <c r="T37" s="171">
        <f t="shared" ref="T37:T68" si="119">IF(OR($C$1="",$AJ37&gt;$C$1),"",IFERROR(SUMIFS(D$5:D$5012,$A$5:$A$5012,$A37,$AJ$5:$AJ$5012,"&lt;"&amp;$AJ37+1),""))</f>
        <v>14584</v>
      </c>
      <c r="U37" s="159">
        <f t="shared" ref="U37:U68" si="120">IF($C$1="","",IFERROR(SUMIFS(E$5:E$5012,$A$5:$A$5012,$A37,$AJ$5:$AJ$5012,"&lt;"&amp;$AJ37+1),""))</f>
        <v>81682.074862710928</v>
      </c>
      <c r="V37" s="159">
        <f t="shared" si="37"/>
        <v>-67098.074862710928</v>
      </c>
      <c r="W37" s="175">
        <f t="shared" ref="W37" si="121">IF(SUM(T37:T40)=0,"",IFERROR(T37/U37,""))</f>
        <v>0.17854590526149589</v>
      </c>
      <c r="X37" s="171">
        <f t="shared" ref="X37:X68" si="122">IF(OR($C$1="",$AJ37&gt;$C$1),"",IFERROR(SUMIFS(H$5:H$5012,$A$5:$A$5012,$A37,$AJ$5:$AJ$5012,"&lt;"&amp;$AJ37+1),""))</f>
        <v>15441</v>
      </c>
      <c r="Y37" s="159">
        <f t="shared" ref="Y37:Y68" si="123">IF($C$1="","",IFERROR(SUMIFS(I$5:I$5012,$A$5:$A$5012,$A37,$AJ$5:$AJ$5012,"&lt;"&amp;$AJ37+1),""))</f>
        <v>81230.363036900613</v>
      </c>
      <c r="Z37" s="159">
        <f t="shared" si="39"/>
        <v>-65789.363036900613</v>
      </c>
      <c r="AA37" s="175">
        <f t="shared" ref="AA37" si="124">IF(SUM(X37:X40)=0,"",IFERROR(X37/Y37,""))</f>
        <v>0.1900890187205688</v>
      </c>
      <c r="AB37" s="171">
        <f t="shared" ref="AB37:AB68" si="125">IF(OR($C$1="",$AJ37&gt;$C$1),"",IFERROR(SUMIFS(L$5:L$5012,$A$5:$A$5012,$A37,$AJ$5:$AJ$5012,"&lt;"&amp;$AJ37+1),""))</f>
        <v>3826</v>
      </c>
      <c r="AC37" s="159">
        <f t="shared" ref="AC37:AC68" si="126">IF($C$1="","",IFERROR(SUMIFS(M$5:M$5012,$A$5:$A$5012,$A37,$AJ$5:$AJ$5012,"&lt;"&amp;$AJ37+1),""))</f>
        <v>11371.111111111113</v>
      </c>
      <c r="AD37" s="159">
        <f t="shared" si="41"/>
        <v>-7545.1111111111131</v>
      </c>
      <c r="AE37" s="175">
        <f t="shared" ref="AE37" si="127">IF(SUM(AB37:AB40)=0,"",IFERROR(AB37/AC37,""))</f>
        <v>0.33646667969513383</v>
      </c>
      <c r="AF37" s="171">
        <f t="shared" ref="AF37:AF68" si="128">IF(OR($C$1="",$AJ37&gt;$C$1),"",IFERROR(SUMIFS(P$5:P$5012,$A$5:$A$5012,$A37,$AJ$5:$AJ$5012,"&lt;"&amp;$AJ37+1),""))</f>
        <v>0</v>
      </c>
      <c r="AG37" s="159">
        <f t="shared" ref="AG37:AG68" si="129">IF($C$1="","",IFERROR(SUMIFS(Q$5:Q$5012,$A$5:$A$5012,$A37,$AJ$5:$AJ$5012,"&lt;"&amp;$AJ37+1),""))</f>
        <v>0</v>
      </c>
      <c r="AH37" s="159">
        <f t="shared" si="43"/>
        <v>0</v>
      </c>
      <c r="AI37" s="187" t="str">
        <f t="shared" ref="AI37" si="130">IF(SUM(AF37:AF40)=0,"",IFERROR(AF37/AG37,""))</f>
        <v/>
      </c>
      <c r="AJ37" s="157">
        <f t="shared" si="98"/>
        <v>9</v>
      </c>
    </row>
    <row r="38" spans="1:36" ht="24.95" customHeight="1" x14ac:dyDescent="0.25">
      <c r="A38" s="182" t="str">
        <f t="shared" si="34"/>
        <v>شهید کاوه</v>
      </c>
      <c r="B38" s="216"/>
      <c r="C38" s="167" t="str">
        <f t="shared" si="35"/>
        <v>دی</v>
      </c>
      <c r="D38" s="171">
        <f>SUMIFS(واردات!$K$4:$K$500,واردات!$J$4:$J$500,$C38,واردات!$I$4:$I$500,$A38)+SUMIFS(واردات!$C$4:$C$500,واردات!$B$4:$B$500,$C38,واردات!$A$4:$A$500,$A38)</f>
        <v>683</v>
      </c>
      <c r="E38" s="159">
        <v>5719.3083790963619</v>
      </c>
      <c r="F38" s="159">
        <f t="shared" si="36"/>
        <v>-5036.3083790963619</v>
      </c>
      <c r="G38" s="175">
        <f>IF(SUM(D38:D40)=0,"",IFERROR(D38/E38,""))</f>
        <v>0.11942003380973706</v>
      </c>
      <c r="H38" s="171">
        <f>SUMIFS(واردات!$L$4:$L$500,واردات!$J$4:$J$500,$C38,واردات!$I$4:$I$500,$A38)+SUMIFS(واردات!$D$4:$D$500,واردات!$B$4:$B$500,$C38,واردات!$A$4:$A$500,$A38)</f>
        <v>1363</v>
      </c>
      <c r="I38" s="159">
        <v>4476.878987699808</v>
      </c>
      <c r="J38" s="159">
        <f t="shared" si="14"/>
        <v>-3113.878987699808</v>
      </c>
      <c r="K38" s="175">
        <f>IF(SUM(H38:H40)=0,"",IFERROR(H38/I38,""))</f>
        <v>0.3044531701090944</v>
      </c>
      <c r="L38" s="171">
        <f>SUMIFS(واردات!$M$4:$M$500,واردات!$J$4:$J$500,$C38,واردات!$I$4:$I$500,$A38)+SUMIFS(واردات!$E$4:$E$500,واردات!$B$4:$B$500,$C38,واردات!$A$4:$A$500,$A38)</f>
        <v>20</v>
      </c>
      <c r="M38" s="159">
        <v>4169.4074074074069</v>
      </c>
      <c r="N38" s="159">
        <f t="shared" si="15"/>
        <v>-4149.4074074074069</v>
      </c>
      <c r="O38" s="175">
        <f>IF(SUM(L38:L40)=0,"",IFERROR(L38/M38,""))</f>
        <v>4.7968447421251805E-3</v>
      </c>
      <c r="P38" s="171">
        <f>SUMIFS(واردات!$N$4:$N$500,واردات!$J$4:$J$500,$C38,واردات!$I$4:$I$500,$A38)+SUMIFS(واردات!$F$4:$F$500,واردات!$B$4:$B$500,$C38,واردات!$A$4:$A$500,$A38)</f>
        <v>0</v>
      </c>
      <c r="Q38" s="159">
        <v>0</v>
      </c>
      <c r="R38" s="159">
        <f t="shared" si="16"/>
        <v>0</v>
      </c>
      <c r="S38" s="175" t="str">
        <f>IF(SUM(P38:P40)=0,"",IFERROR(P38/Q38,""))</f>
        <v/>
      </c>
      <c r="T38" s="171">
        <f t="shared" si="119"/>
        <v>15267</v>
      </c>
      <c r="U38" s="159">
        <f t="shared" si="120"/>
        <v>87401.383241807285</v>
      </c>
      <c r="V38" s="159">
        <f t="shared" si="37"/>
        <v>-72134.383241807285</v>
      </c>
      <c r="W38" s="175">
        <f t="shared" ref="W38" si="131">IF(SUM(T38:T40)=0,"",IFERROR(T38/U38,""))</f>
        <v>0.17467686933239787</v>
      </c>
      <c r="X38" s="171">
        <f t="shared" si="122"/>
        <v>16804</v>
      </c>
      <c r="Y38" s="159">
        <f t="shared" si="123"/>
        <v>85707.242024600419</v>
      </c>
      <c r="Z38" s="159">
        <f t="shared" si="39"/>
        <v>-68903.242024600419</v>
      </c>
      <c r="AA38" s="175">
        <f t="shared" ref="AA38" si="132">IF(SUM(X38:X40)=0,"",IFERROR(X38/Y38,""))</f>
        <v>0.19606277839598168</v>
      </c>
      <c r="AB38" s="171">
        <f t="shared" si="125"/>
        <v>3846</v>
      </c>
      <c r="AC38" s="159">
        <f t="shared" si="126"/>
        <v>15540.51851851852</v>
      </c>
      <c r="AD38" s="159">
        <f t="shared" si="41"/>
        <v>-11694.51851851852</v>
      </c>
      <c r="AE38" s="175">
        <f t="shared" ref="AE38" si="133">IF(SUM(AB38:AB40)=0,"",IFERROR(AB38/AC38,""))</f>
        <v>0.2474820898296925</v>
      </c>
      <c r="AF38" s="171">
        <f t="shared" si="128"/>
        <v>0</v>
      </c>
      <c r="AG38" s="159">
        <f t="shared" si="129"/>
        <v>0</v>
      </c>
      <c r="AH38" s="159">
        <f t="shared" si="43"/>
        <v>0</v>
      </c>
      <c r="AI38" s="187" t="str">
        <f t="shared" ref="AI38" si="134">IF(SUM(AF38:AF40)=0,"",IFERROR(AF38/AG38,""))</f>
        <v/>
      </c>
      <c r="AJ38" s="157">
        <f t="shared" si="98"/>
        <v>10</v>
      </c>
    </row>
    <row r="39" spans="1:36" ht="24.95" customHeight="1" x14ac:dyDescent="0.25">
      <c r="A39" s="182" t="str">
        <f t="shared" si="34"/>
        <v>شهید کاوه</v>
      </c>
      <c r="B39" s="216"/>
      <c r="C39" s="167" t="str">
        <f t="shared" si="35"/>
        <v>بهمن</v>
      </c>
      <c r="D39" s="171">
        <f>SUMIFS(واردات!$K$4:$K$500,واردات!$J$4:$J$500,$C39,واردات!$I$4:$I$500,$A39)+SUMIFS(واردات!$C$4:$C$500,واردات!$B$4:$B$500,$C39,واردات!$A$4:$A$500,$A39)</f>
        <v>155</v>
      </c>
      <c r="E39" s="159">
        <v>5719.3083790963619</v>
      </c>
      <c r="F39" s="159">
        <f t="shared" si="36"/>
        <v>-5564.3083790963619</v>
      </c>
      <c r="G39" s="175">
        <f>IF(SUM(D39:D40)=0,"",IFERROR(D39/E39,""))</f>
        <v>2.710117897585541E-2</v>
      </c>
      <c r="H39" s="171">
        <f>SUMIFS(واردات!$L$4:$L$500,واردات!$J$4:$J$500,$C39,واردات!$I$4:$I$500,$A39)+SUMIFS(واردات!$D$4:$D$500,واردات!$B$4:$B$500,$C39,واردات!$A$4:$A$500,$A39)</f>
        <v>626</v>
      </c>
      <c r="I39" s="159">
        <v>4476.878987699808</v>
      </c>
      <c r="J39" s="159">
        <f t="shared" si="14"/>
        <v>-3850.878987699808</v>
      </c>
      <c r="K39" s="175">
        <f>IF(SUM(H39:H40)=0,"",IFERROR(H39/I39,""))</f>
        <v>0.13982955575076531</v>
      </c>
      <c r="L39" s="171">
        <f>SUMIFS(واردات!$M$4:$M$500,واردات!$J$4:$J$500,$C39,واردات!$I$4:$I$500,$A39)+SUMIFS(واردات!$E$4:$E$500,واردات!$B$4:$B$500,$C39,واردات!$A$4:$A$500,$A39)</f>
        <v>0</v>
      </c>
      <c r="M39" s="159">
        <v>4169.4074074074069</v>
      </c>
      <c r="N39" s="159">
        <f t="shared" si="15"/>
        <v>-4169.4074074074069</v>
      </c>
      <c r="O39" s="175" t="str">
        <f>IF(SUM(L39:L40)=0,"",IFERROR(L39/M39,""))</f>
        <v/>
      </c>
      <c r="P39" s="171">
        <f>SUMIFS(واردات!$N$4:$N$500,واردات!$J$4:$J$500,$C39,واردات!$I$4:$I$500,$A39)+SUMIFS(واردات!$F$4:$F$500,واردات!$B$4:$B$500,$C39,واردات!$A$4:$A$500,$A39)</f>
        <v>0</v>
      </c>
      <c r="Q39" s="159">
        <v>0</v>
      </c>
      <c r="R39" s="159">
        <f t="shared" si="16"/>
        <v>0</v>
      </c>
      <c r="S39" s="175" t="str">
        <f>IF(SUM(P39:P40)=0,"",IFERROR(P39/Q39,""))</f>
        <v/>
      </c>
      <c r="T39" s="171">
        <f t="shared" si="119"/>
        <v>15422</v>
      </c>
      <c r="U39" s="159">
        <f t="shared" si="120"/>
        <v>93120.691620903643</v>
      </c>
      <c r="V39" s="159">
        <f t="shared" si="37"/>
        <v>-77698.691620903643</v>
      </c>
      <c r="W39" s="175">
        <f t="shared" ref="W39" si="135">IF(SUM(T39:T40)=0,"",IFERROR(T39/U39,""))</f>
        <v>0.1656130311272096</v>
      </c>
      <c r="X39" s="171">
        <f t="shared" si="122"/>
        <v>17430</v>
      </c>
      <c r="Y39" s="159">
        <f t="shared" si="123"/>
        <v>90184.121012300224</v>
      </c>
      <c r="Z39" s="159">
        <f t="shared" si="39"/>
        <v>-72754.121012300224</v>
      </c>
      <c r="AA39" s="175">
        <f t="shared" ref="AA39" si="136">IF(SUM(X39:X40)=0,"",IFERROR(X39/Y39,""))</f>
        <v>0.19327127441451383</v>
      </c>
      <c r="AB39" s="171">
        <f t="shared" si="125"/>
        <v>3846</v>
      </c>
      <c r="AC39" s="159">
        <f t="shared" si="126"/>
        <v>19709.925925925927</v>
      </c>
      <c r="AD39" s="159">
        <f t="shared" si="41"/>
        <v>-15863.925925925927</v>
      </c>
      <c r="AE39" s="175">
        <f t="shared" ref="AE39" si="137">IF(SUM(AB39:AB40)=0,"",IFERROR(AB39/AC39,""))</f>
        <v>0.19513010928879601</v>
      </c>
      <c r="AF39" s="171">
        <f t="shared" si="128"/>
        <v>0</v>
      </c>
      <c r="AG39" s="159">
        <f t="shared" si="129"/>
        <v>0</v>
      </c>
      <c r="AH39" s="159">
        <f t="shared" si="43"/>
        <v>0</v>
      </c>
      <c r="AI39" s="187" t="str">
        <f t="shared" ref="AI39" si="138">IF(SUM(AF39:AF40)=0,"",IFERROR(AF39/AG39,""))</f>
        <v/>
      </c>
      <c r="AJ39" s="157">
        <f t="shared" si="98"/>
        <v>11</v>
      </c>
    </row>
    <row r="40" spans="1:36" ht="24.95" customHeight="1" thickBot="1" x14ac:dyDescent="0.3">
      <c r="A40" s="182" t="str">
        <f t="shared" si="34"/>
        <v>شهید کاوه</v>
      </c>
      <c r="B40" s="217"/>
      <c r="C40" s="168" t="str">
        <f t="shared" si="35"/>
        <v>اسفند</v>
      </c>
      <c r="D40" s="172">
        <f>SUMIFS(واردات!$K$4:$K$500,واردات!$J$4:$J$500,$C40,واردات!$I$4:$I$500,$A40)+SUMIFS(واردات!$C$4:$C$500,واردات!$B$4:$B$500,$C40,واردات!$A$4:$A$500,$A40)</f>
        <v>104</v>
      </c>
      <c r="E40" s="173">
        <v>5719.3083790963619</v>
      </c>
      <c r="F40" s="173">
        <f t="shared" si="36"/>
        <v>-5615.3083790963619</v>
      </c>
      <c r="G40" s="176">
        <f>IF(SUM(D40)=0,"",IFERROR(D40/E40,""))</f>
        <v>1.8184016861219114E-2</v>
      </c>
      <c r="H40" s="172">
        <f>SUMIFS(واردات!$L$4:$L$500,واردات!$J$4:$J$500,$C40,واردات!$I$4:$I$500,$A40)+SUMIFS(واردات!$D$4:$D$500,واردات!$B$4:$B$500,$C40,واردات!$A$4:$A$500,$A40)</f>
        <v>897</v>
      </c>
      <c r="I40" s="173">
        <v>4476.878987699808</v>
      </c>
      <c r="J40" s="173">
        <f t="shared" si="14"/>
        <v>-3579.878987699808</v>
      </c>
      <c r="K40" s="176">
        <f>IF(SUM(H40)=0,"",IFERROR(H40/I40,""))</f>
        <v>0.20036279793679948</v>
      </c>
      <c r="L40" s="172">
        <f>SUMIFS(واردات!$M$4:$M$500,واردات!$J$4:$J$500,$C40,واردات!$I$4:$I$500,$A40)+SUMIFS(واردات!$E$4:$E$500,واردات!$B$4:$B$500,$C40,واردات!$A$4:$A$500,$A40)</f>
        <v>0</v>
      </c>
      <c r="M40" s="173">
        <v>4169.4074074074069</v>
      </c>
      <c r="N40" s="173">
        <f t="shared" si="15"/>
        <v>-4169.4074074074069</v>
      </c>
      <c r="O40" s="176" t="str">
        <f>IF(SUM(L40)=0,"",IFERROR(L40/M40,""))</f>
        <v/>
      </c>
      <c r="P40" s="172">
        <f>SUMIFS(واردات!$N$4:$N$500,واردات!$J$4:$J$500,$C40,واردات!$I$4:$I$500,$A40)+SUMIFS(واردات!$F$4:$F$500,واردات!$B$4:$B$500,$C40,واردات!$A$4:$A$500,$A40)</f>
        <v>0</v>
      </c>
      <c r="Q40" s="173">
        <v>0</v>
      </c>
      <c r="R40" s="173">
        <f t="shared" si="16"/>
        <v>0</v>
      </c>
      <c r="S40" s="176" t="str">
        <f>IF(SUM(P40)=0,"",IFERROR(P40/Q40,""))</f>
        <v/>
      </c>
      <c r="T40" s="172">
        <f t="shared" si="119"/>
        <v>15526</v>
      </c>
      <c r="U40" s="173">
        <f t="shared" si="120"/>
        <v>98840</v>
      </c>
      <c r="V40" s="173">
        <f t="shared" si="37"/>
        <v>-83314</v>
      </c>
      <c r="W40" s="176">
        <f t="shared" ref="W40" si="139">IF(SUM(T40)=0,"",IFERROR(T40/U40,""))</f>
        <v>0.15708215297450426</v>
      </c>
      <c r="X40" s="172">
        <f t="shared" si="122"/>
        <v>18327</v>
      </c>
      <c r="Y40" s="173">
        <f t="shared" si="123"/>
        <v>94661.000000000029</v>
      </c>
      <c r="Z40" s="173">
        <f t="shared" si="39"/>
        <v>-76334.000000000029</v>
      </c>
      <c r="AA40" s="176">
        <f t="shared" ref="AA40" si="140">IF(SUM(X40)=0,"",IFERROR(X40/Y40,""))</f>
        <v>0.19360665955356476</v>
      </c>
      <c r="AB40" s="172">
        <f t="shared" si="125"/>
        <v>3846</v>
      </c>
      <c r="AC40" s="173">
        <f t="shared" si="126"/>
        <v>23879.333333333336</v>
      </c>
      <c r="AD40" s="173">
        <f t="shared" si="41"/>
        <v>-20033.333333333336</v>
      </c>
      <c r="AE40" s="176">
        <f t="shared" ref="AE40" si="141">IF(SUM(AB40)=0,"",IFERROR(AB40/AC40,""))</f>
        <v>0.16105977274630781</v>
      </c>
      <c r="AF40" s="172">
        <f t="shared" si="128"/>
        <v>0</v>
      </c>
      <c r="AG40" s="173">
        <f t="shared" si="129"/>
        <v>0</v>
      </c>
      <c r="AH40" s="173">
        <f t="shared" si="43"/>
        <v>0</v>
      </c>
      <c r="AI40" s="188" t="str">
        <f t="shared" ref="AI40" si="142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34"/>
        <v>مطهری</v>
      </c>
      <c r="B41" s="215" t="str">
        <f>واردات!J18</f>
        <v>مطهری</v>
      </c>
      <c r="C41" s="166" t="str">
        <f>C29</f>
        <v>فروردین</v>
      </c>
      <c r="D41" s="170">
        <f>SUMIFS(واردات!$K$4:$K$500,واردات!$J$4:$J$500,$C41,واردات!$I$4:$I$500,$A41)+SUMIFS(واردات!$C$4:$C$500,واردات!$B$4:$B$500,$C41,واردات!$A$4:$A$500,$A41)</f>
        <v>2075</v>
      </c>
      <c r="E41" s="160">
        <v>3970.6339261506832</v>
      </c>
      <c r="F41" s="160">
        <f t="shared" si="36"/>
        <v>-1895.6339261506832</v>
      </c>
      <c r="G41" s="185">
        <f>IF(SUM(D41:D52)=0,"",IFERROR(D41/E41,""))</f>
        <v>0.5225865790180263</v>
      </c>
      <c r="H41" s="170">
        <f>SUMIFS(واردات!$L$4:$L$500,واردات!$J$4:$J$500,$C41,واردات!$I$4:$I$500,$A41)+SUMIFS(واردات!$D$4:$D$500,واردات!$B$4:$B$500,$C41,واردات!$A$4:$A$500,$A41)</f>
        <v>1854</v>
      </c>
      <c r="I41" s="160">
        <v>4744.1570242159441</v>
      </c>
      <c r="J41" s="160">
        <f t="shared" si="14"/>
        <v>-2890.1570242159441</v>
      </c>
      <c r="K41" s="185">
        <f>IF(SUM(H41:H52)=0,"",IFERROR(H41/I41,""))</f>
        <v>0.39079650832307899</v>
      </c>
      <c r="L41" s="170">
        <f>SUMIFS(واردات!$M$4:$M$500,واردات!$J$4:$J$500,$C41,واردات!$I$4:$I$500,$A41)+SUMIFS(واردات!$E$4:$E$500,واردات!$B$4:$B$500,$C41,واردات!$A$4:$A$500,$A41)</f>
        <v>0</v>
      </c>
      <c r="M41" s="160">
        <v>0</v>
      </c>
      <c r="N41" s="160">
        <f t="shared" si="15"/>
        <v>0</v>
      </c>
      <c r="O41" s="185" t="str">
        <f>IF(SUM(L41:L52)=0,"",IFERROR(L41/M41,""))</f>
        <v/>
      </c>
      <c r="P41" s="170">
        <f>SUMIFS(واردات!$N$4:$N$500,واردات!$J$4:$J$500,$C41,واردات!$I$4:$I$500,$A41)+SUMIFS(واردات!$F$4:$F$500,واردات!$B$4:$B$500,$C41,واردات!$A$4:$A$500,$A41)</f>
        <v>0</v>
      </c>
      <c r="Q41" s="160">
        <v>54.912447997832459</v>
      </c>
      <c r="R41" s="160">
        <f t="shared" si="16"/>
        <v>-54.912447997832459</v>
      </c>
      <c r="S41" s="185" t="str">
        <f>IF(SUM(P41:P52)=0,"",IFERROR(P41/Q41,""))</f>
        <v/>
      </c>
      <c r="T41" s="183">
        <f t="shared" si="119"/>
        <v>2075</v>
      </c>
      <c r="U41" s="160">
        <f t="shared" si="120"/>
        <v>3970.6339261506832</v>
      </c>
      <c r="V41" s="160">
        <f t="shared" si="37"/>
        <v>-1895.6339261506832</v>
      </c>
      <c r="W41" s="185">
        <f t="shared" ref="W41" si="143">IF(SUM(T41:T52)=0,"",IFERROR(T41/U41,""))</f>
        <v>0.5225865790180263</v>
      </c>
      <c r="X41" s="183">
        <f t="shared" si="122"/>
        <v>1854</v>
      </c>
      <c r="Y41" s="160">
        <f t="shared" si="123"/>
        <v>4744.1570242159441</v>
      </c>
      <c r="Z41" s="160">
        <f t="shared" si="39"/>
        <v>-2890.1570242159441</v>
      </c>
      <c r="AA41" s="185">
        <f t="shared" ref="AA41" si="144">IF(SUM(X41:X52)=0,"",IFERROR(X41/Y41,""))</f>
        <v>0.39079650832307899</v>
      </c>
      <c r="AB41" s="183">
        <f t="shared" si="125"/>
        <v>0</v>
      </c>
      <c r="AC41" s="160">
        <f t="shared" si="126"/>
        <v>0</v>
      </c>
      <c r="AD41" s="160">
        <f t="shared" si="41"/>
        <v>0</v>
      </c>
      <c r="AE41" s="185" t="str">
        <f t="shared" ref="AE41" si="145">IF(SUM(AB41:AB52)=0,"",IFERROR(AB41/AC41,""))</f>
        <v/>
      </c>
      <c r="AF41" s="183">
        <f t="shared" si="128"/>
        <v>0</v>
      </c>
      <c r="AG41" s="160">
        <f t="shared" si="129"/>
        <v>54.912447997832459</v>
      </c>
      <c r="AH41" s="160">
        <f t="shared" si="43"/>
        <v>-54.912447997832459</v>
      </c>
      <c r="AI41" s="186" t="str">
        <f t="shared" ref="AI41" si="146">IF(SUM(AF41:AF52)=0,"",IFERROR(AF41/AG41,""))</f>
        <v/>
      </c>
      <c r="AJ41" s="157">
        <v>1</v>
      </c>
    </row>
    <row r="42" spans="1:36" ht="24.95" customHeight="1" x14ac:dyDescent="0.25">
      <c r="A42" s="182" t="str">
        <f t="shared" si="34"/>
        <v>مطهری</v>
      </c>
      <c r="B42" s="216"/>
      <c r="C42" s="167" t="str">
        <f t="shared" si="35"/>
        <v>اردیبهشت</v>
      </c>
      <c r="D42" s="171">
        <f>SUMIFS(واردات!$K$4:$K$500,واردات!$J$4:$J$500,$C42,واردات!$I$4:$I$500,$A42)+SUMIFS(واردات!$C$4:$C$500,واردات!$B$4:$B$500,$C42,واردات!$A$4:$A$500,$A42)</f>
        <v>1269</v>
      </c>
      <c r="E42" s="159">
        <v>3970.6339261506832</v>
      </c>
      <c r="F42" s="159">
        <f t="shared" si="36"/>
        <v>-2701.6339261506832</v>
      </c>
      <c r="G42" s="175">
        <f>IF(SUM(D42:D52)=0,"",IFERROR(D42/E42,""))</f>
        <v>0.31959632230066282</v>
      </c>
      <c r="H42" s="171">
        <f>SUMIFS(واردات!$L$4:$L$500,واردات!$J$4:$J$500,$C42,واردات!$I$4:$I$500,$A42)+SUMIFS(واردات!$D$4:$D$500,واردات!$B$4:$B$500,$C42,واردات!$A$4:$A$500,$A42)</f>
        <v>1823</v>
      </c>
      <c r="I42" s="159">
        <v>4744.1570242159441</v>
      </c>
      <c r="J42" s="159">
        <f t="shared" si="14"/>
        <v>-2921.1570242159441</v>
      </c>
      <c r="K42" s="175">
        <f>IF(SUM(H42:H52)=0,"",IFERROR(H42/I42,""))</f>
        <v>0.38426215462404156</v>
      </c>
      <c r="L42" s="171">
        <f>SUMIFS(واردات!$M$4:$M$500,واردات!$J$4:$J$500,$C42,واردات!$I$4:$I$500,$A42)+SUMIFS(واردات!$E$4:$E$500,واردات!$B$4:$B$500,$C42,واردات!$A$4:$A$500,$A42)</f>
        <v>0</v>
      </c>
      <c r="M42" s="159">
        <v>0</v>
      </c>
      <c r="N42" s="159">
        <f t="shared" si="15"/>
        <v>0</v>
      </c>
      <c r="O42" s="175" t="str">
        <f>IF(SUM(L42:L52)=0,"",IFERROR(L42/M42,""))</f>
        <v/>
      </c>
      <c r="P42" s="171">
        <f>SUMIFS(واردات!$N$4:$N$500,واردات!$J$4:$J$500,$C42,واردات!$I$4:$I$500,$A42)+SUMIFS(واردات!$F$4:$F$500,واردات!$B$4:$B$500,$C42,واردات!$A$4:$A$500,$A42)</f>
        <v>0</v>
      </c>
      <c r="Q42" s="159">
        <v>54.912447997832459</v>
      </c>
      <c r="R42" s="159">
        <f t="shared" si="16"/>
        <v>-54.912447997832459</v>
      </c>
      <c r="S42" s="175" t="str">
        <f>IF(SUM(P42:P52)=0,"",IFERROR(P42/Q42,""))</f>
        <v/>
      </c>
      <c r="T42" s="171">
        <f t="shared" si="119"/>
        <v>3344</v>
      </c>
      <c r="U42" s="159">
        <f t="shared" si="120"/>
        <v>7941.2678523013665</v>
      </c>
      <c r="V42" s="159">
        <f t="shared" si="37"/>
        <v>-4597.2678523013665</v>
      </c>
      <c r="W42" s="175">
        <f t="shared" ref="W42" si="147">IF(SUM(T42:T52)=0,"",IFERROR(T42/U42,""))</f>
        <v>0.42109145065934456</v>
      </c>
      <c r="X42" s="171">
        <f t="shared" si="122"/>
        <v>3677</v>
      </c>
      <c r="Y42" s="159">
        <f t="shared" si="123"/>
        <v>9488.3140484318883</v>
      </c>
      <c r="Z42" s="159">
        <f t="shared" si="39"/>
        <v>-5811.3140484318883</v>
      </c>
      <c r="AA42" s="175">
        <f t="shared" ref="AA42" si="148">IF(SUM(X42:X52)=0,"",IFERROR(X42/Y42,""))</f>
        <v>0.38752933147356028</v>
      </c>
      <c r="AB42" s="171">
        <f t="shared" si="125"/>
        <v>0</v>
      </c>
      <c r="AC42" s="159">
        <f t="shared" si="126"/>
        <v>0</v>
      </c>
      <c r="AD42" s="159">
        <f t="shared" si="41"/>
        <v>0</v>
      </c>
      <c r="AE42" s="175" t="str">
        <f t="shared" ref="AE42" si="149">IF(SUM(AB42:AB52)=0,"",IFERROR(AB42/AC42,""))</f>
        <v/>
      </c>
      <c r="AF42" s="171">
        <f t="shared" si="128"/>
        <v>0</v>
      </c>
      <c r="AG42" s="159">
        <f t="shared" si="129"/>
        <v>109.82489599566492</v>
      </c>
      <c r="AH42" s="159">
        <f t="shared" si="43"/>
        <v>-109.82489599566492</v>
      </c>
      <c r="AI42" s="187" t="str">
        <f t="shared" ref="AI42" si="150">IF(SUM(AF42:AF52)=0,"",IFERROR(AF42/AG42,""))</f>
        <v/>
      </c>
      <c r="AJ42" s="157">
        <f>AJ41+1</f>
        <v>2</v>
      </c>
    </row>
    <row r="43" spans="1:36" ht="24.95" customHeight="1" x14ac:dyDescent="0.25">
      <c r="A43" s="182" t="str">
        <f t="shared" si="34"/>
        <v>مطهری</v>
      </c>
      <c r="B43" s="216"/>
      <c r="C43" s="167" t="str">
        <f t="shared" si="35"/>
        <v>خرداد</v>
      </c>
      <c r="D43" s="171">
        <f>SUMIFS(واردات!$K$4:$K$500,واردات!$J$4:$J$500,$C43,واردات!$I$4:$I$500,$A43)+SUMIFS(واردات!$C$4:$C$500,واردات!$B$4:$B$500,$C43,واردات!$A$4:$A$500,$A43)</f>
        <v>3001</v>
      </c>
      <c r="E43" s="159">
        <v>3970.6339261506832</v>
      </c>
      <c r="F43" s="159">
        <f t="shared" si="36"/>
        <v>-969.63392615068324</v>
      </c>
      <c r="G43" s="175">
        <f>IF(SUM(D43:D52)=0,"",IFERROR(D43/E43,""))</f>
        <v>0.75579871018462497</v>
      </c>
      <c r="H43" s="171">
        <f>SUMIFS(واردات!$L$4:$L$500,واردات!$J$4:$J$500,$C43,واردات!$I$4:$I$500,$A43)+SUMIFS(واردات!$D$4:$D$500,واردات!$B$4:$B$500,$C43,واردات!$A$4:$A$500,$A43)</f>
        <v>1593</v>
      </c>
      <c r="I43" s="159">
        <v>4744.1570242159441</v>
      </c>
      <c r="J43" s="159">
        <f t="shared" si="14"/>
        <v>-3151.1570242159441</v>
      </c>
      <c r="K43" s="175">
        <f>IF(SUM(H43:H52)=0,"",IFERROR(H43/I43,""))</f>
        <v>0.33578146588924751</v>
      </c>
      <c r="L43" s="171">
        <f>SUMIFS(واردات!$M$4:$M$500,واردات!$J$4:$J$500,$C43,واردات!$I$4:$I$500,$A43)+SUMIFS(واردات!$E$4:$E$500,واردات!$B$4:$B$500,$C43,واردات!$A$4:$A$500,$A43)</f>
        <v>0</v>
      </c>
      <c r="M43" s="159">
        <v>0</v>
      </c>
      <c r="N43" s="159">
        <f t="shared" si="15"/>
        <v>0</v>
      </c>
      <c r="O43" s="175" t="str">
        <f>IF(SUM(L43:L52)=0,"",IFERROR(L43/M43,""))</f>
        <v/>
      </c>
      <c r="P43" s="171">
        <f>SUMIFS(واردات!$N$4:$N$500,واردات!$J$4:$J$500,$C43,واردات!$I$4:$I$500,$A43)+SUMIFS(واردات!$F$4:$F$500,واردات!$B$4:$B$500,$C43,واردات!$A$4:$A$500,$A43)</f>
        <v>0</v>
      </c>
      <c r="Q43" s="159">
        <v>54.912447997832459</v>
      </c>
      <c r="R43" s="159">
        <f t="shared" si="16"/>
        <v>-54.912447997832459</v>
      </c>
      <c r="S43" s="175" t="str">
        <f>IF(SUM(P43:P52)=0,"",IFERROR(P43/Q43,""))</f>
        <v/>
      </c>
      <c r="T43" s="171">
        <f t="shared" si="119"/>
        <v>6345</v>
      </c>
      <c r="U43" s="159">
        <f t="shared" si="120"/>
        <v>11911.901778452049</v>
      </c>
      <c r="V43" s="159">
        <f t="shared" si="37"/>
        <v>-5566.9017784520493</v>
      </c>
      <c r="W43" s="175">
        <f t="shared" ref="W43" si="151">IF(SUM(T43:T52)=0,"",IFERROR(T43/U43,""))</f>
        <v>0.5326605371677714</v>
      </c>
      <c r="X43" s="171">
        <f t="shared" si="122"/>
        <v>5270</v>
      </c>
      <c r="Y43" s="159">
        <f t="shared" si="123"/>
        <v>14232.471072647833</v>
      </c>
      <c r="Z43" s="159">
        <f t="shared" si="39"/>
        <v>-8962.4710726478334</v>
      </c>
      <c r="AA43" s="175">
        <f t="shared" ref="AA43" si="152">IF(SUM(X43:X52)=0,"",IFERROR(X43/Y43,""))</f>
        <v>0.37028004294545602</v>
      </c>
      <c r="AB43" s="171">
        <f t="shared" si="125"/>
        <v>0</v>
      </c>
      <c r="AC43" s="159">
        <f t="shared" si="126"/>
        <v>0</v>
      </c>
      <c r="AD43" s="159">
        <f t="shared" si="41"/>
        <v>0</v>
      </c>
      <c r="AE43" s="175" t="str">
        <f t="shared" ref="AE43" si="153">IF(SUM(AB43:AB52)=0,"",IFERROR(AB43/AC43,""))</f>
        <v/>
      </c>
      <c r="AF43" s="171">
        <f t="shared" si="128"/>
        <v>0</v>
      </c>
      <c r="AG43" s="159">
        <f t="shared" si="129"/>
        <v>164.73734399349738</v>
      </c>
      <c r="AH43" s="159">
        <f t="shared" si="43"/>
        <v>-164.73734399349738</v>
      </c>
      <c r="AI43" s="187" t="str">
        <f t="shared" ref="AI43" si="154">IF(SUM(AF43:AF52)=0,"",IFERROR(AF43/AG43,""))</f>
        <v/>
      </c>
      <c r="AJ43" s="157">
        <f t="shared" ref="AJ43:AJ51" si="155">AJ42+1</f>
        <v>3</v>
      </c>
    </row>
    <row r="44" spans="1:36" ht="24.95" customHeight="1" x14ac:dyDescent="0.25">
      <c r="A44" s="182" t="str">
        <f t="shared" si="34"/>
        <v>مطهری</v>
      </c>
      <c r="B44" s="216"/>
      <c r="C44" s="167" t="str">
        <f t="shared" si="35"/>
        <v>تیر</v>
      </c>
      <c r="D44" s="171">
        <f>SUMIFS(واردات!$K$4:$K$500,واردات!$J$4:$J$500,$C44,واردات!$I$4:$I$500,$A44)+SUMIFS(واردات!$C$4:$C$500,واردات!$B$4:$B$500,$C44,واردات!$A$4:$A$500,$A44)</f>
        <v>465</v>
      </c>
      <c r="E44" s="159">
        <v>2527.8308849870941</v>
      </c>
      <c r="F44" s="159">
        <f t="shared" si="36"/>
        <v>-2062.8308849870941</v>
      </c>
      <c r="G44" s="175">
        <f>IF(SUM(D44:D52)=0,"",IFERROR(D44/E44,""))</f>
        <v>0.1839521792227703</v>
      </c>
      <c r="H44" s="171">
        <f>SUMIFS(واردات!$L$4:$L$500,واردات!$J$4:$J$500,$C44,واردات!$I$4:$I$500,$A44)+SUMIFS(واردات!$D$4:$D$500,واردات!$B$4:$B$500,$C44,واردات!$A$4:$A$500,$A44)</f>
        <v>2319</v>
      </c>
      <c r="I44" s="159">
        <v>4031.8359461930268</v>
      </c>
      <c r="J44" s="159">
        <f t="shared" si="14"/>
        <v>-1712.8359461930268</v>
      </c>
      <c r="K44" s="175">
        <f>IF(SUM(H44:H52)=0,"",IFERROR(H44/I44,""))</f>
        <v>0.57517221210095748</v>
      </c>
      <c r="L44" s="171">
        <f>SUMIFS(واردات!$M$4:$M$500,واردات!$J$4:$J$500,$C44,واردات!$I$4:$I$500,$A44)+SUMIFS(واردات!$E$4:$E$500,واردات!$B$4:$B$500,$C44,واردات!$A$4:$A$500,$A44)</f>
        <v>0</v>
      </c>
      <c r="M44" s="159">
        <v>0</v>
      </c>
      <c r="N44" s="159">
        <f t="shared" si="15"/>
        <v>0</v>
      </c>
      <c r="O44" s="175" t="str">
        <f>IF(SUM(L44:L52)=0,"",IFERROR(L44/M44,""))</f>
        <v/>
      </c>
      <c r="P44" s="171">
        <f>SUMIFS(واردات!$N$4:$N$500,واردات!$J$4:$J$500,$C44,واردات!$I$4:$I$500,$A44)+SUMIFS(واردات!$F$4:$F$500,واردات!$B$4:$B$500,$C44,واردات!$A$4:$A$500,$A44)</f>
        <v>0</v>
      </c>
      <c r="Q44" s="159">
        <v>101.22772774141579</v>
      </c>
      <c r="R44" s="159">
        <f t="shared" si="16"/>
        <v>-101.22772774141579</v>
      </c>
      <c r="S44" s="175" t="str">
        <f>IF(SUM(P44:P52)=0,"",IFERROR(P44/Q44,""))</f>
        <v/>
      </c>
      <c r="T44" s="171">
        <f t="shared" si="119"/>
        <v>6810</v>
      </c>
      <c r="U44" s="159">
        <f t="shared" si="120"/>
        <v>14439.732663439143</v>
      </c>
      <c r="V44" s="159">
        <f t="shared" si="37"/>
        <v>-7629.7326634391429</v>
      </c>
      <c r="W44" s="175">
        <f t="shared" ref="W44" si="156">IF(SUM(T44:T52)=0,"",IFERROR(T44/U44,""))</f>
        <v>0.47161537950371218</v>
      </c>
      <c r="X44" s="171">
        <f t="shared" si="122"/>
        <v>7589</v>
      </c>
      <c r="Y44" s="159">
        <f t="shared" si="123"/>
        <v>18264.30701884086</v>
      </c>
      <c r="Z44" s="159">
        <f t="shared" si="39"/>
        <v>-10675.30701884086</v>
      </c>
      <c r="AA44" s="175">
        <f t="shared" ref="AA44" si="157">IF(SUM(X44:X52)=0,"",IFERROR(X44/Y44,""))</f>
        <v>0.4155098790318974</v>
      </c>
      <c r="AB44" s="171">
        <f t="shared" si="125"/>
        <v>0</v>
      </c>
      <c r="AC44" s="159">
        <f t="shared" si="126"/>
        <v>0</v>
      </c>
      <c r="AD44" s="159">
        <f t="shared" si="41"/>
        <v>0</v>
      </c>
      <c r="AE44" s="175" t="str">
        <f t="shared" ref="AE44" si="158">IF(SUM(AB44:AB52)=0,"",IFERROR(AB44/AC44,""))</f>
        <v/>
      </c>
      <c r="AF44" s="171">
        <f t="shared" si="128"/>
        <v>0</v>
      </c>
      <c r="AG44" s="159">
        <f t="shared" si="129"/>
        <v>265.96507173491318</v>
      </c>
      <c r="AH44" s="159">
        <f t="shared" si="43"/>
        <v>-265.96507173491318</v>
      </c>
      <c r="AI44" s="187" t="str">
        <f t="shared" ref="AI44" si="159">IF(SUM(AF44:AF52)=0,"",IFERROR(AF44/AG44,""))</f>
        <v/>
      </c>
      <c r="AJ44" s="157">
        <f t="shared" si="155"/>
        <v>4</v>
      </c>
    </row>
    <row r="45" spans="1:36" ht="24.95" customHeight="1" x14ac:dyDescent="0.25">
      <c r="A45" s="182" t="str">
        <f t="shared" si="34"/>
        <v>مطهری</v>
      </c>
      <c r="B45" s="216"/>
      <c r="C45" s="167" t="str">
        <f t="shared" si="35"/>
        <v>مرداد</v>
      </c>
      <c r="D45" s="171">
        <f>SUMIFS(واردات!$K$4:$K$500,واردات!$J$4:$J$500,$C45,واردات!$I$4:$I$500,$A45)+SUMIFS(واردات!$C$4:$C$500,واردات!$B$4:$B$500,$C45,واردات!$A$4:$A$500,$A45)</f>
        <v>561</v>
      </c>
      <c r="E45" s="159">
        <v>2527.8308849870941</v>
      </c>
      <c r="F45" s="159">
        <f t="shared" si="36"/>
        <v>-1966.8308849870941</v>
      </c>
      <c r="G45" s="175">
        <f>IF(SUM(D45:D52)=0,"",IFERROR(D45/E45,""))</f>
        <v>0.2219294033203745</v>
      </c>
      <c r="H45" s="171">
        <f>SUMIFS(واردات!$L$4:$L$500,واردات!$J$4:$J$500,$C45,واردات!$I$4:$I$500,$A45)+SUMIFS(واردات!$D$4:$D$500,واردات!$B$4:$B$500,$C45,واردات!$A$4:$A$500,$A45)</f>
        <v>1394</v>
      </c>
      <c r="I45" s="159">
        <v>4031.8359461930268</v>
      </c>
      <c r="J45" s="159">
        <f t="shared" si="14"/>
        <v>-2637.8359461930268</v>
      </c>
      <c r="K45" s="175">
        <f>IF(SUM(H45:H52)=0,"",IFERROR(H45/I45,""))</f>
        <v>0.34574819476875146</v>
      </c>
      <c r="L45" s="171">
        <f>SUMIFS(واردات!$M$4:$M$500,واردات!$J$4:$J$500,$C45,واردات!$I$4:$I$500,$A45)+SUMIFS(واردات!$E$4:$E$500,واردات!$B$4:$B$500,$C45,واردات!$A$4:$A$500,$A45)</f>
        <v>0</v>
      </c>
      <c r="M45" s="159">
        <v>0</v>
      </c>
      <c r="N45" s="159">
        <f t="shared" si="15"/>
        <v>0</v>
      </c>
      <c r="O45" s="175" t="str">
        <f>IF(SUM(L45:L52)=0,"",IFERROR(L45/M45,""))</f>
        <v/>
      </c>
      <c r="P45" s="171">
        <f>SUMIFS(واردات!$N$4:$N$500,واردات!$J$4:$J$500,$C45,واردات!$I$4:$I$500,$A45)+SUMIFS(واردات!$F$4:$F$500,واردات!$B$4:$B$500,$C45,واردات!$A$4:$A$500,$A45)</f>
        <v>0</v>
      </c>
      <c r="Q45" s="159">
        <v>101.22772774141579</v>
      </c>
      <c r="R45" s="159">
        <f t="shared" si="16"/>
        <v>-101.22772774141579</v>
      </c>
      <c r="S45" s="175" t="str">
        <f>IF(SUM(P45:P52)=0,"",IFERROR(P45/Q45,""))</f>
        <v/>
      </c>
      <c r="T45" s="171">
        <f t="shared" si="119"/>
        <v>7371</v>
      </c>
      <c r="U45" s="159">
        <f t="shared" si="120"/>
        <v>16967.563548426238</v>
      </c>
      <c r="V45" s="159">
        <f t="shared" si="37"/>
        <v>-9596.5635484262384</v>
      </c>
      <c r="W45" s="175">
        <f t="shared" ref="W45" si="160">IF(SUM(T45:T52)=0,"",IFERROR(T45/U45,""))</f>
        <v>0.43441711468843558</v>
      </c>
      <c r="X45" s="171">
        <f t="shared" si="122"/>
        <v>8983</v>
      </c>
      <c r="Y45" s="159">
        <f t="shared" si="123"/>
        <v>22296.142965033887</v>
      </c>
      <c r="Z45" s="159">
        <f t="shared" si="39"/>
        <v>-13313.142965033887</v>
      </c>
      <c r="AA45" s="175">
        <f t="shared" ref="AA45" si="161">IF(SUM(X45:X52)=0,"",IFERROR(X45/Y45,""))</f>
        <v>0.40289479727895827</v>
      </c>
      <c r="AB45" s="171">
        <f t="shared" si="125"/>
        <v>0</v>
      </c>
      <c r="AC45" s="159">
        <f t="shared" si="126"/>
        <v>0</v>
      </c>
      <c r="AD45" s="159">
        <f t="shared" si="41"/>
        <v>0</v>
      </c>
      <c r="AE45" s="175" t="str">
        <f t="shared" ref="AE45" si="162">IF(SUM(AB45:AB52)=0,"",IFERROR(AB45/AC45,""))</f>
        <v/>
      </c>
      <c r="AF45" s="171">
        <f t="shared" si="128"/>
        <v>0</v>
      </c>
      <c r="AG45" s="159">
        <f t="shared" si="129"/>
        <v>367.19279947632896</v>
      </c>
      <c r="AH45" s="159">
        <f t="shared" si="43"/>
        <v>-367.19279947632896</v>
      </c>
      <c r="AI45" s="187" t="str">
        <f t="shared" ref="AI45" si="163">IF(SUM(AF45:AF52)=0,"",IFERROR(AF45/AG45,""))</f>
        <v/>
      </c>
      <c r="AJ45" s="157">
        <f t="shared" si="155"/>
        <v>5</v>
      </c>
    </row>
    <row r="46" spans="1:36" ht="24.95" customHeight="1" x14ac:dyDescent="0.25">
      <c r="A46" s="182" t="str">
        <f t="shared" si="34"/>
        <v>مطهری</v>
      </c>
      <c r="B46" s="216"/>
      <c r="C46" s="167" t="str">
        <f t="shared" si="35"/>
        <v>شهریور</v>
      </c>
      <c r="D46" s="171">
        <f>SUMIFS(واردات!$K$4:$K$500,واردات!$J$4:$J$500,$C46,واردات!$I$4:$I$500,$A46)+SUMIFS(واردات!$C$4:$C$500,واردات!$B$4:$B$500,$C46,واردات!$A$4:$A$500,$A46)</f>
        <v>3941</v>
      </c>
      <c r="E46" s="159">
        <v>2527.8308849870941</v>
      </c>
      <c r="F46" s="159">
        <f t="shared" si="36"/>
        <v>1413.1691150129059</v>
      </c>
      <c r="G46" s="175">
        <f>IF(SUM(D46:D52)=0,"",IFERROR(D46/E46,""))</f>
        <v>1.5590441684235221</v>
      </c>
      <c r="H46" s="171">
        <f>SUMIFS(واردات!$L$4:$L$500,واردات!$J$4:$J$500,$C46,واردات!$I$4:$I$500,$A46)+SUMIFS(واردات!$D$4:$D$500,واردات!$B$4:$B$500,$C46,واردات!$A$4:$A$500,$A46)</f>
        <v>914</v>
      </c>
      <c r="I46" s="159">
        <v>4031.8359461930268</v>
      </c>
      <c r="J46" s="159">
        <f t="shared" si="14"/>
        <v>-3117.8359461930268</v>
      </c>
      <c r="K46" s="175">
        <f>IF(SUM(H46:H52)=0,"",IFERROR(H46/I46,""))</f>
        <v>0.22669573172068783</v>
      </c>
      <c r="L46" s="171">
        <f>SUMIFS(واردات!$M$4:$M$500,واردات!$J$4:$J$500,$C46,واردات!$I$4:$I$500,$A46)+SUMIFS(واردات!$E$4:$E$500,واردات!$B$4:$B$500,$C46,واردات!$A$4:$A$500,$A46)</f>
        <v>0</v>
      </c>
      <c r="M46" s="159">
        <v>0</v>
      </c>
      <c r="N46" s="159">
        <f t="shared" si="15"/>
        <v>0</v>
      </c>
      <c r="O46" s="175" t="str">
        <f>IF(SUM(L46:L52)=0,"",IFERROR(L46/M46,""))</f>
        <v/>
      </c>
      <c r="P46" s="171">
        <f>SUMIFS(واردات!$N$4:$N$500,واردات!$J$4:$J$500,$C46,واردات!$I$4:$I$500,$A46)+SUMIFS(واردات!$F$4:$F$500,واردات!$B$4:$B$500,$C46,واردات!$A$4:$A$500,$A46)</f>
        <v>0</v>
      </c>
      <c r="Q46" s="159">
        <v>101.22772774141579</v>
      </c>
      <c r="R46" s="159">
        <f t="shared" si="16"/>
        <v>-101.22772774141579</v>
      </c>
      <c r="S46" s="175" t="str">
        <f>IF(SUM(P46:P52)=0,"",IFERROR(P46/Q46,""))</f>
        <v/>
      </c>
      <c r="T46" s="171">
        <f t="shared" si="119"/>
        <v>11312</v>
      </c>
      <c r="U46" s="159">
        <f t="shared" si="120"/>
        <v>19495.394433413334</v>
      </c>
      <c r="V46" s="159">
        <f t="shared" si="37"/>
        <v>-8183.3944334133339</v>
      </c>
      <c r="W46" s="175">
        <f t="shared" ref="W46" si="164">IF(SUM(T46:T52)=0,"",IFERROR(T46/U46,""))</f>
        <v>0.58023960677667852</v>
      </c>
      <c r="X46" s="171">
        <f t="shared" si="122"/>
        <v>9897</v>
      </c>
      <c r="Y46" s="159">
        <f t="shared" si="123"/>
        <v>26327.978911226914</v>
      </c>
      <c r="Z46" s="159">
        <f t="shared" si="39"/>
        <v>-16430.978911226914</v>
      </c>
      <c r="AA46" s="175">
        <f t="shared" ref="AA46" si="165">IF(SUM(X46:X52)=0,"",IFERROR(X46/Y46,""))</f>
        <v>0.37591187813431703</v>
      </c>
      <c r="AB46" s="171">
        <f t="shared" si="125"/>
        <v>0</v>
      </c>
      <c r="AC46" s="159">
        <f t="shared" si="126"/>
        <v>0</v>
      </c>
      <c r="AD46" s="159">
        <f t="shared" si="41"/>
        <v>0</v>
      </c>
      <c r="AE46" s="175" t="str">
        <f t="shared" ref="AE46" si="166">IF(SUM(AB46:AB52)=0,"",IFERROR(AB46/AC46,""))</f>
        <v/>
      </c>
      <c r="AF46" s="171">
        <f t="shared" si="128"/>
        <v>0</v>
      </c>
      <c r="AG46" s="159">
        <f t="shared" si="129"/>
        <v>468.42052721774473</v>
      </c>
      <c r="AH46" s="159">
        <f t="shared" si="43"/>
        <v>-468.42052721774473</v>
      </c>
      <c r="AI46" s="187" t="str">
        <f t="shared" ref="AI46" si="167">IF(SUM(AF46:AF52)=0,"",IFERROR(AF46/AG46,""))</f>
        <v/>
      </c>
      <c r="AJ46" s="157">
        <f t="shared" si="155"/>
        <v>6</v>
      </c>
    </row>
    <row r="47" spans="1:36" ht="24.95" customHeight="1" x14ac:dyDescent="0.25">
      <c r="A47" s="182" t="str">
        <f t="shared" si="34"/>
        <v>مطهری</v>
      </c>
      <c r="B47" s="216"/>
      <c r="C47" s="167" t="str">
        <f t="shared" si="35"/>
        <v>مهر</v>
      </c>
      <c r="D47" s="171">
        <f>SUMIFS(واردات!$K$4:$K$500,واردات!$J$4:$J$500,$C47,واردات!$I$4:$I$500,$A47)+SUMIFS(واردات!$C$4:$C$500,واردات!$B$4:$B$500,$C47,واردات!$A$4:$A$500,$A47)</f>
        <v>1217</v>
      </c>
      <c r="E47" s="159">
        <v>2985.5507841253075</v>
      </c>
      <c r="F47" s="159">
        <f t="shared" si="36"/>
        <v>-1768.5507841253075</v>
      </c>
      <c r="G47" s="175">
        <f>IF(SUM(D47:D52)=0,"",IFERROR(D47/E47,""))</f>
        <v>0.4076299778489787</v>
      </c>
      <c r="H47" s="171">
        <f>SUMIFS(واردات!$L$4:$L$500,واردات!$J$4:$J$500,$C47,واردات!$I$4:$I$500,$A47)+SUMIFS(واردات!$D$4:$D$500,واردات!$B$4:$B$500,$C47,واردات!$A$4:$A$500,$A47)</f>
        <v>3021</v>
      </c>
      <c r="I47" s="159">
        <v>3131.8124718343993</v>
      </c>
      <c r="J47" s="159">
        <f t="shared" si="14"/>
        <v>-110.81247183439928</v>
      </c>
      <c r="K47" s="175">
        <f>IF(SUM(H47:H52)=0,"",IFERROR(H47/I47,""))</f>
        <v>0.96461714332164561</v>
      </c>
      <c r="L47" s="171">
        <f>SUMIFS(واردات!$M$4:$M$500,واردات!$J$4:$J$500,$C47,واردات!$I$4:$I$500,$A47)+SUMIFS(واردات!$E$4:$E$500,واردات!$B$4:$B$500,$C47,واردات!$A$4:$A$500,$A47)</f>
        <v>0</v>
      </c>
      <c r="M47" s="159">
        <v>0</v>
      </c>
      <c r="N47" s="159">
        <f t="shared" si="15"/>
        <v>0</v>
      </c>
      <c r="O47" s="175" t="str">
        <f>IF(SUM(L47:L52)=0,"",IFERROR(L47/M47,""))</f>
        <v/>
      </c>
      <c r="P47" s="171">
        <f>SUMIFS(واردات!$N$4:$N$500,واردات!$J$4:$J$500,$C47,واردات!$I$4:$I$500,$A47)+SUMIFS(واردات!$F$4:$F$500,واردات!$B$4:$B$500,$C47,واردات!$A$4:$A$500,$A47)</f>
        <v>0</v>
      </c>
      <c r="Q47" s="159">
        <v>95.759824260751756</v>
      </c>
      <c r="R47" s="159">
        <f t="shared" si="16"/>
        <v>-95.759824260751756</v>
      </c>
      <c r="S47" s="175" t="str">
        <f>IF(SUM(P47:P52)=0,"",IFERROR(P47/Q47,""))</f>
        <v/>
      </c>
      <c r="T47" s="171">
        <f t="shared" si="119"/>
        <v>12529</v>
      </c>
      <c r="U47" s="159">
        <f t="shared" si="120"/>
        <v>22480.94521753864</v>
      </c>
      <c r="V47" s="159">
        <f t="shared" si="37"/>
        <v>-9951.9452175386396</v>
      </c>
      <c r="W47" s="175">
        <f t="shared" ref="W47" si="168">IF(SUM(T47:T52)=0,"",IFERROR(T47/U47,""))</f>
        <v>0.55731642414329752</v>
      </c>
      <c r="X47" s="171">
        <f t="shared" si="122"/>
        <v>12918</v>
      </c>
      <c r="Y47" s="159">
        <f t="shared" si="123"/>
        <v>29459.791383061314</v>
      </c>
      <c r="Z47" s="159">
        <f t="shared" si="39"/>
        <v>-16541.791383061314</v>
      </c>
      <c r="AA47" s="175">
        <f t="shared" ref="AA47" si="169">IF(SUM(X47:X52)=0,"",IFERROR(X47/Y47,""))</f>
        <v>0.43849597683938607</v>
      </c>
      <c r="AB47" s="171">
        <f t="shared" si="125"/>
        <v>0</v>
      </c>
      <c r="AC47" s="159">
        <f t="shared" si="126"/>
        <v>0</v>
      </c>
      <c r="AD47" s="159">
        <f t="shared" si="41"/>
        <v>0</v>
      </c>
      <c r="AE47" s="175" t="str">
        <f t="shared" ref="AE47" si="170">IF(SUM(AB47:AB52)=0,"",IFERROR(AB47/AC47,""))</f>
        <v/>
      </c>
      <c r="AF47" s="171">
        <f t="shared" si="128"/>
        <v>0</v>
      </c>
      <c r="AG47" s="159">
        <f t="shared" si="129"/>
        <v>564.1803514784965</v>
      </c>
      <c r="AH47" s="159">
        <f t="shared" si="43"/>
        <v>-564.1803514784965</v>
      </c>
      <c r="AI47" s="187" t="str">
        <f t="shared" ref="AI47" si="171">IF(SUM(AF47:AF52)=0,"",IFERROR(AF47/AG47,""))</f>
        <v/>
      </c>
      <c r="AJ47" s="157">
        <f t="shared" si="155"/>
        <v>7</v>
      </c>
    </row>
    <row r="48" spans="1:36" ht="24.95" customHeight="1" x14ac:dyDescent="0.25">
      <c r="A48" s="182" t="str">
        <f t="shared" si="34"/>
        <v>مطهری</v>
      </c>
      <c r="B48" s="216"/>
      <c r="C48" s="167" t="str">
        <f t="shared" si="35"/>
        <v>آبان</v>
      </c>
      <c r="D48" s="171">
        <f>SUMIFS(واردات!$K$4:$K$500,واردات!$J$4:$J$500,$C48,واردات!$I$4:$I$500,$A48)+SUMIFS(واردات!$C$4:$C$500,واردات!$B$4:$B$500,$C48,واردات!$A$4:$A$500,$A48)</f>
        <v>160</v>
      </c>
      <c r="E48" s="159">
        <v>2985.5507841253075</v>
      </c>
      <c r="F48" s="159">
        <f t="shared" si="36"/>
        <v>-2825.5507841253075</v>
      </c>
      <c r="G48" s="175">
        <f>IF(SUM(D48:D52)=0,"",IFERROR(D48/E48,""))</f>
        <v>5.3591451483842721E-2</v>
      </c>
      <c r="H48" s="171">
        <f>SUMIFS(واردات!$L$4:$L$500,واردات!$J$4:$J$500,$C48,واردات!$I$4:$I$500,$A48)+SUMIFS(واردات!$D$4:$D$500,واردات!$B$4:$B$500,$C48,واردات!$A$4:$A$500,$A48)</f>
        <v>755</v>
      </c>
      <c r="I48" s="159">
        <v>3131.8124718343993</v>
      </c>
      <c r="J48" s="159">
        <f t="shared" si="14"/>
        <v>-2376.8124718343993</v>
      </c>
      <c r="K48" s="175">
        <f>IF(SUM(H48:H52)=0,"",IFERROR(H48/I48,""))</f>
        <v>0.24107445985032852</v>
      </c>
      <c r="L48" s="171">
        <f>SUMIFS(واردات!$M$4:$M$500,واردات!$J$4:$J$500,$C48,واردات!$I$4:$I$500,$A48)+SUMIFS(واردات!$E$4:$E$500,واردات!$B$4:$B$500,$C48,واردات!$A$4:$A$500,$A48)</f>
        <v>0</v>
      </c>
      <c r="M48" s="159">
        <v>0</v>
      </c>
      <c r="N48" s="159">
        <f t="shared" si="15"/>
        <v>0</v>
      </c>
      <c r="O48" s="175" t="str">
        <f>IF(SUM(L48:L52)=0,"",IFERROR(L48/M48,""))</f>
        <v/>
      </c>
      <c r="P48" s="171">
        <f>SUMIFS(واردات!$N$4:$N$500,واردات!$J$4:$J$500,$C48,واردات!$I$4:$I$500,$A48)+SUMIFS(واردات!$F$4:$F$500,واردات!$B$4:$B$500,$C48,واردات!$A$4:$A$500,$A48)</f>
        <v>0</v>
      </c>
      <c r="Q48" s="159">
        <v>95.759824260751756</v>
      </c>
      <c r="R48" s="159">
        <f t="shared" si="16"/>
        <v>-95.759824260751756</v>
      </c>
      <c r="S48" s="175" t="str">
        <f>IF(SUM(P48:P52)=0,"",IFERROR(P48/Q48,""))</f>
        <v/>
      </c>
      <c r="T48" s="171">
        <f t="shared" si="119"/>
        <v>12689</v>
      </c>
      <c r="U48" s="159">
        <f t="shared" si="120"/>
        <v>25466.496001663945</v>
      </c>
      <c r="V48" s="159">
        <f t="shared" si="37"/>
        <v>-12777.496001663945</v>
      </c>
      <c r="W48" s="175">
        <f t="shared" ref="W48" si="172">IF(SUM(T48:T52)=0,"",IFERROR(T48/U48,""))</f>
        <v>0.49826250141248007</v>
      </c>
      <c r="X48" s="171">
        <f t="shared" si="122"/>
        <v>13673</v>
      </c>
      <c r="Y48" s="159">
        <f t="shared" si="123"/>
        <v>32591.603854895715</v>
      </c>
      <c r="Z48" s="159">
        <f t="shared" si="39"/>
        <v>-18918.603854895715</v>
      </c>
      <c r="AA48" s="175">
        <f t="shared" ref="AA48" si="173">IF(SUM(X48:X52)=0,"",IFERROR(X48/Y48,""))</f>
        <v>0.4195252268306558</v>
      </c>
      <c r="AB48" s="171">
        <f t="shared" si="125"/>
        <v>0</v>
      </c>
      <c r="AC48" s="159">
        <f t="shared" si="126"/>
        <v>0</v>
      </c>
      <c r="AD48" s="159">
        <f t="shared" si="41"/>
        <v>0</v>
      </c>
      <c r="AE48" s="175" t="str">
        <f t="shared" ref="AE48" si="174">IF(SUM(AB48:AB52)=0,"",IFERROR(AB48/AC48,""))</f>
        <v/>
      </c>
      <c r="AF48" s="171">
        <f t="shared" si="128"/>
        <v>0</v>
      </c>
      <c r="AG48" s="159">
        <f t="shared" si="129"/>
        <v>659.94017573924828</v>
      </c>
      <c r="AH48" s="159">
        <f t="shared" si="43"/>
        <v>-659.94017573924828</v>
      </c>
      <c r="AI48" s="187" t="str">
        <f t="shared" ref="AI48" si="175">IF(SUM(AF48:AF52)=0,"",IFERROR(AF48/AG48,""))</f>
        <v/>
      </c>
      <c r="AJ48" s="157">
        <f t="shared" si="155"/>
        <v>8</v>
      </c>
    </row>
    <row r="49" spans="1:36" ht="24.95" customHeight="1" x14ac:dyDescent="0.25">
      <c r="A49" s="182" t="str">
        <f t="shared" si="34"/>
        <v>مطهری</v>
      </c>
      <c r="B49" s="216"/>
      <c r="C49" s="167" t="str">
        <f t="shared" si="35"/>
        <v>آذر</v>
      </c>
      <c r="D49" s="171">
        <f>SUMIFS(واردات!$K$4:$K$500,واردات!$J$4:$J$500,$C49,واردات!$I$4:$I$500,$A49)+SUMIFS(واردات!$C$4:$C$500,واردات!$B$4:$B$500,$C49,واردات!$A$4:$A$500,$A49)</f>
        <v>1787</v>
      </c>
      <c r="E49" s="159">
        <v>2985.5507841253075</v>
      </c>
      <c r="F49" s="159">
        <f t="shared" si="36"/>
        <v>-1198.5507841253075</v>
      </c>
      <c r="G49" s="175">
        <f>IF(SUM(D49:D52)=0,"",IFERROR(D49/E49,""))</f>
        <v>0.59854952376016834</v>
      </c>
      <c r="H49" s="171">
        <f>SUMIFS(واردات!$L$4:$L$500,واردات!$J$4:$J$500,$C49,واردات!$I$4:$I$500,$A49)+SUMIFS(واردات!$D$4:$D$500,واردات!$B$4:$B$500,$C49,واردات!$A$4:$A$500,$A49)</f>
        <v>1255</v>
      </c>
      <c r="I49" s="159">
        <v>3131.8124718343993</v>
      </c>
      <c r="J49" s="159">
        <f t="shared" si="14"/>
        <v>-1876.8124718343993</v>
      </c>
      <c r="K49" s="175">
        <f>IF(SUM(H49:H52)=0,"",IFERROR(H49/I49,""))</f>
        <v>0.40072642001610898</v>
      </c>
      <c r="L49" s="171">
        <f>SUMIFS(واردات!$M$4:$M$500,واردات!$J$4:$J$500,$C49,واردات!$I$4:$I$500,$A49)+SUMIFS(واردات!$E$4:$E$500,واردات!$B$4:$B$500,$C49,واردات!$A$4:$A$500,$A49)</f>
        <v>0</v>
      </c>
      <c r="M49" s="159">
        <v>0</v>
      </c>
      <c r="N49" s="159">
        <f t="shared" si="15"/>
        <v>0</v>
      </c>
      <c r="O49" s="175" t="str">
        <f>IF(SUM(L49:L52)=0,"",IFERROR(L49/M49,""))</f>
        <v/>
      </c>
      <c r="P49" s="171">
        <f>SUMIFS(واردات!$N$4:$N$500,واردات!$J$4:$J$500,$C49,واردات!$I$4:$I$500,$A49)+SUMIFS(واردات!$F$4:$F$500,واردات!$B$4:$B$500,$C49,واردات!$A$4:$A$500,$A49)</f>
        <v>0</v>
      </c>
      <c r="Q49" s="159">
        <v>95.759824260751756</v>
      </c>
      <c r="R49" s="159">
        <f t="shared" si="16"/>
        <v>-95.759824260751756</v>
      </c>
      <c r="S49" s="175" t="str">
        <f>IF(SUM(P49:P52)=0,"",IFERROR(P49/Q49,""))</f>
        <v/>
      </c>
      <c r="T49" s="171">
        <f t="shared" si="119"/>
        <v>14476</v>
      </c>
      <c r="U49" s="159">
        <f t="shared" si="120"/>
        <v>28452.046785789251</v>
      </c>
      <c r="V49" s="159">
        <f t="shared" si="37"/>
        <v>-13976.046785789251</v>
      </c>
      <c r="W49" s="175">
        <f t="shared" ref="W49" si="176">IF(SUM(T49:T52)=0,"",IFERROR(T49/U49,""))</f>
        <v>0.50878589188986678</v>
      </c>
      <c r="X49" s="171">
        <f t="shared" si="122"/>
        <v>14928</v>
      </c>
      <c r="Y49" s="159">
        <f t="shared" si="123"/>
        <v>35723.416326730112</v>
      </c>
      <c r="Z49" s="159">
        <f t="shared" si="39"/>
        <v>-20795.416326730112</v>
      </c>
      <c r="AA49" s="175">
        <f t="shared" ref="AA49" si="177">IF(SUM(X49:X52)=0,"",IFERROR(X49/Y49,""))</f>
        <v>0.41787716671515812</v>
      </c>
      <c r="AB49" s="171">
        <f t="shared" si="125"/>
        <v>0</v>
      </c>
      <c r="AC49" s="159">
        <f t="shared" si="126"/>
        <v>0</v>
      </c>
      <c r="AD49" s="159">
        <f t="shared" si="41"/>
        <v>0</v>
      </c>
      <c r="AE49" s="175" t="str">
        <f t="shared" ref="AE49" si="178">IF(SUM(AB49:AB52)=0,"",IFERROR(AB49/AC49,""))</f>
        <v/>
      </c>
      <c r="AF49" s="171">
        <f t="shared" si="128"/>
        <v>0</v>
      </c>
      <c r="AG49" s="159">
        <f t="shared" si="129"/>
        <v>755.7</v>
      </c>
      <c r="AH49" s="159">
        <f t="shared" si="43"/>
        <v>-755.7</v>
      </c>
      <c r="AI49" s="187" t="str">
        <f t="shared" ref="AI49" si="179">IF(SUM(AF49:AF52)=0,"",IFERROR(AF49/AG49,""))</f>
        <v/>
      </c>
      <c r="AJ49" s="157">
        <f t="shared" si="155"/>
        <v>9</v>
      </c>
    </row>
    <row r="50" spans="1:36" ht="24.95" customHeight="1" x14ac:dyDescent="0.25">
      <c r="A50" s="182" t="str">
        <f t="shared" si="34"/>
        <v>مطهری</v>
      </c>
      <c r="B50" s="216"/>
      <c r="C50" s="167" t="str">
        <f t="shared" si="35"/>
        <v>دی</v>
      </c>
      <c r="D50" s="171">
        <f>SUMIFS(واردات!$K$4:$K$500,واردات!$J$4:$J$500,$C50,واردات!$I$4:$I$500,$A50)+SUMIFS(واردات!$C$4:$C$500,واردات!$B$4:$B$500,$C50,واردات!$A$4:$A$500,$A50)</f>
        <v>1190</v>
      </c>
      <c r="E50" s="159">
        <v>4084.0613278138403</v>
      </c>
      <c r="F50" s="159">
        <f t="shared" si="36"/>
        <v>-2894.0613278138403</v>
      </c>
      <c r="G50" s="175">
        <f>IF(SUM(D50:D52)=0,"",IFERROR(D50/E50,""))</f>
        <v>0.29137662353297616</v>
      </c>
      <c r="H50" s="171">
        <f>SUMIFS(واردات!$L$4:$L$500,واردات!$J$4:$J$500,$C50,واردات!$I$4:$I$500,$A50)+SUMIFS(واردات!$D$4:$D$500,واردات!$B$4:$B$500,$C50,واردات!$A$4:$A$500,$A50)</f>
        <v>1055</v>
      </c>
      <c r="I50" s="159">
        <v>4535.7843013463735</v>
      </c>
      <c r="J50" s="159">
        <f t="shared" si="14"/>
        <v>-3480.7843013463735</v>
      </c>
      <c r="K50" s="175">
        <f>IF(SUM(H50:H52)=0,"",IFERROR(H50/I50,""))</f>
        <v>0.23259483474265752</v>
      </c>
      <c r="L50" s="171">
        <f>SUMIFS(واردات!$M$4:$M$500,واردات!$J$4:$J$500,$C50,واردات!$I$4:$I$500,$A50)+SUMIFS(واردات!$E$4:$E$500,واردات!$B$4:$B$500,$C50,واردات!$A$4:$A$500,$A50)</f>
        <v>0</v>
      </c>
      <c r="M50" s="159">
        <v>0</v>
      </c>
      <c r="N50" s="159">
        <f t="shared" si="15"/>
        <v>0</v>
      </c>
      <c r="O50" s="175" t="str">
        <f>IF(SUM(L50:L52)=0,"",IFERROR(L50/M50,""))</f>
        <v/>
      </c>
      <c r="P50" s="171">
        <f>SUMIFS(واردات!$N$4:$N$500,واردات!$J$4:$J$500,$C50,واردات!$I$4:$I$500,$A50)+SUMIFS(واردات!$F$4:$F$500,واردات!$B$4:$B$500,$C50,واردات!$A$4:$A$500,$A50)</f>
        <v>0</v>
      </c>
      <c r="Q50" s="159">
        <v>65.427112438994769</v>
      </c>
      <c r="R50" s="159">
        <f t="shared" si="16"/>
        <v>-65.427112438994769</v>
      </c>
      <c r="S50" s="175" t="str">
        <f>IF(SUM(P50:P52)=0,"",IFERROR(P50/Q50,""))</f>
        <v/>
      </c>
      <c r="T50" s="171">
        <f t="shared" si="119"/>
        <v>15666</v>
      </c>
      <c r="U50" s="159">
        <f t="shared" si="120"/>
        <v>32536.108113603092</v>
      </c>
      <c r="V50" s="159">
        <f t="shared" si="37"/>
        <v>-16870.108113603092</v>
      </c>
      <c r="W50" s="175">
        <f t="shared" ref="W50" si="180">IF(SUM(T50:T52)=0,"",IFERROR(T50/U50,""))</f>
        <v>0.48149581828596666</v>
      </c>
      <c r="X50" s="171">
        <f t="shared" si="122"/>
        <v>15983</v>
      </c>
      <c r="Y50" s="159">
        <f t="shared" si="123"/>
        <v>40259.200628076484</v>
      </c>
      <c r="Z50" s="159">
        <f t="shared" si="39"/>
        <v>-24276.200628076484</v>
      </c>
      <c r="AA50" s="175">
        <f t="shared" ref="AA50" si="181">IF(SUM(X50:X52)=0,"",IFERROR(X50/Y50,""))</f>
        <v>0.39700241809703413</v>
      </c>
      <c r="AB50" s="171">
        <f t="shared" si="125"/>
        <v>0</v>
      </c>
      <c r="AC50" s="159">
        <f t="shared" si="126"/>
        <v>0</v>
      </c>
      <c r="AD50" s="159">
        <f t="shared" si="41"/>
        <v>0</v>
      </c>
      <c r="AE50" s="175" t="str">
        <f t="shared" ref="AE50" si="182">IF(SUM(AB50:AB52)=0,"",IFERROR(AB50/AC50,""))</f>
        <v/>
      </c>
      <c r="AF50" s="171">
        <f t="shared" si="128"/>
        <v>0</v>
      </c>
      <c r="AG50" s="159">
        <f t="shared" si="129"/>
        <v>821.1271124389948</v>
      </c>
      <c r="AH50" s="159">
        <f t="shared" si="43"/>
        <v>-821.1271124389948</v>
      </c>
      <c r="AI50" s="187" t="str">
        <f t="shared" ref="AI50" si="183">IF(SUM(AF50:AF52)=0,"",IFERROR(AF50/AG50,""))</f>
        <v/>
      </c>
      <c r="AJ50" s="157">
        <f t="shared" si="155"/>
        <v>10</v>
      </c>
    </row>
    <row r="51" spans="1:36" ht="24.95" customHeight="1" x14ac:dyDescent="0.25">
      <c r="A51" s="182" t="str">
        <f t="shared" si="34"/>
        <v>مطهری</v>
      </c>
      <c r="B51" s="216"/>
      <c r="C51" s="167" t="str">
        <f t="shared" si="35"/>
        <v>بهمن</v>
      </c>
      <c r="D51" s="171">
        <f>SUMIFS(واردات!$K$4:$K$500,واردات!$J$4:$J$500,$C51,واردات!$I$4:$I$500,$A51)+SUMIFS(واردات!$C$4:$C$500,واردات!$B$4:$B$500,$C51,واردات!$A$4:$A$500,$A51)</f>
        <v>531</v>
      </c>
      <c r="E51" s="159">
        <v>4084.0613278138403</v>
      </c>
      <c r="F51" s="159">
        <f t="shared" si="36"/>
        <v>-3553.0613278138403</v>
      </c>
      <c r="G51" s="175">
        <f>IF(SUM(D51:D52)=0,"",IFERROR(D51/E51,""))</f>
        <v>0.13001763621513474</v>
      </c>
      <c r="H51" s="171">
        <f>SUMIFS(واردات!$L$4:$L$500,واردات!$J$4:$J$500,$C51,واردات!$I$4:$I$500,$A51)+SUMIFS(واردات!$D$4:$D$500,واردات!$B$4:$B$500,$C51,واردات!$A$4:$A$500,$A51)</f>
        <v>1483</v>
      </c>
      <c r="I51" s="159">
        <v>4535.7843013463735</v>
      </c>
      <c r="J51" s="159">
        <f t="shared" si="14"/>
        <v>-3052.7843013463735</v>
      </c>
      <c r="K51" s="175">
        <f>IF(SUM(H51:H52)=0,"",IFERROR(H51/I51,""))</f>
        <v>0.32695558286574511</v>
      </c>
      <c r="L51" s="171">
        <f>SUMIFS(واردات!$M$4:$M$500,واردات!$J$4:$J$500,$C51,واردات!$I$4:$I$500,$A51)+SUMIFS(واردات!$E$4:$E$500,واردات!$B$4:$B$500,$C51,واردات!$A$4:$A$500,$A51)</f>
        <v>0</v>
      </c>
      <c r="M51" s="159">
        <v>0</v>
      </c>
      <c r="N51" s="159">
        <f t="shared" si="15"/>
        <v>0</v>
      </c>
      <c r="O51" s="175" t="str">
        <f>IF(SUM(L51:L52)=0,"",IFERROR(L51/M51,""))</f>
        <v/>
      </c>
      <c r="P51" s="171">
        <f>SUMIFS(واردات!$N$4:$N$500,واردات!$J$4:$J$500,$C51,واردات!$I$4:$I$500,$A51)+SUMIFS(واردات!$F$4:$F$500,واردات!$B$4:$B$500,$C51,واردات!$A$4:$A$500,$A51)</f>
        <v>0</v>
      </c>
      <c r="Q51" s="159">
        <v>65.427112438994769</v>
      </c>
      <c r="R51" s="159">
        <f t="shared" si="16"/>
        <v>-65.427112438994769</v>
      </c>
      <c r="S51" s="175" t="str">
        <f>IF(SUM(P51:P52)=0,"",IFERROR(P51/Q51,""))</f>
        <v/>
      </c>
      <c r="T51" s="171">
        <f t="shared" si="119"/>
        <v>16197</v>
      </c>
      <c r="U51" s="159">
        <f t="shared" si="120"/>
        <v>36620.169441416932</v>
      </c>
      <c r="V51" s="159">
        <f t="shared" si="37"/>
        <v>-20423.169441416932</v>
      </c>
      <c r="W51" s="175">
        <f t="shared" ref="W51" si="184">IF(SUM(T51:T52)=0,"",IFERROR(T51/U51,""))</f>
        <v>0.44229724348793986</v>
      </c>
      <c r="X51" s="171">
        <f t="shared" si="122"/>
        <v>17466</v>
      </c>
      <c r="Y51" s="159">
        <f t="shared" si="123"/>
        <v>44794.984929422855</v>
      </c>
      <c r="Z51" s="159">
        <f t="shared" si="39"/>
        <v>-27328.984929422855</v>
      </c>
      <c r="AA51" s="175">
        <f t="shared" ref="AA51" si="185">IF(SUM(X51:X52)=0,"",IFERROR(X51/Y51,""))</f>
        <v>0.3899097193027013</v>
      </c>
      <c r="AB51" s="171">
        <f t="shared" si="125"/>
        <v>0</v>
      </c>
      <c r="AC51" s="159">
        <f t="shared" si="126"/>
        <v>0</v>
      </c>
      <c r="AD51" s="159">
        <f t="shared" si="41"/>
        <v>0</v>
      </c>
      <c r="AE51" s="175" t="str">
        <f t="shared" ref="AE51" si="186">IF(SUM(AB51:AB52)=0,"",IFERROR(AB51/AC51,""))</f>
        <v/>
      </c>
      <c r="AF51" s="171">
        <f t="shared" si="128"/>
        <v>0</v>
      </c>
      <c r="AG51" s="159">
        <f t="shared" si="129"/>
        <v>886.55422487798955</v>
      </c>
      <c r="AH51" s="159">
        <f t="shared" si="43"/>
        <v>-886.55422487798955</v>
      </c>
      <c r="AI51" s="187" t="str">
        <f t="shared" ref="AI51" si="187">IF(SUM(AF51:AF52)=0,"",IFERROR(AF51/AG51,""))</f>
        <v/>
      </c>
      <c r="AJ51" s="157">
        <f t="shared" si="155"/>
        <v>11</v>
      </c>
    </row>
    <row r="52" spans="1:36" ht="24.95" customHeight="1" thickBot="1" x14ac:dyDescent="0.3">
      <c r="A52" s="182" t="str">
        <f t="shared" si="34"/>
        <v>مطهری</v>
      </c>
      <c r="B52" s="217"/>
      <c r="C52" s="168" t="str">
        <f t="shared" si="35"/>
        <v>اسفند</v>
      </c>
      <c r="D52" s="172">
        <f>SUMIFS(واردات!$K$4:$K$500,واردات!$J$4:$J$500,$C52,واردات!$I$4:$I$500,$A52)+SUMIFS(واردات!$C$4:$C$500,واردات!$B$4:$B$500,$C52,واردات!$A$4:$A$500,$A52)</f>
        <v>1088</v>
      </c>
      <c r="E52" s="173">
        <v>4084.0613278138403</v>
      </c>
      <c r="F52" s="173">
        <f t="shared" si="36"/>
        <v>-2996.0613278138403</v>
      </c>
      <c r="G52" s="176">
        <f>IF(SUM(D52)=0,"",IFERROR(D52/E52,""))</f>
        <v>0.26640148437300676</v>
      </c>
      <c r="H52" s="172">
        <f>SUMIFS(واردات!$L$4:$L$500,واردات!$J$4:$J$500,$C52,واردات!$I$4:$I$500,$A52)+SUMIFS(واردات!$D$4:$D$500,واردات!$B$4:$B$500,$C52,واردات!$A$4:$A$500,$A52)</f>
        <v>1348</v>
      </c>
      <c r="I52" s="173">
        <v>4535.7843013463735</v>
      </c>
      <c r="J52" s="173">
        <f t="shared" si="14"/>
        <v>-3187.7843013463735</v>
      </c>
      <c r="K52" s="176">
        <f>IF(SUM(H52)=0,"",IFERROR(H52/I52,""))</f>
        <v>0.29719226278019178</v>
      </c>
      <c r="L52" s="172">
        <f>SUMIFS(واردات!$M$4:$M$500,واردات!$J$4:$J$500,$C52,واردات!$I$4:$I$500,$A52)+SUMIFS(واردات!$E$4:$E$500,واردات!$B$4:$B$500,$C52,واردات!$A$4:$A$500,$A52)</f>
        <v>0</v>
      </c>
      <c r="M52" s="173">
        <v>0</v>
      </c>
      <c r="N52" s="173">
        <f t="shared" si="15"/>
        <v>0</v>
      </c>
      <c r="O52" s="176" t="str">
        <f>IF(SUM(L52)=0,"",IFERROR(L52/M52,""))</f>
        <v/>
      </c>
      <c r="P52" s="172">
        <f>SUMIFS(واردات!$N$4:$N$500,واردات!$J$4:$J$500,$C52,واردات!$I$4:$I$500,$A52)+SUMIFS(واردات!$F$4:$F$500,واردات!$B$4:$B$500,$C52,واردات!$A$4:$A$500,$A52)</f>
        <v>0</v>
      </c>
      <c r="Q52" s="173">
        <v>65.427112438994769</v>
      </c>
      <c r="R52" s="173">
        <f t="shared" si="16"/>
        <v>-65.427112438994769</v>
      </c>
      <c r="S52" s="176" t="str">
        <f>IF(SUM(P52)=0,"",IFERROR(P52/Q52,""))</f>
        <v/>
      </c>
      <c r="T52" s="172">
        <f t="shared" si="119"/>
        <v>17285</v>
      </c>
      <c r="U52" s="173">
        <f t="shared" si="120"/>
        <v>40704.230769230773</v>
      </c>
      <c r="V52" s="173">
        <f t="shared" si="37"/>
        <v>-23419.230769230773</v>
      </c>
      <c r="W52" s="176">
        <f t="shared" ref="W52" si="188">IF(SUM(T52)=0,"",IFERROR(T52/U52,""))</f>
        <v>0.42464873241299805</v>
      </c>
      <c r="X52" s="172">
        <f t="shared" si="122"/>
        <v>18814</v>
      </c>
      <c r="Y52" s="173">
        <f t="shared" si="123"/>
        <v>49330.769230769227</v>
      </c>
      <c r="Z52" s="173">
        <f t="shared" si="39"/>
        <v>-30516.769230769227</v>
      </c>
      <c r="AA52" s="176">
        <f t="shared" ref="AA52" si="189">IF(SUM(X52)=0,"",IFERROR(X52/Y52,""))</f>
        <v>0.38138468735381259</v>
      </c>
      <c r="AB52" s="172">
        <f t="shared" si="125"/>
        <v>0</v>
      </c>
      <c r="AC52" s="173">
        <f t="shared" si="126"/>
        <v>0</v>
      </c>
      <c r="AD52" s="173">
        <f t="shared" si="41"/>
        <v>0</v>
      </c>
      <c r="AE52" s="176" t="str">
        <f t="shared" ref="AE52" si="190">IF(SUM(AB52)=0,"",IFERROR(AB52/AC52,""))</f>
        <v/>
      </c>
      <c r="AF52" s="172">
        <f t="shared" si="128"/>
        <v>0</v>
      </c>
      <c r="AG52" s="173">
        <f t="shared" si="129"/>
        <v>951.98133731698431</v>
      </c>
      <c r="AH52" s="173">
        <f t="shared" si="43"/>
        <v>-951.98133731698431</v>
      </c>
      <c r="AI52" s="188" t="str">
        <f t="shared" ref="AI52" si="191">IF(SUM(AF52)=0,"",IFERROR(AF52/AG52,""))</f>
        <v/>
      </c>
      <c r="AJ52" s="157">
        <f>AJ51+1</f>
        <v>12</v>
      </c>
    </row>
    <row r="53" spans="1:36" ht="24.95" customHeight="1" x14ac:dyDescent="0.25">
      <c r="A53" s="182" t="str">
        <f t="shared" si="34"/>
        <v>سرخس</v>
      </c>
      <c r="B53" s="215" t="str">
        <f>واردات!B34</f>
        <v>سرخس</v>
      </c>
      <c r="C53" s="166" t="str">
        <f>C41</f>
        <v>فروردین</v>
      </c>
      <c r="D53" s="170">
        <f>SUMIFS(واردات!$K$4:$K$500,واردات!$J$4:$J$500,$C53,واردات!$I$4:$I$500,$A53)+SUMIFS(واردات!$C$4:$C$500,واردات!$B$4:$B$500,$C53,واردات!$A$4:$A$500,$A53)</f>
        <v>1518</v>
      </c>
      <c r="E53" s="160">
        <v>2049.7326065198527</v>
      </c>
      <c r="F53" s="160">
        <f t="shared" si="36"/>
        <v>-531.73260651985265</v>
      </c>
      <c r="G53" s="185">
        <f>IF(SUM(D53:D64)=0,"",IFERROR(D53/E53,""))</f>
        <v>0.7405844036297704</v>
      </c>
      <c r="H53" s="170">
        <f>SUMIFS(واردات!$L$4:$L$500,واردات!$J$4:$J$500,$C53,واردات!$I$4:$I$500,$A53)+SUMIFS(واردات!$D$4:$D$500,واردات!$B$4:$B$500,$C53,واردات!$A$4:$A$500,$A53)</f>
        <v>910</v>
      </c>
      <c r="I53" s="160">
        <v>2023.7065157695276</v>
      </c>
      <c r="J53" s="160">
        <f t="shared" si="14"/>
        <v>-1113.7065157695276</v>
      </c>
      <c r="K53" s="185">
        <f>IF(SUM(H53:H64)=0,"",IFERROR(H53/I53,""))</f>
        <v>0.44966994616507749</v>
      </c>
      <c r="L53" s="170">
        <f>SUMIFS(واردات!$M$4:$M$500,واردات!$J$4:$J$500,$C53,واردات!$I$4:$I$500,$A53)+SUMIFS(واردات!$E$4:$E$500,واردات!$B$4:$B$500,$C53,واردات!$A$4:$A$500,$A53)</f>
        <v>0</v>
      </c>
      <c r="M53" s="160">
        <v>0</v>
      </c>
      <c r="N53" s="160">
        <f t="shared" si="15"/>
        <v>0</v>
      </c>
      <c r="O53" s="185" t="str">
        <f>IF(SUM(L53:L64)=0,"",IFERROR(L53/M53,""))</f>
        <v/>
      </c>
      <c r="P53" s="170">
        <f>SUMIFS(واردات!$N$4:$N$500,واردات!$J$4:$J$500,$C53,واردات!$I$4:$I$500,$A53)+SUMIFS(واردات!$F$4:$F$500,واردات!$B$4:$B$500,$C53,واردات!$A$4:$A$500,$A53)</f>
        <v>3748</v>
      </c>
      <c r="Q53" s="160">
        <v>5712.9185522586749</v>
      </c>
      <c r="R53" s="160">
        <f t="shared" si="16"/>
        <v>-1964.9185522586749</v>
      </c>
      <c r="S53" s="185">
        <f>IF(SUM(P53:P64)=0,"",IFERROR(P53/Q53,""))</f>
        <v>0.65605696382949141</v>
      </c>
      <c r="T53" s="183">
        <f t="shared" si="119"/>
        <v>1518</v>
      </c>
      <c r="U53" s="160">
        <f t="shared" si="120"/>
        <v>2049.7326065198527</v>
      </c>
      <c r="V53" s="160">
        <f t="shared" si="37"/>
        <v>-531.73260651985265</v>
      </c>
      <c r="W53" s="185">
        <f t="shared" ref="W53" si="192">IF(SUM(T53:T64)=0,"",IFERROR(T53/U53,""))</f>
        <v>0.7405844036297704</v>
      </c>
      <c r="X53" s="183">
        <f t="shared" si="122"/>
        <v>910</v>
      </c>
      <c r="Y53" s="160">
        <f t="shared" si="123"/>
        <v>2023.7065157695276</v>
      </c>
      <c r="Z53" s="160">
        <f t="shared" si="39"/>
        <v>-1113.7065157695276</v>
      </c>
      <c r="AA53" s="185">
        <f t="shared" ref="AA53" si="193">IF(SUM(X53:X64)=0,"",IFERROR(X53/Y53,""))</f>
        <v>0.44966994616507749</v>
      </c>
      <c r="AB53" s="183">
        <f t="shared" si="125"/>
        <v>0</v>
      </c>
      <c r="AC53" s="160">
        <f t="shared" si="126"/>
        <v>0</v>
      </c>
      <c r="AD53" s="160">
        <f t="shared" si="41"/>
        <v>0</v>
      </c>
      <c r="AE53" s="185" t="str">
        <f t="shared" ref="AE53" si="194">IF(SUM(AB53:AB64)=0,"",IFERROR(AB53/AC53,""))</f>
        <v/>
      </c>
      <c r="AF53" s="183">
        <f t="shared" si="128"/>
        <v>3748</v>
      </c>
      <c r="AG53" s="160">
        <f t="shared" si="129"/>
        <v>5712.9185522586749</v>
      </c>
      <c r="AH53" s="160">
        <f t="shared" si="43"/>
        <v>-1964.9185522586749</v>
      </c>
      <c r="AI53" s="186">
        <f t="shared" ref="AI53" si="195">IF(SUM(AF53:AF64)=0,"",IFERROR(AF53/AG53,""))</f>
        <v>0.65605696382949141</v>
      </c>
      <c r="AJ53" s="157">
        <v>1</v>
      </c>
    </row>
    <row r="54" spans="1:36" ht="24.95" customHeight="1" x14ac:dyDescent="0.25">
      <c r="A54" s="182" t="str">
        <f t="shared" si="34"/>
        <v>سرخس</v>
      </c>
      <c r="B54" s="216"/>
      <c r="C54" s="167" t="str">
        <f t="shared" si="35"/>
        <v>اردیبهشت</v>
      </c>
      <c r="D54" s="171">
        <f>SUMIFS(واردات!$K$4:$K$500,واردات!$J$4:$J$500,$C54,واردات!$I$4:$I$500,$A54)+SUMIFS(واردات!$C$4:$C$500,واردات!$B$4:$B$500,$C54,واردات!$A$4:$A$500,$A54)</f>
        <v>1606</v>
      </c>
      <c r="E54" s="159">
        <v>2049.7326065198527</v>
      </c>
      <c r="F54" s="159">
        <f t="shared" si="36"/>
        <v>-443.73260651985265</v>
      </c>
      <c r="G54" s="175">
        <f>IF(SUM(D54:D64)=0,"",IFERROR(D54/E54,""))</f>
        <v>0.78351683282569917</v>
      </c>
      <c r="H54" s="171">
        <f>SUMIFS(واردات!$L$4:$L$500,واردات!$J$4:$J$500,$C54,واردات!$I$4:$I$500,$A54)+SUMIFS(واردات!$D$4:$D$500,واردات!$B$4:$B$500,$C54,واردات!$A$4:$A$500,$A54)</f>
        <v>1375</v>
      </c>
      <c r="I54" s="159">
        <v>2023.7065157695276</v>
      </c>
      <c r="J54" s="159">
        <f t="shared" si="14"/>
        <v>-648.70651576952764</v>
      </c>
      <c r="K54" s="175">
        <f>IF(SUM(H54:H64)=0,"",IFERROR(H54/I54,""))</f>
        <v>0.67944634722745223</v>
      </c>
      <c r="L54" s="171">
        <f>SUMIFS(واردات!$M$4:$M$500,واردات!$J$4:$J$500,$C54,واردات!$I$4:$I$500,$A54)+SUMIFS(واردات!$E$4:$E$500,واردات!$B$4:$B$500,$C54,واردات!$A$4:$A$500,$A54)</f>
        <v>0</v>
      </c>
      <c r="M54" s="159">
        <v>0</v>
      </c>
      <c r="N54" s="159">
        <f t="shared" si="15"/>
        <v>0</v>
      </c>
      <c r="O54" s="175" t="str">
        <f>IF(SUM(L54:L64)=0,"",IFERROR(L54/M54,""))</f>
        <v/>
      </c>
      <c r="P54" s="171">
        <f>SUMIFS(واردات!$N$4:$N$500,واردات!$J$4:$J$500,$C54,واردات!$I$4:$I$500,$A54)+SUMIFS(واردات!$F$4:$F$500,واردات!$B$4:$B$500,$C54,واردات!$A$4:$A$500,$A54)</f>
        <v>4934</v>
      </c>
      <c r="Q54" s="159">
        <v>5712.9185522586749</v>
      </c>
      <c r="R54" s="159">
        <f t="shared" si="16"/>
        <v>-778.91855225867494</v>
      </c>
      <c r="S54" s="175">
        <f>IF(SUM(P54:P64)=0,"",IFERROR(P54/Q54,""))</f>
        <v>0.86365663274672111</v>
      </c>
      <c r="T54" s="171">
        <f t="shared" si="119"/>
        <v>3124</v>
      </c>
      <c r="U54" s="159">
        <f t="shared" si="120"/>
        <v>4099.4652130397053</v>
      </c>
      <c r="V54" s="159">
        <f t="shared" si="37"/>
        <v>-975.4652130397053</v>
      </c>
      <c r="W54" s="175">
        <f t="shared" ref="W54" si="196">IF(SUM(T54:T64)=0,"",IFERROR(T54/U54,""))</f>
        <v>0.76205061822773479</v>
      </c>
      <c r="X54" s="171">
        <f t="shared" si="122"/>
        <v>2285</v>
      </c>
      <c r="Y54" s="159">
        <f t="shared" si="123"/>
        <v>4047.4130315390553</v>
      </c>
      <c r="Z54" s="159">
        <f t="shared" si="39"/>
        <v>-1762.4130315390553</v>
      </c>
      <c r="AA54" s="175">
        <f t="shared" ref="AA54" si="197">IF(SUM(X54:X64)=0,"",IFERROR(X54/Y54,""))</f>
        <v>0.56455814669626481</v>
      </c>
      <c r="AB54" s="171">
        <f t="shared" si="125"/>
        <v>0</v>
      </c>
      <c r="AC54" s="159">
        <f t="shared" si="126"/>
        <v>0</v>
      </c>
      <c r="AD54" s="159">
        <f t="shared" si="41"/>
        <v>0</v>
      </c>
      <c r="AE54" s="175" t="str">
        <f t="shared" ref="AE54" si="198">IF(SUM(AB54:AB64)=0,"",IFERROR(AB54/AC54,""))</f>
        <v/>
      </c>
      <c r="AF54" s="171">
        <f t="shared" si="128"/>
        <v>8682</v>
      </c>
      <c r="AG54" s="159">
        <f t="shared" si="129"/>
        <v>11425.83710451735</v>
      </c>
      <c r="AH54" s="159">
        <f t="shared" si="43"/>
        <v>-2743.8371045173499</v>
      </c>
      <c r="AI54" s="187">
        <f t="shared" ref="AI54" si="199">IF(SUM(AF54:AF64)=0,"",IFERROR(AF54/AG54,""))</f>
        <v>0.75985679828810626</v>
      </c>
      <c r="AJ54" s="157">
        <f>AJ53+1</f>
        <v>2</v>
      </c>
    </row>
    <row r="55" spans="1:36" ht="24.95" customHeight="1" x14ac:dyDescent="0.25">
      <c r="A55" s="182" t="str">
        <f t="shared" si="34"/>
        <v>سرخس</v>
      </c>
      <c r="B55" s="216"/>
      <c r="C55" s="167" t="str">
        <f t="shared" si="35"/>
        <v>خرداد</v>
      </c>
      <c r="D55" s="171">
        <f>SUMIFS(واردات!$K$4:$K$500,واردات!$J$4:$J$500,$C55,واردات!$I$4:$I$500,$A55)+SUMIFS(واردات!$C$4:$C$500,واردات!$B$4:$B$500,$C55,واردات!$A$4:$A$500,$A55)</f>
        <v>1374</v>
      </c>
      <c r="E55" s="159">
        <v>2049.7326065198527</v>
      </c>
      <c r="F55" s="159">
        <f t="shared" si="36"/>
        <v>-675.73260651985265</v>
      </c>
      <c r="G55" s="175">
        <f>IF(SUM(D55:D64)=0,"",IFERROR(D55/E55,""))</f>
        <v>0.67033133767279618</v>
      </c>
      <c r="H55" s="171">
        <f>SUMIFS(واردات!$L$4:$L$500,واردات!$J$4:$J$500,$C55,واردات!$I$4:$I$500,$A55)+SUMIFS(واردات!$D$4:$D$500,واردات!$B$4:$B$500,$C55,واردات!$A$4:$A$500,$A55)</f>
        <v>1738</v>
      </c>
      <c r="I55" s="159">
        <v>2023.7065157695276</v>
      </c>
      <c r="J55" s="159">
        <f t="shared" si="14"/>
        <v>-285.70651576952764</v>
      </c>
      <c r="K55" s="175">
        <f>IF(SUM(H55:H64)=0,"",IFERROR(H55/I55,""))</f>
        <v>0.85882018289549966</v>
      </c>
      <c r="L55" s="171">
        <f>SUMIFS(واردات!$M$4:$M$500,واردات!$J$4:$J$500,$C55,واردات!$I$4:$I$500,$A55)+SUMIFS(واردات!$E$4:$E$500,واردات!$B$4:$B$500,$C55,واردات!$A$4:$A$500,$A55)</f>
        <v>0</v>
      </c>
      <c r="M55" s="159">
        <v>0</v>
      </c>
      <c r="N55" s="159">
        <f t="shared" si="15"/>
        <v>0</v>
      </c>
      <c r="O55" s="175" t="str">
        <f>IF(SUM(L55:L64)=0,"",IFERROR(L55/M55,""))</f>
        <v/>
      </c>
      <c r="P55" s="171">
        <f>SUMIFS(واردات!$N$4:$N$500,واردات!$J$4:$J$500,$C55,واردات!$I$4:$I$500,$A55)+SUMIFS(واردات!$F$4:$F$500,واردات!$B$4:$B$500,$C55,واردات!$A$4:$A$500,$A55)</f>
        <v>5329</v>
      </c>
      <c r="Q55" s="159">
        <v>5712.9185522586749</v>
      </c>
      <c r="R55" s="159">
        <f t="shared" si="16"/>
        <v>-383.91855225867494</v>
      </c>
      <c r="S55" s="175">
        <f>IF(SUM(P55:P64)=0,"",IFERROR(P55/Q55,""))</f>
        <v>0.93279817509267871</v>
      </c>
      <c r="T55" s="171">
        <f t="shared" si="119"/>
        <v>4498</v>
      </c>
      <c r="U55" s="159">
        <f t="shared" si="120"/>
        <v>6149.1978195595584</v>
      </c>
      <c r="V55" s="159">
        <f t="shared" si="37"/>
        <v>-1651.1978195595584</v>
      </c>
      <c r="W55" s="175">
        <f t="shared" ref="W55" si="200">IF(SUM(T55:T64)=0,"",IFERROR(T55/U55,""))</f>
        <v>0.73147752470942184</v>
      </c>
      <c r="X55" s="171">
        <f t="shared" si="122"/>
        <v>4023</v>
      </c>
      <c r="Y55" s="159">
        <f t="shared" si="123"/>
        <v>6071.1195473085827</v>
      </c>
      <c r="Z55" s="159">
        <f t="shared" si="39"/>
        <v>-2048.1195473085827</v>
      </c>
      <c r="AA55" s="175">
        <f t="shared" ref="AA55" si="201">IF(SUM(X55:X64)=0,"",IFERROR(X55/Y55,""))</f>
        <v>0.66264549209600976</v>
      </c>
      <c r="AB55" s="171">
        <f t="shared" si="125"/>
        <v>0</v>
      </c>
      <c r="AC55" s="159">
        <f t="shared" si="126"/>
        <v>0</v>
      </c>
      <c r="AD55" s="159">
        <f t="shared" si="41"/>
        <v>0</v>
      </c>
      <c r="AE55" s="175" t="str">
        <f t="shared" ref="AE55" si="202">IF(SUM(AB55:AB64)=0,"",IFERROR(AB55/AC55,""))</f>
        <v/>
      </c>
      <c r="AF55" s="171">
        <f t="shared" si="128"/>
        <v>14011</v>
      </c>
      <c r="AG55" s="159">
        <f t="shared" si="129"/>
        <v>17138.755656776026</v>
      </c>
      <c r="AH55" s="159">
        <f t="shared" si="43"/>
        <v>-3127.7556567760257</v>
      </c>
      <c r="AI55" s="187">
        <f t="shared" ref="AI55" si="203">IF(SUM(AF55:AF64)=0,"",IFERROR(AF55/AG55,""))</f>
        <v>0.81750392388963034</v>
      </c>
      <c r="AJ55" s="157">
        <f t="shared" ref="AJ55:AJ63" si="204">AJ54+1</f>
        <v>3</v>
      </c>
    </row>
    <row r="56" spans="1:36" ht="24.95" customHeight="1" x14ac:dyDescent="0.25">
      <c r="A56" s="182" t="str">
        <f t="shared" si="34"/>
        <v>سرخس</v>
      </c>
      <c r="B56" s="216"/>
      <c r="C56" s="167" t="str">
        <f t="shared" si="35"/>
        <v>تیر</v>
      </c>
      <c r="D56" s="171">
        <f>SUMIFS(واردات!$K$4:$K$500,واردات!$J$4:$J$500,$C56,واردات!$I$4:$I$500,$A56)+SUMIFS(واردات!$C$4:$C$500,واردات!$B$4:$B$500,$C56,واردات!$A$4:$A$500,$A56)</f>
        <v>1001</v>
      </c>
      <c r="E56" s="159">
        <v>2287.9595446155749</v>
      </c>
      <c r="F56" s="159">
        <f t="shared" si="36"/>
        <v>-1286.9595446155749</v>
      </c>
      <c r="G56" s="175">
        <f>IF(SUM(D56:D64)=0,"",IFERROR(D56/E56,""))</f>
        <v>0.43750773581452856</v>
      </c>
      <c r="H56" s="171">
        <f>SUMIFS(واردات!$L$4:$L$500,واردات!$J$4:$J$500,$C56,واردات!$I$4:$I$500,$A56)+SUMIFS(واردات!$D$4:$D$500,واردات!$B$4:$B$500,$C56,واردات!$A$4:$A$500,$A56)</f>
        <v>1630</v>
      </c>
      <c r="I56" s="159">
        <v>2192.8511788858959</v>
      </c>
      <c r="J56" s="159">
        <f t="shared" si="14"/>
        <v>-562.85117888589593</v>
      </c>
      <c r="K56" s="175">
        <f>IF(SUM(H56:H64)=0,"",IFERROR(H56/I56,""))</f>
        <v>0.74332449720921823</v>
      </c>
      <c r="L56" s="171">
        <f>SUMIFS(واردات!$M$4:$M$500,واردات!$J$4:$J$500,$C56,واردات!$I$4:$I$500,$A56)+SUMIFS(واردات!$E$4:$E$500,واردات!$B$4:$B$500,$C56,واردات!$A$4:$A$500,$A56)</f>
        <v>0</v>
      </c>
      <c r="M56" s="159">
        <v>0</v>
      </c>
      <c r="N56" s="159">
        <f t="shared" si="15"/>
        <v>0</v>
      </c>
      <c r="O56" s="175" t="str">
        <f>IF(SUM(L56:L64)=0,"",IFERROR(L56/M56,""))</f>
        <v/>
      </c>
      <c r="P56" s="171">
        <f>SUMIFS(واردات!$N$4:$N$500,واردات!$J$4:$J$500,$C56,واردات!$I$4:$I$500,$A56)+SUMIFS(واردات!$F$4:$F$500,واردات!$B$4:$B$500,$C56,واردات!$A$4:$A$500,$A56)</f>
        <v>4693</v>
      </c>
      <c r="Q56" s="159">
        <v>1845.9835129579503</v>
      </c>
      <c r="R56" s="159">
        <f t="shared" si="16"/>
        <v>2847.0164870420494</v>
      </c>
      <c r="S56" s="175">
        <f>IF(SUM(P56:P64)=0,"",IFERROR(P56/Q56,""))</f>
        <v>2.5422762267687178</v>
      </c>
      <c r="T56" s="171">
        <f t="shared" si="119"/>
        <v>5499</v>
      </c>
      <c r="U56" s="159">
        <f t="shared" si="120"/>
        <v>8437.1573641751329</v>
      </c>
      <c r="V56" s="159">
        <f t="shared" si="37"/>
        <v>-2938.1573641751329</v>
      </c>
      <c r="W56" s="175">
        <f t="shared" ref="W56" si="205">IF(SUM(T56:T64)=0,"",IFERROR(T56/U56,""))</f>
        <v>0.65175980044525517</v>
      </c>
      <c r="X56" s="171">
        <f t="shared" si="122"/>
        <v>5653</v>
      </c>
      <c r="Y56" s="159">
        <f t="shared" si="123"/>
        <v>8263.9707261944786</v>
      </c>
      <c r="Z56" s="159">
        <f t="shared" si="39"/>
        <v>-2610.9707261944786</v>
      </c>
      <c r="AA56" s="175">
        <f t="shared" ref="AA56" si="206">IF(SUM(X56:X64)=0,"",IFERROR(X56/Y56,""))</f>
        <v>0.68405373001643976</v>
      </c>
      <c r="AB56" s="171">
        <f t="shared" si="125"/>
        <v>0</v>
      </c>
      <c r="AC56" s="159">
        <f t="shared" si="126"/>
        <v>0</v>
      </c>
      <c r="AD56" s="159">
        <f t="shared" si="41"/>
        <v>0</v>
      </c>
      <c r="AE56" s="175" t="str">
        <f t="shared" ref="AE56" si="207">IF(SUM(AB56:AB64)=0,"",IFERROR(AB56/AC56,""))</f>
        <v/>
      </c>
      <c r="AF56" s="171">
        <f t="shared" si="128"/>
        <v>18704</v>
      </c>
      <c r="AG56" s="159">
        <f t="shared" si="129"/>
        <v>18984.739169733977</v>
      </c>
      <c r="AH56" s="159">
        <f t="shared" si="43"/>
        <v>-280.73916973397718</v>
      </c>
      <c r="AI56" s="187">
        <f t="shared" ref="AI56" si="208">IF(SUM(AF56:AF64)=0,"",IFERROR(AF56/AG56,""))</f>
        <v>0.98521237678200291</v>
      </c>
      <c r="AJ56" s="157">
        <f t="shared" si="204"/>
        <v>4</v>
      </c>
    </row>
    <row r="57" spans="1:36" ht="24.95" customHeight="1" x14ac:dyDescent="0.25">
      <c r="A57" s="182" t="str">
        <f t="shared" si="34"/>
        <v>سرخس</v>
      </c>
      <c r="B57" s="216"/>
      <c r="C57" s="167" t="str">
        <f t="shared" si="35"/>
        <v>مرداد</v>
      </c>
      <c r="D57" s="171">
        <f>SUMIFS(واردات!$K$4:$K$500,واردات!$J$4:$J$500,$C57,واردات!$I$4:$I$500,$A57)+SUMIFS(واردات!$C$4:$C$500,واردات!$B$4:$B$500,$C57,واردات!$A$4:$A$500,$A57)</f>
        <v>1474</v>
      </c>
      <c r="E57" s="159">
        <v>2287.9595446155749</v>
      </c>
      <c r="F57" s="159">
        <f t="shared" si="36"/>
        <v>-813.95954461557494</v>
      </c>
      <c r="G57" s="175">
        <f>IF(SUM(D57:D64)=0,"",IFERROR(D57/E57,""))</f>
        <v>0.6442421604301849</v>
      </c>
      <c r="H57" s="171">
        <f>SUMIFS(واردات!$L$4:$L$500,واردات!$J$4:$J$500,$C57,واردات!$I$4:$I$500,$A57)+SUMIFS(واردات!$D$4:$D$500,واردات!$B$4:$B$500,$C57,واردات!$A$4:$A$500,$A57)</f>
        <v>1021</v>
      </c>
      <c r="I57" s="159">
        <v>2192.8511788858959</v>
      </c>
      <c r="J57" s="159">
        <f t="shared" si="14"/>
        <v>-1171.8511788858959</v>
      </c>
      <c r="K57" s="175">
        <f>IF(SUM(H57:H64)=0,"",IFERROR(H57/I57,""))</f>
        <v>0.46560387217828941</v>
      </c>
      <c r="L57" s="171">
        <f>SUMIFS(واردات!$M$4:$M$500,واردات!$J$4:$J$500,$C57,واردات!$I$4:$I$500,$A57)+SUMIFS(واردات!$E$4:$E$500,واردات!$B$4:$B$500,$C57,واردات!$A$4:$A$500,$A57)</f>
        <v>0</v>
      </c>
      <c r="M57" s="159">
        <v>0</v>
      </c>
      <c r="N57" s="159">
        <f t="shared" si="15"/>
        <v>0</v>
      </c>
      <c r="O57" s="175" t="str">
        <f>IF(SUM(L57:L64)=0,"",IFERROR(L57/M57,""))</f>
        <v/>
      </c>
      <c r="P57" s="171">
        <f>SUMIFS(واردات!$N$4:$N$500,واردات!$J$4:$J$500,$C57,واردات!$I$4:$I$500,$A57)+SUMIFS(واردات!$F$4:$F$500,واردات!$B$4:$B$500,$C57,واردات!$A$4:$A$500,$A57)</f>
        <v>5302</v>
      </c>
      <c r="Q57" s="159">
        <v>1845.9835129579503</v>
      </c>
      <c r="R57" s="159">
        <f t="shared" si="16"/>
        <v>3456.0164870420494</v>
      </c>
      <c r="S57" s="175">
        <f>IF(SUM(P57:P64)=0,"",IFERROR(P57/Q57,""))</f>
        <v>2.8721816651028638</v>
      </c>
      <c r="T57" s="171">
        <f t="shared" si="119"/>
        <v>6973</v>
      </c>
      <c r="U57" s="159">
        <f t="shared" si="120"/>
        <v>10725.116908790707</v>
      </c>
      <c r="V57" s="159">
        <f t="shared" si="37"/>
        <v>-3752.1169087907074</v>
      </c>
      <c r="W57" s="175">
        <f t="shared" ref="W57" si="209">IF(SUM(T57:T64)=0,"",IFERROR(T57/U57,""))</f>
        <v>0.65015608308051809</v>
      </c>
      <c r="X57" s="171">
        <f t="shared" si="122"/>
        <v>6674</v>
      </c>
      <c r="Y57" s="159">
        <f t="shared" si="123"/>
        <v>10456.821905080375</v>
      </c>
      <c r="Z57" s="159">
        <f t="shared" si="39"/>
        <v>-3782.8219050803746</v>
      </c>
      <c r="AA57" s="175">
        <f t="shared" ref="AA57" si="210">IF(SUM(X57:X64)=0,"",IFERROR(X57/Y57,""))</f>
        <v>0.63824363277694185</v>
      </c>
      <c r="AB57" s="171">
        <f t="shared" si="125"/>
        <v>0</v>
      </c>
      <c r="AC57" s="159">
        <f t="shared" si="126"/>
        <v>0</v>
      </c>
      <c r="AD57" s="159">
        <f t="shared" si="41"/>
        <v>0</v>
      </c>
      <c r="AE57" s="175" t="str">
        <f t="shared" ref="AE57" si="211">IF(SUM(AB57:AB64)=0,"",IFERROR(AB57/AC57,""))</f>
        <v/>
      </c>
      <c r="AF57" s="171">
        <f t="shared" si="128"/>
        <v>24006</v>
      </c>
      <c r="AG57" s="159">
        <f t="shared" si="129"/>
        <v>20830.722682691929</v>
      </c>
      <c r="AH57" s="159">
        <f t="shared" si="43"/>
        <v>3175.2773173080714</v>
      </c>
      <c r="AI57" s="187">
        <f t="shared" ref="AI57" si="212">IF(SUM(AF57:AF64)=0,"",IFERROR(AF57/AG57,""))</f>
        <v>1.1524324127240377</v>
      </c>
      <c r="AJ57" s="157">
        <f t="shared" si="204"/>
        <v>5</v>
      </c>
    </row>
    <row r="58" spans="1:36" ht="24.95" customHeight="1" x14ac:dyDescent="0.25">
      <c r="A58" s="182" t="str">
        <f t="shared" si="34"/>
        <v>سرخس</v>
      </c>
      <c r="B58" s="216"/>
      <c r="C58" s="167" t="str">
        <f t="shared" si="35"/>
        <v>شهریور</v>
      </c>
      <c r="D58" s="171">
        <f>SUMIFS(واردات!$K$4:$K$500,واردات!$J$4:$J$500,$C58,واردات!$I$4:$I$500,$A58)+SUMIFS(واردات!$C$4:$C$500,واردات!$B$4:$B$500,$C58,واردات!$A$4:$A$500,$A58)</f>
        <v>1732</v>
      </c>
      <c r="E58" s="159">
        <v>2287.9595446155749</v>
      </c>
      <c r="F58" s="159">
        <f t="shared" si="36"/>
        <v>-555.95954461557494</v>
      </c>
      <c r="G58" s="175">
        <f>IF(SUM(D58:D64)=0,"",IFERROR(D58/E58,""))</f>
        <v>0.75700639203872466</v>
      </c>
      <c r="H58" s="171">
        <f>SUMIFS(واردات!$L$4:$L$500,واردات!$J$4:$J$500,$C58,واردات!$I$4:$I$500,$A58)+SUMIFS(واردات!$D$4:$D$500,واردات!$B$4:$B$500,$C58,واردات!$A$4:$A$500,$A58)</f>
        <v>1208</v>
      </c>
      <c r="I58" s="159">
        <v>2192.8511788858959</v>
      </c>
      <c r="J58" s="159">
        <f t="shared" si="14"/>
        <v>-984.85117888589593</v>
      </c>
      <c r="K58" s="175">
        <f>IF(SUM(H58:H64)=0,"",IFERROR(H58/I58,""))</f>
        <v>0.55088097707284389</v>
      </c>
      <c r="L58" s="171">
        <f>SUMIFS(واردات!$M$4:$M$500,واردات!$J$4:$J$500,$C58,واردات!$I$4:$I$500,$A58)+SUMIFS(واردات!$E$4:$E$500,واردات!$B$4:$B$500,$C58,واردات!$A$4:$A$500,$A58)</f>
        <v>0</v>
      </c>
      <c r="M58" s="159">
        <v>0</v>
      </c>
      <c r="N58" s="159">
        <f t="shared" si="15"/>
        <v>0</v>
      </c>
      <c r="O58" s="175" t="str">
        <f>IF(SUM(L58:L64)=0,"",IFERROR(L58/M58,""))</f>
        <v/>
      </c>
      <c r="P58" s="171">
        <f>SUMIFS(واردات!$N$4:$N$500,واردات!$J$4:$J$500,$C58,واردات!$I$4:$I$500,$A58)+SUMIFS(واردات!$F$4:$F$500,واردات!$B$4:$B$500,$C58,واردات!$A$4:$A$500,$A58)</f>
        <v>5631</v>
      </c>
      <c r="Q58" s="159">
        <v>1845.9835129579503</v>
      </c>
      <c r="R58" s="159">
        <f t="shared" si="16"/>
        <v>3785.0164870420494</v>
      </c>
      <c r="S58" s="175">
        <f>IF(SUM(P58:P64)=0,"",IFERROR(P58/Q58,""))</f>
        <v>3.0504064421339545</v>
      </c>
      <c r="T58" s="171">
        <f t="shared" si="119"/>
        <v>8705</v>
      </c>
      <c r="U58" s="159">
        <f t="shared" si="120"/>
        <v>13013.076453406282</v>
      </c>
      <c r="V58" s="159">
        <f t="shared" si="37"/>
        <v>-4308.0764534062819</v>
      </c>
      <c r="W58" s="175">
        <f t="shared" ref="W58" si="213">IF(SUM(T58:T64)=0,"",IFERROR(T58/U58,""))</f>
        <v>0.66894250803555322</v>
      </c>
      <c r="X58" s="171">
        <f t="shared" si="122"/>
        <v>7882</v>
      </c>
      <c r="Y58" s="159">
        <f t="shared" si="123"/>
        <v>12649.67308396627</v>
      </c>
      <c r="Z58" s="159">
        <f t="shared" si="39"/>
        <v>-4767.6730839662705</v>
      </c>
      <c r="AA58" s="175">
        <f t="shared" ref="AA58" si="214">IF(SUM(X58:X64)=0,"",IFERROR(X58/Y58,""))</f>
        <v>0.62309910680542424</v>
      </c>
      <c r="AB58" s="171">
        <f t="shared" si="125"/>
        <v>0</v>
      </c>
      <c r="AC58" s="159">
        <f t="shared" si="126"/>
        <v>0</v>
      </c>
      <c r="AD58" s="159">
        <f t="shared" si="41"/>
        <v>0</v>
      </c>
      <c r="AE58" s="175" t="str">
        <f t="shared" ref="AE58" si="215">IF(SUM(AB58:AB64)=0,"",IFERROR(AB58/AC58,""))</f>
        <v/>
      </c>
      <c r="AF58" s="171">
        <f t="shared" si="128"/>
        <v>29637</v>
      </c>
      <c r="AG58" s="159">
        <f t="shared" si="129"/>
        <v>22676.70619564988</v>
      </c>
      <c r="AH58" s="159">
        <f t="shared" si="43"/>
        <v>6960.2938043501199</v>
      </c>
      <c r="AI58" s="187">
        <f t="shared" ref="AI58" si="216">IF(SUM(AF58:AF64)=0,"",IFERROR(AF58/AG58,""))</f>
        <v>1.3069358373433144</v>
      </c>
      <c r="AJ58" s="157">
        <f t="shared" si="204"/>
        <v>6</v>
      </c>
    </row>
    <row r="59" spans="1:36" ht="24.95" customHeight="1" x14ac:dyDescent="0.25">
      <c r="A59" s="182" t="str">
        <f t="shared" si="34"/>
        <v>سرخس</v>
      </c>
      <c r="B59" s="216"/>
      <c r="C59" s="167" t="str">
        <f t="shared" si="35"/>
        <v>مهر</v>
      </c>
      <c r="D59" s="171">
        <f>SUMIFS(واردات!$K$4:$K$500,واردات!$J$4:$J$500,$C59,واردات!$I$4:$I$500,$A59)+SUMIFS(واردات!$C$4:$C$500,واردات!$B$4:$B$500,$C59,واردات!$A$4:$A$500,$A59)</f>
        <v>2111</v>
      </c>
      <c r="E59" s="159">
        <v>3053.2325393760043</v>
      </c>
      <c r="F59" s="159">
        <f t="shared" si="36"/>
        <v>-942.2325393760043</v>
      </c>
      <c r="G59" s="175">
        <f>IF(SUM(D59:D64)=0,"",IFERROR(D59/E59,""))</f>
        <v>0.69139836968704305</v>
      </c>
      <c r="H59" s="171">
        <f>SUMIFS(واردات!$L$4:$L$500,واردات!$J$4:$J$500,$C59,واردات!$I$4:$I$500,$A59)+SUMIFS(واردات!$D$4:$D$500,واردات!$B$4:$B$500,$C59,واردات!$A$4:$A$500,$A59)</f>
        <v>2189</v>
      </c>
      <c r="I59" s="159">
        <v>2499.5733314689237</v>
      </c>
      <c r="J59" s="159">
        <f t="shared" si="14"/>
        <v>-310.5733314689237</v>
      </c>
      <c r="K59" s="175">
        <f>IF(SUM(H59:H64)=0,"",IFERROR(H59/I59,""))</f>
        <v>0.87574946189459901</v>
      </c>
      <c r="L59" s="171">
        <f>SUMIFS(واردات!$M$4:$M$500,واردات!$J$4:$J$500,$C59,واردات!$I$4:$I$500,$A59)+SUMIFS(واردات!$E$4:$E$500,واردات!$B$4:$B$500,$C59,واردات!$A$4:$A$500,$A59)</f>
        <v>0</v>
      </c>
      <c r="M59" s="159">
        <v>0</v>
      </c>
      <c r="N59" s="159">
        <f t="shared" si="15"/>
        <v>0</v>
      </c>
      <c r="O59" s="175" t="str">
        <f>IF(SUM(L59:L64)=0,"",IFERROR(L59/M59,""))</f>
        <v/>
      </c>
      <c r="P59" s="171">
        <f>SUMIFS(واردات!$N$4:$N$500,واردات!$J$4:$J$500,$C59,واردات!$I$4:$I$500,$A59)+SUMIFS(واردات!$F$4:$F$500,واردات!$B$4:$B$500,$C59,واردات!$A$4:$A$500,$A59)</f>
        <v>6463</v>
      </c>
      <c r="Q59" s="159">
        <v>2685.7646014500415</v>
      </c>
      <c r="R59" s="159">
        <f t="shared" si="16"/>
        <v>3777.2353985499585</v>
      </c>
      <c r="S59" s="175">
        <f>IF(SUM(P59:P64)=0,"",IFERROR(P59/Q59,""))</f>
        <v>2.4063910874805012</v>
      </c>
      <c r="T59" s="171">
        <f t="shared" si="119"/>
        <v>10816</v>
      </c>
      <c r="U59" s="159">
        <f t="shared" si="120"/>
        <v>16066.308992782286</v>
      </c>
      <c r="V59" s="159">
        <f t="shared" si="37"/>
        <v>-5250.3089927822857</v>
      </c>
      <c r="W59" s="175">
        <f t="shared" ref="W59" si="217">IF(SUM(T59:T64)=0,"",IFERROR(T59/U59,""))</f>
        <v>0.67321000765384487</v>
      </c>
      <c r="X59" s="171">
        <f t="shared" si="122"/>
        <v>10071</v>
      </c>
      <c r="Y59" s="159">
        <f t="shared" si="123"/>
        <v>15149.246415435195</v>
      </c>
      <c r="Z59" s="159">
        <f t="shared" si="39"/>
        <v>-5078.2464154351946</v>
      </c>
      <c r="AA59" s="175">
        <f t="shared" ref="AA59" si="218">IF(SUM(X59:X64)=0,"",IFERROR(X59/Y59,""))</f>
        <v>0.66478554271444856</v>
      </c>
      <c r="AB59" s="171">
        <f t="shared" si="125"/>
        <v>0</v>
      </c>
      <c r="AC59" s="159">
        <f t="shared" si="126"/>
        <v>0</v>
      </c>
      <c r="AD59" s="159">
        <f t="shared" si="41"/>
        <v>0</v>
      </c>
      <c r="AE59" s="175" t="str">
        <f t="shared" ref="AE59" si="219">IF(SUM(AB59:AB64)=0,"",IFERROR(AB59/AC59,""))</f>
        <v/>
      </c>
      <c r="AF59" s="171">
        <f t="shared" si="128"/>
        <v>36100</v>
      </c>
      <c r="AG59" s="159">
        <f t="shared" si="129"/>
        <v>25362.470797099922</v>
      </c>
      <c r="AH59" s="159">
        <f t="shared" si="43"/>
        <v>10737.529202900078</v>
      </c>
      <c r="AI59" s="187">
        <f t="shared" ref="AI59" si="220">IF(SUM(AF59:AF64)=0,"",IFERROR(AF59/AG59,""))</f>
        <v>1.4233629005943642</v>
      </c>
      <c r="AJ59" s="157">
        <f t="shared" si="204"/>
        <v>7</v>
      </c>
    </row>
    <row r="60" spans="1:36" ht="24.95" customHeight="1" x14ac:dyDescent="0.25">
      <c r="A60" s="182" t="str">
        <f t="shared" si="34"/>
        <v>سرخس</v>
      </c>
      <c r="B60" s="216"/>
      <c r="C60" s="167" t="str">
        <f t="shared" si="35"/>
        <v>آبان</v>
      </c>
      <c r="D60" s="171">
        <f>SUMIFS(واردات!$K$4:$K$500,واردات!$J$4:$J$500,$C60,واردات!$I$4:$I$500,$A60)+SUMIFS(واردات!$C$4:$C$500,واردات!$B$4:$B$500,$C60,واردات!$A$4:$A$500,$A60)</f>
        <v>2167</v>
      </c>
      <c r="E60" s="159">
        <v>3053.2325393760043</v>
      </c>
      <c r="F60" s="159">
        <f t="shared" si="36"/>
        <v>-886.2325393760043</v>
      </c>
      <c r="G60" s="175">
        <f>IF(SUM(D60:D64)=0,"",IFERROR(D60/E60,""))</f>
        <v>0.70973958650488977</v>
      </c>
      <c r="H60" s="171">
        <f>SUMIFS(واردات!$L$4:$L$500,واردات!$J$4:$J$500,$C60,واردات!$I$4:$I$500,$A60)+SUMIFS(واردات!$D$4:$D$500,واردات!$B$4:$B$500,$C60,واردات!$A$4:$A$500,$A60)</f>
        <v>1982</v>
      </c>
      <c r="I60" s="159">
        <v>2499.5733314689237</v>
      </c>
      <c r="J60" s="159">
        <f t="shared" si="14"/>
        <v>-517.5733314689237</v>
      </c>
      <c r="K60" s="175">
        <f>IF(SUM(H60:H64)=0,"",IFERROR(H60/I60,""))</f>
        <v>0.79293532822069213</v>
      </c>
      <c r="L60" s="171">
        <f>SUMIFS(واردات!$M$4:$M$500,واردات!$J$4:$J$500,$C60,واردات!$I$4:$I$500,$A60)+SUMIFS(واردات!$E$4:$E$500,واردات!$B$4:$B$500,$C60,واردات!$A$4:$A$500,$A60)</f>
        <v>0</v>
      </c>
      <c r="M60" s="159">
        <v>0</v>
      </c>
      <c r="N60" s="159">
        <f t="shared" si="15"/>
        <v>0</v>
      </c>
      <c r="O60" s="175" t="str">
        <f>IF(SUM(L60:L64)=0,"",IFERROR(L60/M60,""))</f>
        <v/>
      </c>
      <c r="P60" s="171">
        <f>SUMIFS(واردات!$N$4:$N$500,واردات!$J$4:$J$500,$C60,واردات!$I$4:$I$500,$A60)+SUMIFS(واردات!$F$4:$F$500,واردات!$B$4:$B$500,$C60,واردات!$A$4:$A$500,$A60)</f>
        <v>6534</v>
      </c>
      <c r="Q60" s="159">
        <v>2685.7646014500415</v>
      </c>
      <c r="R60" s="159">
        <f t="shared" si="16"/>
        <v>3848.2353985499585</v>
      </c>
      <c r="S60" s="175">
        <f>IF(SUM(P60:P64)=0,"",IFERROR(P60/Q60,""))</f>
        <v>2.4328267624319349</v>
      </c>
      <c r="T60" s="171">
        <f t="shared" si="119"/>
        <v>12983</v>
      </c>
      <c r="U60" s="159">
        <f t="shared" si="120"/>
        <v>19119.541532158291</v>
      </c>
      <c r="V60" s="159">
        <f t="shared" si="37"/>
        <v>-6136.5415321582914</v>
      </c>
      <c r="W60" s="175">
        <f t="shared" ref="W60" si="221">IF(SUM(T60:T64)=0,"",IFERROR(T60/U60,""))</f>
        <v>0.67904347905848694</v>
      </c>
      <c r="X60" s="171">
        <f t="shared" si="122"/>
        <v>12053</v>
      </c>
      <c r="Y60" s="159">
        <f t="shared" si="123"/>
        <v>17648.819746904119</v>
      </c>
      <c r="Z60" s="159">
        <f t="shared" si="39"/>
        <v>-5595.8197469041188</v>
      </c>
      <c r="AA60" s="175">
        <f t="shared" ref="AA60" si="222">IF(SUM(X60:X64)=0,"",IFERROR(X60/Y60,""))</f>
        <v>0.68293518619647564</v>
      </c>
      <c r="AB60" s="171">
        <f t="shared" si="125"/>
        <v>0</v>
      </c>
      <c r="AC60" s="159">
        <f t="shared" si="126"/>
        <v>0</v>
      </c>
      <c r="AD60" s="159">
        <f t="shared" si="41"/>
        <v>0</v>
      </c>
      <c r="AE60" s="175" t="str">
        <f t="shared" ref="AE60" si="223">IF(SUM(AB60:AB64)=0,"",IFERROR(AB60/AC60,""))</f>
        <v/>
      </c>
      <c r="AF60" s="171">
        <f t="shared" si="128"/>
        <v>42634</v>
      </c>
      <c r="AG60" s="159">
        <f t="shared" si="129"/>
        <v>28048.235398549965</v>
      </c>
      <c r="AH60" s="159">
        <f t="shared" si="43"/>
        <v>14585.764601450035</v>
      </c>
      <c r="AI60" s="187">
        <f t="shared" ref="AI60" si="224">IF(SUM(AF60:AF64)=0,"",IFERROR(AF60/AG60,""))</f>
        <v>1.5200243221790732</v>
      </c>
      <c r="AJ60" s="157">
        <f t="shared" si="204"/>
        <v>8</v>
      </c>
    </row>
    <row r="61" spans="1:36" ht="24.95" customHeight="1" x14ac:dyDescent="0.25">
      <c r="A61" s="182" t="str">
        <f t="shared" si="34"/>
        <v>سرخس</v>
      </c>
      <c r="B61" s="216"/>
      <c r="C61" s="167" t="str">
        <f t="shared" si="35"/>
        <v>آذر</v>
      </c>
      <c r="D61" s="171">
        <f>SUMIFS(واردات!$K$4:$K$500,واردات!$J$4:$J$500,$C61,واردات!$I$4:$I$500,$A61)+SUMIFS(واردات!$C$4:$C$500,واردات!$B$4:$B$500,$C61,واردات!$A$4:$A$500,$A61)</f>
        <v>2222</v>
      </c>
      <c r="E61" s="159">
        <v>3053.2325393760043</v>
      </c>
      <c r="F61" s="159">
        <f t="shared" si="36"/>
        <v>-831.2325393760043</v>
      </c>
      <c r="G61" s="175">
        <f>IF(SUM(D61:D64)=0,"",IFERROR(D61/E61,""))</f>
        <v>0.72775328159384645</v>
      </c>
      <c r="H61" s="171">
        <f>SUMIFS(واردات!$L$4:$L$500,واردات!$J$4:$J$500,$C61,واردات!$I$4:$I$500,$A61)+SUMIFS(واردات!$D$4:$D$500,واردات!$B$4:$B$500,$C61,واردات!$A$4:$A$500,$A61)</f>
        <v>2024</v>
      </c>
      <c r="I61" s="159">
        <v>2499.5733314689237</v>
      </c>
      <c r="J61" s="159">
        <f t="shared" si="14"/>
        <v>-475.5733314689237</v>
      </c>
      <c r="K61" s="175">
        <f>IF(SUM(H61:H64)=0,"",IFERROR(H61/I61,""))</f>
        <v>0.80973819592264429</v>
      </c>
      <c r="L61" s="171">
        <f>SUMIFS(واردات!$M$4:$M$500,واردات!$J$4:$J$500,$C61,واردات!$I$4:$I$500,$A61)+SUMIFS(واردات!$E$4:$E$500,واردات!$B$4:$B$500,$C61,واردات!$A$4:$A$500,$A61)</f>
        <v>0</v>
      </c>
      <c r="M61" s="159">
        <v>0</v>
      </c>
      <c r="N61" s="159">
        <f t="shared" si="15"/>
        <v>0</v>
      </c>
      <c r="O61" s="175" t="str">
        <f>IF(SUM(L61:L64)=0,"",IFERROR(L61/M61,""))</f>
        <v/>
      </c>
      <c r="P61" s="171">
        <f>SUMIFS(واردات!$N$4:$N$500,واردات!$J$4:$J$500,$C61,واردات!$I$4:$I$500,$A61)+SUMIFS(واردات!$F$4:$F$500,واردات!$B$4:$B$500,$C61,واردات!$A$4:$A$500,$A61)</f>
        <v>7529</v>
      </c>
      <c r="Q61" s="159">
        <v>2685.7646014500415</v>
      </c>
      <c r="R61" s="159">
        <f t="shared" si="16"/>
        <v>4843.2353985499585</v>
      </c>
      <c r="S61" s="175">
        <f>IF(SUM(P61:P64)=0,"",IFERROR(P61/Q61,""))</f>
        <v>2.803298545202026</v>
      </c>
      <c r="T61" s="171">
        <f t="shared" si="119"/>
        <v>15205</v>
      </c>
      <c r="U61" s="159">
        <f t="shared" si="120"/>
        <v>22172.774071534295</v>
      </c>
      <c r="V61" s="159">
        <f t="shared" si="37"/>
        <v>-6967.7740715342952</v>
      </c>
      <c r="W61" s="175">
        <f t="shared" ref="W61" si="225">IF(SUM(T61:T64)=0,"",IFERROR(T61/U61,""))</f>
        <v>0.68575091014526612</v>
      </c>
      <c r="X61" s="171">
        <f t="shared" si="122"/>
        <v>14077</v>
      </c>
      <c r="Y61" s="159">
        <f t="shared" si="123"/>
        <v>20148.393078373043</v>
      </c>
      <c r="Z61" s="159">
        <f t="shared" si="39"/>
        <v>-6071.393078373043</v>
      </c>
      <c r="AA61" s="175">
        <f t="shared" ref="AA61" si="226">IF(SUM(X61:X64)=0,"",IFERROR(X61/Y61,""))</f>
        <v>0.69866613904361552</v>
      </c>
      <c r="AB61" s="171">
        <f t="shared" si="125"/>
        <v>0</v>
      </c>
      <c r="AC61" s="159">
        <f t="shared" si="126"/>
        <v>0</v>
      </c>
      <c r="AD61" s="159">
        <f t="shared" si="41"/>
        <v>0</v>
      </c>
      <c r="AE61" s="175" t="str">
        <f t="shared" ref="AE61" si="227">IF(SUM(AB61:AB64)=0,"",IFERROR(AB61/AC61,""))</f>
        <v/>
      </c>
      <c r="AF61" s="171">
        <f t="shared" si="128"/>
        <v>50163</v>
      </c>
      <c r="AG61" s="159">
        <f t="shared" si="129"/>
        <v>30734.000000000007</v>
      </c>
      <c r="AH61" s="159">
        <f t="shared" si="43"/>
        <v>19428.999999999993</v>
      </c>
      <c r="AI61" s="187">
        <f t="shared" ref="AI61" si="228">IF(SUM(AF61:AF64)=0,"",IFERROR(AF61/AG61,""))</f>
        <v>1.6321663304483629</v>
      </c>
      <c r="AJ61" s="157">
        <f t="shared" si="204"/>
        <v>9</v>
      </c>
    </row>
    <row r="62" spans="1:36" ht="24.95" customHeight="1" x14ac:dyDescent="0.25">
      <c r="A62" s="182" t="str">
        <f t="shared" si="34"/>
        <v>سرخس</v>
      </c>
      <c r="B62" s="216"/>
      <c r="C62" s="167" t="str">
        <f t="shared" si="35"/>
        <v>دی</v>
      </c>
      <c r="D62" s="171">
        <f>SUMIFS(واردات!$K$4:$K$500,واردات!$J$4:$J$500,$C62,واردات!$I$4:$I$500,$A62)+SUMIFS(واردات!$C$4:$C$500,واردات!$B$4:$B$500,$C62,واردات!$A$4:$A$500,$A62)</f>
        <v>1390</v>
      </c>
      <c r="E62" s="159">
        <v>1930.870181283439</v>
      </c>
      <c r="F62" s="159">
        <f t="shared" si="36"/>
        <v>-540.87018128343902</v>
      </c>
      <c r="G62" s="175">
        <f>IF(SUM(D62:D64)=0,"",IFERROR(D62/E62,""))</f>
        <v>0.71988267956785912</v>
      </c>
      <c r="H62" s="171">
        <f>SUMIFS(واردات!$L$4:$L$500,واردات!$J$4:$J$500,$C62,واردات!$I$4:$I$500,$A62)+SUMIFS(واردات!$D$4:$D$500,واردات!$B$4:$B$500,$C62,واردات!$A$4:$A$500,$A62)</f>
        <v>1841</v>
      </c>
      <c r="I62" s="159">
        <v>1897.7151277218056</v>
      </c>
      <c r="J62" s="159">
        <f t="shared" si="14"/>
        <v>-56.715127721805629</v>
      </c>
      <c r="K62" s="175">
        <f>IF(SUM(H62:H64)=0,"",IFERROR(H62/I62,""))</f>
        <v>0.97011399293112466</v>
      </c>
      <c r="L62" s="171">
        <f>SUMIFS(واردات!$M$4:$M$500,واردات!$J$4:$J$500,$C62,واردات!$I$4:$I$500,$A62)+SUMIFS(واردات!$E$4:$E$500,واردات!$B$4:$B$500,$C62,واردات!$A$4:$A$500,$A62)</f>
        <v>0</v>
      </c>
      <c r="M62" s="159">
        <v>0</v>
      </c>
      <c r="N62" s="159">
        <f t="shared" si="15"/>
        <v>0</v>
      </c>
      <c r="O62" s="175" t="str">
        <f>IF(SUM(L62:L64)=0,"",IFERROR(L62/M62,""))</f>
        <v/>
      </c>
      <c r="P62" s="171">
        <f>SUMIFS(واردات!$N$4:$N$500,واردات!$J$4:$J$500,$C62,واردات!$I$4:$I$500,$A62)+SUMIFS(واردات!$F$4:$F$500,واردات!$B$4:$B$500,$C62,واردات!$A$4:$A$500,$A62)</f>
        <v>12000</v>
      </c>
      <c r="Q62" s="159">
        <v>3055.0008937330199</v>
      </c>
      <c r="R62" s="159">
        <f t="shared" si="16"/>
        <v>8944.9991062669797</v>
      </c>
      <c r="S62" s="175">
        <f>IF(SUM(P62:P64)=0,"",IFERROR(P62/Q62,""))</f>
        <v>3.9279857575873738</v>
      </c>
      <c r="T62" s="171">
        <f t="shared" si="119"/>
        <v>16595</v>
      </c>
      <c r="U62" s="159">
        <f t="shared" si="120"/>
        <v>24103.644252817736</v>
      </c>
      <c r="V62" s="159">
        <f t="shared" si="37"/>
        <v>-7508.6442528177358</v>
      </c>
      <c r="W62" s="175">
        <f t="shared" ref="W62" si="229">IF(SUM(T62:T64)=0,"",IFERROR(T62/U62,""))</f>
        <v>0.688485103162773</v>
      </c>
      <c r="X62" s="171">
        <f t="shared" si="122"/>
        <v>15918</v>
      </c>
      <c r="Y62" s="159">
        <f t="shared" si="123"/>
        <v>22046.10820609485</v>
      </c>
      <c r="Z62" s="159">
        <f t="shared" si="39"/>
        <v>-6128.1082060948502</v>
      </c>
      <c r="AA62" s="175">
        <f t="shared" ref="AA62" si="230">IF(SUM(X62:X64)=0,"",IFERROR(X62/Y62,""))</f>
        <v>0.72203219956977815</v>
      </c>
      <c r="AB62" s="171">
        <f t="shared" si="125"/>
        <v>0</v>
      </c>
      <c r="AC62" s="159">
        <f t="shared" si="126"/>
        <v>0</v>
      </c>
      <c r="AD62" s="159">
        <f t="shared" si="41"/>
        <v>0</v>
      </c>
      <c r="AE62" s="175" t="str">
        <f t="shared" ref="AE62" si="231">IF(SUM(AB62:AB64)=0,"",IFERROR(AB62/AC62,""))</f>
        <v/>
      </c>
      <c r="AF62" s="171">
        <f t="shared" si="128"/>
        <v>62163</v>
      </c>
      <c r="AG62" s="159">
        <f t="shared" si="129"/>
        <v>33789.000893733028</v>
      </c>
      <c r="AH62" s="159">
        <f t="shared" si="43"/>
        <v>28373.999106266972</v>
      </c>
      <c r="AI62" s="187">
        <f t="shared" ref="AI62" si="232">IF(SUM(AF62:AF64)=0,"",IFERROR(AF62/AG62,""))</f>
        <v>1.8397406953672195</v>
      </c>
      <c r="AJ62" s="157">
        <f t="shared" si="204"/>
        <v>10</v>
      </c>
    </row>
    <row r="63" spans="1:36" ht="24.95" customHeight="1" x14ac:dyDescent="0.25">
      <c r="A63" s="182" t="str">
        <f t="shared" si="34"/>
        <v>سرخس</v>
      </c>
      <c r="B63" s="216"/>
      <c r="C63" s="167" t="str">
        <f t="shared" si="35"/>
        <v>بهمن</v>
      </c>
      <c r="D63" s="171">
        <f>SUMIFS(واردات!$K$4:$K$500,واردات!$J$4:$J$500,$C63,واردات!$I$4:$I$500,$A63)+SUMIFS(واردات!$C$4:$C$500,واردات!$B$4:$B$500,$C63,واردات!$A$4:$A$500,$A63)</f>
        <v>1616</v>
      </c>
      <c r="E63" s="159">
        <v>1930.870181283439</v>
      </c>
      <c r="F63" s="159">
        <f t="shared" si="36"/>
        <v>-314.87018128343902</v>
      </c>
      <c r="G63" s="175">
        <f>IF(SUM(D63:D64)=0,"",IFERROR(D63/E63,""))</f>
        <v>0.83692835264867649</v>
      </c>
      <c r="H63" s="171">
        <f>SUMIFS(واردات!$L$4:$L$500,واردات!$J$4:$J$500,$C63,واردات!$I$4:$I$500,$A63)+SUMIFS(واردات!$D$4:$D$500,واردات!$B$4:$B$500,$C63,واردات!$A$4:$A$500,$A63)</f>
        <v>1541</v>
      </c>
      <c r="I63" s="159">
        <v>1897.7151277218056</v>
      </c>
      <c r="J63" s="159">
        <f t="shared" si="14"/>
        <v>-356.71512772180563</v>
      </c>
      <c r="K63" s="175">
        <f>IF(SUM(H63:H64)=0,"",IFERROR(H63/I63,""))</f>
        <v>0.81202914889020261</v>
      </c>
      <c r="L63" s="171">
        <f>SUMIFS(واردات!$M$4:$M$500,واردات!$J$4:$J$500,$C63,واردات!$I$4:$I$500,$A63)+SUMIFS(واردات!$E$4:$E$500,واردات!$B$4:$B$500,$C63,واردات!$A$4:$A$500,$A63)</f>
        <v>0</v>
      </c>
      <c r="M63" s="159">
        <v>0</v>
      </c>
      <c r="N63" s="159">
        <f t="shared" si="15"/>
        <v>0</v>
      </c>
      <c r="O63" s="175" t="str">
        <f>IF(SUM(L63:L64)=0,"",IFERROR(L63/M63,""))</f>
        <v/>
      </c>
      <c r="P63" s="171">
        <f>SUMIFS(واردات!$N$4:$N$500,واردات!$J$4:$J$500,$C63,واردات!$I$4:$I$500,$A63)+SUMIFS(واردات!$F$4:$F$500,واردات!$B$4:$B$500,$C63,واردات!$A$4:$A$500,$A63)</f>
        <v>12868</v>
      </c>
      <c r="Q63" s="159">
        <v>3055.0008937330199</v>
      </c>
      <c r="R63" s="159">
        <f t="shared" si="16"/>
        <v>9812.9991062669797</v>
      </c>
      <c r="S63" s="175">
        <f>IF(SUM(P63:P64)=0,"",IFERROR(P63/Q63,""))</f>
        <v>4.2121100607195272</v>
      </c>
      <c r="T63" s="171">
        <f t="shared" si="119"/>
        <v>18211</v>
      </c>
      <c r="U63" s="159">
        <f t="shared" si="120"/>
        <v>26034.514434101176</v>
      </c>
      <c r="V63" s="159">
        <f t="shared" si="37"/>
        <v>-7823.5144341011764</v>
      </c>
      <c r="W63" s="175">
        <f t="shared" ref="W63" si="233">IF(SUM(T63:T64)=0,"",IFERROR(T63/U63,""))</f>
        <v>0.69949451318156386</v>
      </c>
      <c r="X63" s="171">
        <f t="shared" si="122"/>
        <v>17459</v>
      </c>
      <c r="Y63" s="159">
        <f t="shared" si="123"/>
        <v>23943.823333816657</v>
      </c>
      <c r="Z63" s="159">
        <f t="shared" si="39"/>
        <v>-6484.8233338166574</v>
      </c>
      <c r="AA63" s="175">
        <f t="shared" ref="AA63" si="234">IF(SUM(X63:X64)=0,"",IFERROR(X63/Y63,""))</f>
        <v>0.72916508598449581</v>
      </c>
      <c r="AB63" s="171">
        <f t="shared" si="125"/>
        <v>0</v>
      </c>
      <c r="AC63" s="159">
        <f t="shared" si="126"/>
        <v>0</v>
      </c>
      <c r="AD63" s="159">
        <f t="shared" si="41"/>
        <v>0</v>
      </c>
      <c r="AE63" s="175" t="str">
        <f t="shared" ref="AE63" si="235">IF(SUM(AB63:AB64)=0,"",IFERROR(AB63/AC63,""))</f>
        <v/>
      </c>
      <c r="AF63" s="171">
        <f t="shared" si="128"/>
        <v>75031</v>
      </c>
      <c r="AG63" s="159">
        <f t="shared" si="129"/>
        <v>36844.001787466048</v>
      </c>
      <c r="AH63" s="159">
        <f t="shared" si="43"/>
        <v>38186.998212533952</v>
      </c>
      <c r="AI63" s="187">
        <f t="shared" ref="AI63" si="236">IF(SUM(AF63:AF64)=0,"",IFERROR(AF63/AG63,""))</f>
        <v>2.0364508837236235</v>
      </c>
      <c r="AJ63" s="157">
        <f t="shared" si="204"/>
        <v>11</v>
      </c>
    </row>
    <row r="64" spans="1:36" ht="24.95" customHeight="1" thickBot="1" x14ac:dyDescent="0.3">
      <c r="A64" s="182" t="str">
        <f t="shared" si="34"/>
        <v>سرخس</v>
      </c>
      <c r="B64" s="217"/>
      <c r="C64" s="168" t="str">
        <f t="shared" si="35"/>
        <v>اسفند</v>
      </c>
      <c r="D64" s="172">
        <f>SUMIFS(واردات!$K$4:$K$500,واردات!$J$4:$J$500,$C64,واردات!$I$4:$I$500,$A64)+SUMIFS(واردات!$C$4:$C$500,واردات!$B$4:$B$500,$C64,واردات!$A$4:$A$500,$A64)</f>
        <v>1285</v>
      </c>
      <c r="E64" s="173">
        <v>1930.870181283439</v>
      </c>
      <c r="F64" s="173">
        <f t="shared" si="36"/>
        <v>-645.87018128343902</v>
      </c>
      <c r="G64" s="176">
        <f>IF(SUM(D64)=0,"",IFERROR(D64/E64,""))</f>
        <v>0.6655030526940281</v>
      </c>
      <c r="H64" s="172">
        <f>SUMIFS(واردات!$L$4:$L$500,واردات!$J$4:$J$500,$C64,واردات!$I$4:$I$500,$A64)+SUMIFS(واردات!$D$4:$D$500,واردات!$B$4:$B$500,$C64,واردات!$A$4:$A$500,$A64)</f>
        <v>1490</v>
      </c>
      <c r="I64" s="173">
        <v>1897.7151277218056</v>
      </c>
      <c r="J64" s="173">
        <f t="shared" si="14"/>
        <v>-407.71512772180563</v>
      </c>
      <c r="K64" s="176">
        <f>IF(SUM(H64)=0,"",IFERROR(H64/I64,""))</f>
        <v>0.78515472540324593</v>
      </c>
      <c r="L64" s="172">
        <f>SUMIFS(واردات!$M$4:$M$500,واردات!$J$4:$J$500,$C64,واردات!$I$4:$I$500,$A64)+SUMIFS(واردات!$E$4:$E$500,واردات!$B$4:$B$500,$C64,واردات!$A$4:$A$500,$A64)</f>
        <v>0</v>
      </c>
      <c r="M64" s="173">
        <v>0</v>
      </c>
      <c r="N64" s="173">
        <f t="shared" si="15"/>
        <v>0</v>
      </c>
      <c r="O64" s="176" t="str">
        <f>IF(SUM(L64)=0,"",IFERROR(L64/M64,""))</f>
        <v/>
      </c>
      <c r="P64" s="172">
        <f>SUMIFS(واردات!$N$4:$N$500,واردات!$J$4:$J$500,$C64,واردات!$I$4:$I$500,$A64)+SUMIFS(واردات!$F$4:$F$500,واردات!$B$4:$B$500,$C64,واردات!$A$4:$A$500,$A64)</f>
        <v>6691</v>
      </c>
      <c r="Q64" s="173">
        <v>3055.0008937330199</v>
      </c>
      <c r="R64" s="173">
        <f t="shared" si="16"/>
        <v>3635.9991062669801</v>
      </c>
      <c r="S64" s="176">
        <f>IF(SUM(P64)=0,"",IFERROR(P64/Q64,""))</f>
        <v>2.1901793920014265</v>
      </c>
      <c r="T64" s="172">
        <f t="shared" si="119"/>
        <v>19496</v>
      </c>
      <c r="U64" s="173">
        <f t="shared" si="120"/>
        <v>27965.384615384617</v>
      </c>
      <c r="V64" s="173">
        <f t="shared" si="37"/>
        <v>-8469.3846153846171</v>
      </c>
      <c r="W64" s="176">
        <f t="shared" ref="W64" si="237">IF(SUM(T64)=0,"",IFERROR(T64/U64,""))</f>
        <v>0.69714757254848025</v>
      </c>
      <c r="X64" s="172">
        <f t="shared" si="122"/>
        <v>18949</v>
      </c>
      <c r="Y64" s="173">
        <f t="shared" si="123"/>
        <v>25841.538461538465</v>
      </c>
      <c r="Z64" s="173">
        <f t="shared" si="39"/>
        <v>-6892.5384615384646</v>
      </c>
      <c r="AA64" s="176">
        <f t="shared" ref="AA64" si="238">IF(SUM(X64)=0,"",IFERROR(X64/Y64,""))</f>
        <v>0.73327677561469307</v>
      </c>
      <c r="AB64" s="172">
        <f t="shared" si="125"/>
        <v>0</v>
      </c>
      <c r="AC64" s="173">
        <f t="shared" si="126"/>
        <v>0</v>
      </c>
      <c r="AD64" s="173">
        <f t="shared" si="41"/>
        <v>0</v>
      </c>
      <c r="AE64" s="176" t="str">
        <f t="shared" ref="AE64" si="239">IF(SUM(AB64)=0,"",IFERROR(AB64/AC64,""))</f>
        <v/>
      </c>
      <c r="AF64" s="172">
        <f t="shared" si="128"/>
        <v>81722</v>
      </c>
      <c r="AG64" s="173">
        <f t="shared" si="129"/>
        <v>39899.002681199068</v>
      </c>
      <c r="AH64" s="173">
        <f t="shared" si="43"/>
        <v>41822.997318800932</v>
      </c>
      <c r="AI64" s="188">
        <f t="shared" ref="AI64" si="240">IF(SUM(AF64)=0,"",IFERROR(AF64/AG64,""))</f>
        <v>2.0482216223040703</v>
      </c>
      <c r="AJ64" s="157">
        <f>AJ63+1</f>
        <v>12</v>
      </c>
    </row>
    <row r="65" spans="1:36" ht="24.95" customHeight="1" x14ac:dyDescent="0.25">
      <c r="A65" s="182" t="str">
        <f t="shared" si="34"/>
        <v>لطف آباد</v>
      </c>
      <c r="B65" s="215" t="str">
        <f>واردات!J34</f>
        <v>لطف آباد</v>
      </c>
      <c r="C65" s="166" t="str">
        <f>C53</f>
        <v>فروردین</v>
      </c>
      <c r="D65" s="170">
        <f>SUMIFS(واردات!$K$4:$K$500,واردات!$J$4:$J$500,$C65,واردات!$I$4:$I$500,$A65)+SUMIFS(واردات!$C$4:$C$500,واردات!$B$4:$B$500,$C65,واردات!$A$4:$A$500,$A65)</f>
        <v>4129</v>
      </c>
      <c r="E65" s="160">
        <v>6943.6260669398589</v>
      </c>
      <c r="F65" s="160">
        <f t="shared" si="36"/>
        <v>-2814.6260669398589</v>
      </c>
      <c r="G65" s="185">
        <f>IF(SUM(D65:D76)=0,"",IFERROR(D65/E65,""))</f>
        <v>0.59464607687604076</v>
      </c>
      <c r="H65" s="170">
        <f>SUMIFS(واردات!$L$4:$L$500,واردات!$J$4:$J$500,$C65,واردات!$I$4:$I$500,$A65)+SUMIFS(واردات!$D$4:$D$500,واردات!$B$4:$B$500,$C65,واردات!$A$4:$A$500,$A65)</f>
        <v>6007</v>
      </c>
      <c r="I65" s="160">
        <v>7166.7034011874084</v>
      </c>
      <c r="J65" s="160">
        <f t="shared" si="14"/>
        <v>-1159.7034011874084</v>
      </c>
      <c r="K65" s="185">
        <f>IF(SUM(H65:H76)=0,"",IFERROR(H65/I65,""))</f>
        <v>0.83818175020396912</v>
      </c>
      <c r="L65" s="170">
        <f>SUMIFS(واردات!$M$4:$M$500,واردات!$J$4:$J$500,$C65,واردات!$I$4:$I$500,$A65)+SUMIFS(واردات!$E$4:$E$500,واردات!$B$4:$B$500,$C65,واردات!$A$4:$A$500,$A65)</f>
        <v>0</v>
      </c>
      <c r="M65" s="160">
        <v>0</v>
      </c>
      <c r="N65" s="160">
        <f t="shared" si="15"/>
        <v>0</v>
      </c>
      <c r="O65" s="185" t="str">
        <f>IF(SUM(L65:L76)=0,"",IFERROR(L65/M65,""))</f>
        <v/>
      </c>
      <c r="P65" s="170">
        <f>SUMIFS(واردات!$N$4:$N$500,واردات!$J$4:$J$500,$C65,واردات!$I$4:$I$500,$A65)+SUMIFS(واردات!$F$4:$F$500,واردات!$B$4:$B$500,$C65,واردات!$A$4:$A$500,$A65)</f>
        <v>81641</v>
      </c>
      <c r="Q65" s="160">
        <v>84709.959342556875</v>
      </c>
      <c r="R65" s="160">
        <f t="shared" si="16"/>
        <v>-3068.9593425568746</v>
      </c>
      <c r="S65" s="185">
        <f>IF(SUM(P65:P76)=0,"",IFERROR(P65/Q65,""))</f>
        <v>0.96377097372758291</v>
      </c>
      <c r="T65" s="183">
        <f t="shared" si="119"/>
        <v>4129</v>
      </c>
      <c r="U65" s="160">
        <f t="shared" si="120"/>
        <v>6943.6260669398589</v>
      </c>
      <c r="V65" s="160">
        <f t="shared" si="37"/>
        <v>-2814.6260669398589</v>
      </c>
      <c r="W65" s="185">
        <f t="shared" ref="W65" si="241">IF(SUM(T65:T76)=0,"",IFERROR(T65/U65,""))</f>
        <v>0.59464607687604076</v>
      </c>
      <c r="X65" s="183">
        <f t="shared" si="122"/>
        <v>6007</v>
      </c>
      <c r="Y65" s="160">
        <f t="shared" si="123"/>
        <v>7166.7034011874084</v>
      </c>
      <c r="Z65" s="160">
        <f t="shared" si="39"/>
        <v>-1159.7034011874084</v>
      </c>
      <c r="AA65" s="185">
        <f t="shared" ref="AA65" si="242">IF(SUM(X65:X76)=0,"",IFERROR(X65/Y65,""))</f>
        <v>0.83818175020396912</v>
      </c>
      <c r="AB65" s="183">
        <f t="shared" si="125"/>
        <v>0</v>
      </c>
      <c r="AC65" s="160">
        <f t="shared" si="126"/>
        <v>0</v>
      </c>
      <c r="AD65" s="160">
        <f t="shared" si="41"/>
        <v>0</v>
      </c>
      <c r="AE65" s="185" t="str">
        <f t="shared" ref="AE65" si="243">IF(SUM(AB65:AB76)=0,"",IFERROR(AB65/AC65,""))</f>
        <v/>
      </c>
      <c r="AF65" s="183">
        <f t="shared" si="128"/>
        <v>81641</v>
      </c>
      <c r="AG65" s="160">
        <f t="shared" si="129"/>
        <v>84709.959342556875</v>
      </c>
      <c r="AH65" s="160">
        <f t="shared" si="43"/>
        <v>-3068.9593425568746</v>
      </c>
      <c r="AI65" s="186">
        <f t="shared" ref="AI65" si="244">IF(SUM(AF65:AF76)=0,"",IFERROR(AF65/AG65,""))</f>
        <v>0.96377097372758291</v>
      </c>
      <c r="AJ65" s="157">
        <v>1</v>
      </c>
    </row>
    <row r="66" spans="1:36" ht="24.95" customHeight="1" x14ac:dyDescent="0.25">
      <c r="A66" s="182" t="str">
        <f t="shared" si="34"/>
        <v>لطف آباد</v>
      </c>
      <c r="B66" s="216"/>
      <c r="C66" s="167" t="str">
        <f t="shared" si="35"/>
        <v>اردیبهشت</v>
      </c>
      <c r="D66" s="171">
        <f>SUMIFS(واردات!$K$4:$K$500,واردات!$J$4:$J$500,$C66,واردات!$I$4:$I$500,$A66)+SUMIFS(واردات!$C$4:$C$500,واردات!$B$4:$B$500,$C66,واردات!$A$4:$A$500,$A66)</f>
        <v>6915</v>
      </c>
      <c r="E66" s="159">
        <v>6943.6260669398589</v>
      </c>
      <c r="F66" s="159">
        <f t="shared" si="36"/>
        <v>-28.626066939858902</v>
      </c>
      <c r="G66" s="175">
        <f>IF(SUM(D66:D76)=0,"",IFERROR(D66/E66,""))</f>
        <v>0.99587736052260156</v>
      </c>
      <c r="H66" s="171">
        <f>SUMIFS(واردات!$L$4:$L$500,واردات!$J$4:$J$500,$C66,واردات!$I$4:$I$500,$A66)+SUMIFS(واردات!$D$4:$D$500,واردات!$B$4:$B$500,$C66,واردات!$A$4:$A$500,$A66)</f>
        <v>6599</v>
      </c>
      <c r="I66" s="159">
        <v>7166.7034011874084</v>
      </c>
      <c r="J66" s="159">
        <f t="shared" si="14"/>
        <v>-567.70340118740842</v>
      </c>
      <c r="K66" s="175">
        <f>IF(SUM(H66:H76)=0,"",IFERROR(H66/I66,""))</f>
        <v>0.92078597795838057</v>
      </c>
      <c r="L66" s="171">
        <f>SUMIFS(واردات!$M$4:$M$500,واردات!$J$4:$J$500,$C66,واردات!$I$4:$I$500,$A66)+SUMIFS(واردات!$E$4:$E$500,واردات!$B$4:$B$500,$C66,واردات!$A$4:$A$500,$A66)</f>
        <v>0</v>
      </c>
      <c r="M66" s="159">
        <v>0</v>
      </c>
      <c r="N66" s="159">
        <f t="shared" si="15"/>
        <v>0</v>
      </c>
      <c r="O66" s="175" t="str">
        <f>IF(SUM(L66:L76)=0,"",IFERROR(L66/M66,""))</f>
        <v/>
      </c>
      <c r="P66" s="171">
        <f>SUMIFS(واردات!$N$4:$N$500,واردات!$J$4:$J$500,$C66,واردات!$I$4:$I$500,$A66)+SUMIFS(واردات!$F$4:$F$500,واردات!$B$4:$B$500,$C66,واردات!$A$4:$A$500,$A66)</f>
        <v>72167</v>
      </c>
      <c r="Q66" s="159">
        <v>84709.959342556875</v>
      </c>
      <c r="R66" s="159">
        <f t="shared" si="16"/>
        <v>-12542.959342556875</v>
      </c>
      <c r="S66" s="175">
        <f>IF(SUM(P66:P76)=0,"",IFERROR(P66/Q66,""))</f>
        <v>0.85193052340121356</v>
      </c>
      <c r="T66" s="171">
        <f t="shared" si="119"/>
        <v>11044</v>
      </c>
      <c r="U66" s="159">
        <f t="shared" si="120"/>
        <v>13887.252133879718</v>
      </c>
      <c r="V66" s="159">
        <f t="shared" si="37"/>
        <v>-2843.2521338797178</v>
      </c>
      <c r="W66" s="175">
        <f t="shared" ref="W66" si="245">IF(SUM(T66:T76)=0,"",IFERROR(T66/U66,""))</f>
        <v>0.79526171869932116</v>
      </c>
      <c r="X66" s="171">
        <f t="shared" si="122"/>
        <v>12606</v>
      </c>
      <c r="Y66" s="159">
        <f t="shared" si="123"/>
        <v>14333.406802374817</v>
      </c>
      <c r="Z66" s="159">
        <f t="shared" si="39"/>
        <v>-1727.4068023748168</v>
      </c>
      <c r="AA66" s="175">
        <f t="shared" ref="AA66" si="246">IF(SUM(X66:X76)=0,"",IFERROR(X66/Y66,""))</f>
        <v>0.87948386408117485</v>
      </c>
      <c r="AB66" s="171">
        <f t="shared" si="125"/>
        <v>0</v>
      </c>
      <c r="AC66" s="159">
        <f t="shared" si="126"/>
        <v>0</v>
      </c>
      <c r="AD66" s="159">
        <f t="shared" si="41"/>
        <v>0</v>
      </c>
      <c r="AE66" s="175" t="str">
        <f t="shared" ref="AE66" si="247">IF(SUM(AB66:AB76)=0,"",IFERROR(AB66/AC66,""))</f>
        <v/>
      </c>
      <c r="AF66" s="171">
        <f t="shared" si="128"/>
        <v>153808</v>
      </c>
      <c r="AG66" s="159">
        <f t="shared" si="129"/>
        <v>169419.91868511375</v>
      </c>
      <c r="AH66" s="159">
        <f t="shared" si="43"/>
        <v>-15611.918685113749</v>
      </c>
      <c r="AI66" s="187">
        <f t="shared" ref="AI66" si="248">IF(SUM(AF66:AF76)=0,"",IFERROR(AF66/AG66,""))</f>
        <v>0.90785074856439829</v>
      </c>
      <c r="AJ66" s="157">
        <f>AJ65+1</f>
        <v>2</v>
      </c>
    </row>
    <row r="67" spans="1:36" ht="24.95" customHeight="1" x14ac:dyDescent="0.25">
      <c r="A67" s="182" t="str">
        <f t="shared" si="34"/>
        <v>لطف آباد</v>
      </c>
      <c r="B67" s="216"/>
      <c r="C67" s="167" t="str">
        <f t="shared" si="35"/>
        <v>خرداد</v>
      </c>
      <c r="D67" s="171">
        <f>SUMIFS(واردات!$K$4:$K$500,واردات!$J$4:$J$500,$C67,واردات!$I$4:$I$500,$A67)+SUMIFS(واردات!$C$4:$C$500,واردات!$B$4:$B$500,$C67,واردات!$A$4:$A$500,$A67)</f>
        <v>8823</v>
      </c>
      <c r="E67" s="159">
        <v>6943.6260669398589</v>
      </c>
      <c r="F67" s="159">
        <f t="shared" si="36"/>
        <v>1879.3739330601411</v>
      </c>
      <c r="G67" s="175">
        <f>IF(SUM(D67:D76)=0,"",IFERROR(D67/E67,""))</f>
        <v>1.2706617428620266</v>
      </c>
      <c r="H67" s="171">
        <f>SUMIFS(واردات!$L$4:$L$500,واردات!$J$4:$J$500,$C67,واردات!$I$4:$I$500,$A67)+SUMIFS(واردات!$D$4:$D$500,واردات!$B$4:$B$500,$C67,واردات!$A$4:$A$500,$A67)</f>
        <v>6104</v>
      </c>
      <c r="I67" s="159">
        <v>7166.7034011874084</v>
      </c>
      <c r="J67" s="159">
        <f t="shared" si="14"/>
        <v>-1062.7034011874084</v>
      </c>
      <c r="K67" s="175">
        <f>IF(SUM(H67:H76)=0,"",IFERROR(H67/I67,""))</f>
        <v>0.85171656454886424</v>
      </c>
      <c r="L67" s="171">
        <f>SUMIFS(واردات!$M$4:$M$500,واردات!$J$4:$J$500,$C67,واردات!$I$4:$I$500,$A67)+SUMIFS(واردات!$E$4:$E$500,واردات!$B$4:$B$500,$C67,واردات!$A$4:$A$500,$A67)</f>
        <v>0</v>
      </c>
      <c r="M67" s="159">
        <v>0</v>
      </c>
      <c r="N67" s="159">
        <f t="shared" si="15"/>
        <v>0</v>
      </c>
      <c r="O67" s="175" t="str">
        <f>IF(SUM(L67:L76)=0,"",IFERROR(L67/M67,""))</f>
        <v/>
      </c>
      <c r="P67" s="171">
        <f>SUMIFS(واردات!$N$4:$N$500,واردات!$J$4:$J$500,$C67,واردات!$I$4:$I$500,$A67)+SUMIFS(واردات!$F$4:$F$500,واردات!$B$4:$B$500,$C67,واردات!$A$4:$A$500,$A67)</f>
        <v>60319</v>
      </c>
      <c r="Q67" s="159">
        <v>84709.959342556875</v>
      </c>
      <c r="R67" s="159">
        <f t="shared" si="16"/>
        <v>-24390.959342556875</v>
      </c>
      <c r="S67" s="175">
        <f>IF(SUM(P67:P76)=0,"",IFERROR(P67/Q67,""))</f>
        <v>0.71206503306272673</v>
      </c>
      <c r="T67" s="171">
        <f t="shared" si="119"/>
        <v>19867</v>
      </c>
      <c r="U67" s="159">
        <f t="shared" si="120"/>
        <v>20830.878200819578</v>
      </c>
      <c r="V67" s="159">
        <f t="shared" si="37"/>
        <v>-963.87820081957761</v>
      </c>
      <c r="W67" s="175">
        <f t="shared" ref="W67" si="249">IF(SUM(T67:T76)=0,"",IFERROR(T67/U67,""))</f>
        <v>0.95372839342022298</v>
      </c>
      <c r="X67" s="171">
        <f t="shared" si="122"/>
        <v>18710</v>
      </c>
      <c r="Y67" s="159">
        <f t="shared" si="123"/>
        <v>21500.110203562224</v>
      </c>
      <c r="Z67" s="159">
        <f t="shared" si="39"/>
        <v>-2790.1102035622243</v>
      </c>
      <c r="AA67" s="175">
        <f t="shared" ref="AA67" si="250">IF(SUM(X67:X76)=0,"",IFERROR(X67/Y67,""))</f>
        <v>0.87022809757040465</v>
      </c>
      <c r="AB67" s="171">
        <f t="shared" si="125"/>
        <v>0</v>
      </c>
      <c r="AC67" s="159">
        <f t="shared" si="126"/>
        <v>0</v>
      </c>
      <c r="AD67" s="159">
        <f t="shared" si="41"/>
        <v>0</v>
      </c>
      <c r="AE67" s="175" t="str">
        <f t="shared" ref="AE67" si="251">IF(SUM(AB67:AB76)=0,"",IFERROR(AB67/AC67,""))</f>
        <v/>
      </c>
      <c r="AF67" s="171">
        <f t="shared" si="128"/>
        <v>214127</v>
      </c>
      <c r="AG67" s="159">
        <f t="shared" si="129"/>
        <v>254129.87802767061</v>
      </c>
      <c r="AH67" s="159">
        <f t="shared" si="43"/>
        <v>-40002.878027670609</v>
      </c>
      <c r="AI67" s="187">
        <f t="shared" ref="AI67" si="252">IF(SUM(AF67:AF76)=0,"",IFERROR(AF67/AG67,""))</f>
        <v>0.84258884339717444</v>
      </c>
      <c r="AJ67" s="157">
        <f t="shared" ref="AJ67:AJ75" si="253">AJ66+1</f>
        <v>3</v>
      </c>
    </row>
    <row r="68" spans="1:36" ht="24.95" customHeight="1" x14ac:dyDescent="0.25">
      <c r="A68" s="182" t="str">
        <f t="shared" si="34"/>
        <v>لطف آباد</v>
      </c>
      <c r="B68" s="216"/>
      <c r="C68" s="167" t="str">
        <f t="shared" si="35"/>
        <v>تیر</v>
      </c>
      <c r="D68" s="171">
        <f>SUMIFS(واردات!$K$4:$K$500,واردات!$J$4:$J$500,$C68,واردات!$I$4:$I$500,$A68)+SUMIFS(واردات!$C$4:$C$500,واردات!$B$4:$B$500,$C68,واردات!$A$4:$A$500,$A68)</f>
        <v>5501</v>
      </c>
      <c r="E68" s="159">
        <v>7001.4653559689796</v>
      </c>
      <c r="F68" s="159">
        <f t="shared" si="36"/>
        <v>-1500.4653559689796</v>
      </c>
      <c r="G68" s="175">
        <f>IF(SUM(D68:D76)=0,"",IFERROR(D68/E68,""))</f>
        <v>0.7856926686511726</v>
      </c>
      <c r="H68" s="171">
        <f>SUMIFS(واردات!$L$4:$L$500,واردات!$J$4:$J$500,$C68,واردات!$I$4:$I$500,$A68)+SUMIFS(واردات!$D$4:$D$500,واردات!$B$4:$B$500,$C68,واردات!$A$4:$A$500,$A68)</f>
        <v>7007</v>
      </c>
      <c r="I68" s="159">
        <v>7058.896215545511</v>
      </c>
      <c r="J68" s="159">
        <f t="shared" si="14"/>
        <v>-51.896215545511041</v>
      </c>
      <c r="K68" s="175">
        <f>IF(SUM(H68:H76)=0,"",IFERROR(H68/I68,""))</f>
        <v>0.99264811183493218</v>
      </c>
      <c r="L68" s="171">
        <f>SUMIFS(واردات!$M$4:$M$500,واردات!$J$4:$J$500,$C68,واردات!$I$4:$I$500,$A68)+SUMIFS(واردات!$E$4:$E$500,واردات!$B$4:$B$500,$C68,واردات!$A$4:$A$500,$A68)</f>
        <v>0</v>
      </c>
      <c r="M68" s="159">
        <v>0</v>
      </c>
      <c r="N68" s="159">
        <f t="shared" si="15"/>
        <v>0</v>
      </c>
      <c r="O68" s="175" t="str">
        <f>IF(SUM(L68:L76)=0,"",IFERROR(L68/M68,""))</f>
        <v/>
      </c>
      <c r="P68" s="171">
        <f>SUMIFS(واردات!$N$4:$N$500,واردات!$J$4:$J$500,$C68,واردات!$I$4:$I$500,$A68)+SUMIFS(واردات!$F$4:$F$500,واردات!$B$4:$B$500,$C68,واردات!$A$4:$A$500,$A68)</f>
        <v>60422</v>
      </c>
      <c r="Q68" s="159">
        <v>68883.211571296051</v>
      </c>
      <c r="R68" s="159">
        <f t="shared" si="16"/>
        <v>-8461.2115712960513</v>
      </c>
      <c r="S68" s="175">
        <f>IF(SUM(P68:P76)=0,"",IFERROR(P68/Q68,""))</f>
        <v>0.87716583796998981</v>
      </c>
      <c r="T68" s="171">
        <f t="shared" si="119"/>
        <v>25368</v>
      </c>
      <c r="U68" s="159">
        <f t="shared" si="120"/>
        <v>27832.343556788557</v>
      </c>
      <c r="V68" s="159">
        <f t="shared" si="37"/>
        <v>-2464.3435567885572</v>
      </c>
      <c r="W68" s="175">
        <f t="shared" ref="W68" si="254">IF(SUM(T68:T76)=0,"",IFERROR(T68/U68,""))</f>
        <v>0.91145756189160432</v>
      </c>
      <c r="X68" s="171">
        <f t="shared" si="122"/>
        <v>25717</v>
      </c>
      <c r="Y68" s="159">
        <f t="shared" si="123"/>
        <v>28559.006419107736</v>
      </c>
      <c r="Z68" s="159">
        <f t="shared" si="39"/>
        <v>-2842.0064191077363</v>
      </c>
      <c r="AA68" s="175">
        <f t="shared" ref="AA68" si="255">IF(SUM(X68:X76)=0,"",IFERROR(X68/Y68,""))</f>
        <v>0.90048650932035723</v>
      </c>
      <c r="AB68" s="171">
        <f t="shared" si="125"/>
        <v>0</v>
      </c>
      <c r="AC68" s="159">
        <f t="shared" si="126"/>
        <v>0</v>
      </c>
      <c r="AD68" s="159">
        <f t="shared" si="41"/>
        <v>0</v>
      </c>
      <c r="AE68" s="175" t="str">
        <f t="shared" ref="AE68" si="256">IF(SUM(AB68:AB76)=0,"",IFERROR(AB68/AC68,""))</f>
        <v/>
      </c>
      <c r="AF68" s="171">
        <f t="shared" si="128"/>
        <v>274549</v>
      </c>
      <c r="AG68" s="159">
        <f t="shared" si="129"/>
        <v>323013.08959896665</v>
      </c>
      <c r="AH68" s="159">
        <f t="shared" si="43"/>
        <v>-48464.089598966646</v>
      </c>
      <c r="AI68" s="187">
        <f t="shared" ref="AI68" si="257">IF(SUM(AF68:AF76)=0,"",IFERROR(AF68/AG68,""))</f>
        <v>0.84996245923304004</v>
      </c>
      <c r="AJ68" s="157">
        <f t="shared" si="253"/>
        <v>4</v>
      </c>
    </row>
    <row r="69" spans="1:36" ht="24.95" customHeight="1" x14ac:dyDescent="0.25">
      <c r="A69" s="182" t="str">
        <f t="shared" si="34"/>
        <v>لطف آباد</v>
      </c>
      <c r="B69" s="216"/>
      <c r="C69" s="167" t="str">
        <f t="shared" si="35"/>
        <v>مرداد</v>
      </c>
      <c r="D69" s="171">
        <f>SUMIFS(واردات!$K$4:$K$500,واردات!$J$4:$J$500,$C69,واردات!$I$4:$I$500,$A69)+SUMIFS(واردات!$C$4:$C$500,واردات!$B$4:$B$500,$C69,واردات!$A$4:$A$500,$A69)</f>
        <v>8251</v>
      </c>
      <c r="E69" s="159">
        <v>7001.4653559689796</v>
      </c>
      <c r="F69" s="159">
        <f t="shared" si="36"/>
        <v>1249.5346440310204</v>
      </c>
      <c r="G69" s="175">
        <f>IF(SUM(D69:D76)=0,"",IFERROR(D69/E69,""))</f>
        <v>1.1784675893548129</v>
      </c>
      <c r="H69" s="171">
        <f>SUMIFS(واردات!$L$4:$L$500,واردات!$J$4:$J$500,$C69,واردات!$I$4:$I$500,$A69)+SUMIFS(واردات!$D$4:$D$500,واردات!$B$4:$B$500,$C69,واردات!$A$4:$A$500,$A69)</f>
        <v>7080</v>
      </c>
      <c r="I69" s="159">
        <v>7058.896215545511</v>
      </c>
      <c r="J69" s="159">
        <f t="shared" si="14"/>
        <v>21.103784454488959</v>
      </c>
      <c r="K69" s="175">
        <f>IF(SUM(H69:H76)=0,"",IFERROR(H69/I69,""))</f>
        <v>1.0029896720124618</v>
      </c>
      <c r="L69" s="171">
        <f>SUMIFS(واردات!$M$4:$M$500,واردات!$J$4:$J$500,$C69,واردات!$I$4:$I$500,$A69)+SUMIFS(واردات!$E$4:$E$500,واردات!$B$4:$B$500,$C69,واردات!$A$4:$A$500,$A69)</f>
        <v>0</v>
      </c>
      <c r="M69" s="159">
        <v>0</v>
      </c>
      <c r="N69" s="159">
        <f t="shared" si="15"/>
        <v>0</v>
      </c>
      <c r="O69" s="175" t="str">
        <f>IF(SUM(L69:L76)=0,"",IFERROR(L69/M69,""))</f>
        <v/>
      </c>
      <c r="P69" s="171">
        <f>SUMIFS(واردات!$N$4:$N$500,واردات!$J$4:$J$500,$C69,واردات!$I$4:$I$500,$A69)+SUMIFS(واردات!$F$4:$F$500,واردات!$B$4:$B$500,$C69,واردات!$A$4:$A$500,$A69)</f>
        <v>69420</v>
      </c>
      <c r="Q69" s="159">
        <v>68883.211571296051</v>
      </c>
      <c r="R69" s="159">
        <f t="shared" si="16"/>
        <v>536.78842870394874</v>
      </c>
      <c r="S69" s="175">
        <f>IF(SUM(P69:P76)=0,"",IFERROR(P69/Q69,""))</f>
        <v>1.007792732314003</v>
      </c>
      <c r="T69" s="171">
        <f t="shared" ref="T69:T100" si="258">IF(OR($C$1="",$AJ69&gt;$C$1),"",IFERROR(SUMIFS(D$5:D$5012,$A$5:$A$5012,$A69,$AJ$5:$AJ$5012,"&lt;"&amp;$AJ69+1),""))</f>
        <v>33619</v>
      </c>
      <c r="U69" s="159">
        <f t="shared" ref="U69:U100" si="259">IF($C$1="","",IFERROR(SUMIFS(E$5:E$5012,$A$5:$A$5012,$A69,$AJ$5:$AJ$5012,"&lt;"&amp;$AJ69+1),""))</f>
        <v>34833.808912757537</v>
      </c>
      <c r="V69" s="159">
        <f t="shared" si="37"/>
        <v>-1214.8089127575367</v>
      </c>
      <c r="W69" s="175">
        <f t="shared" ref="W69" si="260">IF(SUM(T69:T76)=0,"",IFERROR(T69/U69,""))</f>
        <v>0.96512557912342956</v>
      </c>
      <c r="X69" s="171">
        <f t="shared" ref="X69:X100" si="261">IF(OR($C$1="",$AJ69&gt;$C$1),"",IFERROR(SUMIFS(H$5:H$5012,$A$5:$A$5012,$A69,$AJ$5:$AJ$5012,"&lt;"&amp;$AJ69+1),""))</f>
        <v>32797</v>
      </c>
      <c r="Y69" s="159">
        <f t="shared" ref="Y69:Y100" si="262">IF($C$1="","",IFERROR(SUMIFS(I$5:I$5012,$A$5:$A$5012,$A69,$AJ$5:$AJ$5012,"&lt;"&amp;$AJ69+1),""))</f>
        <v>35617.902634653248</v>
      </c>
      <c r="Z69" s="159">
        <f t="shared" si="39"/>
        <v>-2820.9026346532482</v>
      </c>
      <c r="AA69" s="175">
        <f t="shared" ref="AA69" si="263">IF(SUM(X69:X76)=0,"",IFERROR(X69/Y69,""))</f>
        <v>0.92080098978347069</v>
      </c>
      <c r="AB69" s="171">
        <f t="shared" ref="AB69:AB100" si="264">IF(OR($C$1="",$AJ69&gt;$C$1),"",IFERROR(SUMIFS(L$5:L$5012,$A$5:$A$5012,$A69,$AJ$5:$AJ$5012,"&lt;"&amp;$AJ69+1),""))</f>
        <v>0</v>
      </c>
      <c r="AC69" s="159">
        <f t="shared" ref="AC69:AC100" si="265">IF($C$1="","",IFERROR(SUMIFS(M$5:M$5012,$A$5:$A$5012,$A69,$AJ$5:$AJ$5012,"&lt;"&amp;$AJ69+1),""))</f>
        <v>0</v>
      </c>
      <c r="AD69" s="159">
        <f t="shared" si="41"/>
        <v>0</v>
      </c>
      <c r="AE69" s="175" t="str">
        <f t="shared" ref="AE69" si="266">IF(SUM(AB69:AB76)=0,"",IFERROR(AB69/AC69,""))</f>
        <v/>
      </c>
      <c r="AF69" s="171">
        <f t="shared" ref="AF69:AF100" si="267">IF(OR($C$1="",$AJ69&gt;$C$1),"",IFERROR(SUMIFS(P$5:P$5012,$A$5:$A$5012,$A69,$AJ$5:$AJ$5012,"&lt;"&amp;$AJ69+1),""))</f>
        <v>343969</v>
      </c>
      <c r="AG69" s="159">
        <f t="shared" ref="AG69:AG100" si="268">IF($C$1="","",IFERROR(SUMIFS(Q$5:Q$5012,$A$5:$A$5012,$A69,$AJ$5:$AJ$5012,"&lt;"&amp;$AJ69+1),""))</f>
        <v>391896.30117026268</v>
      </c>
      <c r="AH69" s="159">
        <f t="shared" si="43"/>
        <v>-47927.301170262683</v>
      </c>
      <c r="AI69" s="187">
        <f t="shared" ref="AI69" si="269">IF(SUM(AF69:AF76)=0,"",IFERROR(AF69/AG69,""))</f>
        <v>0.87770412472089077</v>
      </c>
      <c r="AJ69" s="157">
        <f t="shared" si="253"/>
        <v>5</v>
      </c>
    </row>
    <row r="70" spans="1:36" ht="24.95" customHeight="1" x14ac:dyDescent="0.25">
      <c r="A70" s="182" t="str">
        <f t="shared" si="34"/>
        <v>لطف آباد</v>
      </c>
      <c r="B70" s="216"/>
      <c r="C70" s="167" t="str">
        <f t="shared" si="35"/>
        <v>شهریور</v>
      </c>
      <c r="D70" s="171">
        <f>SUMIFS(واردات!$K$4:$K$500,واردات!$J$4:$J$500,$C70,واردات!$I$4:$I$500,$A70)+SUMIFS(واردات!$C$4:$C$500,واردات!$B$4:$B$500,$C70,واردات!$A$4:$A$500,$A70)</f>
        <v>8879</v>
      </c>
      <c r="E70" s="159">
        <v>7001.4653559689796</v>
      </c>
      <c r="F70" s="159">
        <f t="shared" si="36"/>
        <v>1877.5346440310204</v>
      </c>
      <c r="G70" s="175">
        <f>IF(SUM(D70:D76)=0,"",IFERROR(D70/E70,""))</f>
        <v>1.268163098519135</v>
      </c>
      <c r="H70" s="171">
        <f>SUMIFS(واردات!$L$4:$L$500,واردات!$J$4:$J$500,$C70,واردات!$I$4:$I$500,$A70)+SUMIFS(واردات!$D$4:$D$500,واردات!$B$4:$B$500,$C70,واردات!$A$4:$A$500,$A70)</f>
        <v>7483</v>
      </c>
      <c r="I70" s="159">
        <v>7058.896215545511</v>
      </c>
      <c r="J70" s="159">
        <f t="shared" ref="J70:J133" si="270">IFERROR(SUM(H70,-I70),"")</f>
        <v>424.10378445448896</v>
      </c>
      <c r="K70" s="175">
        <f>IF(SUM(H70:H76)=0,"",IFERROR(H70/I70,""))</f>
        <v>1.0600807508007417</v>
      </c>
      <c r="L70" s="171">
        <f>SUMIFS(واردات!$M$4:$M$500,واردات!$J$4:$J$500,$C70,واردات!$I$4:$I$500,$A70)+SUMIFS(واردات!$E$4:$E$500,واردات!$B$4:$B$500,$C70,واردات!$A$4:$A$500,$A70)</f>
        <v>0</v>
      </c>
      <c r="M70" s="159">
        <v>0</v>
      </c>
      <c r="N70" s="159">
        <f t="shared" ref="N70:N133" si="271">IFERROR(SUM(L70,-M70),"")</f>
        <v>0</v>
      </c>
      <c r="O70" s="175" t="str">
        <f>IF(SUM(L70:L76)=0,"",IFERROR(L70/M70,""))</f>
        <v/>
      </c>
      <c r="P70" s="171">
        <f>SUMIFS(واردات!$N$4:$N$500,واردات!$J$4:$J$500,$C70,واردات!$I$4:$I$500,$A70)+SUMIFS(واردات!$F$4:$F$500,واردات!$B$4:$B$500,$C70,واردات!$A$4:$A$500,$A70)</f>
        <v>74201</v>
      </c>
      <c r="Q70" s="159">
        <v>68883.211571296051</v>
      </c>
      <c r="R70" s="159">
        <f t="shared" ref="R70:R133" si="272">IFERROR(SUM(P70,-Q70),"")</f>
        <v>5317.7884287039487</v>
      </c>
      <c r="S70" s="175">
        <f>IF(SUM(P70:P76)=0,"",IFERROR(P70/Q70,""))</f>
        <v>1.0772000652611833</v>
      </c>
      <c r="T70" s="171">
        <f t="shared" si="258"/>
        <v>42498</v>
      </c>
      <c r="U70" s="159">
        <f t="shared" si="259"/>
        <v>41835.274268726513</v>
      </c>
      <c r="V70" s="159">
        <f t="shared" si="37"/>
        <v>662.72573127348733</v>
      </c>
      <c r="W70" s="175">
        <f t="shared" ref="W70" si="273">IF(SUM(T70:T76)=0,"",IFERROR(T70/U70,""))</f>
        <v>1.0158413143658747</v>
      </c>
      <c r="X70" s="171">
        <f t="shared" si="261"/>
        <v>40280</v>
      </c>
      <c r="Y70" s="159">
        <f t="shared" si="262"/>
        <v>42676.798850198757</v>
      </c>
      <c r="Z70" s="159">
        <f t="shared" si="39"/>
        <v>-2396.7988501987566</v>
      </c>
      <c r="AA70" s="175">
        <f t="shared" ref="AA70" si="274">IF(SUM(X70:X76)=0,"",IFERROR(X70/Y70,""))</f>
        <v>0.94383836382358854</v>
      </c>
      <c r="AB70" s="171">
        <f t="shared" si="264"/>
        <v>0</v>
      </c>
      <c r="AC70" s="159">
        <f t="shared" si="265"/>
        <v>0</v>
      </c>
      <c r="AD70" s="159">
        <f t="shared" si="41"/>
        <v>0</v>
      </c>
      <c r="AE70" s="175" t="str">
        <f t="shared" ref="AE70" si="275">IF(SUM(AB70:AB76)=0,"",IFERROR(AB70/AC70,""))</f>
        <v/>
      </c>
      <c r="AF70" s="171">
        <f t="shared" si="267"/>
        <v>418170</v>
      </c>
      <c r="AG70" s="159">
        <f t="shared" si="268"/>
        <v>460779.51274155872</v>
      </c>
      <c r="AH70" s="159">
        <f t="shared" si="43"/>
        <v>-42609.512741558719</v>
      </c>
      <c r="AI70" s="187">
        <f t="shared" ref="AI70" si="276">IF(SUM(AF70:AF76)=0,"",IFERROR(AF70/AG70,""))</f>
        <v>0.90752732800979052</v>
      </c>
      <c r="AJ70" s="157">
        <f t="shared" si="253"/>
        <v>6</v>
      </c>
    </row>
    <row r="71" spans="1:36" ht="24.95" customHeight="1" x14ac:dyDescent="0.25">
      <c r="A71" s="182" t="str">
        <f t="shared" si="34"/>
        <v>لطف آباد</v>
      </c>
      <c r="B71" s="216"/>
      <c r="C71" s="167" t="str">
        <f t="shared" si="35"/>
        <v>مهر</v>
      </c>
      <c r="D71" s="171">
        <f>SUMIFS(واردات!$K$4:$K$500,واردات!$J$4:$J$500,$C71,واردات!$I$4:$I$500,$A71)+SUMIFS(واردات!$C$4:$C$500,واردات!$B$4:$B$500,$C71,واردات!$A$4:$A$500,$A71)</f>
        <v>8130</v>
      </c>
      <c r="E71" s="159">
        <v>8918.2419104244873</v>
      </c>
      <c r="F71" s="159">
        <f t="shared" si="36"/>
        <v>-788.24191042448729</v>
      </c>
      <c r="G71" s="175">
        <f>IF(SUM(D71:D76)=0,"",IFERROR(D71/E71,""))</f>
        <v>0.91161465249074314</v>
      </c>
      <c r="H71" s="171">
        <f>SUMIFS(واردات!$L$4:$L$500,واردات!$J$4:$J$500,$C71,واردات!$I$4:$I$500,$A71)+SUMIFS(واردات!$D$4:$D$500,واردات!$B$4:$B$500,$C71,واردات!$A$4:$A$500,$A71)</f>
        <v>7600</v>
      </c>
      <c r="I71" s="159">
        <v>8273.1503832670769</v>
      </c>
      <c r="J71" s="159">
        <f t="shared" si="270"/>
        <v>-673.1503832670769</v>
      </c>
      <c r="K71" s="175">
        <f>IF(SUM(H71:H76)=0,"",IFERROR(H71/I71,""))</f>
        <v>0.91863433491689428</v>
      </c>
      <c r="L71" s="171">
        <f>SUMIFS(واردات!$M$4:$M$500,واردات!$J$4:$J$500,$C71,واردات!$I$4:$I$500,$A71)+SUMIFS(واردات!$E$4:$E$500,واردات!$B$4:$B$500,$C71,واردات!$A$4:$A$500,$A71)</f>
        <v>0</v>
      </c>
      <c r="M71" s="159">
        <v>0</v>
      </c>
      <c r="N71" s="159">
        <f t="shared" si="271"/>
        <v>0</v>
      </c>
      <c r="O71" s="175" t="str">
        <f>IF(SUM(L71:L76)=0,"",IFERROR(L71/M71,""))</f>
        <v/>
      </c>
      <c r="P71" s="171">
        <f>SUMIFS(واردات!$N$4:$N$500,واردات!$J$4:$J$500,$C71,واردات!$I$4:$I$500,$A71)+SUMIFS(واردات!$F$4:$F$500,واردات!$B$4:$B$500,$C71,واردات!$A$4:$A$500,$A71)</f>
        <v>72407</v>
      </c>
      <c r="Q71" s="159">
        <v>77965.995752813775</v>
      </c>
      <c r="R71" s="159">
        <f t="shared" si="272"/>
        <v>-5558.9957528137747</v>
      </c>
      <c r="S71" s="175">
        <f>IF(SUM(P71:P76)=0,"",IFERROR(P71/Q71,""))</f>
        <v>0.92869974019907064</v>
      </c>
      <c r="T71" s="171">
        <f t="shared" si="258"/>
        <v>50628</v>
      </c>
      <c r="U71" s="159">
        <f t="shared" si="259"/>
        <v>50753.516179151004</v>
      </c>
      <c r="V71" s="159">
        <f t="shared" si="37"/>
        <v>-125.5161791510036</v>
      </c>
      <c r="W71" s="175">
        <f t="shared" ref="W71" si="277">IF(SUM(T71:T76)=0,"",IFERROR(T71/U71,""))</f>
        <v>0.99752694613890491</v>
      </c>
      <c r="X71" s="171">
        <f t="shared" si="261"/>
        <v>47880</v>
      </c>
      <c r="Y71" s="159">
        <f t="shared" si="262"/>
        <v>50949.949233465835</v>
      </c>
      <c r="Z71" s="159">
        <f t="shared" si="39"/>
        <v>-3069.9492334658353</v>
      </c>
      <c r="AA71" s="175">
        <f t="shared" ref="AA71" si="278">IF(SUM(X71:X76)=0,"",IFERROR(X71/Y71,""))</f>
        <v>0.93974578425194233</v>
      </c>
      <c r="AB71" s="171">
        <f t="shared" si="264"/>
        <v>0</v>
      </c>
      <c r="AC71" s="159">
        <f t="shared" si="265"/>
        <v>0</v>
      </c>
      <c r="AD71" s="159">
        <f t="shared" si="41"/>
        <v>0</v>
      </c>
      <c r="AE71" s="175" t="str">
        <f t="shared" ref="AE71" si="279">IF(SUM(AB71:AB76)=0,"",IFERROR(AB71/AC71,""))</f>
        <v/>
      </c>
      <c r="AF71" s="171">
        <f t="shared" si="267"/>
        <v>490577</v>
      </c>
      <c r="AG71" s="159">
        <f t="shared" si="268"/>
        <v>538745.50849437248</v>
      </c>
      <c r="AH71" s="159">
        <f t="shared" si="43"/>
        <v>-48168.50849437248</v>
      </c>
      <c r="AI71" s="187">
        <f t="shared" ref="AI71" si="280">IF(SUM(AF71:AF76)=0,"",IFERROR(AF71/AG71,""))</f>
        <v>0.91059135021099558</v>
      </c>
      <c r="AJ71" s="157">
        <f t="shared" si="253"/>
        <v>7</v>
      </c>
    </row>
    <row r="72" spans="1:36" ht="24.95" customHeight="1" x14ac:dyDescent="0.25">
      <c r="A72" s="182" t="str">
        <f t="shared" si="34"/>
        <v>لطف آباد</v>
      </c>
      <c r="B72" s="216"/>
      <c r="C72" s="167" t="str">
        <f t="shared" si="35"/>
        <v>آبان</v>
      </c>
      <c r="D72" s="171">
        <f>SUMIFS(واردات!$K$4:$K$500,واردات!$J$4:$J$500,$C72,واردات!$I$4:$I$500,$A72)+SUMIFS(واردات!$C$4:$C$500,واردات!$B$4:$B$500,$C72,واردات!$A$4:$A$500,$A72)</f>
        <v>7090</v>
      </c>
      <c r="E72" s="159">
        <v>8918.2419104244873</v>
      </c>
      <c r="F72" s="159">
        <f t="shared" si="36"/>
        <v>-1828.2419104244873</v>
      </c>
      <c r="G72" s="175">
        <f>IF(SUM(D72:D76)=0,"",IFERROR(D72/E72,""))</f>
        <v>0.79499973999500229</v>
      </c>
      <c r="H72" s="171">
        <f>SUMIFS(واردات!$L$4:$L$500,واردات!$J$4:$J$500,$C72,واردات!$I$4:$I$500,$A72)+SUMIFS(واردات!$D$4:$D$500,واردات!$B$4:$B$500,$C72,واردات!$A$4:$A$500,$A72)</f>
        <v>8629</v>
      </c>
      <c r="I72" s="159">
        <v>8273.1503832670769</v>
      </c>
      <c r="J72" s="159">
        <f t="shared" si="270"/>
        <v>355.8496167329231</v>
      </c>
      <c r="K72" s="175">
        <f>IF(SUM(H72:H76)=0,"",IFERROR(H72/I72,""))</f>
        <v>1.0430125889470896</v>
      </c>
      <c r="L72" s="171">
        <f>SUMIFS(واردات!$M$4:$M$500,واردات!$J$4:$J$500,$C72,واردات!$I$4:$I$500,$A72)+SUMIFS(واردات!$E$4:$E$500,واردات!$B$4:$B$500,$C72,واردات!$A$4:$A$500,$A72)</f>
        <v>0</v>
      </c>
      <c r="M72" s="159">
        <v>0</v>
      </c>
      <c r="N72" s="159">
        <f t="shared" si="271"/>
        <v>0</v>
      </c>
      <c r="O72" s="175" t="str">
        <f>IF(SUM(L72:L76)=0,"",IFERROR(L72/M72,""))</f>
        <v/>
      </c>
      <c r="P72" s="171">
        <f>SUMIFS(واردات!$N$4:$N$500,واردات!$J$4:$J$500,$C72,واردات!$I$4:$I$500,$A72)+SUMIFS(واردات!$F$4:$F$500,واردات!$B$4:$B$500,$C72,واردات!$A$4:$A$500,$A72)</f>
        <v>81270</v>
      </c>
      <c r="Q72" s="159">
        <v>77965.995752813775</v>
      </c>
      <c r="R72" s="159">
        <f t="shared" si="272"/>
        <v>3304.0042471862253</v>
      </c>
      <c r="S72" s="175">
        <f>IF(SUM(P72:P76)=0,"",IFERROR(P72/Q72,""))</f>
        <v>1.0423775033626372</v>
      </c>
      <c r="T72" s="171">
        <f t="shared" si="258"/>
        <v>57718</v>
      </c>
      <c r="U72" s="159">
        <f t="shared" si="259"/>
        <v>59671.758089575495</v>
      </c>
      <c r="V72" s="159">
        <f t="shared" si="37"/>
        <v>-1953.7580895754945</v>
      </c>
      <c r="W72" s="175">
        <f t="shared" ref="W72" si="281">IF(SUM(T72:T76)=0,"",IFERROR(T72/U72,""))</f>
        <v>0.96725824490301371</v>
      </c>
      <c r="X72" s="171">
        <f t="shared" si="261"/>
        <v>56509</v>
      </c>
      <c r="Y72" s="159">
        <f t="shared" si="262"/>
        <v>59223.099616732914</v>
      </c>
      <c r="Z72" s="159">
        <f t="shared" si="39"/>
        <v>-2714.099616732914</v>
      </c>
      <c r="AA72" s="175">
        <f t="shared" ref="AA72" si="282">IF(SUM(X72:X76)=0,"",IFERROR(X72/Y72,""))</f>
        <v>0.95417160475730878</v>
      </c>
      <c r="AB72" s="171">
        <f t="shared" si="264"/>
        <v>0</v>
      </c>
      <c r="AC72" s="159">
        <f t="shared" si="265"/>
        <v>0</v>
      </c>
      <c r="AD72" s="159">
        <f t="shared" si="41"/>
        <v>0</v>
      </c>
      <c r="AE72" s="175" t="str">
        <f t="shared" ref="AE72" si="283">IF(SUM(AB72:AB76)=0,"",IFERROR(AB72/AC72,""))</f>
        <v/>
      </c>
      <c r="AF72" s="171">
        <f t="shared" si="267"/>
        <v>571847</v>
      </c>
      <c r="AG72" s="159">
        <f t="shared" si="268"/>
        <v>616711.50424718624</v>
      </c>
      <c r="AH72" s="159">
        <f t="shared" si="43"/>
        <v>-44864.50424718624</v>
      </c>
      <c r="AI72" s="187">
        <f t="shared" ref="AI72" si="284">IF(SUM(AF72:AF76)=0,"",IFERROR(AF72/AG72,""))</f>
        <v>0.92725203934382272</v>
      </c>
      <c r="AJ72" s="157">
        <f t="shared" si="253"/>
        <v>8</v>
      </c>
    </row>
    <row r="73" spans="1:36" ht="24.95" customHeight="1" x14ac:dyDescent="0.25">
      <c r="A73" s="182" t="str">
        <f t="shared" si="34"/>
        <v>لطف آباد</v>
      </c>
      <c r="B73" s="216"/>
      <c r="C73" s="167" t="str">
        <f t="shared" si="35"/>
        <v>آذر</v>
      </c>
      <c r="D73" s="171">
        <f>SUMIFS(واردات!$K$4:$K$500,واردات!$J$4:$J$500,$C73,واردات!$I$4:$I$500,$A73)+SUMIFS(واردات!$C$4:$C$500,واردات!$B$4:$B$500,$C73,واردات!$A$4:$A$500,$A73)</f>
        <v>9290</v>
      </c>
      <c r="E73" s="159">
        <v>8918.2419104244873</v>
      </c>
      <c r="F73" s="159">
        <f t="shared" si="36"/>
        <v>371.75808957551271</v>
      </c>
      <c r="G73" s="175">
        <f>IF(SUM(D73:D76)=0,"",IFERROR(D73/E73,""))</f>
        <v>1.0416851318129157</v>
      </c>
      <c r="H73" s="171">
        <f>SUMIFS(واردات!$L$4:$L$500,واردات!$J$4:$J$500,$C73,واردات!$I$4:$I$500,$A73)+SUMIFS(واردات!$D$4:$D$500,واردات!$B$4:$B$500,$C73,واردات!$A$4:$A$500,$A73)</f>
        <v>6585</v>
      </c>
      <c r="I73" s="159">
        <v>8273.1503832670769</v>
      </c>
      <c r="J73" s="159">
        <f t="shared" si="270"/>
        <v>-1688.1503832670769</v>
      </c>
      <c r="K73" s="175">
        <f>IF(SUM(H73:H76)=0,"",IFERROR(H73/I73,""))</f>
        <v>0.79594830202996691</v>
      </c>
      <c r="L73" s="171">
        <f>SUMIFS(واردات!$M$4:$M$500,واردات!$J$4:$J$500,$C73,واردات!$I$4:$I$500,$A73)+SUMIFS(واردات!$E$4:$E$500,واردات!$B$4:$B$500,$C73,واردات!$A$4:$A$500,$A73)</f>
        <v>0</v>
      </c>
      <c r="M73" s="159">
        <v>0</v>
      </c>
      <c r="N73" s="159">
        <f t="shared" si="271"/>
        <v>0</v>
      </c>
      <c r="O73" s="175" t="str">
        <f>IF(SUM(L73:L76)=0,"",IFERROR(L73/M73,""))</f>
        <v/>
      </c>
      <c r="P73" s="171">
        <f>SUMIFS(واردات!$N$4:$N$500,واردات!$J$4:$J$500,$C73,واردات!$I$4:$I$500,$A73)+SUMIFS(واردات!$F$4:$F$500,واردات!$B$4:$B$500,$C73,واردات!$A$4:$A$500,$A73)</f>
        <v>84461</v>
      </c>
      <c r="Q73" s="159">
        <v>77965.995752813775</v>
      </c>
      <c r="R73" s="159">
        <f t="shared" si="272"/>
        <v>6495.0042471862253</v>
      </c>
      <c r="S73" s="175">
        <f>IF(SUM(P73:P76)=0,"",IFERROR(P73/Q73,""))</f>
        <v>1.0833056024549244</v>
      </c>
      <c r="T73" s="171">
        <f t="shared" si="258"/>
        <v>67008</v>
      </c>
      <c r="U73" s="159">
        <f t="shared" si="259"/>
        <v>68589.999999999985</v>
      </c>
      <c r="V73" s="159">
        <f t="shared" si="37"/>
        <v>-1581.9999999999854</v>
      </c>
      <c r="W73" s="175">
        <f t="shared" ref="W73" si="285">IF(SUM(T73:T76)=0,"",IFERROR(T73/U73,""))</f>
        <v>0.97693541332555789</v>
      </c>
      <c r="X73" s="171">
        <f t="shared" si="261"/>
        <v>63094</v>
      </c>
      <c r="Y73" s="159">
        <f t="shared" si="262"/>
        <v>67496.249999999985</v>
      </c>
      <c r="Z73" s="159">
        <f t="shared" si="39"/>
        <v>-4402.2499999999854</v>
      </c>
      <c r="AA73" s="175">
        <f t="shared" ref="AA73" si="286">IF(SUM(X73:X76)=0,"",IFERROR(X73/Y73,""))</f>
        <v>0.93477785802914992</v>
      </c>
      <c r="AB73" s="171">
        <f t="shared" si="264"/>
        <v>0</v>
      </c>
      <c r="AC73" s="159">
        <f t="shared" si="265"/>
        <v>0</v>
      </c>
      <c r="AD73" s="159">
        <f t="shared" si="41"/>
        <v>0</v>
      </c>
      <c r="AE73" s="175" t="str">
        <f t="shared" ref="AE73" si="287">IF(SUM(AB73:AB76)=0,"",IFERROR(AB73/AC73,""))</f>
        <v/>
      </c>
      <c r="AF73" s="171">
        <f t="shared" si="267"/>
        <v>656308</v>
      </c>
      <c r="AG73" s="159">
        <f t="shared" si="268"/>
        <v>694677.5</v>
      </c>
      <c r="AH73" s="159">
        <f t="shared" si="43"/>
        <v>-38369.5</v>
      </c>
      <c r="AI73" s="187">
        <f t="shared" ref="AI73" si="288">IF(SUM(AF73:AF76)=0,"",IFERROR(AF73/AG73,""))</f>
        <v>0.94476645637723977</v>
      </c>
      <c r="AJ73" s="157">
        <f t="shared" si="253"/>
        <v>9</v>
      </c>
    </row>
    <row r="74" spans="1:36" ht="24.95" customHeight="1" x14ac:dyDescent="0.25">
      <c r="A74" s="182" t="str">
        <f t="shared" si="34"/>
        <v>لطف آباد</v>
      </c>
      <c r="B74" s="216"/>
      <c r="C74" s="167" t="str">
        <f t="shared" si="35"/>
        <v>دی</v>
      </c>
      <c r="D74" s="171">
        <f>SUMIFS(واردات!$K$4:$K$500,واردات!$J$4:$J$500,$C74,واردات!$I$4:$I$500,$A74)+SUMIFS(واردات!$C$4:$C$500,واردات!$B$4:$B$500,$C74,واردات!$A$4:$A$500,$A74)</f>
        <v>6272</v>
      </c>
      <c r="E74" s="159">
        <v>10972.661930756889</v>
      </c>
      <c r="F74" s="159">
        <f t="shared" si="36"/>
        <v>-4700.661930756889</v>
      </c>
      <c r="G74" s="175">
        <f>IF(SUM(D74:D76)=0,"",IFERROR(D74/E74,""))</f>
        <v>0.57160240965952736</v>
      </c>
      <c r="H74" s="171">
        <f>SUMIFS(واردات!$L$4:$L$500,واردات!$J$4:$J$500,$C74,واردات!$I$4:$I$500,$A74)+SUMIFS(واردات!$D$4:$D$500,واردات!$B$4:$B$500,$C74,واردات!$A$4:$A$500,$A74)</f>
        <v>7302</v>
      </c>
      <c r="I74" s="159">
        <v>10705.874239699864</v>
      </c>
      <c r="J74" s="159">
        <f t="shared" si="270"/>
        <v>-3403.8742396998641</v>
      </c>
      <c r="K74" s="175">
        <f>IF(SUM(H74:H76)=0,"",IFERROR(H74/I74,""))</f>
        <v>0.68205546193719435</v>
      </c>
      <c r="L74" s="171">
        <f>SUMIFS(واردات!$M$4:$M$500,واردات!$J$4:$J$500,$C74,واردات!$I$4:$I$500,$A74)+SUMIFS(واردات!$E$4:$E$500,واردات!$B$4:$B$500,$C74,واردات!$A$4:$A$500,$A74)</f>
        <v>0</v>
      </c>
      <c r="M74" s="159">
        <v>0</v>
      </c>
      <c r="N74" s="159">
        <f t="shared" si="271"/>
        <v>0</v>
      </c>
      <c r="O74" s="175" t="str">
        <f>IF(SUM(L74:L76)=0,"",IFERROR(L74/M74,""))</f>
        <v/>
      </c>
      <c r="P74" s="171">
        <f>SUMIFS(واردات!$N$4:$N$500,واردات!$J$4:$J$500,$C74,واردات!$I$4:$I$500,$A74)+SUMIFS(واردات!$F$4:$F$500,واردات!$B$4:$B$500,$C74,واردات!$A$4:$A$500,$A74)</f>
        <v>84263</v>
      </c>
      <c r="Q74" s="159">
        <v>88954.861800037848</v>
      </c>
      <c r="R74" s="159">
        <f t="shared" si="272"/>
        <v>-4691.8618000378483</v>
      </c>
      <c r="S74" s="175">
        <f>IF(SUM(P74:P76)=0,"",IFERROR(P74/Q74,""))</f>
        <v>0.94725570131754333</v>
      </c>
      <c r="T74" s="171">
        <f t="shared" si="258"/>
        <v>73280</v>
      </c>
      <c r="U74" s="159">
        <f t="shared" si="259"/>
        <v>79562.661930756876</v>
      </c>
      <c r="V74" s="159">
        <f t="shared" si="37"/>
        <v>-6282.6619307568762</v>
      </c>
      <c r="W74" s="175">
        <f t="shared" ref="W74" si="289">IF(SUM(T74:T76)=0,"",IFERROR(T74/U74,""))</f>
        <v>0.92103504610963549</v>
      </c>
      <c r="X74" s="171">
        <f t="shared" si="261"/>
        <v>70396</v>
      </c>
      <c r="Y74" s="159">
        <f t="shared" si="262"/>
        <v>78202.124239699857</v>
      </c>
      <c r="Z74" s="159">
        <f t="shared" si="39"/>
        <v>-7806.1242396998568</v>
      </c>
      <c r="AA74" s="175">
        <f t="shared" ref="AA74" si="290">IF(SUM(X74:X76)=0,"",IFERROR(X74/Y74,""))</f>
        <v>0.90018015091542714</v>
      </c>
      <c r="AB74" s="171">
        <f t="shared" si="264"/>
        <v>0</v>
      </c>
      <c r="AC74" s="159">
        <f t="shared" si="265"/>
        <v>0</v>
      </c>
      <c r="AD74" s="159">
        <f t="shared" si="41"/>
        <v>0</v>
      </c>
      <c r="AE74" s="175" t="str">
        <f t="shared" ref="AE74" si="291">IF(SUM(AB74:AB76)=0,"",IFERROR(AB74/AC74,""))</f>
        <v/>
      </c>
      <c r="AF74" s="171">
        <f t="shared" si="267"/>
        <v>740571</v>
      </c>
      <c r="AG74" s="159">
        <f t="shared" si="268"/>
        <v>783632.36180003779</v>
      </c>
      <c r="AH74" s="159">
        <f t="shared" si="43"/>
        <v>-43061.36180003779</v>
      </c>
      <c r="AI74" s="187">
        <f t="shared" ref="AI74" si="292">IF(SUM(AF74:AF76)=0,"",IFERROR(AF74/AG74,""))</f>
        <v>0.94504902566667359</v>
      </c>
      <c r="AJ74" s="157">
        <f t="shared" si="253"/>
        <v>10</v>
      </c>
    </row>
    <row r="75" spans="1:36" ht="24.95" customHeight="1" x14ac:dyDescent="0.25">
      <c r="A75" s="182" t="str">
        <f t="shared" si="34"/>
        <v>لطف آباد</v>
      </c>
      <c r="B75" s="216"/>
      <c r="C75" s="167" t="str">
        <f t="shared" si="35"/>
        <v>بهمن</v>
      </c>
      <c r="D75" s="171">
        <f>SUMIFS(واردات!$K$4:$K$500,واردات!$J$4:$J$500,$C75,واردات!$I$4:$I$500,$A75)+SUMIFS(واردات!$C$4:$C$500,واردات!$B$4:$B$500,$C75,واردات!$A$4:$A$500,$A75)</f>
        <v>9480</v>
      </c>
      <c r="E75" s="159">
        <v>10972.661930756889</v>
      </c>
      <c r="F75" s="159">
        <f t="shared" si="36"/>
        <v>-1492.661930756889</v>
      </c>
      <c r="G75" s="175">
        <f>IF(SUM(D75:D76)=0,"",IFERROR(D75/E75,""))</f>
        <v>0.86396537684507646</v>
      </c>
      <c r="H75" s="171">
        <f>SUMIFS(واردات!$L$4:$L$500,واردات!$J$4:$J$500,$C75,واردات!$I$4:$I$500,$A75)+SUMIFS(واردات!$D$4:$D$500,واردات!$B$4:$B$500,$C75,واردات!$A$4:$A$500,$A75)</f>
        <v>7171</v>
      </c>
      <c r="I75" s="159">
        <v>10705.874239699864</v>
      </c>
      <c r="J75" s="159">
        <f t="shared" si="270"/>
        <v>-3534.8742396998641</v>
      </c>
      <c r="K75" s="175">
        <f>IF(SUM(H75:H76)=0,"",IFERROR(H75/I75,""))</f>
        <v>0.66981918892791292</v>
      </c>
      <c r="L75" s="171">
        <f>SUMIFS(واردات!$M$4:$M$500,واردات!$J$4:$J$500,$C75,واردات!$I$4:$I$500,$A75)+SUMIFS(واردات!$E$4:$E$500,واردات!$B$4:$B$500,$C75,واردات!$A$4:$A$500,$A75)</f>
        <v>0</v>
      </c>
      <c r="M75" s="159">
        <v>0</v>
      </c>
      <c r="N75" s="159">
        <f t="shared" si="271"/>
        <v>0</v>
      </c>
      <c r="O75" s="175" t="str">
        <f>IF(SUM(L75:L76)=0,"",IFERROR(L75/M75,""))</f>
        <v/>
      </c>
      <c r="P75" s="171">
        <f>SUMIFS(واردات!$N$4:$N$500,واردات!$J$4:$J$500,$C75,واردات!$I$4:$I$500,$A75)+SUMIFS(واردات!$F$4:$F$500,واردات!$B$4:$B$500,$C75,واردات!$A$4:$A$500,$A75)</f>
        <v>84744</v>
      </c>
      <c r="Q75" s="159">
        <v>88954.861800037848</v>
      </c>
      <c r="R75" s="159">
        <f t="shared" si="272"/>
        <v>-4210.8618000378483</v>
      </c>
      <c r="S75" s="175">
        <f>IF(SUM(P75:P76)=0,"",IFERROR(P75/Q75,""))</f>
        <v>0.95266293809209135</v>
      </c>
      <c r="T75" s="171">
        <f t="shared" si="258"/>
        <v>82760</v>
      </c>
      <c r="U75" s="159">
        <f t="shared" si="259"/>
        <v>90535.323861513767</v>
      </c>
      <c r="V75" s="159">
        <f t="shared" si="37"/>
        <v>-7775.323861513767</v>
      </c>
      <c r="W75" s="175">
        <f t="shared" ref="W75" si="293">IF(SUM(T75:T76)=0,"",IFERROR(T75/U75,""))</f>
        <v>0.91411834044568951</v>
      </c>
      <c r="X75" s="171">
        <f t="shared" si="261"/>
        <v>77567</v>
      </c>
      <c r="Y75" s="159">
        <f t="shared" si="262"/>
        <v>88907.998479399714</v>
      </c>
      <c r="Z75" s="159">
        <f t="shared" si="39"/>
        <v>-11340.998479399714</v>
      </c>
      <c r="AA75" s="175">
        <f t="shared" ref="AA75" si="294">IF(SUM(X75:X76)=0,"",IFERROR(X75/Y75,""))</f>
        <v>0.8724411900687713</v>
      </c>
      <c r="AB75" s="171">
        <f t="shared" si="264"/>
        <v>0</v>
      </c>
      <c r="AC75" s="159">
        <f t="shared" si="265"/>
        <v>0</v>
      </c>
      <c r="AD75" s="159">
        <f t="shared" si="41"/>
        <v>0</v>
      </c>
      <c r="AE75" s="175" t="str">
        <f t="shared" ref="AE75" si="295">IF(SUM(AB75:AB76)=0,"",IFERROR(AB75/AC75,""))</f>
        <v/>
      </c>
      <c r="AF75" s="171">
        <f t="shared" si="267"/>
        <v>825315</v>
      </c>
      <c r="AG75" s="159">
        <f t="shared" si="268"/>
        <v>872587.22360007558</v>
      </c>
      <c r="AH75" s="159">
        <f t="shared" si="43"/>
        <v>-47272.22360007558</v>
      </c>
      <c r="AI75" s="187">
        <f t="shared" ref="AI75" si="296">IF(SUM(AF75:AF76)=0,"",IFERROR(AF75/AG75,""))</f>
        <v>0.94582521687053556</v>
      </c>
      <c r="AJ75" s="157">
        <f t="shared" si="253"/>
        <v>11</v>
      </c>
    </row>
    <row r="76" spans="1:36" ht="24.95" customHeight="1" thickBot="1" x14ac:dyDescent="0.3">
      <c r="A76" s="182" t="str">
        <f t="shared" si="34"/>
        <v>لطف آباد</v>
      </c>
      <c r="B76" s="217"/>
      <c r="C76" s="168" t="str">
        <f t="shared" si="35"/>
        <v>اسفند</v>
      </c>
      <c r="D76" s="172">
        <f>SUMIFS(واردات!$K$4:$K$500,واردات!$J$4:$J$500,$C76,واردات!$I$4:$I$500,$A76)+SUMIFS(واردات!$C$4:$C$500,واردات!$B$4:$B$500,$C76,واردات!$A$4:$A$500,$A76)</f>
        <v>9660</v>
      </c>
      <c r="E76" s="173">
        <v>10972.661930756889</v>
      </c>
      <c r="F76" s="173">
        <f t="shared" si="36"/>
        <v>-1312.661930756889</v>
      </c>
      <c r="G76" s="176">
        <f>IF(SUM(D76)=0,"",IFERROR(D76/E76,""))</f>
        <v>0.88036978273453992</v>
      </c>
      <c r="H76" s="172">
        <f>SUMIFS(واردات!$L$4:$L$500,واردات!$J$4:$J$500,$C76,واردات!$I$4:$I$500,$A76)+SUMIFS(واردات!$D$4:$D$500,واردات!$B$4:$B$500,$C76,واردات!$A$4:$A$500,$A76)</f>
        <v>8207</v>
      </c>
      <c r="I76" s="173">
        <v>10705.874239699864</v>
      </c>
      <c r="J76" s="173">
        <f t="shared" si="270"/>
        <v>-2498.8742396998641</v>
      </c>
      <c r="K76" s="176">
        <f>IF(SUM(H76)=0,"",IFERROR(H76/I76,""))</f>
        <v>0.76658849303184795</v>
      </c>
      <c r="L76" s="172">
        <f>SUMIFS(واردات!$M$4:$M$500,واردات!$J$4:$J$500,$C76,واردات!$I$4:$I$500,$A76)+SUMIFS(واردات!$E$4:$E$500,واردات!$B$4:$B$500,$C76,واردات!$A$4:$A$500,$A76)</f>
        <v>0</v>
      </c>
      <c r="M76" s="173">
        <v>0</v>
      </c>
      <c r="N76" s="173">
        <f t="shared" si="271"/>
        <v>0</v>
      </c>
      <c r="O76" s="176" t="str">
        <f>IF(SUM(L76)=0,"",IFERROR(L76/M76,""))</f>
        <v/>
      </c>
      <c r="P76" s="172">
        <f>SUMIFS(واردات!$N$4:$N$500,واردات!$J$4:$J$500,$C76,واردات!$I$4:$I$500,$A76)+SUMIFS(واردات!$F$4:$F$500,واردات!$B$4:$B$500,$C76,واردات!$A$4:$A$500,$A76)</f>
        <v>86761</v>
      </c>
      <c r="Q76" s="173">
        <v>88954.861800037848</v>
      </c>
      <c r="R76" s="173">
        <f t="shared" si="272"/>
        <v>-2193.8618000378483</v>
      </c>
      <c r="S76" s="176">
        <f>IF(SUM(P76)=0,"",IFERROR(P76/Q76,""))</f>
        <v>0.97533735924440601</v>
      </c>
      <c r="T76" s="172">
        <f t="shared" si="258"/>
        <v>92420</v>
      </c>
      <c r="U76" s="173">
        <f t="shared" si="259"/>
        <v>101507.98579227066</v>
      </c>
      <c r="V76" s="173">
        <f t="shared" si="37"/>
        <v>-9087.9857922706578</v>
      </c>
      <c r="W76" s="176">
        <f t="shared" ref="W76" si="297">IF(SUM(T76)=0,"",IFERROR(T76/U76,""))</f>
        <v>0.91047023816560979</v>
      </c>
      <c r="X76" s="172">
        <f t="shared" si="261"/>
        <v>85774</v>
      </c>
      <c r="Y76" s="173">
        <f t="shared" si="262"/>
        <v>99613.872719099571</v>
      </c>
      <c r="Z76" s="173">
        <f t="shared" si="39"/>
        <v>-13839.872719099571</v>
      </c>
      <c r="AA76" s="176">
        <f t="shared" ref="AA76" si="298">IF(SUM(X76)=0,"",IFERROR(X76/Y76,""))</f>
        <v>0.861064806122672</v>
      </c>
      <c r="AB76" s="172">
        <f t="shared" si="264"/>
        <v>0</v>
      </c>
      <c r="AC76" s="173">
        <f t="shared" si="265"/>
        <v>0</v>
      </c>
      <c r="AD76" s="173">
        <f t="shared" si="41"/>
        <v>0</v>
      </c>
      <c r="AE76" s="176" t="str">
        <f t="shared" ref="AE76" si="299">IF(SUM(AB76)=0,"",IFERROR(AB76/AC76,""))</f>
        <v/>
      </c>
      <c r="AF76" s="172">
        <f t="shared" si="267"/>
        <v>912076</v>
      </c>
      <c r="AG76" s="173">
        <f t="shared" si="268"/>
        <v>961542.08540011337</v>
      </c>
      <c r="AH76" s="173">
        <f t="shared" si="43"/>
        <v>-49466.08540011337</v>
      </c>
      <c r="AI76" s="188">
        <f t="shared" ref="AI76" si="300">IF(SUM(AF76)=0,"",IFERROR(AF76/AG76,""))</f>
        <v>0.94855546506887456</v>
      </c>
      <c r="AJ76" s="157">
        <f>AJ75+1</f>
        <v>12</v>
      </c>
    </row>
    <row r="77" spans="1:36" ht="24.95" customHeight="1" x14ac:dyDescent="0.25">
      <c r="A77" s="182" t="str">
        <f t="shared" si="34"/>
        <v>نیشابور</v>
      </c>
      <c r="B77" s="215" t="str">
        <f>واردات!B50</f>
        <v>نیشابور</v>
      </c>
      <c r="C77" s="166" t="str">
        <f>C65</f>
        <v>فروردین</v>
      </c>
      <c r="D77" s="170">
        <f>SUMIFS(واردات!$K$4:$K$500,واردات!$J$4:$J$500,$C77,واردات!$I$4:$I$500,$A77)+SUMIFS(واردات!$C$4:$C$500,واردات!$B$4:$B$500,$C77,واردات!$A$4:$A$500,$A77)</f>
        <v>2040</v>
      </c>
      <c r="E77" s="160">
        <v>640.87618591395847</v>
      </c>
      <c r="F77" s="160">
        <f t="shared" si="36"/>
        <v>1399.1238140860414</v>
      </c>
      <c r="G77" s="185">
        <f>IF(SUM(D77:D88)=0,"",IFERROR(D77/E77,""))</f>
        <v>3.183142149510112</v>
      </c>
      <c r="H77" s="170">
        <f>SUMIFS(واردات!$L$4:$L$500,واردات!$J$4:$J$500,$C77,واردات!$I$4:$I$500,$A77)+SUMIFS(واردات!$D$4:$D$500,واردات!$B$4:$B$500,$C77,واردات!$A$4:$A$500,$A77)</f>
        <v>3904</v>
      </c>
      <c r="I77" s="160">
        <v>1430.3925367326156</v>
      </c>
      <c r="J77" s="160">
        <f t="shared" si="270"/>
        <v>2473.6074632673844</v>
      </c>
      <c r="K77" s="185">
        <f>IF(SUM(H77:H88)=0,"",IFERROR(H77/I77,""))</f>
        <v>2.7293207282231351</v>
      </c>
      <c r="L77" s="170">
        <f>SUMIFS(واردات!$M$4:$M$500,واردات!$J$4:$J$500,$C77,واردات!$I$4:$I$500,$A77)+SUMIFS(واردات!$E$4:$E$500,واردات!$B$4:$B$500,$C77,واردات!$A$4:$A$500,$A77)</f>
        <v>0</v>
      </c>
      <c r="M77" s="160">
        <v>0</v>
      </c>
      <c r="N77" s="160">
        <f t="shared" si="271"/>
        <v>0</v>
      </c>
      <c r="O77" s="185" t="str">
        <f>IF(SUM(L77:L88)=0,"",IFERROR(L77/M77,""))</f>
        <v/>
      </c>
      <c r="P77" s="170">
        <f>SUMIFS(واردات!$N$4:$N$500,واردات!$J$4:$J$500,$C77,واردات!$I$4:$I$500,$A77)+SUMIFS(واردات!$F$4:$F$500,واردات!$B$4:$B$500,$C77,واردات!$A$4:$A$500,$A77)</f>
        <v>0</v>
      </c>
      <c r="Q77" s="160">
        <v>0</v>
      </c>
      <c r="R77" s="160">
        <f t="shared" si="272"/>
        <v>0</v>
      </c>
      <c r="S77" s="185" t="str">
        <f>IF(SUM(P77:P88)=0,"",IFERROR(P77/Q77,""))</f>
        <v/>
      </c>
      <c r="T77" s="183">
        <f t="shared" si="258"/>
        <v>2040</v>
      </c>
      <c r="U77" s="160">
        <f t="shared" si="259"/>
        <v>640.87618591395847</v>
      </c>
      <c r="V77" s="160">
        <f t="shared" si="37"/>
        <v>1399.1238140860414</v>
      </c>
      <c r="W77" s="185">
        <f t="shared" ref="W77" si="301">IF(SUM(T77:T88)=0,"",IFERROR(T77/U77,""))</f>
        <v>3.183142149510112</v>
      </c>
      <c r="X77" s="183">
        <f t="shared" si="261"/>
        <v>3904</v>
      </c>
      <c r="Y77" s="160">
        <f t="shared" si="262"/>
        <v>1430.3925367326156</v>
      </c>
      <c r="Z77" s="160">
        <f t="shared" si="39"/>
        <v>2473.6074632673844</v>
      </c>
      <c r="AA77" s="185">
        <f t="shared" ref="AA77" si="302">IF(SUM(X77:X88)=0,"",IFERROR(X77/Y77,""))</f>
        <v>2.7293207282231351</v>
      </c>
      <c r="AB77" s="183">
        <f t="shared" si="264"/>
        <v>0</v>
      </c>
      <c r="AC77" s="160">
        <f t="shared" si="265"/>
        <v>0</v>
      </c>
      <c r="AD77" s="160">
        <f t="shared" si="41"/>
        <v>0</v>
      </c>
      <c r="AE77" s="185" t="str">
        <f t="shared" ref="AE77" si="303">IF(SUM(AB77:AB88)=0,"",IFERROR(AB77/AC77,""))</f>
        <v/>
      </c>
      <c r="AF77" s="183">
        <f t="shared" si="267"/>
        <v>0</v>
      </c>
      <c r="AG77" s="160">
        <f t="shared" si="268"/>
        <v>0</v>
      </c>
      <c r="AH77" s="160">
        <f t="shared" si="43"/>
        <v>0</v>
      </c>
      <c r="AI77" s="186" t="str">
        <f t="shared" ref="AI77" si="304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34"/>
        <v>نیشابور</v>
      </c>
      <c r="B78" s="216"/>
      <c r="C78" s="167" t="str">
        <f t="shared" si="35"/>
        <v>اردیبهشت</v>
      </c>
      <c r="D78" s="171">
        <f>SUMIFS(واردات!$K$4:$K$500,واردات!$J$4:$J$500,$C78,واردات!$I$4:$I$500,$A78)+SUMIFS(واردات!$C$4:$C$500,واردات!$B$4:$B$500,$C78,واردات!$A$4:$A$500,$A78)</f>
        <v>1113</v>
      </c>
      <c r="E78" s="159">
        <v>640.87618591395847</v>
      </c>
      <c r="F78" s="159">
        <f t="shared" si="36"/>
        <v>472.12381408604153</v>
      </c>
      <c r="G78" s="175">
        <f>IF(SUM(D78:D88)=0,"",IFERROR(D78/E78,""))</f>
        <v>1.7366849080415465</v>
      </c>
      <c r="H78" s="171">
        <f>SUMIFS(واردات!$L$4:$L$500,واردات!$J$4:$J$500,$C78,واردات!$I$4:$I$500,$A78)+SUMIFS(واردات!$D$4:$D$500,واردات!$B$4:$B$500,$C78,واردات!$A$4:$A$500,$A78)</f>
        <v>1823</v>
      </c>
      <c r="I78" s="159">
        <v>1430.3925367326156</v>
      </c>
      <c r="J78" s="159">
        <f t="shared" si="270"/>
        <v>392.60746326738445</v>
      </c>
      <c r="K78" s="175">
        <f>IF(SUM(H78:H88)=0,"",IFERROR(H78/I78,""))</f>
        <v>1.274475329802965</v>
      </c>
      <c r="L78" s="171">
        <f>SUMIFS(واردات!$M$4:$M$500,واردات!$J$4:$J$500,$C78,واردات!$I$4:$I$500,$A78)+SUMIFS(واردات!$E$4:$E$500,واردات!$B$4:$B$500,$C78,واردات!$A$4:$A$500,$A78)</f>
        <v>0</v>
      </c>
      <c r="M78" s="159">
        <v>0</v>
      </c>
      <c r="N78" s="159">
        <f t="shared" si="271"/>
        <v>0</v>
      </c>
      <c r="O78" s="175" t="str">
        <f>IF(SUM(L78:L88)=0,"",IFERROR(L78/M78,""))</f>
        <v/>
      </c>
      <c r="P78" s="171">
        <f>SUMIFS(واردات!$N$4:$N$500,واردات!$J$4:$J$500,$C78,واردات!$I$4:$I$500,$A78)+SUMIFS(واردات!$F$4:$F$500,واردات!$B$4:$B$500,$C78,واردات!$A$4:$A$500,$A78)</f>
        <v>0</v>
      </c>
      <c r="Q78" s="159">
        <v>0</v>
      </c>
      <c r="R78" s="159">
        <f t="shared" si="272"/>
        <v>0</v>
      </c>
      <c r="S78" s="175" t="str">
        <f>IF(SUM(P78:P88)=0,"",IFERROR(P78/Q78,""))</f>
        <v/>
      </c>
      <c r="T78" s="171">
        <f t="shared" si="258"/>
        <v>3153</v>
      </c>
      <c r="U78" s="159">
        <f t="shared" si="259"/>
        <v>1281.7523718279169</v>
      </c>
      <c r="V78" s="159">
        <f t="shared" si="37"/>
        <v>1871.2476281720831</v>
      </c>
      <c r="W78" s="175">
        <f t="shared" ref="W78" si="305">IF(SUM(T78:T88)=0,"",IFERROR(T78/U78,""))</f>
        <v>2.4599135287758291</v>
      </c>
      <c r="X78" s="171">
        <f t="shared" si="261"/>
        <v>5727</v>
      </c>
      <c r="Y78" s="159">
        <f t="shared" si="262"/>
        <v>2860.7850734652311</v>
      </c>
      <c r="Z78" s="159">
        <f t="shared" si="39"/>
        <v>2866.2149265347689</v>
      </c>
      <c r="AA78" s="175">
        <f t="shared" ref="AA78" si="306">IF(SUM(X78:X88)=0,"",IFERROR(X78/Y78,""))</f>
        <v>2.0018980290130504</v>
      </c>
      <c r="AB78" s="171">
        <f t="shared" si="264"/>
        <v>0</v>
      </c>
      <c r="AC78" s="159">
        <f t="shared" si="265"/>
        <v>0</v>
      </c>
      <c r="AD78" s="159">
        <f t="shared" si="41"/>
        <v>0</v>
      </c>
      <c r="AE78" s="175" t="str">
        <f t="shared" ref="AE78" si="307">IF(SUM(AB78:AB88)=0,"",IFERROR(AB78/AC78,""))</f>
        <v/>
      </c>
      <c r="AF78" s="171">
        <f t="shared" si="267"/>
        <v>0</v>
      </c>
      <c r="AG78" s="159">
        <f t="shared" si="268"/>
        <v>0</v>
      </c>
      <c r="AH78" s="159">
        <f t="shared" si="43"/>
        <v>0</v>
      </c>
      <c r="AI78" s="187" t="str">
        <f t="shared" ref="AI78" si="308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34"/>
        <v>نیشابور</v>
      </c>
      <c r="B79" s="216"/>
      <c r="C79" s="167" t="str">
        <f t="shared" si="35"/>
        <v>خرداد</v>
      </c>
      <c r="D79" s="171">
        <f>SUMIFS(واردات!$K$4:$K$500,واردات!$J$4:$J$500,$C79,واردات!$I$4:$I$500,$A79)+SUMIFS(واردات!$C$4:$C$500,واردات!$B$4:$B$500,$C79,واردات!$A$4:$A$500,$A79)</f>
        <v>381</v>
      </c>
      <c r="E79" s="159">
        <v>640.87618591395847</v>
      </c>
      <c r="F79" s="159">
        <f t="shared" si="36"/>
        <v>-259.87618591395847</v>
      </c>
      <c r="G79" s="175">
        <f>IF(SUM(D79:D88)=0,"",IFERROR(D79/E79,""))</f>
        <v>0.59449860733497684</v>
      </c>
      <c r="H79" s="171">
        <f>SUMIFS(واردات!$L$4:$L$500,واردات!$J$4:$J$500,$C79,واردات!$I$4:$I$500,$A79)+SUMIFS(واردات!$D$4:$D$500,واردات!$B$4:$B$500,$C79,واردات!$A$4:$A$500,$A79)</f>
        <v>1360</v>
      </c>
      <c r="I79" s="159">
        <v>1430.3925367326156</v>
      </c>
      <c r="J79" s="159">
        <f t="shared" si="270"/>
        <v>-70.392536732615554</v>
      </c>
      <c r="K79" s="175">
        <f>IF(SUM(H79:H88)=0,"",IFERROR(H79/I79,""))</f>
        <v>0.95078795860232168</v>
      </c>
      <c r="L79" s="171">
        <f>SUMIFS(واردات!$M$4:$M$500,واردات!$J$4:$J$500,$C79,واردات!$I$4:$I$500,$A79)+SUMIFS(واردات!$E$4:$E$500,واردات!$B$4:$B$500,$C79,واردات!$A$4:$A$500,$A79)</f>
        <v>0</v>
      </c>
      <c r="M79" s="159">
        <v>0</v>
      </c>
      <c r="N79" s="159">
        <f t="shared" si="271"/>
        <v>0</v>
      </c>
      <c r="O79" s="175" t="str">
        <f>IF(SUM(L79:L88)=0,"",IFERROR(L79/M79,""))</f>
        <v/>
      </c>
      <c r="P79" s="171">
        <f>SUMIFS(واردات!$N$4:$N$500,واردات!$J$4:$J$500,$C79,واردات!$I$4:$I$500,$A79)+SUMIFS(واردات!$F$4:$F$500,واردات!$B$4:$B$500,$C79,واردات!$A$4:$A$500,$A79)</f>
        <v>0</v>
      </c>
      <c r="Q79" s="159">
        <v>0</v>
      </c>
      <c r="R79" s="159">
        <f t="shared" si="272"/>
        <v>0</v>
      </c>
      <c r="S79" s="175" t="str">
        <f>IF(SUM(P79:P88)=0,"",IFERROR(P79/Q79,""))</f>
        <v/>
      </c>
      <c r="T79" s="171">
        <f t="shared" si="258"/>
        <v>3534</v>
      </c>
      <c r="U79" s="159">
        <f t="shared" si="259"/>
        <v>1922.6285577418753</v>
      </c>
      <c r="V79" s="159">
        <f t="shared" si="37"/>
        <v>1611.3714422581247</v>
      </c>
      <c r="W79" s="175">
        <f t="shared" ref="W79" si="309">IF(SUM(T79:T88)=0,"",IFERROR(T79/U79,""))</f>
        <v>1.8381085549622118</v>
      </c>
      <c r="X79" s="171">
        <f t="shared" si="261"/>
        <v>7087</v>
      </c>
      <c r="Y79" s="159">
        <f t="shared" si="262"/>
        <v>4291.1776101978467</v>
      </c>
      <c r="Z79" s="159">
        <f t="shared" si="39"/>
        <v>2795.8223898021533</v>
      </c>
      <c r="AA79" s="175">
        <f t="shared" ref="AA79" si="310">IF(SUM(X79:X88)=0,"",IFERROR(X79/Y79,""))</f>
        <v>1.6515280055428074</v>
      </c>
      <c r="AB79" s="171">
        <f t="shared" si="264"/>
        <v>0</v>
      </c>
      <c r="AC79" s="159">
        <f t="shared" si="265"/>
        <v>0</v>
      </c>
      <c r="AD79" s="159">
        <f t="shared" si="41"/>
        <v>0</v>
      </c>
      <c r="AE79" s="175" t="str">
        <f t="shared" ref="AE79" si="311">IF(SUM(AB79:AB88)=0,"",IFERROR(AB79/AC79,""))</f>
        <v/>
      </c>
      <c r="AF79" s="171">
        <f t="shared" si="267"/>
        <v>0</v>
      </c>
      <c r="AG79" s="159">
        <f t="shared" si="268"/>
        <v>0</v>
      </c>
      <c r="AH79" s="159">
        <f t="shared" si="43"/>
        <v>0</v>
      </c>
      <c r="AI79" s="187" t="str">
        <f t="shared" ref="AI79" si="312">IF(SUM(AF79:AF88)=0,"",IFERROR(AF79/AG79,""))</f>
        <v/>
      </c>
      <c r="AJ79" s="157">
        <f t="shared" ref="AJ79:AJ87" si="313">AJ78+1</f>
        <v>3</v>
      </c>
    </row>
    <row r="80" spans="1:36" ht="24.95" customHeight="1" x14ac:dyDescent="0.25">
      <c r="A80" s="182" t="str">
        <f t="shared" si="34"/>
        <v>نیشابور</v>
      </c>
      <c r="B80" s="216"/>
      <c r="C80" s="167" t="str">
        <f t="shared" si="35"/>
        <v>تیر</v>
      </c>
      <c r="D80" s="171">
        <f>SUMIFS(واردات!$K$4:$K$500,واردات!$J$4:$J$500,$C80,واردات!$I$4:$I$500,$A80)+SUMIFS(واردات!$C$4:$C$500,واردات!$B$4:$B$500,$C80,واردات!$A$4:$A$500,$A80)</f>
        <v>145</v>
      </c>
      <c r="E80" s="159">
        <v>1281.5562453220523</v>
      </c>
      <c r="F80" s="159">
        <f t="shared" si="36"/>
        <v>-1136.5562453220523</v>
      </c>
      <c r="G80" s="175">
        <f>IF(SUM(D80:D88)=0,"",IFERROR(D80/E80,""))</f>
        <v>0.11314368801937508</v>
      </c>
      <c r="H80" s="171">
        <f>SUMIFS(واردات!$L$4:$L$500,واردات!$J$4:$J$500,$C80,واردات!$I$4:$I$500,$A80)+SUMIFS(واردات!$D$4:$D$500,واردات!$B$4:$B$500,$C80,واردات!$A$4:$A$500,$A80)</f>
        <v>1671</v>
      </c>
      <c r="I80" s="159">
        <v>1081.3397126117486</v>
      </c>
      <c r="J80" s="159">
        <f t="shared" si="270"/>
        <v>589.66028738825139</v>
      </c>
      <c r="K80" s="175">
        <f>IF(SUM(H80:H88)=0,"",IFERROR(H80/I80,""))</f>
        <v>1.5453053101731102</v>
      </c>
      <c r="L80" s="171">
        <f>SUMIFS(واردات!$M$4:$M$500,واردات!$J$4:$J$500,$C80,واردات!$I$4:$I$500,$A80)+SUMIFS(واردات!$E$4:$E$500,واردات!$B$4:$B$500,$C80,واردات!$A$4:$A$500,$A80)</f>
        <v>0</v>
      </c>
      <c r="M80" s="159">
        <v>0</v>
      </c>
      <c r="N80" s="159">
        <f t="shared" si="271"/>
        <v>0</v>
      </c>
      <c r="O80" s="175" t="str">
        <f>IF(SUM(L80:L88)=0,"",IFERROR(L80/M80,""))</f>
        <v/>
      </c>
      <c r="P80" s="171">
        <f>SUMIFS(واردات!$N$4:$N$500,واردات!$J$4:$J$500,$C80,واردات!$I$4:$I$500,$A80)+SUMIFS(واردات!$F$4:$F$500,واردات!$B$4:$B$500,$C80,واردات!$A$4:$A$500,$A80)</f>
        <v>0</v>
      </c>
      <c r="Q80" s="159">
        <v>0</v>
      </c>
      <c r="R80" s="159">
        <f t="shared" si="272"/>
        <v>0</v>
      </c>
      <c r="S80" s="175" t="str">
        <f>IF(SUM(P80:P88)=0,"",IFERROR(P80/Q80,""))</f>
        <v/>
      </c>
      <c r="T80" s="171">
        <f t="shared" si="258"/>
        <v>3679</v>
      </c>
      <c r="U80" s="159">
        <f t="shared" si="259"/>
        <v>3204.1848030639276</v>
      </c>
      <c r="V80" s="159">
        <f t="shared" si="37"/>
        <v>474.81519693607243</v>
      </c>
      <c r="W80" s="175">
        <f t="shared" ref="W80" si="314">IF(SUM(T80:T88)=0,"",IFERROR(T80/U80,""))</f>
        <v>1.1481859587131309</v>
      </c>
      <c r="X80" s="171">
        <f t="shared" si="261"/>
        <v>8758</v>
      </c>
      <c r="Y80" s="159">
        <f t="shared" si="262"/>
        <v>5372.5173228095955</v>
      </c>
      <c r="Z80" s="159">
        <f t="shared" si="39"/>
        <v>3385.4826771904045</v>
      </c>
      <c r="AA80" s="175">
        <f t="shared" ref="AA80" si="315">IF(SUM(X80:X88)=0,"",IFERROR(X80/Y80,""))</f>
        <v>1.6301483036298416</v>
      </c>
      <c r="AB80" s="171">
        <f t="shared" si="264"/>
        <v>0</v>
      </c>
      <c r="AC80" s="159">
        <f t="shared" si="265"/>
        <v>0</v>
      </c>
      <c r="AD80" s="159">
        <f t="shared" si="41"/>
        <v>0</v>
      </c>
      <c r="AE80" s="175" t="str">
        <f t="shared" ref="AE80" si="316">IF(SUM(AB80:AB88)=0,"",IFERROR(AB80/AC80,""))</f>
        <v/>
      </c>
      <c r="AF80" s="171">
        <f t="shared" si="267"/>
        <v>0</v>
      </c>
      <c r="AG80" s="159">
        <f t="shared" si="268"/>
        <v>0</v>
      </c>
      <c r="AH80" s="159">
        <f t="shared" si="43"/>
        <v>0</v>
      </c>
      <c r="AI80" s="187" t="str">
        <f t="shared" ref="AI80" si="317">IF(SUM(AF80:AF88)=0,"",IFERROR(AF80/AG80,""))</f>
        <v/>
      </c>
      <c r="AJ80" s="157">
        <f t="shared" si="313"/>
        <v>4</v>
      </c>
    </row>
    <row r="81" spans="1:36" ht="24.95" customHeight="1" x14ac:dyDescent="0.25">
      <c r="A81" s="182" t="str">
        <f t="shared" si="34"/>
        <v>نیشابور</v>
      </c>
      <c r="B81" s="216"/>
      <c r="C81" s="167" t="str">
        <f t="shared" si="35"/>
        <v>مرداد</v>
      </c>
      <c r="D81" s="171">
        <f>SUMIFS(واردات!$K$4:$K$500,واردات!$J$4:$J$500,$C81,واردات!$I$4:$I$500,$A81)+SUMIFS(واردات!$C$4:$C$500,واردات!$B$4:$B$500,$C81,واردات!$A$4:$A$500,$A81)</f>
        <v>627</v>
      </c>
      <c r="E81" s="159">
        <v>1281.5562453220523</v>
      </c>
      <c r="F81" s="159">
        <f t="shared" si="36"/>
        <v>-654.55624532205229</v>
      </c>
      <c r="G81" s="175">
        <f>IF(SUM(D81:D88)=0,"",IFERROR(D81/E81,""))</f>
        <v>0.48924891302171158</v>
      </c>
      <c r="H81" s="171">
        <f>SUMIFS(واردات!$L$4:$L$500,واردات!$J$4:$J$500,$C81,واردات!$I$4:$I$500,$A81)+SUMIFS(واردات!$D$4:$D$500,واردات!$B$4:$B$500,$C81,واردات!$A$4:$A$500,$A81)</f>
        <v>1608</v>
      </c>
      <c r="I81" s="159">
        <v>1081.3397126117486</v>
      </c>
      <c r="J81" s="159">
        <f t="shared" si="270"/>
        <v>526.66028738825139</v>
      </c>
      <c r="K81" s="175">
        <f>IF(SUM(H81:H88)=0,"",IFERROR(H81/I81,""))</f>
        <v>1.4870442482096715</v>
      </c>
      <c r="L81" s="171">
        <f>SUMIFS(واردات!$M$4:$M$500,واردات!$J$4:$J$500,$C81,واردات!$I$4:$I$500,$A81)+SUMIFS(واردات!$E$4:$E$500,واردات!$B$4:$B$500,$C81,واردات!$A$4:$A$500,$A81)</f>
        <v>1</v>
      </c>
      <c r="M81" s="159">
        <v>0</v>
      </c>
      <c r="N81" s="159">
        <f t="shared" si="271"/>
        <v>1</v>
      </c>
      <c r="O81" s="175" t="str">
        <f>IF(SUM(L81:L88)=0,"",IFERROR(L81/M81,""))</f>
        <v/>
      </c>
      <c r="P81" s="171">
        <f>SUMIFS(واردات!$N$4:$N$500,واردات!$J$4:$J$500,$C81,واردات!$I$4:$I$500,$A81)+SUMIFS(واردات!$F$4:$F$500,واردات!$B$4:$B$500,$C81,واردات!$A$4:$A$500,$A81)</f>
        <v>0</v>
      </c>
      <c r="Q81" s="159">
        <v>0</v>
      </c>
      <c r="R81" s="159">
        <f t="shared" si="272"/>
        <v>0</v>
      </c>
      <c r="S81" s="175" t="str">
        <f>IF(SUM(P81:P88)=0,"",IFERROR(P81/Q81,""))</f>
        <v/>
      </c>
      <c r="T81" s="171">
        <f t="shared" si="258"/>
        <v>4306</v>
      </c>
      <c r="U81" s="159">
        <f t="shared" si="259"/>
        <v>4485.7410483859803</v>
      </c>
      <c r="V81" s="159">
        <f t="shared" si="37"/>
        <v>-179.74104838598032</v>
      </c>
      <c r="W81" s="175">
        <f t="shared" ref="W81" si="318">IF(SUM(T81:T88)=0,"",IFERROR(T81/U81,""))</f>
        <v>0.95993057859399766</v>
      </c>
      <c r="X81" s="171">
        <f t="shared" si="261"/>
        <v>10366</v>
      </c>
      <c r="Y81" s="159">
        <f t="shared" si="262"/>
        <v>6453.8570354213443</v>
      </c>
      <c r="Z81" s="159">
        <f t="shared" si="39"/>
        <v>3912.1429645786557</v>
      </c>
      <c r="AA81" s="175">
        <f t="shared" ref="AA81" si="319">IF(SUM(X81:X88)=0,"",IFERROR(X81/Y81,""))</f>
        <v>1.6061713085845026</v>
      </c>
      <c r="AB81" s="171">
        <f t="shared" si="264"/>
        <v>1</v>
      </c>
      <c r="AC81" s="159">
        <f t="shared" si="265"/>
        <v>0</v>
      </c>
      <c r="AD81" s="159">
        <f t="shared" si="41"/>
        <v>1</v>
      </c>
      <c r="AE81" s="175" t="str">
        <f t="shared" ref="AE81" si="320">IF(SUM(AB81:AB88)=0,"",IFERROR(AB81/AC81,""))</f>
        <v/>
      </c>
      <c r="AF81" s="171">
        <f t="shared" si="267"/>
        <v>0</v>
      </c>
      <c r="AG81" s="159">
        <f t="shared" si="268"/>
        <v>0</v>
      </c>
      <c r="AH81" s="159">
        <f t="shared" si="43"/>
        <v>0</v>
      </c>
      <c r="AI81" s="187" t="str">
        <f t="shared" ref="AI81" si="321">IF(SUM(AF81:AF88)=0,"",IFERROR(AF81/AG81,""))</f>
        <v/>
      </c>
      <c r="AJ81" s="157">
        <f t="shared" si="313"/>
        <v>5</v>
      </c>
    </row>
    <row r="82" spans="1:36" ht="24.95" customHeight="1" x14ac:dyDescent="0.25">
      <c r="A82" s="182" t="str">
        <f t="shared" ref="A82:A136" si="322">IF(B82="",A81,B82)</f>
        <v>نیشابور</v>
      </c>
      <c r="B82" s="216"/>
      <c r="C82" s="167" t="str">
        <f t="shared" ref="C82:C88" si="323">C70</f>
        <v>شهریور</v>
      </c>
      <c r="D82" s="171">
        <f>SUMIFS(واردات!$K$4:$K$500,واردات!$J$4:$J$500,$C82,واردات!$I$4:$I$500,$A82)+SUMIFS(واردات!$C$4:$C$500,واردات!$B$4:$B$500,$C82,واردات!$A$4:$A$500,$A82)</f>
        <v>542</v>
      </c>
      <c r="E82" s="159">
        <v>1281.5562453220523</v>
      </c>
      <c r="F82" s="159">
        <f t="shared" ref="F82:F136" si="324">IFERROR(SUM(D82,-E82),"")</f>
        <v>-739.55624532205229</v>
      </c>
      <c r="G82" s="175">
        <f>IF(SUM(D82:D88)=0,"",IFERROR(D82/E82,""))</f>
        <v>0.42292330280345719</v>
      </c>
      <c r="H82" s="171">
        <f>SUMIFS(واردات!$L$4:$L$500,واردات!$J$4:$J$500,$C82,واردات!$I$4:$I$500,$A82)+SUMIFS(واردات!$D$4:$D$500,واردات!$B$4:$B$500,$C82,واردات!$A$4:$A$500,$A82)</f>
        <v>460</v>
      </c>
      <c r="I82" s="159">
        <v>1081.3397126117486</v>
      </c>
      <c r="J82" s="159">
        <f t="shared" si="270"/>
        <v>-621.33971261174861</v>
      </c>
      <c r="K82" s="175">
        <f>IF(SUM(H82:H88)=0,"",IFERROR(H82/I82,""))</f>
        <v>0.4253982302092344</v>
      </c>
      <c r="L82" s="171">
        <f>SUMIFS(واردات!$M$4:$M$500,واردات!$J$4:$J$500,$C82,واردات!$I$4:$I$500,$A82)+SUMIFS(واردات!$E$4:$E$500,واردات!$B$4:$B$500,$C82,واردات!$A$4:$A$500,$A82)</f>
        <v>0</v>
      </c>
      <c r="M82" s="159">
        <v>0</v>
      </c>
      <c r="N82" s="159">
        <f t="shared" si="271"/>
        <v>0</v>
      </c>
      <c r="O82" s="175" t="str">
        <f>IF(SUM(L82:L88)=0,"",IFERROR(L82/M82,""))</f>
        <v/>
      </c>
      <c r="P82" s="171">
        <f>SUMIFS(واردات!$N$4:$N$500,واردات!$J$4:$J$500,$C82,واردات!$I$4:$I$500,$A82)+SUMIFS(واردات!$F$4:$F$500,واردات!$B$4:$B$500,$C82,واردات!$A$4:$A$500,$A82)</f>
        <v>0</v>
      </c>
      <c r="Q82" s="159">
        <v>0</v>
      </c>
      <c r="R82" s="159">
        <f t="shared" si="272"/>
        <v>0</v>
      </c>
      <c r="S82" s="175" t="str">
        <f>IF(SUM(P82:P88)=0,"",IFERROR(P82/Q82,""))</f>
        <v/>
      </c>
      <c r="T82" s="171">
        <f t="shared" si="258"/>
        <v>4848</v>
      </c>
      <c r="U82" s="159">
        <f t="shared" si="259"/>
        <v>5767.2972937080322</v>
      </c>
      <c r="V82" s="159">
        <f t="shared" ref="V82:V136" si="325">IFERROR(SUM(T82,-U82),"")</f>
        <v>-919.29729370803216</v>
      </c>
      <c r="W82" s="175">
        <f t="shared" ref="W82" si="326">IF(SUM(T82:T88)=0,"",IFERROR(T82/U82,""))</f>
        <v>0.84060171569255482</v>
      </c>
      <c r="X82" s="171">
        <f t="shared" si="261"/>
        <v>10826</v>
      </c>
      <c r="Y82" s="159">
        <f t="shared" si="262"/>
        <v>7535.1967480330932</v>
      </c>
      <c r="Z82" s="159">
        <f t="shared" ref="Z82:Z136" si="327">IFERROR(SUM(X82,-Y82),"")</f>
        <v>3290.8032519669068</v>
      </c>
      <c r="AA82" s="175">
        <f t="shared" ref="AA82" si="328">IF(SUM(X82:X88)=0,"",IFERROR(X82/Y82,""))</f>
        <v>1.4367242637461195</v>
      </c>
      <c r="AB82" s="171">
        <f t="shared" si="264"/>
        <v>1</v>
      </c>
      <c r="AC82" s="159">
        <f t="shared" si="265"/>
        <v>0</v>
      </c>
      <c r="AD82" s="159">
        <f t="shared" ref="AD82:AD136" si="329">IFERROR(SUM(AB82,-AC82),"")</f>
        <v>1</v>
      </c>
      <c r="AE82" s="175" t="str">
        <f t="shared" ref="AE82" si="330">IF(SUM(AB82:AB88)=0,"",IFERROR(AB82/AC82,""))</f>
        <v/>
      </c>
      <c r="AF82" s="171">
        <f t="shared" si="267"/>
        <v>0</v>
      </c>
      <c r="AG82" s="159">
        <f t="shared" si="268"/>
        <v>0</v>
      </c>
      <c r="AH82" s="159">
        <f t="shared" ref="AH82:AH136" si="331">IFERROR(SUM(AF82,-AG82),"")</f>
        <v>0</v>
      </c>
      <c r="AI82" s="187" t="str">
        <f t="shared" ref="AI82" si="332">IF(SUM(AF82:AF88)=0,"",IFERROR(AF82/AG82,""))</f>
        <v/>
      </c>
      <c r="AJ82" s="157">
        <f t="shared" si="313"/>
        <v>6</v>
      </c>
    </row>
    <row r="83" spans="1:36" ht="24.95" customHeight="1" x14ac:dyDescent="0.25">
      <c r="A83" s="182" t="str">
        <f t="shared" si="322"/>
        <v>نیشابور</v>
      </c>
      <c r="B83" s="216"/>
      <c r="C83" s="167" t="str">
        <f t="shared" si="323"/>
        <v>مهر</v>
      </c>
      <c r="D83" s="171">
        <f>SUMIFS(واردات!$K$4:$K$500,واردات!$J$4:$J$500,$C83,واردات!$I$4:$I$500,$A83)+SUMIFS(واردات!$C$4:$C$500,واردات!$B$4:$B$500,$C83,واردات!$A$4:$A$500,$A83)</f>
        <v>791</v>
      </c>
      <c r="E83" s="159">
        <v>1788.9675687639892</v>
      </c>
      <c r="F83" s="159">
        <f t="shared" si="324"/>
        <v>-997.96756876398922</v>
      </c>
      <c r="G83" s="175">
        <f>IF(SUM(D83:D88)=0,"",IFERROR(D83/E83,""))</f>
        <v>0.44215446596748964</v>
      </c>
      <c r="H83" s="171">
        <f>SUMIFS(واردات!$L$4:$L$500,واردات!$J$4:$J$500,$C83,واردات!$I$4:$I$500,$A83)+SUMIFS(واردات!$D$4:$D$500,واردات!$B$4:$B$500,$C83,واردات!$A$4:$A$500,$A83)</f>
        <v>408</v>
      </c>
      <c r="I83" s="159">
        <v>2174.6344173223038</v>
      </c>
      <c r="J83" s="159">
        <f t="shared" si="270"/>
        <v>-1766.6344173223038</v>
      </c>
      <c r="K83" s="175">
        <f>IF(SUM(H83:H88)=0,"",IFERROR(H83/I83,""))</f>
        <v>0.18761774243524726</v>
      </c>
      <c r="L83" s="171">
        <f>SUMIFS(واردات!$M$4:$M$500,واردات!$J$4:$J$500,$C83,واردات!$I$4:$I$500,$A83)+SUMIFS(واردات!$E$4:$E$500,واردات!$B$4:$B$500,$C83,واردات!$A$4:$A$500,$A83)</f>
        <v>0</v>
      </c>
      <c r="M83" s="159">
        <v>0</v>
      </c>
      <c r="N83" s="159">
        <f t="shared" si="271"/>
        <v>0</v>
      </c>
      <c r="O83" s="175" t="str">
        <f>IF(SUM(L83:L88)=0,"",IFERROR(L83/M83,""))</f>
        <v/>
      </c>
      <c r="P83" s="171">
        <f>SUMIFS(واردات!$N$4:$N$500,واردات!$J$4:$J$500,$C83,واردات!$I$4:$I$500,$A83)+SUMIFS(واردات!$F$4:$F$500,واردات!$B$4:$B$500,$C83,واردات!$A$4:$A$500,$A83)</f>
        <v>0</v>
      </c>
      <c r="Q83" s="159">
        <v>0</v>
      </c>
      <c r="R83" s="159">
        <f t="shared" si="272"/>
        <v>0</v>
      </c>
      <c r="S83" s="175" t="str">
        <f>IF(SUM(P83:P88)=0,"",IFERROR(P83/Q83,""))</f>
        <v/>
      </c>
      <c r="T83" s="171">
        <f t="shared" si="258"/>
        <v>5639</v>
      </c>
      <c r="U83" s="159">
        <f t="shared" si="259"/>
        <v>7556.2648624720214</v>
      </c>
      <c r="V83" s="159">
        <f t="shared" si="325"/>
        <v>-1917.2648624720214</v>
      </c>
      <c r="W83" s="175">
        <f t="shared" ref="W83" si="333">IF(SUM(T83:T88)=0,"",IFERROR(T83/U83,""))</f>
        <v>0.74626817649099841</v>
      </c>
      <c r="X83" s="171">
        <f t="shared" si="261"/>
        <v>11234</v>
      </c>
      <c r="Y83" s="159">
        <f t="shared" si="262"/>
        <v>9709.8311653553974</v>
      </c>
      <c r="Z83" s="159">
        <f t="shared" si="327"/>
        <v>1524.1688346446026</v>
      </c>
      <c r="AA83" s="175">
        <f t="shared" ref="AA83" si="334">IF(SUM(X83:X88)=0,"",IFERROR(X83/Y83,""))</f>
        <v>1.1569717133787893</v>
      </c>
      <c r="AB83" s="171">
        <f t="shared" si="264"/>
        <v>1</v>
      </c>
      <c r="AC83" s="159">
        <f t="shared" si="265"/>
        <v>0</v>
      </c>
      <c r="AD83" s="159">
        <f t="shared" si="329"/>
        <v>1</v>
      </c>
      <c r="AE83" s="175" t="str">
        <f t="shared" ref="AE83" si="335">IF(SUM(AB83:AB88)=0,"",IFERROR(AB83/AC83,""))</f>
        <v/>
      </c>
      <c r="AF83" s="171">
        <f t="shared" si="267"/>
        <v>0</v>
      </c>
      <c r="AG83" s="159">
        <f t="shared" si="268"/>
        <v>0</v>
      </c>
      <c r="AH83" s="159">
        <f t="shared" si="331"/>
        <v>0</v>
      </c>
      <c r="AI83" s="187" t="str">
        <f t="shared" ref="AI83" si="336">IF(SUM(AF83:AF88)=0,"",IFERROR(AF83/AG83,""))</f>
        <v/>
      </c>
      <c r="AJ83" s="157">
        <f t="shared" si="313"/>
        <v>7</v>
      </c>
    </row>
    <row r="84" spans="1:36" ht="24.95" customHeight="1" x14ac:dyDescent="0.25">
      <c r="A84" s="182" t="str">
        <f t="shared" si="322"/>
        <v>نیشابور</v>
      </c>
      <c r="B84" s="216"/>
      <c r="C84" s="167" t="str">
        <f t="shared" si="323"/>
        <v>آبان</v>
      </c>
      <c r="D84" s="171">
        <f>SUMIFS(واردات!$K$4:$K$500,واردات!$J$4:$J$500,$C84,واردات!$I$4:$I$500,$A84)+SUMIFS(واردات!$C$4:$C$500,واردات!$B$4:$B$500,$C84,واردات!$A$4:$A$500,$A84)</f>
        <v>2455</v>
      </c>
      <c r="E84" s="159">
        <v>1788.9675687639892</v>
      </c>
      <c r="F84" s="159">
        <f t="shared" si="324"/>
        <v>666.03243123601078</v>
      </c>
      <c r="G84" s="175">
        <f>IF(SUM(D84:D88)=0,"",IFERROR(D84/E84,""))</f>
        <v>1.3722998912138902</v>
      </c>
      <c r="H84" s="171">
        <f>SUMIFS(واردات!$L$4:$L$500,واردات!$J$4:$J$500,$C84,واردات!$I$4:$I$500,$A84)+SUMIFS(واردات!$D$4:$D$500,واردات!$B$4:$B$500,$C84,واردات!$A$4:$A$500,$A84)</f>
        <v>1282</v>
      </c>
      <c r="I84" s="159">
        <v>2174.6344173223038</v>
      </c>
      <c r="J84" s="159">
        <f t="shared" si="270"/>
        <v>-892.63441732230376</v>
      </c>
      <c r="K84" s="175">
        <f>IF(SUM(H84:H88)=0,"",IFERROR(H84/I84,""))</f>
        <v>0.58952437696565441</v>
      </c>
      <c r="L84" s="171">
        <f>SUMIFS(واردات!$M$4:$M$500,واردات!$J$4:$J$500,$C84,واردات!$I$4:$I$500,$A84)+SUMIFS(واردات!$E$4:$E$500,واردات!$B$4:$B$500,$C84,واردات!$A$4:$A$500,$A84)</f>
        <v>0</v>
      </c>
      <c r="M84" s="159">
        <v>0</v>
      </c>
      <c r="N84" s="159">
        <f t="shared" si="271"/>
        <v>0</v>
      </c>
      <c r="O84" s="175" t="str">
        <f>IF(SUM(L84:L88)=0,"",IFERROR(L84/M84,""))</f>
        <v/>
      </c>
      <c r="P84" s="171">
        <f>SUMIFS(واردات!$N$4:$N$500,واردات!$J$4:$J$500,$C84,واردات!$I$4:$I$500,$A84)+SUMIFS(واردات!$F$4:$F$500,واردات!$B$4:$B$500,$C84,واردات!$A$4:$A$500,$A84)</f>
        <v>0</v>
      </c>
      <c r="Q84" s="159">
        <v>0</v>
      </c>
      <c r="R84" s="159">
        <f t="shared" si="272"/>
        <v>0</v>
      </c>
      <c r="S84" s="175" t="str">
        <f>IF(SUM(P84:P88)=0,"",IFERROR(P84/Q84,""))</f>
        <v/>
      </c>
      <c r="T84" s="171">
        <f t="shared" si="258"/>
        <v>8094</v>
      </c>
      <c r="U84" s="159">
        <f t="shared" si="259"/>
        <v>9345.2324312360106</v>
      </c>
      <c r="V84" s="159">
        <f t="shared" si="325"/>
        <v>-1251.2324312360106</v>
      </c>
      <c r="W84" s="175">
        <f t="shared" ref="W84" si="337">IF(SUM(T84:T88)=0,"",IFERROR(T84/U84,""))</f>
        <v>0.86611007907584792</v>
      </c>
      <c r="X84" s="171">
        <f t="shared" si="261"/>
        <v>12516</v>
      </c>
      <c r="Y84" s="159">
        <f t="shared" si="262"/>
        <v>11884.465582677702</v>
      </c>
      <c r="Z84" s="159">
        <f t="shared" si="327"/>
        <v>631.5344173222984</v>
      </c>
      <c r="AA84" s="175">
        <f t="shared" ref="AA84" si="338">IF(SUM(X84:X88)=0,"",IFERROR(X84/Y84,""))</f>
        <v>1.0531394880929941</v>
      </c>
      <c r="AB84" s="171">
        <f t="shared" si="264"/>
        <v>1</v>
      </c>
      <c r="AC84" s="159">
        <f t="shared" si="265"/>
        <v>0</v>
      </c>
      <c r="AD84" s="159">
        <f t="shared" si="329"/>
        <v>1</v>
      </c>
      <c r="AE84" s="175" t="str">
        <f t="shared" ref="AE84" si="339">IF(SUM(AB84:AB88)=0,"",IFERROR(AB84/AC84,""))</f>
        <v/>
      </c>
      <c r="AF84" s="171">
        <f t="shared" si="267"/>
        <v>0</v>
      </c>
      <c r="AG84" s="159">
        <f t="shared" si="268"/>
        <v>0</v>
      </c>
      <c r="AH84" s="159">
        <f t="shared" si="331"/>
        <v>0</v>
      </c>
      <c r="AI84" s="187" t="str">
        <f t="shared" ref="AI84" si="340">IF(SUM(AF84:AF88)=0,"",IFERROR(AF84/AG84,""))</f>
        <v/>
      </c>
      <c r="AJ84" s="157">
        <f t="shared" si="313"/>
        <v>8</v>
      </c>
    </row>
    <row r="85" spans="1:36" ht="24.95" customHeight="1" x14ac:dyDescent="0.25">
      <c r="A85" s="182" t="str">
        <f t="shared" si="322"/>
        <v>نیشابور</v>
      </c>
      <c r="B85" s="216"/>
      <c r="C85" s="167" t="str">
        <f t="shared" si="323"/>
        <v>آذر</v>
      </c>
      <c r="D85" s="171">
        <f>SUMIFS(واردات!$K$4:$K$500,واردات!$J$4:$J$500,$C85,واردات!$I$4:$I$500,$A85)+SUMIFS(واردات!$C$4:$C$500,واردات!$B$4:$B$500,$C85,واردات!$A$4:$A$500,$A85)</f>
        <v>962</v>
      </c>
      <c r="E85" s="159">
        <v>1788.9675687639892</v>
      </c>
      <c r="F85" s="159">
        <f t="shared" si="324"/>
        <v>-826.96756876398922</v>
      </c>
      <c r="G85" s="175">
        <f>IF(SUM(D85:D88)=0,"",IFERROR(D85/E85,""))</f>
        <v>0.53774032397057525</v>
      </c>
      <c r="H85" s="171">
        <f>SUMIFS(واردات!$L$4:$L$500,واردات!$J$4:$J$500,$C85,واردات!$I$4:$I$500,$A85)+SUMIFS(واردات!$D$4:$D$500,واردات!$B$4:$B$500,$C85,واردات!$A$4:$A$500,$A85)</f>
        <v>1060</v>
      </c>
      <c r="I85" s="159">
        <v>2174.6344173223038</v>
      </c>
      <c r="J85" s="159">
        <f t="shared" si="270"/>
        <v>-1114.6344173223038</v>
      </c>
      <c r="K85" s="175">
        <f>IF(SUM(H85:H88)=0,"",IFERROR(H85/I85,""))</f>
        <v>0.48743825240529925</v>
      </c>
      <c r="L85" s="171">
        <f>SUMIFS(واردات!$M$4:$M$500,واردات!$J$4:$J$500,$C85,واردات!$I$4:$I$500,$A85)+SUMIFS(واردات!$E$4:$E$500,واردات!$B$4:$B$500,$C85,واردات!$A$4:$A$500,$A85)</f>
        <v>0</v>
      </c>
      <c r="M85" s="159">
        <v>0</v>
      </c>
      <c r="N85" s="159">
        <f t="shared" si="271"/>
        <v>0</v>
      </c>
      <c r="O85" s="175" t="str">
        <f>IF(SUM(L85:L88)=0,"",IFERROR(L85/M85,""))</f>
        <v/>
      </c>
      <c r="P85" s="171">
        <f>SUMIFS(واردات!$N$4:$N$500,واردات!$J$4:$J$500,$C85,واردات!$I$4:$I$500,$A85)+SUMIFS(واردات!$F$4:$F$500,واردات!$B$4:$B$500,$C85,واردات!$A$4:$A$500,$A85)</f>
        <v>0</v>
      </c>
      <c r="Q85" s="159">
        <v>0</v>
      </c>
      <c r="R85" s="159">
        <f t="shared" si="272"/>
        <v>0</v>
      </c>
      <c r="S85" s="175" t="str">
        <f>IF(SUM(P85:P88)=0,"",IFERROR(P85/Q85,""))</f>
        <v/>
      </c>
      <c r="T85" s="171">
        <f t="shared" si="258"/>
        <v>9056</v>
      </c>
      <c r="U85" s="159">
        <f t="shared" si="259"/>
        <v>11134.2</v>
      </c>
      <c r="V85" s="159">
        <f t="shared" si="325"/>
        <v>-2078.2000000000007</v>
      </c>
      <c r="W85" s="175">
        <f t="shared" ref="W85" si="341">IF(SUM(T85:T88)=0,"",IFERROR(T85/U85,""))</f>
        <v>0.81334985899301249</v>
      </c>
      <c r="X85" s="171">
        <f t="shared" si="261"/>
        <v>13576</v>
      </c>
      <c r="Y85" s="159">
        <f t="shared" si="262"/>
        <v>14059.100000000006</v>
      </c>
      <c r="Z85" s="159">
        <f t="shared" si="327"/>
        <v>-483.10000000000582</v>
      </c>
      <c r="AA85" s="175">
        <f t="shared" ref="AA85" si="342">IF(SUM(X85:X88)=0,"",IFERROR(X85/Y85,""))</f>
        <v>0.96563791423348544</v>
      </c>
      <c r="AB85" s="171">
        <f t="shared" si="264"/>
        <v>1</v>
      </c>
      <c r="AC85" s="159">
        <f t="shared" si="265"/>
        <v>0</v>
      </c>
      <c r="AD85" s="159">
        <f t="shared" si="329"/>
        <v>1</v>
      </c>
      <c r="AE85" s="175" t="str">
        <f t="shared" ref="AE85" si="343">IF(SUM(AB85:AB88)=0,"",IFERROR(AB85/AC85,""))</f>
        <v/>
      </c>
      <c r="AF85" s="171">
        <f t="shared" si="267"/>
        <v>0</v>
      </c>
      <c r="AG85" s="159">
        <f t="shared" si="268"/>
        <v>0</v>
      </c>
      <c r="AH85" s="159">
        <f t="shared" si="331"/>
        <v>0</v>
      </c>
      <c r="AI85" s="187" t="str">
        <f t="shared" ref="AI85" si="344">IF(SUM(AF85:AF88)=0,"",IFERROR(AF85/AG85,""))</f>
        <v/>
      </c>
      <c r="AJ85" s="157">
        <f t="shared" si="313"/>
        <v>9</v>
      </c>
    </row>
    <row r="86" spans="1:36" ht="24.95" customHeight="1" x14ac:dyDescent="0.25">
      <c r="A86" s="182" t="str">
        <f t="shared" si="322"/>
        <v>نیشابور</v>
      </c>
      <c r="B86" s="216"/>
      <c r="C86" s="167" t="str">
        <f t="shared" si="323"/>
        <v>دی</v>
      </c>
      <c r="D86" s="171">
        <f>SUMIFS(واردات!$K$4:$K$500,واردات!$J$4:$J$500,$C86,واردات!$I$4:$I$500,$A86)+SUMIFS(واردات!$C$4:$C$500,واردات!$B$4:$B$500,$C86,واردات!$A$4:$A$500,$A86)</f>
        <v>411</v>
      </c>
      <c r="E86" s="159">
        <v>2167.621181783536</v>
      </c>
      <c r="F86" s="159">
        <f t="shared" si="324"/>
        <v>-1756.621181783536</v>
      </c>
      <c r="G86" s="175">
        <f>IF(SUM(D86:D88)=0,"",IFERROR(D86/E86,""))</f>
        <v>0.18960877641074991</v>
      </c>
      <c r="H86" s="171">
        <f>SUMIFS(واردات!$L$4:$L$500,واردات!$J$4:$J$500,$C86,واردات!$I$4:$I$500,$A86)+SUMIFS(واردات!$D$4:$D$500,واردات!$B$4:$B$500,$C86,واردات!$A$4:$A$500,$A86)</f>
        <v>1474</v>
      </c>
      <c r="I86" s="159">
        <v>2775.7444585671074</v>
      </c>
      <c r="J86" s="159">
        <f t="shared" si="270"/>
        <v>-1301.7444585671074</v>
      </c>
      <c r="K86" s="175">
        <f>IF(SUM(H86:H88)=0,"",IFERROR(H86/I86,""))</f>
        <v>0.5310287103161172</v>
      </c>
      <c r="L86" s="171">
        <f>SUMIFS(واردات!$M$4:$M$500,واردات!$J$4:$J$500,$C86,واردات!$I$4:$I$500,$A86)+SUMIFS(واردات!$E$4:$E$500,واردات!$B$4:$B$500,$C86,واردات!$A$4:$A$500,$A86)</f>
        <v>0</v>
      </c>
      <c r="M86" s="159">
        <v>0</v>
      </c>
      <c r="N86" s="159">
        <f t="shared" si="271"/>
        <v>0</v>
      </c>
      <c r="O86" s="175" t="str">
        <f>IF(SUM(L86:L88)=0,"",IFERROR(L86/M86,""))</f>
        <v/>
      </c>
      <c r="P86" s="171">
        <f>SUMIFS(واردات!$N$4:$N$500,واردات!$J$4:$J$500,$C86,واردات!$I$4:$I$500,$A86)+SUMIFS(واردات!$F$4:$F$500,واردات!$B$4:$B$500,$C86,واردات!$A$4:$A$500,$A86)</f>
        <v>0</v>
      </c>
      <c r="Q86" s="159">
        <v>0</v>
      </c>
      <c r="R86" s="159">
        <f t="shared" si="272"/>
        <v>0</v>
      </c>
      <c r="S86" s="175" t="str">
        <f>IF(SUM(P86:P88)=0,"",IFERROR(P86/Q86,""))</f>
        <v/>
      </c>
      <c r="T86" s="171">
        <f t="shared" si="258"/>
        <v>9467</v>
      </c>
      <c r="U86" s="159">
        <f t="shared" si="259"/>
        <v>13301.821181783536</v>
      </c>
      <c r="V86" s="159">
        <f t="shared" si="325"/>
        <v>-3834.8211817835363</v>
      </c>
      <c r="W86" s="175">
        <f t="shared" ref="W86" si="345">IF(SUM(T86:T88)=0,"",IFERROR(T86/U86,""))</f>
        <v>0.71170705654687239</v>
      </c>
      <c r="X86" s="171">
        <f t="shared" si="261"/>
        <v>15050</v>
      </c>
      <c r="Y86" s="159">
        <f t="shared" si="262"/>
        <v>16834.844458567113</v>
      </c>
      <c r="Z86" s="159">
        <f t="shared" si="327"/>
        <v>-1784.8444585671132</v>
      </c>
      <c r="AA86" s="175">
        <f t="shared" ref="AA86" si="346">IF(SUM(X86:X88)=0,"",IFERROR(X86/Y86,""))</f>
        <v>0.89397915359658575</v>
      </c>
      <c r="AB86" s="171">
        <f t="shared" si="264"/>
        <v>1</v>
      </c>
      <c r="AC86" s="159">
        <f t="shared" si="265"/>
        <v>0</v>
      </c>
      <c r="AD86" s="159">
        <f t="shared" si="329"/>
        <v>1</v>
      </c>
      <c r="AE86" s="175" t="str">
        <f t="shared" ref="AE86" si="347">IF(SUM(AB86:AB88)=0,"",IFERROR(AB86/AC86,""))</f>
        <v/>
      </c>
      <c r="AF86" s="171">
        <f t="shared" si="267"/>
        <v>0</v>
      </c>
      <c r="AG86" s="159">
        <f t="shared" si="268"/>
        <v>0</v>
      </c>
      <c r="AH86" s="159">
        <f t="shared" si="331"/>
        <v>0</v>
      </c>
      <c r="AI86" s="187" t="str">
        <f t="shared" ref="AI86" si="348">IF(SUM(AF86:AF88)=0,"",IFERROR(AF86/AG86,""))</f>
        <v/>
      </c>
      <c r="AJ86" s="157">
        <f t="shared" si="313"/>
        <v>10</v>
      </c>
    </row>
    <row r="87" spans="1:36" ht="24.95" customHeight="1" x14ac:dyDescent="0.25">
      <c r="A87" s="182" t="str">
        <f t="shared" si="322"/>
        <v>نیشابور</v>
      </c>
      <c r="B87" s="216"/>
      <c r="C87" s="167" t="str">
        <f t="shared" si="323"/>
        <v>بهمن</v>
      </c>
      <c r="D87" s="171">
        <f>SUMIFS(واردات!$K$4:$K$500,واردات!$J$4:$J$500,$C87,واردات!$I$4:$I$500,$A87)+SUMIFS(واردات!$C$4:$C$500,واردات!$B$4:$B$500,$C87,واردات!$A$4:$A$500,$A87)</f>
        <v>565</v>
      </c>
      <c r="E87" s="159">
        <v>2167.621181783536</v>
      </c>
      <c r="F87" s="159">
        <f t="shared" si="324"/>
        <v>-1602.621181783536</v>
      </c>
      <c r="G87" s="175">
        <f>IF(SUM(D87:D88)=0,"",IFERROR(D87/E87,""))</f>
        <v>0.26065440066197981</v>
      </c>
      <c r="H87" s="171">
        <f>SUMIFS(واردات!$L$4:$L$500,واردات!$J$4:$J$500,$C87,واردات!$I$4:$I$500,$A87)+SUMIFS(واردات!$D$4:$D$500,واردات!$B$4:$B$500,$C87,واردات!$A$4:$A$500,$A87)</f>
        <v>1003</v>
      </c>
      <c r="I87" s="159">
        <v>2775.7444585671074</v>
      </c>
      <c r="J87" s="159">
        <f t="shared" si="270"/>
        <v>-1772.7444585671074</v>
      </c>
      <c r="K87" s="175">
        <f>IF(SUM(H87:H88)=0,"",IFERROR(H87/I87,""))</f>
        <v>0.36134450233857907</v>
      </c>
      <c r="L87" s="171">
        <f>SUMIFS(واردات!$M$4:$M$500,واردات!$J$4:$J$500,$C87,واردات!$I$4:$I$500,$A87)+SUMIFS(واردات!$E$4:$E$500,واردات!$B$4:$B$500,$C87,واردات!$A$4:$A$500,$A87)</f>
        <v>0</v>
      </c>
      <c r="M87" s="159">
        <v>0</v>
      </c>
      <c r="N87" s="159">
        <f t="shared" si="271"/>
        <v>0</v>
      </c>
      <c r="O87" s="175" t="str">
        <f>IF(SUM(L87:L88)=0,"",IFERROR(L87/M87,""))</f>
        <v/>
      </c>
      <c r="P87" s="171">
        <f>SUMIFS(واردات!$N$4:$N$500,واردات!$J$4:$J$500,$C87,واردات!$I$4:$I$500,$A87)+SUMIFS(واردات!$F$4:$F$500,واردات!$B$4:$B$500,$C87,واردات!$A$4:$A$500,$A87)</f>
        <v>0</v>
      </c>
      <c r="Q87" s="159">
        <v>0</v>
      </c>
      <c r="R87" s="159">
        <f t="shared" si="272"/>
        <v>0</v>
      </c>
      <c r="S87" s="175" t="str">
        <f>IF(SUM(P87:P88)=0,"",IFERROR(P87/Q87,""))</f>
        <v/>
      </c>
      <c r="T87" s="171">
        <f t="shared" si="258"/>
        <v>10032</v>
      </c>
      <c r="U87" s="159">
        <f t="shared" si="259"/>
        <v>15469.442363567072</v>
      </c>
      <c r="V87" s="159">
        <f t="shared" si="325"/>
        <v>-5437.4423635670719</v>
      </c>
      <c r="W87" s="175">
        <f t="shared" ref="W87" si="349">IF(SUM(T87:T88)=0,"",IFERROR(T87/U87,""))</f>
        <v>0.64850430702188144</v>
      </c>
      <c r="X87" s="171">
        <f t="shared" si="261"/>
        <v>16053</v>
      </c>
      <c r="Y87" s="159">
        <f t="shared" si="262"/>
        <v>19610.588917134221</v>
      </c>
      <c r="Z87" s="159">
        <f t="shared" si="327"/>
        <v>-3557.5889171342205</v>
      </c>
      <c r="AA87" s="175">
        <f t="shared" ref="AA87" si="350">IF(SUM(X87:X88)=0,"",IFERROR(X87/Y87,""))</f>
        <v>0.81858836916285194</v>
      </c>
      <c r="AB87" s="171">
        <f t="shared" si="264"/>
        <v>1</v>
      </c>
      <c r="AC87" s="159">
        <f t="shared" si="265"/>
        <v>0</v>
      </c>
      <c r="AD87" s="159">
        <f t="shared" si="329"/>
        <v>1</v>
      </c>
      <c r="AE87" s="175" t="str">
        <f t="shared" ref="AE87" si="351">IF(SUM(AB87:AB88)=0,"",IFERROR(AB87/AC87,""))</f>
        <v/>
      </c>
      <c r="AF87" s="171">
        <f t="shared" si="267"/>
        <v>0</v>
      </c>
      <c r="AG87" s="159">
        <f t="shared" si="268"/>
        <v>0</v>
      </c>
      <c r="AH87" s="159">
        <f t="shared" si="331"/>
        <v>0</v>
      </c>
      <c r="AI87" s="187" t="str">
        <f t="shared" ref="AI87" si="352">IF(SUM(AF87:AF88)=0,"",IFERROR(AF87/AG87,""))</f>
        <v/>
      </c>
      <c r="AJ87" s="157">
        <f t="shared" si="313"/>
        <v>11</v>
      </c>
    </row>
    <row r="88" spans="1:36" ht="24.95" customHeight="1" thickBot="1" x14ac:dyDescent="0.3">
      <c r="A88" s="182" t="str">
        <f t="shared" si="322"/>
        <v>نیشابور</v>
      </c>
      <c r="B88" s="217"/>
      <c r="C88" s="168" t="str">
        <f t="shared" si="323"/>
        <v>اسفند</v>
      </c>
      <c r="D88" s="172">
        <f>SUMIFS(واردات!$K$4:$K$500,واردات!$J$4:$J$500,$C88,واردات!$I$4:$I$500,$A88)+SUMIFS(واردات!$C$4:$C$500,واردات!$B$4:$B$500,$C88,واردات!$A$4:$A$500,$A88)</f>
        <v>2171</v>
      </c>
      <c r="E88" s="173">
        <v>2167.621181783536</v>
      </c>
      <c r="F88" s="173">
        <f t="shared" si="324"/>
        <v>3.3788182164639693</v>
      </c>
      <c r="G88" s="176">
        <f>IF(SUM(D88)=0,"",IFERROR(D88/E88,""))</f>
        <v>1.0015587678533773</v>
      </c>
      <c r="H88" s="172">
        <f>SUMIFS(واردات!$L$4:$L$500,واردات!$J$4:$J$500,$C88,واردات!$I$4:$I$500,$A88)+SUMIFS(واردات!$D$4:$D$500,واردات!$B$4:$B$500,$C88,واردات!$A$4:$A$500,$A88)</f>
        <v>473</v>
      </c>
      <c r="I88" s="173">
        <v>2775.7444585671074</v>
      </c>
      <c r="J88" s="173">
        <f t="shared" si="270"/>
        <v>-2302.7444585671074</v>
      </c>
      <c r="K88" s="176">
        <f>IF(SUM(H88)=0,"",IFERROR(H88/I88,""))</f>
        <v>0.17040473539994805</v>
      </c>
      <c r="L88" s="172">
        <f>SUMIFS(واردات!$M$4:$M$500,واردات!$J$4:$J$500,$C88,واردات!$I$4:$I$500,$A88)+SUMIFS(واردات!$E$4:$E$500,واردات!$B$4:$B$500,$C88,واردات!$A$4:$A$500,$A88)</f>
        <v>0</v>
      </c>
      <c r="M88" s="173">
        <v>0</v>
      </c>
      <c r="N88" s="173">
        <f t="shared" si="271"/>
        <v>0</v>
      </c>
      <c r="O88" s="176" t="str">
        <f>IF(SUM(L88)=0,"",IFERROR(L88/M88,""))</f>
        <v/>
      </c>
      <c r="P88" s="172">
        <f>SUMIFS(واردات!$N$4:$N$500,واردات!$J$4:$J$500,$C88,واردات!$I$4:$I$500,$A88)+SUMIFS(واردات!$F$4:$F$500,واردات!$B$4:$B$500,$C88,واردات!$A$4:$A$500,$A88)</f>
        <v>0</v>
      </c>
      <c r="Q88" s="173">
        <v>0</v>
      </c>
      <c r="R88" s="173">
        <f t="shared" si="272"/>
        <v>0</v>
      </c>
      <c r="S88" s="176" t="str">
        <f>IF(SUM(P88)=0,"",IFERROR(P88/Q88,""))</f>
        <v/>
      </c>
      <c r="T88" s="172">
        <f t="shared" si="258"/>
        <v>12203</v>
      </c>
      <c r="U88" s="173">
        <f t="shared" si="259"/>
        <v>17637.063545350607</v>
      </c>
      <c r="V88" s="173">
        <f t="shared" si="325"/>
        <v>-5434.0635453506075</v>
      </c>
      <c r="W88" s="176">
        <f t="shared" ref="W88" si="353">IF(SUM(T88)=0,"",IFERROR(T88/U88,""))</f>
        <v>0.69189522216224553</v>
      </c>
      <c r="X88" s="172">
        <f t="shared" si="261"/>
        <v>16526</v>
      </c>
      <c r="Y88" s="173">
        <f t="shared" si="262"/>
        <v>22386.333375701328</v>
      </c>
      <c r="Z88" s="173">
        <f t="shared" si="327"/>
        <v>-5860.3333757013279</v>
      </c>
      <c r="AA88" s="176">
        <f t="shared" ref="AA88" si="354">IF(SUM(X88)=0,"",IFERROR(X88/Y88,""))</f>
        <v>0.73821825676632347</v>
      </c>
      <c r="AB88" s="172">
        <f t="shared" si="264"/>
        <v>1</v>
      </c>
      <c r="AC88" s="173">
        <f t="shared" si="265"/>
        <v>0</v>
      </c>
      <c r="AD88" s="173">
        <f t="shared" si="329"/>
        <v>1</v>
      </c>
      <c r="AE88" s="176" t="str">
        <f t="shared" ref="AE88" si="355">IF(SUM(AB88)=0,"",IFERROR(AB88/AC88,""))</f>
        <v/>
      </c>
      <c r="AF88" s="172">
        <f t="shared" si="267"/>
        <v>0</v>
      </c>
      <c r="AG88" s="173">
        <f t="shared" si="268"/>
        <v>0</v>
      </c>
      <c r="AH88" s="173">
        <f t="shared" si="331"/>
        <v>0</v>
      </c>
      <c r="AI88" s="188" t="str">
        <f t="shared" ref="AI88" si="356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22"/>
        <v>دوغارون</v>
      </c>
      <c r="B89" s="215" t="str">
        <f>واردات!J50</f>
        <v>دوغارون</v>
      </c>
      <c r="C89" s="166" t="str">
        <f>C77</f>
        <v>فروردین</v>
      </c>
      <c r="D89" s="170">
        <f>SUMIFS(واردات!$K$4:$K$500,واردات!$J$4:$J$500,$C89,واردات!$I$4:$I$500,$A89)+SUMIFS(واردات!$C$4:$C$500,واردات!$B$4:$B$500,$C89,واردات!$A$4:$A$500,$A89)</f>
        <v>5658</v>
      </c>
      <c r="E89" s="160">
        <v>11070.944302390446</v>
      </c>
      <c r="F89" s="160">
        <f t="shared" si="324"/>
        <v>-5412.944302390446</v>
      </c>
      <c r="G89" s="185">
        <f>IF(SUM(D89:D100)=0,"",IFERROR(D89/E89,""))</f>
        <v>0.51106751560283081</v>
      </c>
      <c r="H89" s="170">
        <f>SUMIFS(واردات!$L$4:$L$500,واردات!$J$4:$J$500,$C89,واردات!$I$4:$I$500,$A89)+SUMIFS(واردات!$D$4:$D$500,واردات!$B$4:$B$500,$C89,واردات!$A$4:$A$500,$A89)</f>
        <v>5324</v>
      </c>
      <c r="I89" s="160">
        <v>9467.1761375921342</v>
      </c>
      <c r="J89" s="160">
        <f t="shared" si="270"/>
        <v>-4143.1761375921342</v>
      </c>
      <c r="K89" s="185">
        <f>IF(SUM(H89:H100)=0,"",IFERROR(H89/I89,""))</f>
        <v>0.56236410125079783</v>
      </c>
      <c r="L89" s="170">
        <f>SUMIFS(واردات!$M$4:$M$500,واردات!$J$4:$J$500,$C89,واردات!$I$4:$I$500,$A89)+SUMIFS(واردات!$E$4:$E$500,واردات!$B$4:$B$500,$C89,واردات!$A$4:$A$500,$A89)</f>
        <v>0</v>
      </c>
      <c r="M89" s="160">
        <v>0</v>
      </c>
      <c r="N89" s="160">
        <f t="shared" si="271"/>
        <v>0</v>
      </c>
      <c r="O89" s="185" t="str">
        <f>IF(SUM(L89:L100)=0,"",IFERROR(L89/M89,""))</f>
        <v/>
      </c>
      <c r="P89" s="170">
        <f>SUMIFS(واردات!$N$4:$N$500,واردات!$J$4:$J$500,$C89,واردات!$I$4:$I$500,$A89)+SUMIFS(واردات!$F$4:$F$500,واردات!$B$4:$B$500,$C89,واردات!$A$4:$A$500,$A89)</f>
        <v>5084</v>
      </c>
      <c r="Q89" s="160">
        <v>13807.416426843827</v>
      </c>
      <c r="R89" s="160">
        <f t="shared" si="272"/>
        <v>-8723.4164268438271</v>
      </c>
      <c r="S89" s="185">
        <f>IF(SUM(P89:P100)=0,"",IFERROR(P89/Q89,""))</f>
        <v>0.36820791398135067</v>
      </c>
      <c r="T89" s="183">
        <f t="shared" si="258"/>
        <v>5658</v>
      </c>
      <c r="U89" s="160">
        <f t="shared" si="259"/>
        <v>11070.944302390446</v>
      </c>
      <c r="V89" s="160">
        <f t="shared" si="325"/>
        <v>-5412.944302390446</v>
      </c>
      <c r="W89" s="185">
        <f t="shared" ref="W89" si="357">IF(SUM(T89:T100)=0,"",IFERROR(T89/U89,""))</f>
        <v>0.51106751560283081</v>
      </c>
      <c r="X89" s="183">
        <f t="shared" si="261"/>
        <v>5324</v>
      </c>
      <c r="Y89" s="160">
        <f t="shared" si="262"/>
        <v>9467.1761375921342</v>
      </c>
      <c r="Z89" s="160">
        <f t="shared" si="327"/>
        <v>-4143.1761375921342</v>
      </c>
      <c r="AA89" s="185">
        <f t="shared" ref="AA89" si="358">IF(SUM(X89:X100)=0,"",IFERROR(X89/Y89,""))</f>
        <v>0.56236410125079783</v>
      </c>
      <c r="AB89" s="183">
        <f t="shared" si="264"/>
        <v>0</v>
      </c>
      <c r="AC89" s="160">
        <f t="shared" si="265"/>
        <v>0</v>
      </c>
      <c r="AD89" s="160">
        <f t="shared" si="329"/>
        <v>0</v>
      </c>
      <c r="AE89" s="185" t="str">
        <f t="shared" ref="AE89" si="359">IF(SUM(AB89:AB100)=0,"",IFERROR(AB89/AC89,""))</f>
        <v/>
      </c>
      <c r="AF89" s="183">
        <f t="shared" si="267"/>
        <v>5084</v>
      </c>
      <c r="AG89" s="160">
        <f t="shared" si="268"/>
        <v>13807.416426843827</v>
      </c>
      <c r="AH89" s="160">
        <f t="shared" si="331"/>
        <v>-8723.4164268438271</v>
      </c>
      <c r="AI89" s="186">
        <f t="shared" ref="AI89" si="360">IF(SUM(AF89:AF100)=0,"",IFERROR(AF89/AG89,""))</f>
        <v>0.36820791398135067</v>
      </c>
      <c r="AJ89" s="157">
        <v>1</v>
      </c>
    </row>
    <row r="90" spans="1:36" ht="24.95" customHeight="1" x14ac:dyDescent="0.25">
      <c r="A90" s="182" t="str">
        <f t="shared" si="322"/>
        <v>دوغارون</v>
      </c>
      <c r="B90" s="216"/>
      <c r="C90" s="167" t="str">
        <f t="shared" ref="C90:C100" si="361">C78</f>
        <v>اردیبهشت</v>
      </c>
      <c r="D90" s="171">
        <f>SUMIFS(واردات!$K$4:$K$500,واردات!$J$4:$J$500,$C90,واردات!$I$4:$I$500,$A90)+SUMIFS(واردات!$C$4:$C$500,واردات!$B$4:$B$500,$C90,واردات!$A$4:$A$500,$A90)</f>
        <v>3867</v>
      </c>
      <c r="E90" s="159">
        <v>11070.944302390446</v>
      </c>
      <c r="F90" s="159">
        <f t="shared" si="324"/>
        <v>-7203.944302390446</v>
      </c>
      <c r="G90" s="175">
        <f>IF(SUM(D90:D100)=0,"",IFERROR(D90/E90,""))</f>
        <v>0.3492926975673642</v>
      </c>
      <c r="H90" s="171">
        <f>SUMIFS(واردات!$L$4:$L$500,واردات!$J$4:$J$500,$C90,واردات!$I$4:$I$500,$A90)+SUMIFS(واردات!$D$4:$D$500,واردات!$B$4:$B$500,$C90,واردات!$A$4:$A$500,$A90)</f>
        <v>4485</v>
      </c>
      <c r="I90" s="159">
        <v>9467.1761375921342</v>
      </c>
      <c r="J90" s="159">
        <f t="shared" si="270"/>
        <v>-4982.1761375921342</v>
      </c>
      <c r="K90" s="175">
        <f>IF(SUM(H90:H100)=0,"",IFERROR(H90/I90,""))</f>
        <v>0.47374211008824724</v>
      </c>
      <c r="L90" s="171">
        <f>SUMIFS(واردات!$M$4:$M$500,واردات!$J$4:$J$500,$C90,واردات!$I$4:$I$500,$A90)+SUMIFS(واردات!$E$4:$E$500,واردات!$B$4:$B$500,$C90,واردات!$A$4:$A$500,$A90)</f>
        <v>50</v>
      </c>
      <c r="M90" s="159">
        <v>0</v>
      </c>
      <c r="N90" s="159">
        <f t="shared" si="271"/>
        <v>50</v>
      </c>
      <c r="O90" s="175" t="str">
        <f>IF(SUM(L90:L100)=0,"",IFERROR(L90/M90,""))</f>
        <v/>
      </c>
      <c r="P90" s="171">
        <f>SUMIFS(واردات!$N$4:$N$500,واردات!$J$4:$J$500,$C90,واردات!$I$4:$I$500,$A90)+SUMIFS(واردات!$F$4:$F$500,واردات!$B$4:$B$500,$C90,واردات!$A$4:$A$500,$A90)</f>
        <v>7806</v>
      </c>
      <c r="Q90" s="159">
        <v>13807.416426843827</v>
      </c>
      <c r="R90" s="159">
        <f t="shared" si="272"/>
        <v>-6001.4164268438271</v>
      </c>
      <c r="S90" s="175">
        <f>IF(SUM(P90:P100)=0,"",IFERROR(P90/Q90,""))</f>
        <v>0.56534834314288418</v>
      </c>
      <c r="T90" s="171">
        <f t="shared" si="258"/>
        <v>9525</v>
      </c>
      <c r="U90" s="159">
        <f t="shared" si="259"/>
        <v>22141.888604780892</v>
      </c>
      <c r="V90" s="159">
        <f t="shared" si="325"/>
        <v>-12616.888604780892</v>
      </c>
      <c r="W90" s="175">
        <f t="shared" ref="W90" si="362">IF(SUM(T90:T100)=0,"",IFERROR(T90/U90,""))</f>
        <v>0.43018010658509753</v>
      </c>
      <c r="X90" s="171">
        <f t="shared" si="261"/>
        <v>9809</v>
      </c>
      <c r="Y90" s="159">
        <f t="shared" si="262"/>
        <v>18934.352275184268</v>
      </c>
      <c r="Z90" s="159">
        <f t="shared" si="327"/>
        <v>-9125.3522751842684</v>
      </c>
      <c r="AA90" s="175">
        <f t="shared" ref="AA90" si="363">IF(SUM(X90:X100)=0,"",IFERROR(X90/Y90,""))</f>
        <v>0.51805310566952256</v>
      </c>
      <c r="AB90" s="171">
        <f t="shared" si="264"/>
        <v>50</v>
      </c>
      <c r="AC90" s="159">
        <f t="shared" si="265"/>
        <v>0</v>
      </c>
      <c r="AD90" s="159">
        <f t="shared" si="329"/>
        <v>50</v>
      </c>
      <c r="AE90" s="175" t="str">
        <f t="shared" ref="AE90" si="364">IF(SUM(AB90:AB100)=0,"",IFERROR(AB90/AC90,""))</f>
        <v/>
      </c>
      <c r="AF90" s="171">
        <f t="shared" si="267"/>
        <v>12890</v>
      </c>
      <c r="AG90" s="159">
        <f t="shared" si="268"/>
        <v>27614.832853687654</v>
      </c>
      <c r="AH90" s="159">
        <f t="shared" si="331"/>
        <v>-14724.832853687654</v>
      </c>
      <c r="AI90" s="187">
        <f t="shared" ref="AI90" si="365">IF(SUM(AF90:AF100)=0,"",IFERROR(AF90/AG90,""))</f>
        <v>0.46677812856211742</v>
      </c>
      <c r="AJ90" s="157">
        <f>AJ89+1</f>
        <v>2</v>
      </c>
    </row>
    <row r="91" spans="1:36" ht="24.95" customHeight="1" x14ac:dyDescent="0.25">
      <c r="A91" s="182" t="str">
        <f t="shared" si="322"/>
        <v>دوغارون</v>
      </c>
      <c r="B91" s="216"/>
      <c r="C91" s="167" t="str">
        <f t="shared" si="361"/>
        <v>خرداد</v>
      </c>
      <c r="D91" s="171">
        <f>SUMIFS(واردات!$K$4:$K$500,واردات!$J$4:$J$500,$C91,واردات!$I$4:$I$500,$A91)+SUMIFS(واردات!$C$4:$C$500,واردات!$B$4:$B$500,$C91,واردات!$A$4:$A$500,$A91)</f>
        <v>2388</v>
      </c>
      <c r="E91" s="159">
        <v>11070.944302390446</v>
      </c>
      <c r="F91" s="159">
        <f t="shared" si="324"/>
        <v>-8682.944302390446</v>
      </c>
      <c r="G91" s="175">
        <f>IF(SUM(D91:D100)=0,"",IFERROR(D91/E91,""))</f>
        <v>0.21569975738062211</v>
      </c>
      <c r="H91" s="171">
        <f>SUMIFS(واردات!$L$4:$L$500,واردات!$J$4:$J$500,$C91,واردات!$I$4:$I$500,$A91)+SUMIFS(واردات!$D$4:$D$500,واردات!$B$4:$B$500,$C91,واردات!$A$4:$A$500,$A91)</f>
        <v>2588</v>
      </c>
      <c r="I91" s="159">
        <v>9467.1761375921342</v>
      </c>
      <c r="J91" s="159">
        <f t="shared" si="270"/>
        <v>-6879.1761375921342</v>
      </c>
      <c r="K91" s="175">
        <f>IF(SUM(H91:H100)=0,"",IFERROR(H91/I91,""))</f>
        <v>0.27336556987923832</v>
      </c>
      <c r="L91" s="171">
        <f>SUMIFS(واردات!$M$4:$M$500,واردات!$J$4:$J$500,$C91,واردات!$I$4:$I$500,$A91)+SUMIFS(واردات!$E$4:$E$500,واردات!$B$4:$B$500,$C91,واردات!$A$4:$A$500,$A91)</f>
        <v>0</v>
      </c>
      <c r="M91" s="159">
        <v>0</v>
      </c>
      <c r="N91" s="159">
        <f t="shared" si="271"/>
        <v>0</v>
      </c>
      <c r="O91" s="175" t="str">
        <f>IF(SUM(L91:L100)=0,"",IFERROR(L91/M91,""))</f>
        <v/>
      </c>
      <c r="P91" s="171">
        <f>SUMIFS(واردات!$N$4:$N$500,واردات!$J$4:$J$500,$C91,واردات!$I$4:$I$500,$A91)+SUMIFS(واردات!$F$4:$F$500,واردات!$B$4:$B$500,$C91,واردات!$A$4:$A$500,$A91)</f>
        <v>5073</v>
      </c>
      <c r="Q91" s="159">
        <v>13807.416426843827</v>
      </c>
      <c r="R91" s="159">
        <f t="shared" si="272"/>
        <v>-8734.4164268438271</v>
      </c>
      <c r="S91" s="175">
        <f>IF(SUM(P91:P100)=0,"",IFERROR(P91/Q91,""))</f>
        <v>0.36741124068202041</v>
      </c>
      <c r="T91" s="171">
        <f t="shared" si="258"/>
        <v>11913</v>
      </c>
      <c r="U91" s="159">
        <f t="shared" si="259"/>
        <v>33212.832907171338</v>
      </c>
      <c r="V91" s="159">
        <f t="shared" si="325"/>
        <v>-21299.832907171338</v>
      </c>
      <c r="W91" s="175">
        <f t="shared" ref="W91" si="366">IF(SUM(T91:T100)=0,"",IFERROR(T91/U91,""))</f>
        <v>0.3586866568502724</v>
      </c>
      <c r="X91" s="171">
        <f t="shared" si="261"/>
        <v>12397</v>
      </c>
      <c r="Y91" s="159">
        <f t="shared" si="262"/>
        <v>28401.528412776403</v>
      </c>
      <c r="Z91" s="159">
        <f t="shared" si="327"/>
        <v>-16004.528412776403</v>
      </c>
      <c r="AA91" s="175">
        <f t="shared" ref="AA91" si="367">IF(SUM(X91:X100)=0,"",IFERROR(X91/Y91,""))</f>
        <v>0.43649059373942778</v>
      </c>
      <c r="AB91" s="171">
        <f t="shared" si="264"/>
        <v>50</v>
      </c>
      <c r="AC91" s="159">
        <f t="shared" si="265"/>
        <v>0</v>
      </c>
      <c r="AD91" s="159">
        <f t="shared" si="329"/>
        <v>50</v>
      </c>
      <c r="AE91" s="175" t="str">
        <f t="shared" ref="AE91" si="368">IF(SUM(AB91:AB100)=0,"",IFERROR(AB91/AC91,""))</f>
        <v/>
      </c>
      <c r="AF91" s="171">
        <f t="shared" si="267"/>
        <v>17963</v>
      </c>
      <c r="AG91" s="159">
        <f t="shared" si="268"/>
        <v>41422.249280531483</v>
      </c>
      <c r="AH91" s="159">
        <f t="shared" si="331"/>
        <v>-23459.249280531483</v>
      </c>
      <c r="AI91" s="187">
        <f t="shared" ref="AI91" si="369">IF(SUM(AF91:AF100)=0,"",IFERROR(AF91/AG91,""))</f>
        <v>0.43365583260208507</v>
      </c>
      <c r="AJ91" s="157">
        <f t="shared" ref="AJ91:AJ99" si="370">AJ90+1</f>
        <v>3</v>
      </c>
    </row>
    <row r="92" spans="1:36" ht="24.95" customHeight="1" x14ac:dyDescent="0.25">
      <c r="A92" s="182" t="str">
        <f t="shared" si="322"/>
        <v>دوغارون</v>
      </c>
      <c r="B92" s="216"/>
      <c r="C92" s="167" t="str">
        <f t="shared" si="361"/>
        <v>تیر</v>
      </c>
      <c r="D92" s="171">
        <f>SUMIFS(واردات!$K$4:$K$500,واردات!$J$4:$J$500,$C92,واردات!$I$4:$I$500,$A92)+SUMIFS(واردات!$C$4:$C$500,واردات!$B$4:$B$500,$C92,واردات!$A$4:$A$500,$A92)</f>
        <v>4354</v>
      </c>
      <c r="E92" s="159">
        <v>9126.9546940903438</v>
      </c>
      <c r="F92" s="159">
        <f t="shared" si="324"/>
        <v>-4772.9546940903438</v>
      </c>
      <c r="G92" s="175">
        <f>IF(SUM(D92:D100)=0,"",IFERROR(D92/E92,""))</f>
        <v>0.47704849491793716</v>
      </c>
      <c r="H92" s="171">
        <f>SUMIFS(واردات!$L$4:$L$500,واردات!$J$4:$J$500,$C92,واردات!$I$4:$I$500,$A92)+SUMIFS(واردات!$D$4:$D$500,واردات!$B$4:$B$500,$C92,واردات!$A$4:$A$500,$A92)</f>
        <v>4991</v>
      </c>
      <c r="I92" s="159">
        <v>10655.297261388929</v>
      </c>
      <c r="J92" s="159">
        <f t="shared" si="270"/>
        <v>-5664.2972613889287</v>
      </c>
      <c r="K92" s="175">
        <f>IF(SUM(H92:H100)=0,"",IFERROR(H92/I92,""))</f>
        <v>0.46840551488747656</v>
      </c>
      <c r="L92" s="171">
        <f>SUMIFS(واردات!$M$4:$M$500,واردات!$J$4:$J$500,$C92,واردات!$I$4:$I$500,$A92)+SUMIFS(واردات!$E$4:$E$500,واردات!$B$4:$B$500,$C92,واردات!$A$4:$A$500,$A92)</f>
        <v>0</v>
      </c>
      <c r="M92" s="159">
        <v>0</v>
      </c>
      <c r="N92" s="159">
        <f t="shared" si="271"/>
        <v>0</v>
      </c>
      <c r="O92" s="175" t="str">
        <f>IF(SUM(L92:L100)=0,"",IFERROR(L92/M92,""))</f>
        <v/>
      </c>
      <c r="P92" s="171">
        <f>SUMIFS(واردات!$N$4:$N$500,واردات!$J$4:$J$500,$C92,واردات!$I$4:$I$500,$A92)+SUMIFS(واردات!$F$4:$F$500,واردات!$B$4:$B$500,$C92,واردات!$A$4:$A$500,$A92)</f>
        <v>9685</v>
      </c>
      <c r="Q92" s="159">
        <v>10823.292098712072</v>
      </c>
      <c r="R92" s="159">
        <f t="shared" si="272"/>
        <v>-1138.2920987120724</v>
      </c>
      <c r="S92" s="175">
        <f>IF(SUM(P92:P100)=0,"",IFERROR(P92/Q92,""))</f>
        <v>0.89482940233614094</v>
      </c>
      <c r="T92" s="171">
        <f t="shared" si="258"/>
        <v>16267</v>
      </c>
      <c r="U92" s="159">
        <f t="shared" si="259"/>
        <v>42339.787601261683</v>
      </c>
      <c r="V92" s="159">
        <f t="shared" si="325"/>
        <v>-26072.787601261683</v>
      </c>
      <c r="W92" s="175">
        <f t="shared" ref="W92" si="371">IF(SUM(T92:T100)=0,"",IFERROR(T92/U92,""))</f>
        <v>0.38420126603363641</v>
      </c>
      <c r="X92" s="171">
        <f t="shared" si="261"/>
        <v>17388</v>
      </c>
      <c r="Y92" s="159">
        <f t="shared" si="262"/>
        <v>39056.825674165331</v>
      </c>
      <c r="Z92" s="159">
        <f t="shared" si="327"/>
        <v>-21668.825674165331</v>
      </c>
      <c r="AA92" s="175">
        <f t="shared" ref="AA92" si="372">IF(SUM(X92:X100)=0,"",IFERROR(X92/Y92,""))</f>
        <v>0.44519747060502995</v>
      </c>
      <c r="AB92" s="171">
        <f t="shared" si="264"/>
        <v>50</v>
      </c>
      <c r="AC92" s="159">
        <f t="shared" si="265"/>
        <v>0</v>
      </c>
      <c r="AD92" s="159">
        <f t="shared" si="329"/>
        <v>50</v>
      </c>
      <c r="AE92" s="175" t="str">
        <f t="shared" ref="AE92" si="373">IF(SUM(AB92:AB100)=0,"",IFERROR(AB92/AC92,""))</f>
        <v/>
      </c>
      <c r="AF92" s="171">
        <f t="shared" si="267"/>
        <v>27648</v>
      </c>
      <c r="AG92" s="159">
        <f t="shared" si="268"/>
        <v>52245.541379243557</v>
      </c>
      <c r="AH92" s="159">
        <f t="shared" si="331"/>
        <v>-24597.541379243557</v>
      </c>
      <c r="AI92" s="187">
        <f t="shared" ref="AI92" si="374">IF(SUM(AF92:AF100)=0,"",IFERROR(AF92/AG92,""))</f>
        <v>0.52919348273772837</v>
      </c>
      <c r="AJ92" s="157">
        <f t="shared" si="370"/>
        <v>4</v>
      </c>
    </row>
    <row r="93" spans="1:36" ht="24.95" customHeight="1" x14ac:dyDescent="0.25">
      <c r="A93" s="182" t="str">
        <f t="shared" si="322"/>
        <v>دوغارون</v>
      </c>
      <c r="B93" s="216"/>
      <c r="C93" s="167" t="str">
        <f t="shared" si="361"/>
        <v>مرداد</v>
      </c>
      <c r="D93" s="171">
        <f>SUMIFS(واردات!$K$4:$K$500,واردات!$J$4:$J$500,$C93,واردات!$I$4:$I$500,$A93)+SUMIFS(واردات!$C$4:$C$500,واردات!$B$4:$B$500,$C93,واردات!$A$4:$A$500,$A93)</f>
        <v>3397</v>
      </c>
      <c r="E93" s="159">
        <v>9126.9546940903438</v>
      </c>
      <c r="F93" s="159">
        <f t="shared" si="324"/>
        <v>-5729.9546940903438</v>
      </c>
      <c r="G93" s="175">
        <f>IF(SUM(D93:D100)=0,"",IFERROR(D93/E93,""))</f>
        <v>0.37219424373822518</v>
      </c>
      <c r="H93" s="171">
        <f>SUMIFS(واردات!$L$4:$L$500,واردات!$J$4:$J$500,$C93,واردات!$I$4:$I$500,$A93)+SUMIFS(واردات!$D$4:$D$500,واردات!$B$4:$B$500,$C93,واردات!$A$4:$A$500,$A93)</f>
        <v>11289</v>
      </c>
      <c r="I93" s="159">
        <v>10655.297261388929</v>
      </c>
      <c r="J93" s="159">
        <f t="shared" si="270"/>
        <v>633.70273861107125</v>
      </c>
      <c r="K93" s="175">
        <f>IF(SUM(H93:H100)=0,"",IFERROR(H93/I93,""))</f>
        <v>1.0594730229542622</v>
      </c>
      <c r="L93" s="171">
        <f>SUMIFS(واردات!$M$4:$M$500,واردات!$J$4:$J$500,$C93,واردات!$I$4:$I$500,$A93)+SUMIFS(واردات!$E$4:$E$500,واردات!$B$4:$B$500,$C93,واردات!$A$4:$A$500,$A93)</f>
        <v>0</v>
      </c>
      <c r="M93" s="159">
        <v>0</v>
      </c>
      <c r="N93" s="159">
        <f t="shared" si="271"/>
        <v>0</v>
      </c>
      <c r="O93" s="175" t="str">
        <f>IF(SUM(L93:L100)=0,"",IFERROR(L93/M93,""))</f>
        <v/>
      </c>
      <c r="P93" s="171">
        <f>SUMIFS(واردات!$N$4:$N$500,واردات!$J$4:$J$500,$C93,واردات!$I$4:$I$500,$A93)+SUMIFS(واردات!$F$4:$F$500,واردات!$B$4:$B$500,$C93,واردات!$A$4:$A$500,$A93)</f>
        <v>9860</v>
      </c>
      <c r="Q93" s="159">
        <v>10823.292098712072</v>
      </c>
      <c r="R93" s="159">
        <f t="shared" si="272"/>
        <v>-963.2920987120724</v>
      </c>
      <c r="S93" s="175">
        <f>IF(SUM(P93:P100)=0,"",IFERROR(P93/Q93,""))</f>
        <v>0.91099823510938038</v>
      </c>
      <c r="T93" s="171">
        <f t="shared" si="258"/>
        <v>19664</v>
      </c>
      <c r="U93" s="159">
        <f t="shared" si="259"/>
        <v>51466.742295352029</v>
      </c>
      <c r="V93" s="159">
        <f t="shared" si="325"/>
        <v>-31802.742295352029</v>
      </c>
      <c r="W93" s="175">
        <f t="shared" ref="W93" si="375">IF(SUM(T93:T100)=0,"",IFERROR(T93/U93,""))</f>
        <v>0.38207197741707188</v>
      </c>
      <c r="X93" s="171">
        <f t="shared" si="261"/>
        <v>28677</v>
      </c>
      <c r="Y93" s="159">
        <f t="shared" si="262"/>
        <v>49712.12293555426</v>
      </c>
      <c r="Z93" s="159">
        <f t="shared" si="327"/>
        <v>-21035.12293555426</v>
      </c>
      <c r="AA93" s="175">
        <f t="shared" ref="AA93" si="376">IF(SUM(X93:X100)=0,"",IFERROR(X93/Y93,""))</f>
        <v>0.57686130276866776</v>
      </c>
      <c r="AB93" s="171">
        <f t="shared" si="264"/>
        <v>50</v>
      </c>
      <c r="AC93" s="159">
        <f t="shared" si="265"/>
        <v>0</v>
      </c>
      <c r="AD93" s="159">
        <f t="shared" si="329"/>
        <v>50</v>
      </c>
      <c r="AE93" s="175" t="str">
        <f t="shared" ref="AE93" si="377">IF(SUM(AB93:AB100)=0,"",IFERROR(AB93/AC93,""))</f>
        <v/>
      </c>
      <c r="AF93" s="171">
        <f t="shared" si="267"/>
        <v>37508</v>
      </c>
      <c r="AG93" s="159">
        <f t="shared" si="268"/>
        <v>63068.833477955632</v>
      </c>
      <c r="AH93" s="159">
        <f t="shared" si="331"/>
        <v>-25560.833477955632</v>
      </c>
      <c r="AI93" s="187">
        <f t="shared" ref="AI93" si="378">IF(SUM(AF93:AF100)=0,"",IFERROR(AF93/AG93,""))</f>
        <v>0.59471529647222865</v>
      </c>
      <c r="AJ93" s="157">
        <f t="shared" si="370"/>
        <v>5</v>
      </c>
    </row>
    <row r="94" spans="1:36" ht="24.95" customHeight="1" x14ac:dyDescent="0.25">
      <c r="A94" s="182" t="str">
        <f t="shared" si="322"/>
        <v>دوغارون</v>
      </c>
      <c r="B94" s="216"/>
      <c r="C94" s="167" t="str">
        <f t="shared" si="361"/>
        <v>شهریور</v>
      </c>
      <c r="D94" s="171">
        <f>SUMIFS(واردات!$K$4:$K$500,واردات!$J$4:$J$500,$C94,واردات!$I$4:$I$500,$A94)+SUMIFS(واردات!$C$4:$C$500,واردات!$B$4:$B$500,$C94,واردات!$A$4:$A$500,$A94)</f>
        <v>4287</v>
      </c>
      <c r="E94" s="159">
        <v>9126.9546940903438</v>
      </c>
      <c r="F94" s="159">
        <f t="shared" si="324"/>
        <v>-4839.9546940903438</v>
      </c>
      <c r="G94" s="175">
        <f>IF(SUM(D94:D100)=0,"",IFERROR(D94/E94,""))</f>
        <v>0.46970760167965009</v>
      </c>
      <c r="H94" s="171">
        <f>SUMIFS(واردات!$L$4:$L$500,واردات!$J$4:$J$500,$C94,واردات!$I$4:$I$500,$A94)+SUMIFS(واردات!$D$4:$D$500,واردات!$B$4:$B$500,$C94,واردات!$A$4:$A$500,$A94)</f>
        <v>4016</v>
      </c>
      <c r="I94" s="159">
        <v>10655.297261388929</v>
      </c>
      <c r="J94" s="159">
        <f t="shared" si="270"/>
        <v>-6639.2972613889287</v>
      </c>
      <c r="K94" s="175">
        <f>IF(SUM(H94:H100)=0,"",IFERROR(H94/I94,""))</f>
        <v>0.37690173267643878</v>
      </c>
      <c r="L94" s="171">
        <f>SUMIFS(واردات!$M$4:$M$500,واردات!$J$4:$J$500,$C94,واردات!$I$4:$I$500,$A94)+SUMIFS(واردات!$E$4:$E$500,واردات!$B$4:$B$500,$C94,واردات!$A$4:$A$500,$A94)</f>
        <v>0</v>
      </c>
      <c r="M94" s="159">
        <v>0</v>
      </c>
      <c r="N94" s="159">
        <f t="shared" si="271"/>
        <v>0</v>
      </c>
      <c r="O94" s="175" t="str">
        <f>IF(SUM(L94:L100)=0,"",IFERROR(L94/M94,""))</f>
        <v/>
      </c>
      <c r="P94" s="171">
        <f>SUMIFS(واردات!$N$4:$N$500,واردات!$J$4:$J$500,$C94,واردات!$I$4:$I$500,$A94)+SUMIFS(واردات!$F$4:$F$500,واردات!$B$4:$B$500,$C94,واردات!$A$4:$A$500,$A94)</f>
        <v>13031</v>
      </c>
      <c r="Q94" s="159">
        <v>10823.292098712072</v>
      </c>
      <c r="R94" s="159">
        <f t="shared" si="272"/>
        <v>2207.7079012879276</v>
      </c>
      <c r="S94" s="175">
        <f>IF(SUM(P94:P100)=0,"",IFERROR(P94/Q94,""))</f>
        <v>1.2039774849604803</v>
      </c>
      <c r="T94" s="171">
        <f t="shared" si="258"/>
        <v>23951</v>
      </c>
      <c r="U94" s="159">
        <f t="shared" si="259"/>
        <v>60593.696989442375</v>
      </c>
      <c r="V94" s="159">
        <f t="shared" si="325"/>
        <v>-36642.696989442375</v>
      </c>
      <c r="W94" s="175">
        <f t="shared" ref="W94" si="379">IF(SUM(T94:T100)=0,"",IFERROR(T94/U94,""))</f>
        <v>0.39527213538683958</v>
      </c>
      <c r="X94" s="171">
        <f t="shared" si="261"/>
        <v>32693</v>
      </c>
      <c r="Y94" s="159">
        <f t="shared" si="262"/>
        <v>60367.420196943189</v>
      </c>
      <c r="Z94" s="159">
        <f t="shared" si="327"/>
        <v>-27674.420196943189</v>
      </c>
      <c r="AA94" s="175">
        <f t="shared" ref="AA94" si="380">IF(SUM(X94:X100)=0,"",IFERROR(X94/Y94,""))</f>
        <v>0.54156695603923566</v>
      </c>
      <c r="AB94" s="171">
        <f t="shared" si="264"/>
        <v>50</v>
      </c>
      <c r="AC94" s="159">
        <f t="shared" si="265"/>
        <v>0</v>
      </c>
      <c r="AD94" s="159">
        <f t="shared" si="329"/>
        <v>50</v>
      </c>
      <c r="AE94" s="175" t="str">
        <f t="shared" ref="AE94" si="381">IF(SUM(AB94:AB100)=0,"",IFERROR(AB94/AC94,""))</f>
        <v/>
      </c>
      <c r="AF94" s="171">
        <f t="shared" si="267"/>
        <v>50539</v>
      </c>
      <c r="AG94" s="159">
        <f t="shared" si="268"/>
        <v>73892.125576667706</v>
      </c>
      <c r="AH94" s="159">
        <f t="shared" si="331"/>
        <v>-23353.125576667706</v>
      </c>
      <c r="AI94" s="187">
        <f t="shared" ref="AI94" si="382">IF(SUM(AF94:AF100)=0,"",IFERROR(AF94/AG94,""))</f>
        <v>0.68395650558952492</v>
      </c>
      <c r="AJ94" s="157">
        <f t="shared" si="370"/>
        <v>6</v>
      </c>
    </row>
    <row r="95" spans="1:36" ht="24.95" customHeight="1" x14ac:dyDescent="0.25">
      <c r="A95" s="182" t="str">
        <f t="shared" si="322"/>
        <v>دوغارون</v>
      </c>
      <c r="B95" s="216"/>
      <c r="C95" s="167" t="str">
        <f t="shared" si="361"/>
        <v>مهر</v>
      </c>
      <c r="D95" s="171">
        <f>SUMIFS(واردات!$K$4:$K$500,واردات!$J$4:$J$500,$C95,واردات!$I$4:$I$500,$A95)+SUMIFS(واردات!$C$4:$C$500,واردات!$B$4:$B$500,$C95,واردات!$A$4:$A$500,$A95)</f>
        <v>4905</v>
      </c>
      <c r="E95" s="159">
        <v>9652.4343368525497</v>
      </c>
      <c r="F95" s="159">
        <f t="shared" si="324"/>
        <v>-4747.4343368525497</v>
      </c>
      <c r="G95" s="175">
        <f>IF(SUM(D95:D100)=0,"",IFERROR(D95/E95,""))</f>
        <v>0.50816196503641942</v>
      </c>
      <c r="H95" s="171">
        <f>SUMIFS(واردات!$L$4:$L$500,واردات!$J$4:$J$500,$C95,واردات!$I$4:$I$500,$A95)+SUMIFS(واردات!$D$4:$D$500,واردات!$B$4:$B$500,$C95,واردات!$A$4:$A$500,$A95)</f>
        <v>4718</v>
      </c>
      <c r="I95" s="159">
        <v>9118.8266010189382</v>
      </c>
      <c r="J95" s="159">
        <f t="shared" si="270"/>
        <v>-4400.8266010189382</v>
      </c>
      <c r="K95" s="175">
        <f>IF(SUM(H95:H100)=0,"",IFERROR(H95/I95,""))</f>
        <v>0.51739113006851234</v>
      </c>
      <c r="L95" s="171">
        <f>SUMIFS(واردات!$M$4:$M$500,واردات!$J$4:$J$500,$C95,واردات!$I$4:$I$500,$A95)+SUMIFS(واردات!$E$4:$E$500,واردات!$B$4:$B$500,$C95,واردات!$A$4:$A$500,$A95)</f>
        <v>0</v>
      </c>
      <c r="M95" s="159">
        <v>0</v>
      </c>
      <c r="N95" s="159">
        <f t="shared" si="271"/>
        <v>0</v>
      </c>
      <c r="O95" s="175" t="str">
        <f>IF(SUM(L95:L100)=0,"",IFERROR(L95/M95,""))</f>
        <v/>
      </c>
      <c r="P95" s="171">
        <f>SUMIFS(واردات!$N$4:$N$500,واردات!$J$4:$J$500,$C95,واردات!$I$4:$I$500,$A95)+SUMIFS(واردات!$F$4:$F$500,واردات!$B$4:$B$500,$C95,واردات!$A$4:$A$500,$A95)</f>
        <v>21917</v>
      </c>
      <c r="Q95" s="159">
        <v>10685.891474444097</v>
      </c>
      <c r="R95" s="159">
        <f t="shared" si="272"/>
        <v>11231.108525555903</v>
      </c>
      <c r="S95" s="175">
        <f>IF(SUM(P95:P100)=0,"",IFERROR(P95/Q95,""))</f>
        <v>2.0510221400260074</v>
      </c>
      <c r="T95" s="171">
        <f t="shared" si="258"/>
        <v>28856</v>
      </c>
      <c r="U95" s="159">
        <f t="shared" si="259"/>
        <v>70246.131326294926</v>
      </c>
      <c r="V95" s="159">
        <f t="shared" si="325"/>
        <v>-41390.131326294926</v>
      </c>
      <c r="W95" s="175">
        <f t="shared" ref="W95" si="383">IF(SUM(T95:T100)=0,"",IFERROR(T95/U95,""))</f>
        <v>0.41078418775780268</v>
      </c>
      <c r="X95" s="171">
        <f t="shared" si="261"/>
        <v>37411</v>
      </c>
      <c r="Y95" s="159">
        <f t="shared" si="262"/>
        <v>69486.246797962129</v>
      </c>
      <c r="Z95" s="159">
        <f t="shared" si="327"/>
        <v>-32075.246797962129</v>
      </c>
      <c r="AA95" s="175">
        <f t="shared" ref="AA95" si="384">IF(SUM(X95:X100)=0,"",IFERROR(X95/Y95,""))</f>
        <v>0.53839431144951666</v>
      </c>
      <c r="AB95" s="171">
        <f t="shared" si="264"/>
        <v>50</v>
      </c>
      <c r="AC95" s="159">
        <f t="shared" si="265"/>
        <v>0</v>
      </c>
      <c r="AD95" s="159">
        <f t="shared" si="329"/>
        <v>50</v>
      </c>
      <c r="AE95" s="175" t="str">
        <f t="shared" ref="AE95" si="385">IF(SUM(AB95:AB100)=0,"",IFERROR(AB95/AC95,""))</f>
        <v/>
      </c>
      <c r="AF95" s="171">
        <f t="shared" si="267"/>
        <v>72456</v>
      </c>
      <c r="AG95" s="159">
        <f t="shared" si="268"/>
        <v>84578.017051111805</v>
      </c>
      <c r="AH95" s="159">
        <f t="shared" si="331"/>
        <v>-12122.017051111805</v>
      </c>
      <c r="AI95" s="187">
        <f t="shared" ref="AI95" si="386">IF(SUM(AF95:AF100)=0,"",IFERROR(AF95/AG95,""))</f>
        <v>0.85667650444220889</v>
      </c>
      <c r="AJ95" s="157">
        <f t="shared" si="370"/>
        <v>7</v>
      </c>
    </row>
    <row r="96" spans="1:36" ht="24.95" customHeight="1" x14ac:dyDescent="0.25">
      <c r="A96" s="182" t="str">
        <f t="shared" si="322"/>
        <v>دوغارون</v>
      </c>
      <c r="B96" s="216"/>
      <c r="C96" s="167" t="str">
        <f t="shared" si="361"/>
        <v>آبان</v>
      </c>
      <c r="D96" s="171">
        <f>SUMIFS(واردات!$K$4:$K$500,واردات!$J$4:$J$500,$C96,واردات!$I$4:$I$500,$A96)+SUMIFS(واردات!$C$4:$C$500,واردات!$B$4:$B$500,$C96,واردات!$A$4:$A$500,$A96)</f>
        <v>22631</v>
      </c>
      <c r="E96" s="159">
        <v>9652.4343368525497</v>
      </c>
      <c r="F96" s="159">
        <f t="shared" si="324"/>
        <v>12978.56566314745</v>
      </c>
      <c r="G96" s="175">
        <f>IF(SUM(D96:D100)=0,"",IFERROR(D96/E96,""))</f>
        <v>2.3445898941364338</v>
      </c>
      <c r="H96" s="171">
        <f>SUMIFS(واردات!$L$4:$L$500,واردات!$J$4:$J$500,$C96,واردات!$I$4:$I$500,$A96)+SUMIFS(واردات!$D$4:$D$500,واردات!$B$4:$B$500,$C96,واردات!$A$4:$A$500,$A96)</f>
        <v>7227</v>
      </c>
      <c r="I96" s="159">
        <v>9118.8266010189382</v>
      </c>
      <c r="J96" s="159">
        <f t="shared" si="270"/>
        <v>-1891.8266010189382</v>
      </c>
      <c r="K96" s="175">
        <f>IF(SUM(H96:H100)=0,"",IFERROR(H96/I96,""))</f>
        <v>0.79253617995022019</v>
      </c>
      <c r="L96" s="171">
        <f>SUMIFS(واردات!$M$4:$M$500,واردات!$J$4:$J$500,$C96,واردات!$I$4:$I$500,$A96)+SUMIFS(واردات!$E$4:$E$500,واردات!$B$4:$B$500,$C96,واردات!$A$4:$A$500,$A96)</f>
        <v>0</v>
      </c>
      <c r="M96" s="159">
        <v>0</v>
      </c>
      <c r="N96" s="159">
        <f t="shared" si="271"/>
        <v>0</v>
      </c>
      <c r="O96" s="175" t="str">
        <f>IF(SUM(L96:L100)=0,"",IFERROR(L96/M96,""))</f>
        <v/>
      </c>
      <c r="P96" s="171">
        <f>SUMIFS(واردات!$N$4:$N$500,واردات!$J$4:$J$500,$C96,واردات!$I$4:$I$500,$A96)+SUMIFS(واردات!$F$4:$F$500,واردات!$B$4:$B$500,$C96,واردات!$A$4:$A$500,$A96)</f>
        <v>14904</v>
      </c>
      <c r="Q96" s="159">
        <v>10685.891474444097</v>
      </c>
      <c r="R96" s="159">
        <f t="shared" si="272"/>
        <v>4218.1085255559028</v>
      </c>
      <c r="S96" s="175">
        <f>IF(SUM(P96:P100)=0,"",IFERROR(P96/Q96,""))</f>
        <v>1.3947362310055031</v>
      </c>
      <c r="T96" s="171">
        <f t="shared" si="258"/>
        <v>51487</v>
      </c>
      <c r="U96" s="159">
        <f t="shared" si="259"/>
        <v>79898.56566314747</v>
      </c>
      <c r="V96" s="159">
        <f t="shared" si="325"/>
        <v>-28411.56566314747</v>
      </c>
      <c r="W96" s="175">
        <f t="shared" ref="W96" si="387">IF(SUM(T96:T100)=0,"",IFERROR(T96/U96,""))</f>
        <v>0.6444045593642983</v>
      </c>
      <c r="X96" s="171">
        <f t="shared" si="261"/>
        <v>44638</v>
      </c>
      <c r="Y96" s="159">
        <f t="shared" si="262"/>
        <v>78605.073398981069</v>
      </c>
      <c r="Z96" s="159">
        <f t="shared" si="327"/>
        <v>-33967.073398981069</v>
      </c>
      <c r="AA96" s="175">
        <f t="shared" ref="AA96" si="388">IF(SUM(X96:X100)=0,"",IFERROR(X96/Y96,""))</f>
        <v>0.56787683122472132</v>
      </c>
      <c r="AB96" s="171">
        <f t="shared" si="264"/>
        <v>50</v>
      </c>
      <c r="AC96" s="159">
        <f t="shared" si="265"/>
        <v>0</v>
      </c>
      <c r="AD96" s="159">
        <f t="shared" si="329"/>
        <v>50</v>
      </c>
      <c r="AE96" s="175" t="str">
        <f t="shared" ref="AE96" si="389">IF(SUM(AB96:AB100)=0,"",IFERROR(AB96/AC96,""))</f>
        <v/>
      </c>
      <c r="AF96" s="171">
        <f t="shared" si="267"/>
        <v>87360</v>
      </c>
      <c r="AG96" s="159">
        <f t="shared" si="268"/>
        <v>95263.908525555904</v>
      </c>
      <c r="AH96" s="159">
        <f t="shared" si="331"/>
        <v>-7903.9085255559039</v>
      </c>
      <c r="AI96" s="187">
        <f t="shared" ref="AI96" si="390">IF(SUM(AF96:AF100)=0,"",IFERROR(AF96/AG96,""))</f>
        <v>0.91703144823796967</v>
      </c>
      <c r="AJ96" s="157">
        <f t="shared" si="370"/>
        <v>8</v>
      </c>
    </row>
    <row r="97" spans="1:36" ht="24.95" customHeight="1" x14ac:dyDescent="0.25">
      <c r="A97" s="182" t="str">
        <f t="shared" si="322"/>
        <v>دوغارون</v>
      </c>
      <c r="B97" s="216"/>
      <c r="C97" s="167" t="str">
        <f t="shared" si="361"/>
        <v>آذر</v>
      </c>
      <c r="D97" s="171">
        <f>SUMIFS(واردات!$K$4:$K$500,واردات!$J$4:$J$500,$C97,واردات!$I$4:$I$500,$A97)+SUMIFS(واردات!$C$4:$C$500,واردات!$B$4:$B$500,$C97,واردات!$A$4:$A$500,$A97)</f>
        <v>11079</v>
      </c>
      <c r="E97" s="159">
        <v>9652.4343368525497</v>
      </c>
      <c r="F97" s="159">
        <f t="shared" si="324"/>
        <v>1426.5656631474503</v>
      </c>
      <c r="G97" s="175">
        <f>IF(SUM(D97:D100)=0,"",IFERROR(D97/E97,""))</f>
        <v>1.1477933558896007</v>
      </c>
      <c r="H97" s="171">
        <f>SUMIFS(واردات!$L$4:$L$500,واردات!$J$4:$J$500,$C97,واردات!$I$4:$I$500,$A97)+SUMIFS(واردات!$D$4:$D$500,واردات!$B$4:$B$500,$C97,واردات!$A$4:$A$500,$A97)</f>
        <v>12176</v>
      </c>
      <c r="I97" s="159">
        <v>9118.8266010189382</v>
      </c>
      <c r="J97" s="159">
        <f t="shared" si="270"/>
        <v>3057.1733989810618</v>
      </c>
      <c r="K97" s="175">
        <f>IF(SUM(H97:H100)=0,"",IFERROR(H97/I97,""))</f>
        <v>1.3352595166838082</v>
      </c>
      <c r="L97" s="171">
        <f>SUMIFS(واردات!$M$4:$M$500,واردات!$J$4:$J$500,$C97,واردات!$I$4:$I$500,$A97)+SUMIFS(واردات!$E$4:$E$500,واردات!$B$4:$B$500,$C97,واردات!$A$4:$A$500,$A97)</f>
        <v>0</v>
      </c>
      <c r="M97" s="159">
        <v>0</v>
      </c>
      <c r="N97" s="159">
        <f t="shared" si="271"/>
        <v>0</v>
      </c>
      <c r="O97" s="175" t="str">
        <f>IF(SUM(L97:L100)=0,"",IFERROR(L97/M97,""))</f>
        <v/>
      </c>
      <c r="P97" s="171">
        <f>SUMIFS(واردات!$N$4:$N$500,واردات!$J$4:$J$500,$C97,واردات!$I$4:$I$500,$A97)+SUMIFS(واردات!$F$4:$F$500,واردات!$B$4:$B$500,$C97,واردات!$A$4:$A$500,$A97)</f>
        <v>20843</v>
      </c>
      <c r="Q97" s="159">
        <v>10685.891474444097</v>
      </c>
      <c r="R97" s="159">
        <f t="shared" si="272"/>
        <v>10157.108525555903</v>
      </c>
      <c r="S97" s="175">
        <f>IF(SUM(P97:P100)=0,"",IFERROR(P97/Q97,""))</f>
        <v>1.9505157852152244</v>
      </c>
      <c r="T97" s="171">
        <f t="shared" si="258"/>
        <v>62566</v>
      </c>
      <c r="U97" s="159">
        <f t="shared" si="259"/>
        <v>89551.000000000015</v>
      </c>
      <c r="V97" s="159">
        <f t="shared" si="325"/>
        <v>-26985.000000000015</v>
      </c>
      <c r="W97" s="175">
        <f t="shared" ref="W97" si="391">IF(SUM(T97:T100)=0,"",IFERROR(T97/U97,""))</f>
        <v>0.69866333150941906</v>
      </c>
      <c r="X97" s="171">
        <f t="shared" si="261"/>
        <v>56814</v>
      </c>
      <c r="Y97" s="159">
        <f t="shared" si="262"/>
        <v>87723.900000000009</v>
      </c>
      <c r="Z97" s="159">
        <f t="shared" si="327"/>
        <v>-30909.900000000009</v>
      </c>
      <c r="AA97" s="175">
        <f t="shared" ref="AA97" si="392">IF(SUM(X97:X100)=0,"",IFERROR(X97/Y97,""))</f>
        <v>0.64764562451053809</v>
      </c>
      <c r="AB97" s="171">
        <f t="shared" si="264"/>
        <v>50</v>
      </c>
      <c r="AC97" s="159">
        <f t="shared" si="265"/>
        <v>0</v>
      </c>
      <c r="AD97" s="159">
        <f t="shared" si="329"/>
        <v>50</v>
      </c>
      <c r="AE97" s="175" t="str">
        <f t="shared" ref="AE97" si="393">IF(SUM(AB97:AB100)=0,"",IFERROR(AB97/AC97,""))</f>
        <v/>
      </c>
      <c r="AF97" s="171">
        <f t="shared" si="267"/>
        <v>108203</v>
      </c>
      <c r="AG97" s="159">
        <f t="shared" si="268"/>
        <v>105949.8</v>
      </c>
      <c r="AH97" s="159">
        <f t="shared" si="331"/>
        <v>2253.1999999999971</v>
      </c>
      <c r="AI97" s="187">
        <f t="shared" ref="AI97" si="394">IF(SUM(AF97:AF100)=0,"",IFERROR(AF97/AG97,""))</f>
        <v>1.0212666753500241</v>
      </c>
      <c r="AJ97" s="157">
        <f t="shared" si="370"/>
        <v>9</v>
      </c>
    </row>
    <row r="98" spans="1:36" ht="24.95" customHeight="1" x14ac:dyDescent="0.25">
      <c r="A98" s="182" t="str">
        <f t="shared" si="322"/>
        <v>دوغارون</v>
      </c>
      <c r="B98" s="216"/>
      <c r="C98" s="167" t="str">
        <f t="shared" si="361"/>
        <v>دی</v>
      </c>
      <c r="D98" s="171">
        <f>SUMIFS(واردات!$K$4:$K$500,واردات!$J$4:$J$500,$C98,واردات!$I$4:$I$500,$A98)+SUMIFS(واردات!$C$4:$C$500,واردات!$B$4:$B$500,$C98,واردات!$A$4:$A$500,$A98)</f>
        <v>6907</v>
      </c>
      <c r="E98" s="159">
        <v>13824.120983257797</v>
      </c>
      <c r="F98" s="159">
        <f t="shared" si="324"/>
        <v>-6917.120983257797</v>
      </c>
      <c r="G98" s="175">
        <f>IF(SUM(D98:D100)=0,"",IFERROR(D98/E98,""))</f>
        <v>0.49963393754763669</v>
      </c>
      <c r="H98" s="171">
        <f>SUMIFS(واردات!$L$4:$L$500,واردات!$J$4:$J$500,$C98,واردات!$I$4:$I$500,$A98)+SUMIFS(واردات!$D$4:$D$500,واردات!$B$4:$B$500,$C98,واردات!$A$4:$A$500,$A98)</f>
        <v>13655</v>
      </c>
      <c r="I98" s="159">
        <v>13354.264802400685</v>
      </c>
      <c r="J98" s="159">
        <f t="shared" si="270"/>
        <v>300.73519759931514</v>
      </c>
      <c r="K98" s="175">
        <f>IF(SUM(H98:H100)=0,"",IFERROR(H98/I98,""))</f>
        <v>1.0225197869032261</v>
      </c>
      <c r="L98" s="171">
        <f>SUMIFS(واردات!$M$4:$M$500,واردات!$J$4:$J$500,$C98,واردات!$I$4:$I$500,$A98)+SUMIFS(واردات!$E$4:$E$500,واردات!$B$4:$B$500,$C98,واردات!$A$4:$A$500,$A98)</f>
        <v>0</v>
      </c>
      <c r="M98" s="159">
        <v>0</v>
      </c>
      <c r="N98" s="159">
        <f t="shared" si="271"/>
        <v>0</v>
      </c>
      <c r="O98" s="175" t="str">
        <f>IF(SUM(L98:L100)=0,"",IFERROR(L98/M98,""))</f>
        <v/>
      </c>
      <c r="P98" s="171">
        <f>SUMIFS(واردات!$N$4:$N$500,واردات!$J$4:$J$500,$C98,واردات!$I$4:$I$500,$A98)+SUMIFS(واردات!$F$4:$F$500,واردات!$B$4:$B$500,$C98,واردات!$A$4:$A$500,$A98)</f>
        <v>10848</v>
      </c>
      <c r="Q98" s="159">
        <v>16176.407762169554</v>
      </c>
      <c r="R98" s="159">
        <f t="shared" si="272"/>
        <v>-5328.4077621695542</v>
      </c>
      <c r="S98" s="175">
        <f>IF(SUM(P98:P100)=0,"",IFERROR(P98/Q98,""))</f>
        <v>0.67060624085956422</v>
      </c>
      <c r="T98" s="171">
        <f t="shared" si="258"/>
        <v>69473</v>
      </c>
      <c r="U98" s="159">
        <f t="shared" si="259"/>
        <v>103375.12098325782</v>
      </c>
      <c r="V98" s="159">
        <f t="shared" si="325"/>
        <v>-33902.120983257817</v>
      </c>
      <c r="W98" s="175">
        <f t="shared" ref="W98" si="395">IF(SUM(T98:T100)=0,"",IFERROR(T98/U98,""))</f>
        <v>0.67204758107370477</v>
      </c>
      <c r="X98" s="171">
        <f t="shared" si="261"/>
        <v>70469</v>
      </c>
      <c r="Y98" s="159">
        <f t="shared" si="262"/>
        <v>101078.16480240069</v>
      </c>
      <c r="Z98" s="159">
        <f t="shared" si="327"/>
        <v>-30609.164802400686</v>
      </c>
      <c r="AA98" s="175">
        <f t="shared" ref="AA98" si="396">IF(SUM(X98:X100)=0,"",IFERROR(X98/Y98,""))</f>
        <v>0.69717332262374343</v>
      </c>
      <c r="AB98" s="171">
        <f t="shared" si="264"/>
        <v>50</v>
      </c>
      <c r="AC98" s="159">
        <f t="shared" si="265"/>
        <v>0</v>
      </c>
      <c r="AD98" s="159">
        <f t="shared" si="329"/>
        <v>50</v>
      </c>
      <c r="AE98" s="175" t="str">
        <f t="shared" ref="AE98" si="397">IF(SUM(AB98:AB100)=0,"",IFERROR(AB98/AC98,""))</f>
        <v/>
      </c>
      <c r="AF98" s="171">
        <f t="shared" si="267"/>
        <v>119051</v>
      </c>
      <c r="AG98" s="159">
        <f t="shared" si="268"/>
        <v>122126.20776216956</v>
      </c>
      <c r="AH98" s="159">
        <f t="shared" si="331"/>
        <v>-3075.2077621695644</v>
      </c>
      <c r="AI98" s="187">
        <f t="shared" ref="AI98" si="398">IF(SUM(AF98:AF100)=0,"",IFERROR(AF98/AG98,""))</f>
        <v>0.97481942804481192</v>
      </c>
      <c r="AJ98" s="157">
        <f t="shared" si="370"/>
        <v>10</v>
      </c>
    </row>
    <row r="99" spans="1:36" ht="24.95" customHeight="1" x14ac:dyDescent="0.25">
      <c r="A99" s="182" t="str">
        <f t="shared" si="322"/>
        <v>دوغارون</v>
      </c>
      <c r="B99" s="216"/>
      <c r="C99" s="167" t="str">
        <f t="shared" si="361"/>
        <v>بهمن</v>
      </c>
      <c r="D99" s="171">
        <f>SUMIFS(واردات!$K$4:$K$500,واردات!$J$4:$J$500,$C99,واردات!$I$4:$I$500,$A99)+SUMIFS(واردات!$C$4:$C$500,واردات!$B$4:$B$500,$C99,واردات!$A$4:$A$500,$A99)</f>
        <v>9541</v>
      </c>
      <c r="E99" s="159">
        <v>13824.120983257797</v>
      </c>
      <c r="F99" s="159">
        <f t="shared" si="324"/>
        <v>-4283.120983257797</v>
      </c>
      <c r="G99" s="175">
        <f>IF(SUM(D99:D100)=0,"",IFERROR(D99/E99,""))</f>
        <v>0.69017046447690777</v>
      </c>
      <c r="H99" s="171">
        <f>SUMIFS(واردات!$L$4:$L$500,واردات!$J$4:$J$500,$C99,واردات!$I$4:$I$500,$A99)+SUMIFS(واردات!$D$4:$D$500,واردات!$B$4:$B$500,$C99,واردات!$A$4:$A$500,$A99)</f>
        <v>13236</v>
      </c>
      <c r="I99" s="159">
        <v>13354.264802400685</v>
      </c>
      <c r="J99" s="159">
        <f t="shared" si="270"/>
        <v>-118.26480240068486</v>
      </c>
      <c r="K99" s="175">
        <f>IF(SUM(H99:H100)=0,"",IFERROR(H99/I99,""))</f>
        <v>0.99114404243508603</v>
      </c>
      <c r="L99" s="171">
        <f>SUMIFS(واردات!$M$4:$M$500,واردات!$J$4:$J$500,$C99,واردات!$I$4:$I$500,$A99)+SUMIFS(واردات!$E$4:$E$500,واردات!$B$4:$B$500,$C99,واردات!$A$4:$A$500,$A99)</f>
        <v>0</v>
      </c>
      <c r="M99" s="159">
        <v>0</v>
      </c>
      <c r="N99" s="159">
        <f t="shared" si="271"/>
        <v>0</v>
      </c>
      <c r="O99" s="175" t="str">
        <f>IF(SUM(L99:L100)=0,"",IFERROR(L99/M99,""))</f>
        <v/>
      </c>
      <c r="P99" s="171">
        <f>SUMIFS(واردات!$N$4:$N$500,واردات!$J$4:$J$500,$C99,واردات!$I$4:$I$500,$A99)+SUMIFS(واردات!$F$4:$F$500,واردات!$B$4:$B$500,$C99,واردات!$A$4:$A$500,$A99)</f>
        <v>19220</v>
      </c>
      <c r="Q99" s="159">
        <v>16176.407762169554</v>
      </c>
      <c r="R99" s="159">
        <f t="shared" si="272"/>
        <v>3043.5922378304458</v>
      </c>
      <c r="S99" s="175">
        <f>IF(SUM(P99:P100)=0,"",IFERROR(P99/Q99,""))</f>
        <v>1.1881500690745597</v>
      </c>
      <c r="T99" s="171">
        <f t="shared" si="258"/>
        <v>79014</v>
      </c>
      <c r="U99" s="159">
        <f t="shared" si="259"/>
        <v>117199.24196651562</v>
      </c>
      <c r="V99" s="159">
        <f t="shared" si="325"/>
        <v>-38185.241966515619</v>
      </c>
      <c r="W99" s="175">
        <f t="shared" ref="W99" si="399">IF(SUM(T99:T100)=0,"",IFERROR(T99/U99,""))</f>
        <v>0.67418524790949308</v>
      </c>
      <c r="X99" s="171">
        <f t="shared" si="261"/>
        <v>83705</v>
      </c>
      <c r="Y99" s="159">
        <f t="shared" si="262"/>
        <v>114432.42960480138</v>
      </c>
      <c r="Z99" s="159">
        <f t="shared" si="327"/>
        <v>-30727.429604801378</v>
      </c>
      <c r="AA99" s="175">
        <f t="shared" ref="AA99" si="400">IF(SUM(X99:X100)=0,"",IFERROR(X99/Y99,""))</f>
        <v>0.73147970631297243</v>
      </c>
      <c r="AB99" s="171">
        <f t="shared" si="264"/>
        <v>50</v>
      </c>
      <c r="AC99" s="159">
        <f t="shared" si="265"/>
        <v>0</v>
      </c>
      <c r="AD99" s="159">
        <f t="shared" si="329"/>
        <v>50</v>
      </c>
      <c r="AE99" s="175" t="str">
        <f t="shared" ref="AE99" si="401">IF(SUM(AB99:AB100)=0,"",IFERROR(AB99/AC99,""))</f>
        <v/>
      </c>
      <c r="AF99" s="171">
        <f t="shared" si="267"/>
        <v>138271</v>
      </c>
      <c r="AG99" s="159">
        <f t="shared" si="268"/>
        <v>138302.61552433911</v>
      </c>
      <c r="AH99" s="159">
        <f t="shared" si="331"/>
        <v>-31.615524339111289</v>
      </c>
      <c r="AI99" s="187">
        <f t="shared" ref="AI99" si="402">IF(SUM(AF99:AF100)=0,"",IFERROR(AF99/AG99,""))</f>
        <v>0.99977140327954572</v>
      </c>
      <c r="AJ99" s="157">
        <f t="shared" si="370"/>
        <v>11</v>
      </c>
    </row>
    <row r="100" spans="1:36" ht="24.95" customHeight="1" thickBot="1" x14ac:dyDescent="0.3">
      <c r="A100" s="182" t="str">
        <f t="shared" si="322"/>
        <v>دوغارون</v>
      </c>
      <c r="B100" s="217"/>
      <c r="C100" s="168" t="str">
        <f t="shared" si="361"/>
        <v>اسفند</v>
      </c>
      <c r="D100" s="172">
        <f>SUMIFS(واردات!$K$4:$K$500,واردات!$J$4:$J$500,$C100,واردات!$I$4:$I$500,$A100)+SUMIFS(واردات!$C$4:$C$500,واردات!$B$4:$B$500,$C100,واردات!$A$4:$A$500,$A100)</f>
        <v>8073</v>
      </c>
      <c r="E100" s="173">
        <v>13824.120983257797</v>
      </c>
      <c r="F100" s="173">
        <f t="shared" si="324"/>
        <v>-5751.120983257797</v>
      </c>
      <c r="G100" s="176">
        <f>IF(SUM(D100)=0,"",IFERROR(D100/E100,""))</f>
        <v>0.58397926419893886</v>
      </c>
      <c r="H100" s="172">
        <f>SUMIFS(واردات!$L$4:$L$500,واردات!$J$4:$J$500,$C100,واردات!$I$4:$I$500,$A100)+SUMIFS(واردات!$D$4:$D$500,واردات!$B$4:$B$500,$C100,واردات!$A$4:$A$500,$A100)</f>
        <v>10052</v>
      </c>
      <c r="I100" s="173">
        <v>13354.264802400685</v>
      </c>
      <c r="J100" s="173">
        <f t="shared" si="270"/>
        <v>-3302.2648024006849</v>
      </c>
      <c r="K100" s="176">
        <f>IF(SUM(H100)=0,"",IFERROR(H100/I100,""))</f>
        <v>0.75271833745523453</v>
      </c>
      <c r="L100" s="172">
        <f>SUMIFS(واردات!$M$4:$M$500,واردات!$J$4:$J$500,$C100,واردات!$I$4:$I$500,$A100)+SUMIFS(واردات!$E$4:$E$500,واردات!$B$4:$B$500,$C100,واردات!$A$4:$A$500,$A100)</f>
        <v>0</v>
      </c>
      <c r="M100" s="173">
        <v>0</v>
      </c>
      <c r="N100" s="173">
        <f t="shared" si="271"/>
        <v>0</v>
      </c>
      <c r="O100" s="176" t="str">
        <f>IF(SUM(L100)=0,"",IFERROR(L100/M100,""))</f>
        <v/>
      </c>
      <c r="P100" s="172">
        <f>SUMIFS(واردات!$N$4:$N$500,واردات!$J$4:$J$500,$C100,واردات!$I$4:$I$500,$A100)+SUMIFS(واردات!$F$4:$F$500,واردات!$B$4:$B$500,$C100,واردات!$A$4:$A$500,$A100)</f>
        <v>30750</v>
      </c>
      <c r="Q100" s="173">
        <v>16176.407762169554</v>
      </c>
      <c r="R100" s="173">
        <f t="shared" si="272"/>
        <v>14573.592237830446</v>
      </c>
      <c r="S100" s="176">
        <f>IF(SUM(P100)=0,"",IFERROR(P100/Q100,""))</f>
        <v>1.9009164736754793</v>
      </c>
      <c r="T100" s="172">
        <f t="shared" si="258"/>
        <v>87087</v>
      </c>
      <c r="U100" s="173">
        <f t="shared" si="259"/>
        <v>131023.36294977342</v>
      </c>
      <c r="V100" s="173">
        <f t="shared" si="325"/>
        <v>-43936.362949773422</v>
      </c>
      <c r="W100" s="176">
        <f t="shared" ref="W100" si="403">IF(SUM(T100)=0,"",IFERROR(T100/U100,""))</f>
        <v>0.66466772062158097</v>
      </c>
      <c r="X100" s="172">
        <f t="shared" si="261"/>
        <v>93757</v>
      </c>
      <c r="Y100" s="173">
        <f t="shared" si="262"/>
        <v>127786.69440720207</v>
      </c>
      <c r="Z100" s="173">
        <f t="shared" si="327"/>
        <v>-34029.694407202071</v>
      </c>
      <c r="AA100" s="176">
        <f t="shared" ref="AA100" si="404">IF(SUM(X100)=0,"",IFERROR(X100/Y100,""))</f>
        <v>0.73369923554979954</v>
      </c>
      <c r="AB100" s="172">
        <f t="shared" si="264"/>
        <v>50</v>
      </c>
      <c r="AC100" s="173">
        <f t="shared" si="265"/>
        <v>0</v>
      </c>
      <c r="AD100" s="173">
        <f t="shared" si="329"/>
        <v>50</v>
      </c>
      <c r="AE100" s="176" t="str">
        <f t="shared" ref="AE100" si="405">IF(SUM(AB100)=0,"",IFERROR(AB100/AC100,""))</f>
        <v/>
      </c>
      <c r="AF100" s="172">
        <f t="shared" si="267"/>
        <v>169021</v>
      </c>
      <c r="AG100" s="173">
        <f t="shared" si="268"/>
        <v>154479.02328650866</v>
      </c>
      <c r="AH100" s="173">
        <f t="shared" si="331"/>
        <v>14541.976713491342</v>
      </c>
      <c r="AI100" s="188">
        <f t="shared" ref="AI100" si="406">IF(SUM(AF100)=0,"",IFERROR(AF100/AG100,""))</f>
        <v>1.0941356075673827</v>
      </c>
      <c r="AJ100" s="157">
        <f>AJ99+1</f>
        <v>12</v>
      </c>
    </row>
    <row r="101" spans="1:36" ht="24.95" customHeight="1" x14ac:dyDescent="0.25">
      <c r="A101" s="182" t="str">
        <f t="shared" si="322"/>
        <v>بجنورد</v>
      </c>
      <c r="B101" s="215" t="str">
        <f>واردات!B66</f>
        <v>بجنورد</v>
      </c>
      <c r="C101" s="166" t="str">
        <f>C89</f>
        <v>فروردین</v>
      </c>
      <c r="D101" s="170">
        <f>SUMIFS(واردات!$K$4:$K$500,واردات!$J$4:$J$500,$C101,واردات!$I$4:$I$500,$A101)+SUMIFS(واردات!$C$4:$C$500,واردات!$B$4:$B$500,$C101,واردات!$A$4:$A$500,$A101)</f>
        <v>1</v>
      </c>
      <c r="E101" s="160">
        <v>21.175651708090125</v>
      </c>
      <c r="F101" s="160">
        <f t="shared" si="324"/>
        <v>-20.175651708090125</v>
      </c>
      <c r="G101" s="185">
        <f>IF(SUM(D101:D112)=0,"",IFERROR(D101/E101,""))</f>
        <v>4.7224048345012752E-2</v>
      </c>
      <c r="H101" s="170">
        <f>SUMIFS(واردات!$L$4:$L$500,واردات!$J$4:$J$500,$C101,واردات!$I$4:$I$500,$A101)+SUMIFS(واردات!$D$4:$D$500,واردات!$B$4:$B$500,$C101,واردات!$A$4:$A$500,$A101)</f>
        <v>1</v>
      </c>
      <c r="I101" s="160">
        <v>223.04950735134551</v>
      </c>
      <c r="J101" s="160">
        <f t="shared" si="270"/>
        <v>-222.04950735134551</v>
      </c>
      <c r="K101" s="185">
        <f>IF(SUM(H101:H112)=0,"",IFERROR(H101/I101,""))</f>
        <v>4.4833096108336584E-3</v>
      </c>
      <c r="L101" s="170">
        <f>SUMIFS(واردات!$M$4:$M$500,واردات!$J$4:$J$500,$C101,واردات!$I$4:$I$500,$A101)+SUMIFS(واردات!$E$4:$E$500,واردات!$B$4:$B$500,$C101,واردات!$A$4:$A$500,$A101)</f>
        <v>0</v>
      </c>
      <c r="M101" s="160">
        <v>3.8888888888888893</v>
      </c>
      <c r="N101" s="160">
        <f t="shared" si="271"/>
        <v>-3.8888888888888893</v>
      </c>
      <c r="O101" s="185">
        <f>IF(SUM(L101:L112)=0,"",IFERROR(L101/M101,""))</f>
        <v>0</v>
      </c>
      <c r="P101" s="170">
        <f>SUMIFS(واردات!$N$4:$N$500,واردات!$J$4:$J$500,$C101,واردات!$I$4:$I$500,$A101)+SUMIFS(واردات!$F$4:$F$500,واردات!$B$4:$B$500,$C101,واردات!$A$4:$A$500,$A101)</f>
        <v>0</v>
      </c>
      <c r="Q101" s="160">
        <v>0</v>
      </c>
      <c r="R101" s="160">
        <f t="shared" si="272"/>
        <v>0</v>
      </c>
      <c r="S101" s="185" t="str">
        <f>IF(SUM(P101:P112)=0,"",IFERROR(P101/Q101,""))</f>
        <v/>
      </c>
      <c r="T101" s="183">
        <f t="shared" ref="T101:T132" si="407">IF(OR($C$1="",$AJ101&gt;$C$1),"",IFERROR(SUMIFS(D$5:D$5012,$A$5:$A$5012,$A101,$AJ$5:$AJ$5012,"&lt;"&amp;$AJ101+1),""))</f>
        <v>1</v>
      </c>
      <c r="U101" s="160">
        <f t="shared" ref="U101:U132" si="408">IF($C$1="","",IFERROR(SUMIFS(E$5:E$5012,$A$5:$A$5012,$A101,$AJ$5:$AJ$5012,"&lt;"&amp;$AJ101+1),""))</f>
        <v>21.175651708090125</v>
      </c>
      <c r="V101" s="160">
        <f t="shared" si="325"/>
        <v>-20.175651708090125</v>
      </c>
      <c r="W101" s="185">
        <f t="shared" ref="W101" si="409">IF(SUM(T101:T112)=0,"",IFERROR(T101/U101,""))</f>
        <v>4.7224048345012752E-2</v>
      </c>
      <c r="X101" s="183">
        <f t="shared" ref="X101:X132" si="410">IF(OR($C$1="",$AJ101&gt;$C$1),"",IFERROR(SUMIFS(H$5:H$5012,$A$5:$A$5012,$A101,$AJ$5:$AJ$5012,"&lt;"&amp;$AJ101+1),""))</f>
        <v>1</v>
      </c>
      <c r="Y101" s="160">
        <f t="shared" ref="Y101:Y132" si="411">IF($C$1="","",IFERROR(SUMIFS(I$5:I$5012,$A$5:$A$5012,$A101,$AJ$5:$AJ$5012,"&lt;"&amp;$AJ101+1),""))</f>
        <v>223.04950735134551</v>
      </c>
      <c r="Z101" s="160">
        <f t="shared" si="327"/>
        <v>-222.04950735134551</v>
      </c>
      <c r="AA101" s="185">
        <f t="shared" ref="AA101" si="412">IF(SUM(X101:X112)=0,"",IFERROR(X101/Y101,""))</f>
        <v>4.4833096108336584E-3</v>
      </c>
      <c r="AB101" s="183">
        <f t="shared" ref="AB101:AB132" si="413">IF(OR($C$1="",$AJ101&gt;$C$1),"",IFERROR(SUMIFS(L$5:L$5012,$A$5:$A$5012,$A101,$AJ$5:$AJ$5012,"&lt;"&amp;$AJ101+1),""))</f>
        <v>0</v>
      </c>
      <c r="AC101" s="160">
        <f t="shared" ref="AC101:AC132" si="414">IF($C$1="","",IFERROR(SUMIFS(M$5:M$5012,$A$5:$A$5012,$A101,$AJ$5:$AJ$5012,"&lt;"&amp;$AJ101+1),""))</f>
        <v>3.8888888888888893</v>
      </c>
      <c r="AD101" s="160">
        <f t="shared" si="329"/>
        <v>-3.8888888888888893</v>
      </c>
      <c r="AE101" s="185">
        <f t="shared" ref="AE101" si="415">IF(SUM(AB101:AB112)=0,"",IFERROR(AB101/AC101,""))</f>
        <v>0</v>
      </c>
      <c r="AF101" s="183">
        <f t="shared" ref="AF101:AF132" si="416">IF(OR($C$1="",$AJ101&gt;$C$1),"",IFERROR(SUMIFS(P$5:P$5012,$A$5:$A$5012,$A101,$AJ$5:$AJ$5012,"&lt;"&amp;$AJ101+1),""))</f>
        <v>0</v>
      </c>
      <c r="AG101" s="160">
        <f t="shared" ref="AG101:AG132" si="417">IF($C$1="","",IFERROR(SUMIFS(Q$5:Q$5012,$A$5:$A$5012,$A101,$AJ$5:$AJ$5012,"&lt;"&amp;$AJ101+1),""))</f>
        <v>0</v>
      </c>
      <c r="AH101" s="160">
        <f t="shared" si="331"/>
        <v>0</v>
      </c>
      <c r="AI101" s="186" t="str">
        <f t="shared" ref="AI101" si="418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22"/>
        <v>بجنورد</v>
      </c>
      <c r="B102" s="216"/>
      <c r="C102" s="167" t="str">
        <f t="shared" ref="C102:C148" si="419">C90</f>
        <v>اردیبهشت</v>
      </c>
      <c r="D102" s="171">
        <f>SUMIFS(واردات!$K$4:$K$500,واردات!$J$4:$J$500,$C102,واردات!$I$4:$I$500,$A102)+SUMIFS(واردات!$C$4:$C$500,واردات!$B$4:$B$500,$C102,واردات!$A$4:$A$500,$A102)</f>
        <v>28</v>
      </c>
      <c r="E102" s="159">
        <v>21.175651708090125</v>
      </c>
      <c r="F102" s="159">
        <f t="shared" si="324"/>
        <v>6.8243482919098746</v>
      </c>
      <c r="G102" s="175">
        <f>IF(SUM(D102:D112)=0,"",IFERROR(D102/E102,""))</f>
        <v>1.322273353660357</v>
      </c>
      <c r="H102" s="171">
        <f>SUMIFS(واردات!$L$4:$L$500,واردات!$J$4:$J$500,$C102,واردات!$I$4:$I$500,$A102)+SUMIFS(واردات!$D$4:$D$500,واردات!$B$4:$B$500,$C102,واردات!$A$4:$A$500,$A102)</f>
        <v>48</v>
      </c>
      <c r="I102" s="159">
        <v>223.04950735134551</v>
      </c>
      <c r="J102" s="159">
        <f t="shared" si="270"/>
        <v>-175.04950735134551</v>
      </c>
      <c r="K102" s="175">
        <f>IF(SUM(H102:H112)=0,"",IFERROR(H102/I102,""))</f>
        <v>0.21519886132001559</v>
      </c>
      <c r="L102" s="171">
        <f>SUMIFS(واردات!$M$4:$M$500,واردات!$J$4:$J$500,$C102,واردات!$I$4:$I$500,$A102)+SUMIFS(واردات!$E$4:$E$500,واردات!$B$4:$B$500,$C102,واردات!$A$4:$A$500,$A102)</f>
        <v>29</v>
      </c>
      <c r="M102" s="159">
        <v>3.8888888888888893</v>
      </c>
      <c r="N102" s="159">
        <f t="shared" si="271"/>
        <v>25.111111111111111</v>
      </c>
      <c r="O102" s="175">
        <f>IF(SUM(L102:L112)=0,"",IFERROR(L102/M102,""))</f>
        <v>7.4571428571428564</v>
      </c>
      <c r="P102" s="171">
        <f>SUMIFS(واردات!$N$4:$N$500,واردات!$J$4:$J$500,$C102,واردات!$I$4:$I$500,$A102)+SUMIFS(واردات!$F$4:$F$500,واردات!$B$4:$B$500,$C102,واردات!$A$4:$A$500,$A102)</f>
        <v>0</v>
      </c>
      <c r="Q102" s="159">
        <v>0</v>
      </c>
      <c r="R102" s="159">
        <f t="shared" si="272"/>
        <v>0</v>
      </c>
      <c r="S102" s="175" t="str">
        <f>IF(SUM(P102:P112)=0,"",IFERROR(P102/Q102,""))</f>
        <v/>
      </c>
      <c r="T102" s="171">
        <f t="shared" si="407"/>
        <v>29</v>
      </c>
      <c r="U102" s="159">
        <f t="shared" si="408"/>
        <v>42.351303416180251</v>
      </c>
      <c r="V102" s="159">
        <f t="shared" si="325"/>
        <v>-13.351303416180251</v>
      </c>
      <c r="W102" s="175">
        <f t="shared" ref="W102" si="420">IF(SUM(T102:T112)=0,"",IFERROR(T102/U102,""))</f>
        <v>0.68474870100268492</v>
      </c>
      <c r="X102" s="171">
        <f t="shared" si="410"/>
        <v>49</v>
      </c>
      <c r="Y102" s="159">
        <f t="shared" si="411"/>
        <v>446.09901470269102</v>
      </c>
      <c r="Z102" s="159">
        <f t="shared" si="327"/>
        <v>-397.09901470269102</v>
      </c>
      <c r="AA102" s="175">
        <f t="shared" ref="AA102" si="421">IF(SUM(X102:X112)=0,"",IFERROR(X102/Y102,""))</f>
        <v>0.10984108546542462</v>
      </c>
      <c r="AB102" s="171">
        <f t="shared" si="413"/>
        <v>29</v>
      </c>
      <c r="AC102" s="159">
        <f t="shared" si="414"/>
        <v>7.7777777777777786</v>
      </c>
      <c r="AD102" s="159">
        <f t="shared" si="329"/>
        <v>21.222222222222221</v>
      </c>
      <c r="AE102" s="175">
        <f t="shared" ref="AE102" si="422">IF(SUM(AB102:AB112)=0,"",IFERROR(AB102/AC102,""))</f>
        <v>3.7285714285714282</v>
      </c>
      <c r="AF102" s="171">
        <f t="shared" si="416"/>
        <v>0</v>
      </c>
      <c r="AG102" s="159">
        <f t="shared" si="417"/>
        <v>0</v>
      </c>
      <c r="AH102" s="159">
        <f t="shared" si="331"/>
        <v>0</v>
      </c>
      <c r="AI102" s="187" t="str">
        <f t="shared" ref="AI102" si="423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22"/>
        <v>بجنورد</v>
      </c>
      <c r="B103" s="216"/>
      <c r="C103" s="167" t="str">
        <f t="shared" si="419"/>
        <v>خرداد</v>
      </c>
      <c r="D103" s="171">
        <f>SUMIFS(واردات!$K$4:$K$500,واردات!$J$4:$J$500,$C103,واردات!$I$4:$I$500,$A103)+SUMIFS(واردات!$C$4:$C$500,واردات!$B$4:$B$500,$C103,واردات!$A$4:$A$500,$A103)</f>
        <v>46</v>
      </c>
      <c r="E103" s="159">
        <v>21.175651708090125</v>
      </c>
      <c r="F103" s="159">
        <f t="shared" si="324"/>
        <v>24.824348291909875</v>
      </c>
      <c r="G103" s="175">
        <f>IF(SUM(D103:D112)=0,"",IFERROR(D103/E103,""))</f>
        <v>2.1723062238705868</v>
      </c>
      <c r="H103" s="171">
        <f>SUMIFS(واردات!$L$4:$L$500,واردات!$J$4:$J$500,$C103,واردات!$I$4:$I$500,$A103)+SUMIFS(واردات!$D$4:$D$500,واردات!$B$4:$B$500,$C103,واردات!$A$4:$A$500,$A103)</f>
        <v>0</v>
      </c>
      <c r="I103" s="159">
        <v>223.04950735134551</v>
      </c>
      <c r="J103" s="159">
        <f t="shared" si="270"/>
        <v>-223.04950735134551</v>
      </c>
      <c r="K103" s="175">
        <f>IF(SUM(H103:H112)=0,"",IFERROR(H103/I103,""))</f>
        <v>0</v>
      </c>
      <c r="L103" s="171">
        <f>SUMIFS(واردات!$M$4:$M$500,واردات!$J$4:$J$500,$C103,واردات!$I$4:$I$500,$A103)+SUMIFS(واردات!$E$4:$E$500,واردات!$B$4:$B$500,$C103,واردات!$A$4:$A$500,$A103)</f>
        <v>0</v>
      </c>
      <c r="M103" s="159">
        <v>3.8888888888888893</v>
      </c>
      <c r="N103" s="159">
        <f t="shared" si="271"/>
        <v>-3.8888888888888893</v>
      </c>
      <c r="O103" s="175" t="str">
        <f>IF(SUM(L103:L112)=0,"",IFERROR(L103/M103,""))</f>
        <v/>
      </c>
      <c r="P103" s="171">
        <f>SUMIFS(واردات!$N$4:$N$500,واردات!$J$4:$J$500,$C103,واردات!$I$4:$I$500,$A103)+SUMIFS(واردات!$F$4:$F$500,واردات!$B$4:$B$500,$C103,واردات!$A$4:$A$500,$A103)</f>
        <v>0</v>
      </c>
      <c r="Q103" s="159">
        <v>0</v>
      </c>
      <c r="R103" s="159">
        <f t="shared" si="272"/>
        <v>0</v>
      </c>
      <c r="S103" s="175" t="str">
        <f>IF(SUM(P103:P112)=0,"",IFERROR(P103/Q103,""))</f>
        <v/>
      </c>
      <c r="T103" s="171">
        <f t="shared" si="407"/>
        <v>75</v>
      </c>
      <c r="U103" s="159">
        <f t="shared" si="408"/>
        <v>63.526955124270373</v>
      </c>
      <c r="V103" s="159">
        <f t="shared" si="325"/>
        <v>11.473044875729627</v>
      </c>
      <c r="W103" s="175">
        <f t="shared" ref="W103" si="424">IF(SUM(T103:T112)=0,"",IFERROR(T103/U103,""))</f>
        <v>1.180601208625319</v>
      </c>
      <c r="X103" s="171">
        <f t="shared" si="410"/>
        <v>49</v>
      </c>
      <c r="Y103" s="159">
        <f t="shared" si="411"/>
        <v>669.14852205403656</v>
      </c>
      <c r="Z103" s="159">
        <f t="shared" si="327"/>
        <v>-620.14852205403656</v>
      </c>
      <c r="AA103" s="175">
        <f t="shared" ref="AA103" si="425">IF(SUM(X103:X112)=0,"",IFERROR(X103/Y103,""))</f>
        <v>7.322739031028308E-2</v>
      </c>
      <c r="AB103" s="171">
        <f t="shared" si="413"/>
        <v>29</v>
      </c>
      <c r="AC103" s="159">
        <f t="shared" si="414"/>
        <v>11.666666666666668</v>
      </c>
      <c r="AD103" s="159">
        <f t="shared" si="329"/>
        <v>17.333333333333332</v>
      </c>
      <c r="AE103" s="175">
        <f t="shared" ref="AE103" si="426">IF(SUM(AB103:AB112)=0,"",IFERROR(AB103/AC103,""))</f>
        <v>2.4857142857142853</v>
      </c>
      <c r="AF103" s="171">
        <f t="shared" si="416"/>
        <v>0</v>
      </c>
      <c r="AG103" s="159">
        <f t="shared" si="417"/>
        <v>0</v>
      </c>
      <c r="AH103" s="159">
        <f t="shared" si="331"/>
        <v>0</v>
      </c>
      <c r="AI103" s="187" t="str">
        <f t="shared" ref="AI103" si="427">IF(SUM(AF103:AF112)=0,"",IFERROR(AF103/AG103,""))</f>
        <v/>
      </c>
      <c r="AJ103" s="157">
        <f t="shared" ref="AJ103:AJ111" si="428">AJ102+1</f>
        <v>3</v>
      </c>
    </row>
    <row r="104" spans="1:36" ht="24.95" customHeight="1" x14ac:dyDescent="0.25">
      <c r="A104" s="182" t="str">
        <f t="shared" si="322"/>
        <v>بجنورد</v>
      </c>
      <c r="B104" s="216"/>
      <c r="C104" s="167" t="str">
        <f t="shared" si="419"/>
        <v>تیر</v>
      </c>
      <c r="D104" s="171">
        <f>SUMIFS(واردات!$K$4:$K$500,واردات!$J$4:$J$500,$C104,واردات!$I$4:$I$500,$A104)+SUMIFS(واردات!$C$4:$C$500,واردات!$B$4:$B$500,$C104,واردات!$A$4:$A$500,$A104)</f>
        <v>112</v>
      </c>
      <c r="E104" s="159">
        <v>164.57517121822556</v>
      </c>
      <c r="F104" s="159">
        <f t="shared" si="324"/>
        <v>-52.575171218225563</v>
      </c>
      <c r="G104" s="175">
        <f>IF(SUM(D104:D112)=0,"",IFERROR(D104/E104,""))</f>
        <v>0.68054007886456191</v>
      </c>
      <c r="H104" s="171">
        <f>SUMIFS(واردات!$L$4:$L$500,واردات!$J$4:$J$500,$C104,واردات!$I$4:$I$500,$A104)+SUMIFS(واردات!$D$4:$D$500,واردات!$B$4:$B$500,$C104,واردات!$A$4:$A$500,$A104)</f>
        <v>49</v>
      </c>
      <c r="I104" s="159">
        <v>445.73157062732292</v>
      </c>
      <c r="J104" s="159">
        <f t="shared" si="270"/>
        <v>-396.73157062732292</v>
      </c>
      <c r="K104" s="175">
        <f>IF(SUM(H104:H112)=0,"",IFERROR(H104/I104,""))</f>
        <v>0.1099316342592412</v>
      </c>
      <c r="L104" s="171">
        <f>SUMIFS(واردات!$M$4:$M$500,واردات!$J$4:$J$500,$C104,واردات!$I$4:$I$500,$A104)+SUMIFS(واردات!$E$4:$E$500,واردات!$B$4:$B$500,$C104,واردات!$A$4:$A$500,$A104)</f>
        <v>0</v>
      </c>
      <c r="M104" s="159">
        <v>2.4104683195592287</v>
      </c>
      <c r="N104" s="159">
        <f t="shared" si="271"/>
        <v>-2.4104683195592287</v>
      </c>
      <c r="O104" s="175" t="str">
        <f>IF(SUM(L104:L112)=0,"",IFERROR(L104/M104,""))</f>
        <v/>
      </c>
      <c r="P104" s="171">
        <f>SUMIFS(واردات!$N$4:$N$500,واردات!$J$4:$J$500,$C104,واردات!$I$4:$I$500,$A104)+SUMIFS(واردات!$F$4:$F$500,واردات!$B$4:$B$500,$C104,واردات!$A$4:$A$500,$A104)</f>
        <v>0</v>
      </c>
      <c r="Q104" s="159">
        <v>0</v>
      </c>
      <c r="R104" s="159">
        <f t="shared" si="272"/>
        <v>0</v>
      </c>
      <c r="S104" s="175" t="str">
        <f>IF(SUM(P104:P112)=0,"",IFERROR(P104/Q104,""))</f>
        <v/>
      </c>
      <c r="T104" s="171">
        <f t="shared" si="407"/>
        <v>187</v>
      </c>
      <c r="U104" s="159">
        <f t="shared" si="408"/>
        <v>228.10212634249592</v>
      </c>
      <c r="V104" s="159">
        <f t="shared" si="325"/>
        <v>-41.102126342495922</v>
      </c>
      <c r="W104" s="175">
        <f t="shared" ref="W104" si="429">IF(SUM(T104:T112)=0,"",IFERROR(T104/U104,""))</f>
        <v>0.81980822800055364</v>
      </c>
      <c r="X104" s="171">
        <f t="shared" si="410"/>
        <v>98</v>
      </c>
      <c r="Y104" s="159">
        <f t="shared" si="411"/>
        <v>1114.8800926813594</v>
      </c>
      <c r="Z104" s="159">
        <f t="shared" si="327"/>
        <v>-1016.8800926813594</v>
      </c>
      <c r="AA104" s="175">
        <f t="shared" ref="AA104" si="430">IF(SUM(X104:X112)=0,"",IFERROR(X104/Y104,""))</f>
        <v>8.7901829661612849E-2</v>
      </c>
      <c r="AB104" s="171">
        <f t="shared" si="413"/>
        <v>29</v>
      </c>
      <c r="AC104" s="159">
        <f t="shared" si="414"/>
        <v>14.077134986225897</v>
      </c>
      <c r="AD104" s="159">
        <f t="shared" si="329"/>
        <v>14.922865013774103</v>
      </c>
      <c r="AE104" s="175">
        <f t="shared" ref="AE104" si="431">IF(SUM(AB104:AB112)=0,"",IFERROR(AB104/AC104,""))</f>
        <v>2.0600782778864968</v>
      </c>
      <c r="AF104" s="171">
        <f t="shared" si="416"/>
        <v>0</v>
      </c>
      <c r="AG104" s="159">
        <f t="shared" si="417"/>
        <v>0</v>
      </c>
      <c r="AH104" s="159">
        <f t="shared" si="331"/>
        <v>0</v>
      </c>
      <c r="AI104" s="187" t="str">
        <f t="shared" ref="AI104" si="432">IF(SUM(AF104:AF112)=0,"",IFERROR(AF104/AG104,""))</f>
        <v/>
      </c>
      <c r="AJ104" s="157">
        <f t="shared" si="428"/>
        <v>4</v>
      </c>
    </row>
    <row r="105" spans="1:36" ht="24.95" customHeight="1" x14ac:dyDescent="0.25">
      <c r="A105" s="182" t="str">
        <f t="shared" si="322"/>
        <v>بجنورد</v>
      </c>
      <c r="B105" s="216"/>
      <c r="C105" s="167" t="str">
        <f t="shared" si="419"/>
        <v>مرداد</v>
      </c>
      <c r="D105" s="171">
        <f>SUMIFS(واردات!$K$4:$K$500,واردات!$J$4:$J$500,$C105,واردات!$I$4:$I$500,$A105)+SUMIFS(واردات!$C$4:$C$500,واردات!$B$4:$B$500,$C105,واردات!$A$4:$A$500,$A105)</f>
        <v>33</v>
      </c>
      <c r="E105" s="159">
        <v>164.57517121822556</v>
      </c>
      <c r="F105" s="159">
        <f t="shared" si="324"/>
        <v>-131.57517121822556</v>
      </c>
      <c r="G105" s="175">
        <f>IF(SUM(D105:D112)=0,"",IFERROR(D105/E105,""))</f>
        <v>0.20051627323687984</v>
      </c>
      <c r="H105" s="171">
        <f>SUMIFS(واردات!$L$4:$L$500,واردات!$J$4:$J$500,$C105,واردات!$I$4:$I$500,$A105)+SUMIFS(واردات!$D$4:$D$500,واردات!$B$4:$B$500,$C105,واردات!$A$4:$A$500,$A105)</f>
        <v>186</v>
      </c>
      <c r="I105" s="159">
        <v>445.73157062732292</v>
      </c>
      <c r="J105" s="159">
        <f t="shared" si="270"/>
        <v>-259.73157062732292</v>
      </c>
      <c r="K105" s="175">
        <f>IF(SUM(H105:H112)=0,"",IFERROR(H105/I105,""))</f>
        <v>0.41729150963711964</v>
      </c>
      <c r="L105" s="171">
        <f>SUMIFS(واردات!$M$4:$M$500,واردات!$J$4:$J$500,$C105,واردات!$I$4:$I$500,$A105)+SUMIFS(واردات!$E$4:$E$500,واردات!$B$4:$B$500,$C105,واردات!$A$4:$A$500,$A105)</f>
        <v>0</v>
      </c>
      <c r="M105" s="159">
        <v>2.4104683195592287</v>
      </c>
      <c r="N105" s="159">
        <f t="shared" si="271"/>
        <v>-2.4104683195592287</v>
      </c>
      <c r="O105" s="175" t="str">
        <f>IF(SUM(L105:L112)=0,"",IFERROR(L105/M105,""))</f>
        <v/>
      </c>
      <c r="P105" s="171">
        <f>SUMIFS(واردات!$N$4:$N$500,واردات!$J$4:$J$500,$C105,واردات!$I$4:$I$500,$A105)+SUMIFS(واردات!$F$4:$F$500,واردات!$B$4:$B$500,$C105,واردات!$A$4:$A$500,$A105)</f>
        <v>0</v>
      </c>
      <c r="Q105" s="159">
        <v>0</v>
      </c>
      <c r="R105" s="159">
        <f t="shared" si="272"/>
        <v>0</v>
      </c>
      <c r="S105" s="175" t="str">
        <f>IF(SUM(P105:P112)=0,"",IFERROR(P105/Q105,""))</f>
        <v/>
      </c>
      <c r="T105" s="171">
        <f t="shared" si="407"/>
        <v>220</v>
      </c>
      <c r="U105" s="159">
        <f t="shared" si="408"/>
        <v>392.67729756072151</v>
      </c>
      <c r="V105" s="159">
        <f t="shared" si="325"/>
        <v>-172.67729756072151</v>
      </c>
      <c r="W105" s="175">
        <f t="shared" ref="W105" si="433">IF(SUM(T105:T112)=0,"",IFERROR(T105/U105,""))</f>
        <v>0.56025647870814421</v>
      </c>
      <c r="X105" s="171">
        <f t="shared" si="410"/>
        <v>284</v>
      </c>
      <c r="Y105" s="159">
        <f t="shared" si="411"/>
        <v>1560.6116633086824</v>
      </c>
      <c r="Z105" s="159">
        <f t="shared" si="327"/>
        <v>-1276.6116633086824</v>
      </c>
      <c r="AA105" s="175">
        <f t="shared" ref="AA105" si="434">IF(SUM(X105:X112)=0,"",IFERROR(X105/Y105,""))</f>
        <v>0.18197992920153255</v>
      </c>
      <c r="AB105" s="171">
        <f t="shared" si="413"/>
        <v>29</v>
      </c>
      <c r="AC105" s="159">
        <f t="shared" si="414"/>
        <v>16.487603305785125</v>
      </c>
      <c r="AD105" s="159">
        <f t="shared" si="329"/>
        <v>12.512396694214875</v>
      </c>
      <c r="AE105" s="175">
        <f t="shared" ref="AE105" si="435">IF(SUM(AB105:AB112)=0,"",IFERROR(AB105/AC105,""))</f>
        <v>1.7588972431077692</v>
      </c>
      <c r="AF105" s="171">
        <f t="shared" si="416"/>
        <v>0</v>
      </c>
      <c r="AG105" s="159">
        <f t="shared" si="417"/>
        <v>0</v>
      </c>
      <c r="AH105" s="159">
        <f t="shared" si="331"/>
        <v>0</v>
      </c>
      <c r="AI105" s="187" t="str">
        <f t="shared" ref="AI105" si="436">IF(SUM(AF105:AF112)=0,"",IFERROR(AF105/AG105,""))</f>
        <v/>
      </c>
      <c r="AJ105" s="157">
        <f t="shared" si="428"/>
        <v>5</v>
      </c>
    </row>
    <row r="106" spans="1:36" ht="24.95" customHeight="1" x14ac:dyDescent="0.25">
      <c r="A106" s="182" t="str">
        <f t="shared" si="322"/>
        <v>بجنورد</v>
      </c>
      <c r="B106" s="216"/>
      <c r="C106" s="167" t="str">
        <f t="shared" si="419"/>
        <v>شهریور</v>
      </c>
      <c r="D106" s="171">
        <f>SUMIFS(واردات!$K$4:$K$500,واردات!$J$4:$J$500,$C106,واردات!$I$4:$I$500,$A106)+SUMIFS(واردات!$C$4:$C$500,واردات!$B$4:$B$500,$C106,واردات!$A$4:$A$500,$A106)</f>
        <v>7</v>
      </c>
      <c r="E106" s="159">
        <v>164.57517121822556</v>
      </c>
      <c r="F106" s="159">
        <f t="shared" si="324"/>
        <v>-157.57517121822556</v>
      </c>
      <c r="G106" s="175">
        <f>IF(SUM(D106:D112)=0,"",IFERROR(D106/E106,""))</f>
        <v>4.253375492903512E-2</v>
      </c>
      <c r="H106" s="171">
        <f>SUMIFS(واردات!$L$4:$L$500,واردات!$J$4:$J$500,$C106,واردات!$I$4:$I$500,$A106)+SUMIFS(واردات!$D$4:$D$500,واردات!$B$4:$B$500,$C106,واردات!$A$4:$A$500,$A106)</f>
        <v>89</v>
      </c>
      <c r="I106" s="159">
        <v>445.73157062732292</v>
      </c>
      <c r="J106" s="159">
        <f t="shared" si="270"/>
        <v>-356.73157062732292</v>
      </c>
      <c r="K106" s="175">
        <f>IF(SUM(H106:H112)=0,"",IFERROR(H106/I106,""))</f>
        <v>0.19967174385862177</v>
      </c>
      <c r="L106" s="171">
        <f>SUMIFS(واردات!$M$4:$M$500,واردات!$J$4:$J$500,$C106,واردات!$I$4:$I$500,$A106)+SUMIFS(واردات!$E$4:$E$500,واردات!$B$4:$B$500,$C106,واردات!$A$4:$A$500,$A106)</f>
        <v>0</v>
      </c>
      <c r="M106" s="159">
        <v>2.4104683195592287</v>
      </c>
      <c r="N106" s="159">
        <f t="shared" si="271"/>
        <v>-2.4104683195592287</v>
      </c>
      <c r="O106" s="175" t="str">
        <f>IF(SUM(L106:L112)=0,"",IFERROR(L106/M106,""))</f>
        <v/>
      </c>
      <c r="P106" s="171">
        <f>SUMIFS(واردات!$N$4:$N$500,واردات!$J$4:$J$500,$C106,واردات!$I$4:$I$500,$A106)+SUMIFS(واردات!$F$4:$F$500,واردات!$B$4:$B$500,$C106,واردات!$A$4:$A$500,$A106)</f>
        <v>0</v>
      </c>
      <c r="Q106" s="159">
        <v>0</v>
      </c>
      <c r="R106" s="159">
        <f t="shared" si="272"/>
        <v>0</v>
      </c>
      <c r="S106" s="175" t="str">
        <f>IF(SUM(P106:P112)=0,"",IFERROR(P106/Q106,""))</f>
        <v/>
      </c>
      <c r="T106" s="171">
        <f t="shared" si="407"/>
        <v>227</v>
      </c>
      <c r="U106" s="159">
        <f t="shared" si="408"/>
        <v>557.2524687789471</v>
      </c>
      <c r="V106" s="159">
        <f t="shared" si="325"/>
        <v>-330.2524687789471</v>
      </c>
      <c r="W106" s="175">
        <f t="shared" ref="W106" si="437">IF(SUM(T106:T112)=0,"",IFERROR(T106/U106,""))</f>
        <v>0.40735575473968366</v>
      </c>
      <c r="X106" s="171">
        <f t="shared" si="410"/>
        <v>373</v>
      </c>
      <c r="Y106" s="159">
        <f t="shared" si="411"/>
        <v>2006.3432339360054</v>
      </c>
      <c r="Z106" s="159">
        <f t="shared" si="327"/>
        <v>-1633.3432339360054</v>
      </c>
      <c r="AA106" s="175">
        <f t="shared" ref="AA106" si="438">IF(SUM(X106:X112)=0,"",IFERROR(X106/Y106,""))</f>
        <v>0.18591036353648016</v>
      </c>
      <c r="AB106" s="171">
        <f t="shared" si="413"/>
        <v>29</v>
      </c>
      <c r="AC106" s="159">
        <f t="shared" si="414"/>
        <v>18.898071625344354</v>
      </c>
      <c r="AD106" s="159">
        <f t="shared" si="329"/>
        <v>10.101928374655646</v>
      </c>
      <c r="AE106" s="175">
        <f t="shared" ref="AE106" si="439">IF(SUM(AB106:AB112)=0,"",IFERROR(AB106/AC106,""))</f>
        <v>1.5345481049562681</v>
      </c>
      <c r="AF106" s="171">
        <f t="shared" si="416"/>
        <v>0</v>
      </c>
      <c r="AG106" s="159">
        <f t="shared" si="417"/>
        <v>0</v>
      </c>
      <c r="AH106" s="159">
        <f t="shared" si="331"/>
        <v>0</v>
      </c>
      <c r="AI106" s="187" t="str">
        <f t="shared" ref="AI106" si="440">IF(SUM(AF106:AF112)=0,"",IFERROR(AF106/AG106,""))</f>
        <v/>
      </c>
      <c r="AJ106" s="157">
        <f t="shared" si="428"/>
        <v>6</v>
      </c>
    </row>
    <row r="107" spans="1:36" ht="24.95" customHeight="1" x14ac:dyDescent="0.25">
      <c r="A107" s="182" t="str">
        <f t="shared" si="322"/>
        <v>بجنورد</v>
      </c>
      <c r="B107" s="216"/>
      <c r="C107" s="167" t="str">
        <f t="shared" si="419"/>
        <v>مهر</v>
      </c>
      <c r="D107" s="171">
        <f>SUMIFS(واردات!$K$4:$K$500,واردات!$J$4:$J$500,$C107,واردات!$I$4:$I$500,$A107)+SUMIFS(واردات!$C$4:$C$500,واردات!$B$4:$B$500,$C107,واردات!$A$4:$A$500,$A107)</f>
        <v>55</v>
      </c>
      <c r="E107" s="159">
        <v>55.982510407017607</v>
      </c>
      <c r="F107" s="159">
        <f t="shared" si="324"/>
        <v>-0.98251040701760672</v>
      </c>
      <c r="G107" s="175">
        <f>IF(SUM(D107:D112)=0,"",IFERROR(D107/E107,""))</f>
        <v>0.98244969009295369</v>
      </c>
      <c r="H107" s="171">
        <f>SUMIFS(واردات!$L$4:$L$500,واردات!$J$4:$J$500,$C107,واردات!$I$4:$I$500,$A107)+SUMIFS(واردات!$D$4:$D$500,واردات!$B$4:$B$500,$C107,واردات!$A$4:$A$500,$A107)</f>
        <v>62</v>
      </c>
      <c r="I107" s="159">
        <v>190.81892202133125</v>
      </c>
      <c r="J107" s="159">
        <f t="shared" si="270"/>
        <v>-128.81892202133125</v>
      </c>
      <c r="K107" s="175">
        <f>IF(SUM(H107:H112)=0,"",IFERROR(H107/I107,""))</f>
        <v>0.32491536658544351</v>
      </c>
      <c r="L107" s="171">
        <f>SUMIFS(واردات!$M$4:$M$500,واردات!$J$4:$J$500,$C107,واردات!$I$4:$I$500,$A107)+SUMIFS(واردات!$E$4:$E$500,واردات!$B$4:$B$500,$C107,واردات!$A$4:$A$500,$A107)</f>
        <v>0</v>
      </c>
      <c r="M107" s="159">
        <v>17.033976124885218</v>
      </c>
      <c r="N107" s="159">
        <f t="shared" si="271"/>
        <v>-17.033976124885218</v>
      </c>
      <c r="O107" s="175" t="str">
        <f>IF(SUM(L107:L112)=0,"",IFERROR(L107/M107,""))</f>
        <v/>
      </c>
      <c r="P107" s="171">
        <f>SUMIFS(واردات!$N$4:$N$500,واردات!$J$4:$J$500,$C107,واردات!$I$4:$I$500,$A107)+SUMIFS(واردات!$F$4:$F$500,واردات!$B$4:$B$500,$C107,واردات!$A$4:$A$500,$A107)</f>
        <v>0</v>
      </c>
      <c r="Q107" s="159">
        <v>0</v>
      </c>
      <c r="R107" s="159">
        <f t="shared" si="272"/>
        <v>0</v>
      </c>
      <c r="S107" s="175" t="str">
        <f>IF(SUM(P107:P112)=0,"",IFERROR(P107/Q107,""))</f>
        <v/>
      </c>
      <c r="T107" s="171">
        <f t="shared" si="407"/>
        <v>282</v>
      </c>
      <c r="U107" s="159">
        <f t="shared" si="408"/>
        <v>613.23497918596468</v>
      </c>
      <c r="V107" s="159">
        <f t="shared" si="325"/>
        <v>-331.23497918596468</v>
      </c>
      <c r="W107" s="175">
        <f t="shared" ref="W107" si="441">IF(SUM(T107:T112)=0,"",IFERROR(T107/U107,""))</f>
        <v>0.45985635127066515</v>
      </c>
      <c r="X107" s="171">
        <f t="shared" si="410"/>
        <v>435</v>
      </c>
      <c r="Y107" s="159">
        <f t="shared" si="411"/>
        <v>2197.1621559573368</v>
      </c>
      <c r="Z107" s="159">
        <f t="shared" si="327"/>
        <v>-1762.1621559573368</v>
      </c>
      <c r="AA107" s="175">
        <f t="shared" ref="AA107" si="442">IF(SUM(X107:X112)=0,"",IFERROR(X107/Y107,""))</f>
        <v>0.19798265631899339</v>
      </c>
      <c r="AB107" s="171">
        <f t="shared" si="413"/>
        <v>29</v>
      </c>
      <c r="AC107" s="159">
        <f t="shared" si="414"/>
        <v>35.932047750229572</v>
      </c>
      <c r="AD107" s="159">
        <f t="shared" si="329"/>
        <v>-6.9320477502295716</v>
      </c>
      <c r="AE107" s="175">
        <f t="shared" ref="AE107" si="443">IF(SUM(AB107:AB112)=0,"",IFERROR(AB107/AC107,""))</f>
        <v>0.8070789675440837</v>
      </c>
      <c r="AF107" s="171">
        <f t="shared" si="416"/>
        <v>0</v>
      </c>
      <c r="AG107" s="159">
        <f t="shared" si="417"/>
        <v>0</v>
      </c>
      <c r="AH107" s="159">
        <f t="shared" si="331"/>
        <v>0</v>
      </c>
      <c r="AI107" s="187" t="str">
        <f t="shared" ref="AI107" si="444">IF(SUM(AF107:AF112)=0,"",IFERROR(AF107/AG107,""))</f>
        <v/>
      </c>
      <c r="AJ107" s="157">
        <f t="shared" si="428"/>
        <v>7</v>
      </c>
    </row>
    <row r="108" spans="1:36" ht="24.95" customHeight="1" x14ac:dyDescent="0.25">
      <c r="A108" s="182" t="str">
        <f t="shared" si="322"/>
        <v>بجنورد</v>
      </c>
      <c r="B108" s="216"/>
      <c r="C108" s="167" t="str">
        <f t="shared" si="419"/>
        <v>آبان</v>
      </c>
      <c r="D108" s="171">
        <f>SUMIFS(واردات!$K$4:$K$500,واردات!$J$4:$J$500,$C108,واردات!$I$4:$I$500,$A108)+SUMIFS(واردات!$C$4:$C$500,واردات!$B$4:$B$500,$C108,واردات!$A$4:$A$500,$A108)</f>
        <v>0</v>
      </c>
      <c r="E108" s="159">
        <v>55.982510407017607</v>
      </c>
      <c r="F108" s="159">
        <f t="shared" si="324"/>
        <v>-55.982510407017607</v>
      </c>
      <c r="G108" s="175">
        <f>IF(SUM(D108:D112)=0,"",IFERROR(D108/E108,""))</f>
        <v>0</v>
      </c>
      <c r="H108" s="171">
        <f>SUMIFS(واردات!$L$4:$L$500,واردات!$J$4:$J$500,$C108,واردات!$I$4:$I$500,$A108)+SUMIFS(واردات!$D$4:$D$500,واردات!$B$4:$B$500,$C108,واردات!$A$4:$A$500,$A108)</f>
        <v>27</v>
      </c>
      <c r="I108" s="159">
        <v>190.81892202133125</v>
      </c>
      <c r="J108" s="159">
        <f t="shared" si="270"/>
        <v>-163.81892202133125</v>
      </c>
      <c r="K108" s="175">
        <f>IF(SUM(H108:H112)=0,"",IFERROR(H108/I108,""))</f>
        <v>0.14149540157753185</v>
      </c>
      <c r="L108" s="171">
        <f>SUMIFS(واردات!$M$4:$M$500,واردات!$J$4:$J$500,$C108,واردات!$I$4:$I$500,$A108)+SUMIFS(واردات!$E$4:$E$500,واردات!$B$4:$B$500,$C108,واردات!$A$4:$A$500,$A108)</f>
        <v>0</v>
      </c>
      <c r="M108" s="159">
        <v>17.033976124885218</v>
      </c>
      <c r="N108" s="159">
        <f t="shared" si="271"/>
        <v>-17.033976124885218</v>
      </c>
      <c r="O108" s="175" t="str">
        <f>IF(SUM(L108:L112)=0,"",IFERROR(L108/M108,""))</f>
        <v/>
      </c>
      <c r="P108" s="171">
        <f>SUMIFS(واردات!$N$4:$N$500,واردات!$J$4:$J$500,$C108,واردات!$I$4:$I$500,$A108)+SUMIFS(واردات!$F$4:$F$500,واردات!$B$4:$B$500,$C108,واردات!$A$4:$A$500,$A108)</f>
        <v>0</v>
      </c>
      <c r="Q108" s="159">
        <v>0</v>
      </c>
      <c r="R108" s="159">
        <f t="shared" si="272"/>
        <v>0</v>
      </c>
      <c r="S108" s="175" t="str">
        <f>IF(SUM(P108:P112)=0,"",IFERROR(P108/Q108,""))</f>
        <v/>
      </c>
      <c r="T108" s="171">
        <f t="shared" si="407"/>
        <v>282</v>
      </c>
      <c r="U108" s="159">
        <f t="shared" si="408"/>
        <v>669.21748959298225</v>
      </c>
      <c r="V108" s="159">
        <f t="shared" si="325"/>
        <v>-387.21748959298225</v>
      </c>
      <c r="W108" s="175">
        <f t="shared" ref="W108" si="445">IF(SUM(T108:T112)=0,"",IFERROR(T108/U108,""))</f>
        <v>0.42138767199810073</v>
      </c>
      <c r="X108" s="171">
        <f t="shared" si="410"/>
        <v>462</v>
      </c>
      <c r="Y108" s="159">
        <f t="shared" si="411"/>
        <v>2387.9810779786681</v>
      </c>
      <c r="Z108" s="159">
        <f t="shared" si="327"/>
        <v>-1925.9810779786681</v>
      </c>
      <c r="AA108" s="175">
        <f t="shared" ref="AA108" si="446">IF(SUM(X108:X112)=0,"",IFERROR(X108/Y108,""))</f>
        <v>0.193468869690988</v>
      </c>
      <c r="AB108" s="171">
        <f t="shared" si="413"/>
        <v>29</v>
      </c>
      <c r="AC108" s="159">
        <f t="shared" si="414"/>
        <v>52.966023875114786</v>
      </c>
      <c r="AD108" s="159">
        <f t="shared" si="329"/>
        <v>-23.966023875114786</v>
      </c>
      <c r="AE108" s="175">
        <f t="shared" ref="AE108" si="447">IF(SUM(AB108:AB112)=0,"",IFERROR(AB108/AC108,""))</f>
        <v>0.54752080443828011</v>
      </c>
      <c r="AF108" s="171">
        <f t="shared" si="416"/>
        <v>0</v>
      </c>
      <c r="AG108" s="159">
        <f t="shared" si="417"/>
        <v>0</v>
      </c>
      <c r="AH108" s="159">
        <f t="shared" si="331"/>
        <v>0</v>
      </c>
      <c r="AI108" s="187" t="str">
        <f t="shared" ref="AI108" si="448">IF(SUM(AF108:AF112)=0,"",IFERROR(AF108/AG108,""))</f>
        <v/>
      </c>
      <c r="AJ108" s="157">
        <f t="shared" si="428"/>
        <v>8</v>
      </c>
    </row>
    <row r="109" spans="1:36" ht="24.95" customHeight="1" x14ac:dyDescent="0.25">
      <c r="A109" s="182" t="str">
        <f t="shared" si="322"/>
        <v>بجنورد</v>
      </c>
      <c r="B109" s="216"/>
      <c r="C109" s="167" t="str">
        <f t="shared" si="419"/>
        <v>آذر</v>
      </c>
      <c r="D109" s="171">
        <f>SUMIFS(واردات!$K$4:$K$500,واردات!$J$4:$J$500,$C109,واردات!$I$4:$I$500,$A109)+SUMIFS(واردات!$C$4:$C$500,واردات!$B$4:$B$500,$C109,واردات!$A$4:$A$500,$A109)</f>
        <v>45</v>
      </c>
      <c r="E109" s="159">
        <v>55.982510407017607</v>
      </c>
      <c r="F109" s="159">
        <f t="shared" si="324"/>
        <v>-10.982510407017607</v>
      </c>
      <c r="G109" s="175">
        <f>IF(SUM(D109:D112)=0,"",IFERROR(D109/E109,""))</f>
        <v>0.80382247371241666</v>
      </c>
      <c r="H109" s="171">
        <f>SUMIFS(واردات!$L$4:$L$500,واردات!$J$4:$J$500,$C109,واردات!$I$4:$I$500,$A109)+SUMIFS(واردات!$D$4:$D$500,واردات!$B$4:$B$500,$C109,واردات!$A$4:$A$500,$A109)</f>
        <v>45</v>
      </c>
      <c r="I109" s="159">
        <v>190.81892202133125</v>
      </c>
      <c r="J109" s="159">
        <f t="shared" si="270"/>
        <v>-145.81892202133125</v>
      </c>
      <c r="K109" s="175">
        <f>IF(SUM(H109:H112)=0,"",IFERROR(H109/I109,""))</f>
        <v>0.23582566929588641</v>
      </c>
      <c r="L109" s="171">
        <f>SUMIFS(واردات!$M$4:$M$500,واردات!$J$4:$J$500,$C109,واردات!$I$4:$I$500,$A109)+SUMIFS(واردات!$E$4:$E$500,واردات!$B$4:$B$500,$C109,واردات!$A$4:$A$500,$A109)</f>
        <v>0</v>
      </c>
      <c r="M109" s="159">
        <v>17.033976124885218</v>
      </c>
      <c r="N109" s="159">
        <f t="shared" si="271"/>
        <v>-17.033976124885218</v>
      </c>
      <c r="O109" s="175" t="str">
        <f>IF(SUM(L109:L112)=0,"",IFERROR(L109/M109,""))</f>
        <v/>
      </c>
      <c r="P109" s="171">
        <f>SUMIFS(واردات!$N$4:$N$500,واردات!$J$4:$J$500,$C109,واردات!$I$4:$I$500,$A109)+SUMIFS(واردات!$F$4:$F$500,واردات!$B$4:$B$500,$C109,واردات!$A$4:$A$500,$A109)</f>
        <v>0</v>
      </c>
      <c r="Q109" s="159">
        <v>0</v>
      </c>
      <c r="R109" s="159">
        <f t="shared" si="272"/>
        <v>0</v>
      </c>
      <c r="S109" s="175" t="str">
        <f>IF(SUM(P109:P112)=0,"",IFERROR(P109/Q109,""))</f>
        <v/>
      </c>
      <c r="T109" s="171">
        <f t="shared" si="407"/>
        <v>327</v>
      </c>
      <c r="U109" s="159">
        <f t="shared" si="408"/>
        <v>725.19999999999982</v>
      </c>
      <c r="V109" s="159">
        <f t="shared" si="325"/>
        <v>-398.19999999999982</v>
      </c>
      <c r="W109" s="175">
        <f t="shared" ref="W109" si="449">IF(SUM(T109:T112)=0,"",IFERROR(T109/U109,""))</f>
        <v>0.45091009376723673</v>
      </c>
      <c r="X109" s="171">
        <f t="shared" si="410"/>
        <v>507</v>
      </c>
      <c r="Y109" s="159">
        <f t="shared" si="411"/>
        <v>2578.7999999999993</v>
      </c>
      <c r="Z109" s="159">
        <f t="shared" si="327"/>
        <v>-2071.7999999999993</v>
      </c>
      <c r="AA109" s="175">
        <f t="shared" ref="AA109" si="450">IF(SUM(X109:X112)=0,"",IFERROR(X109/Y109,""))</f>
        <v>0.19660307119590512</v>
      </c>
      <c r="AB109" s="171">
        <f t="shared" si="413"/>
        <v>29</v>
      </c>
      <c r="AC109" s="159">
        <f t="shared" si="414"/>
        <v>70</v>
      </c>
      <c r="AD109" s="159">
        <f t="shared" si="329"/>
        <v>-41</v>
      </c>
      <c r="AE109" s="175">
        <f t="shared" ref="AE109" si="451">IF(SUM(AB109:AB112)=0,"",IFERROR(AB109/AC109,""))</f>
        <v>0.41428571428571431</v>
      </c>
      <c r="AF109" s="171">
        <f t="shared" si="416"/>
        <v>0</v>
      </c>
      <c r="AG109" s="159">
        <f t="shared" si="417"/>
        <v>0</v>
      </c>
      <c r="AH109" s="159">
        <f t="shared" si="331"/>
        <v>0</v>
      </c>
      <c r="AI109" s="187" t="str">
        <f t="shared" ref="AI109" si="452">IF(SUM(AF109:AF112)=0,"",IFERROR(AF109/AG109,""))</f>
        <v/>
      </c>
      <c r="AJ109" s="157">
        <f t="shared" si="428"/>
        <v>9</v>
      </c>
    </row>
    <row r="110" spans="1:36" ht="24.95" customHeight="1" x14ac:dyDescent="0.25">
      <c r="A110" s="182" t="str">
        <f t="shared" si="322"/>
        <v>بجنورد</v>
      </c>
      <c r="B110" s="216"/>
      <c r="C110" s="167" t="str">
        <f t="shared" si="419"/>
        <v>دی</v>
      </c>
      <c r="D110" s="171">
        <f>SUMIFS(واردات!$K$4:$K$500,واردات!$J$4:$J$500,$C110,واردات!$I$4:$I$500,$A110)+SUMIFS(واردات!$C$4:$C$500,واردات!$B$4:$B$500,$C110,واردات!$A$4:$A$500,$A110)</f>
        <v>0</v>
      </c>
      <c r="E110" s="159">
        <v>179.04213903552332</v>
      </c>
      <c r="F110" s="159">
        <f t="shared" si="324"/>
        <v>-179.04213903552332</v>
      </c>
      <c r="G110" s="175">
        <f>IF(SUM(D110:D112)=0,"",IFERROR(D110/E110,""))</f>
        <v>0</v>
      </c>
      <c r="H110" s="171">
        <f>SUMIFS(واردات!$L$4:$L$500,واردات!$J$4:$J$500,$C110,واردات!$I$4:$I$500,$A110)+SUMIFS(واردات!$D$4:$D$500,واردات!$B$4:$B$500,$C110,واردات!$A$4:$A$500,$A110)</f>
        <v>0</v>
      </c>
      <c r="I110" s="159">
        <v>494.23391393495962</v>
      </c>
      <c r="J110" s="159">
        <f t="shared" si="270"/>
        <v>-494.23391393495962</v>
      </c>
      <c r="K110" s="175">
        <f>IF(SUM(H110:H112)=0,"",IFERROR(H110/I110,""))</f>
        <v>0</v>
      </c>
      <c r="L110" s="171">
        <f>SUMIFS(واردات!$M$4:$M$500,واردات!$J$4:$J$500,$C110,واردات!$I$4:$I$500,$A110)+SUMIFS(واردات!$E$4:$E$500,واردات!$B$4:$B$500,$C110,واردات!$A$4:$A$500,$A110)</f>
        <v>0</v>
      </c>
      <c r="M110" s="159">
        <v>0</v>
      </c>
      <c r="N110" s="159">
        <f t="shared" si="271"/>
        <v>0</v>
      </c>
      <c r="O110" s="175" t="str">
        <f>IF(SUM(L110:L112)=0,"",IFERROR(L110/M110,""))</f>
        <v/>
      </c>
      <c r="P110" s="171">
        <f>SUMIFS(واردات!$N$4:$N$500,واردات!$J$4:$J$500,$C110,واردات!$I$4:$I$500,$A110)+SUMIFS(واردات!$F$4:$F$500,واردات!$B$4:$B$500,$C110,واردات!$A$4:$A$500,$A110)</f>
        <v>0</v>
      </c>
      <c r="Q110" s="159">
        <v>0</v>
      </c>
      <c r="R110" s="159">
        <f t="shared" si="272"/>
        <v>0</v>
      </c>
      <c r="S110" s="175" t="str">
        <f>IF(SUM(P110:P112)=0,"",IFERROR(P110/Q110,""))</f>
        <v/>
      </c>
      <c r="T110" s="171">
        <f t="shared" si="407"/>
        <v>327</v>
      </c>
      <c r="U110" s="159">
        <f t="shared" si="408"/>
        <v>904.24213903552311</v>
      </c>
      <c r="V110" s="159">
        <f t="shared" si="325"/>
        <v>-577.24213903552311</v>
      </c>
      <c r="W110" s="175">
        <f t="shared" ref="W110" si="453">IF(SUM(T110:T112)=0,"",IFERROR(T110/U110,""))</f>
        <v>0.36162880038833695</v>
      </c>
      <c r="X110" s="171">
        <f t="shared" si="410"/>
        <v>507</v>
      </c>
      <c r="Y110" s="159">
        <f t="shared" si="411"/>
        <v>3073.0339139349589</v>
      </c>
      <c r="Z110" s="159">
        <f t="shared" si="327"/>
        <v>-2566.0339139349589</v>
      </c>
      <c r="AA110" s="175">
        <f t="shared" ref="AA110" si="454">IF(SUM(X110:X112)=0,"",IFERROR(X110/Y110,""))</f>
        <v>0.16498353555454146</v>
      </c>
      <c r="AB110" s="171">
        <f t="shared" si="413"/>
        <v>29</v>
      </c>
      <c r="AC110" s="159">
        <f t="shared" si="414"/>
        <v>70</v>
      </c>
      <c r="AD110" s="159">
        <f t="shared" si="329"/>
        <v>-41</v>
      </c>
      <c r="AE110" s="175">
        <f t="shared" ref="AE110" si="455">IF(SUM(AB110:AB112)=0,"",IFERROR(AB110/AC110,""))</f>
        <v>0.41428571428571431</v>
      </c>
      <c r="AF110" s="171">
        <f t="shared" si="416"/>
        <v>0</v>
      </c>
      <c r="AG110" s="159">
        <f t="shared" si="417"/>
        <v>0</v>
      </c>
      <c r="AH110" s="159">
        <f t="shared" si="331"/>
        <v>0</v>
      </c>
      <c r="AI110" s="187" t="str">
        <f t="shared" ref="AI110" si="456">IF(SUM(AF110:AF112)=0,"",IFERROR(AF110/AG110,""))</f>
        <v/>
      </c>
      <c r="AJ110" s="157">
        <f t="shared" si="428"/>
        <v>10</v>
      </c>
    </row>
    <row r="111" spans="1:36" ht="24.95" customHeight="1" x14ac:dyDescent="0.25">
      <c r="A111" s="182" t="str">
        <f t="shared" si="322"/>
        <v>بجنورد</v>
      </c>
      <c r="B111" s="216"/>
      <c r="C111" s="167" t="str">
        <f t="shared" si="419"/>
        <v>بهمن</v>
      </c>
      <c r="D111" s="171">
        <f>SUMIFS(واردات!$K$4:$K$500,واردات!$J$4:$J$500,$C111,واردات!$I$4:$I$500,$A111)+SUMIFS(واردات!$C$4:$C$500,واردات!$B$4:$B$500,$C111,واردات!$A$4:$A$500,$A111)</f>
        <v>19</v>
      </c>
      <c r="E111" s="159">
        <v>179.04213903552332</v>
      </c>
      <c r="F111" s="159">
        <f t="shared" si="324"/>
        <v>-160.04213903552332</v>
      </c>
      <c r="G111" s="175">
        <f>IF(SUM(D111:D112)=0,"",IFERROR(D111/E111,""))</f>
        <v>0.106120269241367</v>
      </c>
      <c r="H111" s="171">
        <f>SUMIFS(واردات!$L$4:$L$500,واردات!$J$4:$J$500,$C111,واردات!$I$4:$I$500,$A111)+SUMIFS(واردات!$D$4:$D$500,واردات!$B$4:$B$500,$C111,واردات!$A$4:$A$500,$A111)</f>
        <v>0</v>
      </c>
      <c r="I111" s="159">
        <v>494.23391393495962</v>
      </c>
      <c r="J111" s="159">
        <f t="shared" si="270"/>
        <v>-494.23391393495962</v>
      </c>
      <c r="K111" s="175">
        <f>IF(SUM(H111:H112)=0,"",IFERROR(H111/I111,""))</f>
        <v>0</v>
      </c>
      <c r="L111" s="171">
        <f>SUMIFS(واردات!$M$4:$M$500,واردات!$J$4:$J$500,$C111,واردات!$I$4:$I$500,$A111)+SUMIFS(واردات!$E$4:$E$500,واردات!$B$4:$B$500,$C111,واردات!$A$4:$A$500,$A111)</f>
        <v>0</v>
      </c>
      <c r="M111" s="159">
        <v>0</v>
      </c>
      <c r="N111" s="159">
        <f t="shared" si="271"/>
        <v>0</v>
      </c>
      <c r="O111" s="175" t="str">
        <f>IF(SUM(L111:L112)=0,"",IFERROR(L111/M111,""))</f>
        <v/>
      </c>
      <c r="P111" s="171">
        <f>SUMIFS(واردات!$N$4:$N$500,واردات!$J$4:$J$500,$C111,واردات!$I$4:$I$500,$A111)+SUMIFS(واردات!$F$4:$F$500,واردات!$B$4:$B$500,$C111,واردات!$A$4:$A$500,$A111)</f>
        <v>0</v>
      </c>
      <c r="Q111" s="159">
        <v>0</v>
      </c>
      <c r="R111" s="159">
        <f t="shared" si="272"/>
        <v>0</v>
      </c>
      <c r="S111" s="175" t="str">
        <f>IF(SUM(P111:P112)=0,"",IFERROR(P111/Q111,""))</f>
        <v/>
      </c>
      <c r="T111" s="171">
        <f t="shared" si="407"/>
        <v>346</v>
      </c>
      <c r="U111" s="159">
        <f t="shared" si="408"/>
        <v>1083.2842780710464</v>
      </c>
      <c r="V111" s="159">
        <f t="shared" si="325"/>
        <v>-737.2842780710464</v>
      </c>
      <c r="W111" s="175">
        <f t="shared" ref="W111" si="457">IF(SUM(T111:T112)=0,"",IFERROR(T111/U111,""))</f>
        <v>0.31939907834359599</v>
      </c>
      <c r="X111" s="171">
        <f t="shared" si="410"/>
        <v>507</v>
      </c>
      <c r="Y111" s="159">
        <f t="shared" si="411"/>
        <v>3567.2678278699186</v>
      </c>
      <c r="Z111" s="159">
        <f t="shared" si="327"/>
        <v>-3060.2678278699186</v>
      </c>
      <c r="AA111" s="175">
        <f t="shared" ref="AA111" si="458">IF(SUM(X111:X112)=0,"",IFERROR(X111/Y111,""))</f>
        <v>0.14212557746266533</v>
      </c>
      <c r="AB111" s="171">
        <f t="shared" si="413"/>
        <v>29</v>
      </c>
      <c r="AC111" s="159">
        <f t="shared" si="414"/>
        <v>70</v>
      </c>
      <c r="AD111" s="159">
        <f t="shared" si="329"/>
        <v>-41</v>
      </c>
      <c r="AE111" s="175">
        <f t="shared" ref="AE111" si="459">IF(SUM(AB111:AB112)=0,"",IFERROR(AB111/AC111,""))</f>
        <v>0.41428571428571431</v>
      </c>
      <c r="AF111" s="171">
        <f t="shared" si="416"/>
        <v>0</v>
      </c>
      <c r="AG111" s="159">
        <f t="shared" si="417"/>
        <v>0</v>
      </c>
      <c r="AH111" s="159">
        <f t="shared" si="331"/>
        <v>0</v>
      </c>
      <c r="AI111" s="187" t="str">
        <f t="shared" ref="AI111" si="460">IF(SUM(AF111:AF112)=0,"",IFERROR(AF111/AG111,""))</f>
        <v/>
      </c>
      <c r="AJ111" s="157">
        <f t="shared" si="428"/>
        <v>11</v>
      </c>
    </row>
    <row r="112" spans="1:36" ht="24.95" customHeight="1" thickBot="1" x14ac:dyDescent="0.3">
      <c r="A112" s="182" t="str">
        <f t="shared" si="322"/>
        <v>بجنورد</v>
      </c>
      <c r="B112" s="217"/>
      <c r="C112" s="168" t="str">
        <f t="shared" si="419"/>
        <v>اسفند</v>
      </c>
      <c r="D112" s="172">
        <f>SUMIFS(واردات!$K$4:$K$500,واردات!$J$4:$J$500,$C112,واردات!$I$4:$I$500,$A112)+SUMIFS(واردات!$C$4:$C$500,واردات!$B$4:$B$500,$C112,واردات!$A$4:$A$500,$A112)</f>
        <v>26</v>
      </c>
      <c r="E112" s="173">
        <v>179.04213903552332</v>
      </c>
      <c r="F112" s="173">
        <f t="shared" si="324"/>
        <v>-153.04213903552332</v>
      </c>
      <c r="G112" s="176">
        <f>IF(SUM(D112)=0,"",IFERROR(D112/E112,""))</f>
        <v>0.14521721054081801</v>
      </c>
      <c r="H112" s="172">
        <f>SUMIFS(واردات!$L$4:$L$500,واردات!$J$4:$J$500,$C112,واردات!$I$4:$I$500,$A112)+SUMIFS(واردات!$D$4:$D$500,واردات!$B$4:$B$500,$C112,واردات!$A$4:$A$500,$A112)</f>
        <v>129</v>
      </c>
      <c r="I112" s="173">
        <v>494.23391393495962</v>
      </c>
      <c r="J112" s="173">
        <f t="shared" si="270"/>
        <v>-365.23391393495962</v>
      </c>
      <c r="K112" s="176">
        <f>IF(SUM(H112)=0,"",IFERROR(H112/I112,""))</f>
        <v>0.26101001239056248</v>
      </c>
      <c r="L112" s="172">
        <f>SUMIFS(واردات!$M$4:$M$500,واردات!$J$4:$J$500,$C112,واردات!$I$4:$I$500,$A112)+SUMIFS(واردات!$E$4:$E$500,واردات!$B$4:$B$500,$C112,واردات!$A$4:$A$500,$A112)</f>
        <v>0</v>
      </c>
      <c r="M112" s="173">
        <v>0</v>
      </c>
      <c r="N112" s="173">
        <f t="shared" si="271"/>
        <v>0</v>
      </c>
      <c r="O112" s="176" t="str">
        <f>IF(SUM(L112)=0,"",IFERROR(L112/M112,""))</f>
        <v/>
      </c>
      <c r="P112" s="172">
        <f>SUMIFS(واردات!$N$4:$N$500,واردات!$J$4:$J$500,$C112,واردات!$I$4:$I$500,$A112)+SUMIFS(واردات!$F$4:$F$500,واردات!$B$4:$B$500,$C112,واردات!$A$4:$A$500,$A112)</f>
        <v>0</v>
      </c>
      <c r="Q112" s="173">
        <v>0</v>
      </c>
      <c r="R112" s="173">
        <f t="shared" si="272"/>
        <v>0</v>
      </c>
      <c r="S112" s="176" t="str">
        <f>IF(SUM(P112)=0,"",IFERROR(P112/Q112,""))</f>
        <v/>
      </c>
      <c r="T112" s="172">
        <f t="shared" si="407"/>
        <v>372</v>
      </c>
      <c r="U112" s="173">
        <f t="shared" si="408"/>
        <v>1262.3264171065698</v>
      </c>
      <c r="V112" s="173">
        <f t="shared" si="325"/>
        <v>-890.32641710656981</v>
      </c>
      <c r="W112" s="176">
        <f t="shared" ref="W112" si="461">IF(SUM(T112)=0,"",IFERROR(T112/U112,""))</f>
        <v>0.29469398323507834</v>
      </c>
      <c r="X112" s="172">
        <f t="shared" si="410"/>
        <v>636</v>
      </c>
      <c r="Y112" s="173">
        <f t="shared" si="411"/>
        <v>4061.5017418048783</v>
      </c>
      <c r="Z112" s="173">
        <f t="shared" si="327"/>
        <v>-3425.5017418048783</v>
      </c>
      <c r="AA112" s="176">
        <f t="shared" ref="AA112" si="462">IF(SUM(X112)=0,"",IFERROR(X112/Y112,""))</f>
        <v>0.15659232481761043</v>
      </c>
      <c r="AB112" s="172">
        <f t="shared" si="413"/>
        <v>29</v>
      </c>
      <c r="AC112" s="173">
        <f t="shared" si="414"/>
        <v>70</v>
      </c>
      <c r="AD112" s="173">
        <f t="shared" si="329"/>
        <v>-41</v>
      </c>
      <c r="AE112" s="176">
        <f t="shared" ref="AE112" si="463">IF(SUM(AB112)=0,"",IFERROR(AB112/AC112,""))</f>
        <v>0.41428571428571431</v>
      </c>
      <c r="AF112" s="172">
        <f t="shared" si="416"/>
        <v>0</v>
      </c>
      <c r="AG112" s="173">
        <f t="shared" si="417"/>
        <v>0</v>
      </c>
      <c r="AH112" s="173">
        <f t="shared" si="331"/>
        <v>0</v>
      </c>
      <c r="AI112" s="188" t="str">
        <f t="shared" ref="AI112" si="464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22"/>
        <v>بیرجند</v>
      </c>
      <c r="B113" s="215" t="str">
        <f>واردات!J66</f>
        <v>بیرجند</v>
      </c>
      <c r="C113" s="166" t="str">
        <f>C101</f>
        <v>فروردین</v>
      </c>
      <c r="D113" s="170">
        <f>SUMIFS(واردات!$K$4:$K$500,واردات!$J$4:$J$500,$C113,واردات!$I$4:$I$500,$A113)+SUMIFS(واردات!$C$4:$C$500,واردات!$B$4:$B$500,$C113,واردات!$A$4:$A$500,$A113)</f>
        <v>0</v>
      </c>
      <c r="E113" s="160">
        <v>0</v>
      </c>
      <c r="F113" s="160">
        <f t="shared" si="324"/>
        <v>0</v>
      </c>
      <c r="G113" s="185" t="str">
        <f>IF(SUM(D113:D124)=0,"",IFERROR(D113/E113,""))</f>
        <v/>
      </c>
      <c r="H113" s="170">
        <f>SUMIFS(واردات!$L$4:$L$500,واردات!$J$4:$J$500,$C113,واردات!$I$4:$I$500,$A113)+SUMIFS(واردات!$D$4:$D$500,واردات!$B$4:$B$500,$C113,واردات!$A$4:$A$500,$A113)</f>
        <v>0</v>
      </c>
      <c r="I113" s="160">
        <v>0</v>
      </c>
      <c r="J113" s="160">
        <f t="shared" si="270"/>
        <v>0</v>
      </c>
      <c r="K113" s="185" t="str">
        <f>IF(SUM(H113:H124)=0,"",IFERROR(H113/I113,""))</f>
        <v/>
      </c>
      <c r="L113" s="170">
        <f>SUMIFS(واردات!$M$4:$M$500,واردات!$J$4:$J$500,$C113,واردات!$I$4:$I$500,$A113)+SUMIFS(واردات!$E$4:$E$500,واردات!$B$4:$B$500,$C113,واردات!$A$4:$A$500,$A113)</f>
        <v>0</v>
      </c>
      <c r="M113" s="160">
        <v>0</v>
      </c>
      <c r="N113" s="160">
        <f t="shared" si="271"/>
        <v>0</v>
      </c>
      <c r="O113" s="185" t="str">
        <f>IF(SUM(L113:L124)=0,"",IFERROR(L113/M113,""))</f>
        <v/>
      </c>
      <c r="P113" s="170">
        <f>SUMIFS(واردات!$N$4:$N$500,واردات!$J$4:$J$500,$C113,واردات!$I$4:$I$500,$A113)+SUMIFS(واردات!$F$4:$F$500,واردات!$B$4:$B$500,$C113,واردات!$A$4:$A$500,$A113)</f>
        <v>0</v>
      </c>
      <c r="Q113" s="160">
        <v>0</v>
      </c>
      <c r="R113" s="160">
        <f t="shared" si="272"/>
        <v>0</v>
      </c>
      <c r="S113" s="185" t="str">
        <f>IF(SUM(P113:P124)=0,"",IFERROR(P113/Q113,""))</f>
        <v/>
      </c>
      <c r="T113" s="183">
        <f t="shared" si="407"/>
        <v>0</v>
      </c>
      <c r="U113" s="160">
        <f t="shared" si="408"/>
        <v>0</v>
      </c>
      <c r="V113" s="160">
        <f t="shared" si="325"/>
        <v>0</v>
      </c>
      <c r="W113" s="185" t="str">
        <f t="shared" ref="W113" si="465">IF(SUM(T113:T124)=0,"",IFERROR(T113/U113,""))</f>
        <v/>
      </c>
      <c r="X113" s="183">
        <f t="shared" si="410"/>
        <v>0</v>
      </c>
      <c r="Y113" s="160">
        <f t="shared" si="411"/>
        <v>0</v>
      </c>
      <c r="Z113" s="160">
        <f t="shared" si="327"/>
        <v>0</v>
      </c>
      <c r="AA113" s="185" t="str">
        <f t="shared" ref="AA113" si="466">IF(SUM(X113:X124)=0,"",IFERROR(X113/Y113,""))</f>
        <v/>
      </c>
      <c r="AB113" s="183">
        <f t="shared" si="413"/>
        <v>0</v>
      </c>
      <c r="AC113" s="160">
        <f t="shared" si="414"/>
        <v>0</v>
      </c>
      <c r="AD113" s="160">
        <f t="shared" si="329"/>
        <v>0</v>
      </c>
      <c r="AE113" s="185" t="str">
        <f t="shared" ref="AE113" si="467">IF(SUM(AB113:AB124)=0,"",IFERROR(AB113/AC113,""))</f>
        <v/>
      </c>
      <c r="AF113" s="183">
        <f t="shared" si="416"/>
        <v>0</v>
      </c>
      <c r="AG113" s="160">
        <f t="shared" si="417"/>
        <v>0</v>
      </c>
      <c r="AH113" s="160">
        <f t="shared" si="331"/>
        <v>0</v>
      </c>
      <c r="AI113" s="186" t="str">
        <f t="shared" ref="AI113" si="468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22"/>
        <v>بیرجند</v>
      </c>
      <c r="B114" s="216"/>
      <c r="C114" s="167" t="str">
        <f t="shared" si="419"/>
        <v>اردیبهشت</v>
      </c>
      <c r="D114" s="171">
        <f>SUMIFS(واردات!$K$4:$K$500,واردات!$J$4:$J$500,$C114,واردات!$I$4:$I$500,$A114)+SUMIFS(واردات!$C$4:$C$500,واردات!$B$4:$B$500,$C114,واردات!$A$4:$A$500,$A114)</f>
        <v>313</v>
      </c>
      <c r="E114" s="159">
        <v>0</v>
      </c>
      <c r="F114" s="159">
        <f t="shared" si="324"/>
        <v>313</v>
      </c>
      <c r="G114" s="175" t="str">
        <f>IF(SUM(D114:D124)=0,"",IFERROR(D114/E114,""))</f>
        <v/>
      </c>
      <c r="H114" s="171">
        <f>SUMIFS(واردات!$L$4:$L$500,واردات!$J$4:$J$500,$C114,واردات!$I$4:$I$500,$A114)+SUMIFS(واردات!$D$4:$D$500,واردات!$B$4:$B$500,$C114,واردات!$A$4:$A$500,$A114)</f>
        <v>150</v>
      </c>
      <c r="I114" s="159">
        <v>0</v>
      </c>
      <c r="J114" s="159">
        <f t="shared" si="270"/>
        <v>150</v>
      </c>
      <c r="K114" s="175" t="str">
        <f>IF(SUM(H114:H124)=0,"",IFERROR(H114/I114,""))</f>
        <v/>
      </c>
      <c r="L114" s="171">
        <f>SUMIFS(واردات!$M$4:$M$500,واردات!$J$4:$J$500,$C114,واردات!$I$4:$I$500,$A114)+SUMIFS(واردات!$E$4:$E$500,واردات!$B$4:$B$500,$C114,واردات!$A$4:$A$500,$A114)</f>
        <v>0</v>
      </c>
      <c r="M114" s="159">
        <v>0</v>
      </c>
      <c r="N114" s="159">
        <f t="shared" si="271"/>
        <v>0</v>
      </c>
      <c r="O114" s="175" t="str">
        <f>IF(SUM(L114:L124)=0,"",IFERROR(L114/M114,""))</f>
        <v/>
      </c>
      <c r="P114" s="171">
        <f>SUMIFS(واردات!$N$4:$N$500,واردات!$J$4:$J$500,$C114,واردات!$I$4:$I$500,$A114)+SUMIFS(واردات!$F$4:$F$500,واردات!$B$4:$B$500,$C114,واردات!$A$4:$A$500,$A114)</f>
        <v>0</v>
      </c>
      <c r="Q114" s="159">
        <v>0</v>
      </c>
      <c r="R114" s="159">
        <f t="shared" si="272"/>
        <v>0</v>
      </c>
      <c r="S114" s="175" t="str">
        <f>IF(SUM(P114:P124)=0,"",IFERROR(P114/Q114,""))</f>
        <v/>
      </c>
      <c r="T114" s="171">
        <f t="shared" si="407"/>
        <v>313</v>
      </c>
      <c r="U114" s="159">
        <f t="shared" si="408"/>
        <v>0</v>
      </c>
      <c r="V114" s="159">
        <f t="shared" si="325"/>
        <v>313</v>
      </c>
      <c r="W114" s="175" t="str">
        <f t="shared" ref="W114" si="469">IF(SUM(T114:T124)=0,"",IFERROR(T114/U114,""))</f>
        <v/>
      </c>
      <c r="X114" s="171">
        <f t="shared" si="410"/>
        <v>150</v>
      </c>
      <c r="Y114" s="159">
        <f t="shared" si="411"/>
        <v>0</v>
      </c>
      <c r="Z114" s="159">
        <f t="shared" si="327"/>
        <v>150</v>
      </c>
      <c r="AA114" s="175" t="str">
        <f t="shared" ref="AA114" si="470">IF(SUM(X114:X124)=0,"",IFERROR(X114/Y114,""))</f>
        <v/>
      </c>
      <c r="AB114" s="171">
        <f t="shared" si="413"/>
        <v>0</v>
      </c>
      <c r="AC114" s="159">
        <f t="shared" si="414"/>
        <v>0</v>
      </c>
      <c r="AD114" s="159">
        <f t="shared" si="329"/>
        <v>0</v>
      </c>
      <c r="AE114" s="175" t="str">
        <f t="shared" ref="AE114" si="471">IF(SUM(AB114:AB124)=0,"",IFERROR(AB114/AC114,""))</f>
        <v/>
      </c>
      <c r="AF114" s="171">
        <f t="shared" si="416"/>
        <v>0</v>
      </c>
      <c r="AG114" s="159">
        <f t="shared" si="417"/>
        <v>0</v>
      </c>
      <c r="AH114" s="159">
        <f t="shared" si="331"/>
        <v>0</v>
      </c>
      <c r="AI114" s="187" t="str">
        <f t="shared" ref="AI114" si="472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22"/>
        <v>بیرجند</v>
      </c>
      <c r="B115" s="216"/>
      <c r="C115" s="167" t="str">
        <f t="shared" si="419"/>
        <v>خرداد</v>
      </c>
      <c r="D115" s="171">
        <f>SUMIFS(واردات!$K$4:$K$500,واردات!$J$4:$J$500,$C115,واردات!$I$4:$I$500,$A115)+SUMIFS(واردات!$C$4:$C$500,واردات!$B$4:$B$500,$C115,واردات!$A$4:$A$500,$A115)</f>
        <v>198</v>
      </c>
      <c r="E115" s="159">
        <v>0</v>
      </c>
      <c r="F115" s="159">
        <f t="shared" si="324"/>
        <v>198</v>
      </c>
      <c r="G115" s="175" t="str">
        <f>IF(SUM(D115:D124)=0,"",IFERROR(D115/E115,""))</f>
        <v/>
      </c>
      <c r="H115" s="171">
        <f>SUMIFS(واردات!$L$4:$L$500,واردات!$J$4:$J$500,$C115,واردات!$I$4:$I$500,$A115)+SUMIFS(واردات!$D$4:$D$500,واردات!$B$4:$B$500,$C115,واردات!$A$4:$A$500,$A115)</f>
        <v>75</v>
      </c>
      <c r="I115" s="159">
        <v>0</v>
      </c>
      <c r="J115" s="159">
        <f t="shared" si="270"/>
        <v>75</v>
      </c>
      <c r="K115" s="175" t="str">
        <f>IF(SUM(H115:H124)=0,"",IFERROR(H115/I115,""))</f>
        <v/>
      </c>
      <c r="L115" s="171">
        <f>SUMIFS(واردات!$M$4:$M$500,واردات!$J$4:$J$500,$C115,واردات!$I$4:$I$500,$A115)+SUMIFS(واردات!$E$4:$E$500,واردات!$B$4:$B$500,$C115,واردات!$A$4:$A$500,$A115)</f>
        <v>0</v>
      </c>
      <c r="M115" s="159">
        <v>0</v>
      </c>
      <c r="N115" s="159">
        <f t="shared" si="271"/>
        <v>0</v>
      </c>
      <c r="O115" s="175" t="str">
        <f>IF(SUM(L115:L124)=0,"",IFERROR(L115/M115,""))</f>
        <v/>
      </c>
      <c r="P115" s="171">
        <f>SUMIFS(واردات!$N$4:$N$500,واردات!$J$4:$J$500,$C115,واردات!$I$4:$I$500,$A115)+SUMIFS(واردات!$F$4:$F$500,واردات!$B$4:$B$500,$C115,واردات!$A$4:$A$500,$A115)</f>
        <v>0</v>
      </c>
      <c r="Q115" s="159">
        <v>0</v>
      </c>
      <c r="R115" s="159">
        <f t="shared" si="272"/>
        <v>0</v>
      </c>
      <c r="S115" s="175" t="str">
        <f>IF(SUM(P115:P124)=0,"",IFERROR(P115/Q115,""))</f>
        <v/>
      </c>
      <c r="T115" s="171">
        <f t="shared" si="407"/>
        <v>511</v>
      </c>
      <c r="U115" s="159">
        <f t="shared" si="408"/>
        <v>0</v>
      </c>
      <c r="V115" s="159">
        <f t="shared" si="325"/>
        <v>511</v>
      </c>
      <c r="W115" s="175" t="str">
        <f t="shared" ref="W115" si="473">IF(SUM(T115:T124)=0,"",IFERROR(T115/U115,""))</f>
        <v/>
      </c>
      <c r="X115" s="171">
        <f t="shared" si="410"/>
        <v>225</v>
      </c>
      <c r="Y115" s="159">
        <f t="shared" si="411"/>
        <v>0</v>
      </c>
      <c r="Z115" s="159">
        <f t="shared" si="327"/>
        <v>225</v>
      </c>
      <c r="AA115" s="175" t="str">
        <f t="shared" ref="AA115" si="474">IF(SUM(X115:X124)=0,"",IFERROR(X115/Y115,""))</f>
        <v/>
      </c>
      <c r="AB115" s="171">
        <f t="shared" si="413"/>
        <v>0</v>
      </c>
      <c r="AC115" s="159">
        <f t="shared" si="414"/>
        <v>0</v>
      </c>
      <c r="AD115" s="159">
        <f t="shared" si="329"/>
        <v>0</v>
      </c>
      <c r="AE115" s="175" t="str">
        <f t="shared" ref="AE115" si="475">IF(SUM(AB115:AB124)=0,"",IFERROR(AB115/AC115,""))</f>
        <v/>
      </c>
      <c r="AF115" s="171">
        <f t="shared" si="416"/>
        <v>0</v>
      </c>
      <c r="AG115" s="159">
        <f t="shared" si="417"/>
        <v>0</v>
      </c>
      <c r="AH115" s="159">
        <f t="shared" si="331"/>
        <v>0</v>
      </c>
      <c r="AI115" s="187" t="str">
        <f t="shared" ref="AI115" si="476">IF(SUM(AF115:AF124)=0,"",IFERROR(AF115/AG115,""))</f>
        <v/>
      </c>
      <c r="AJ115" s="157">
        <f t="shared" ref="AJ115:AJ123" si="477">AJ114+1</f>
        <v>3</v>
      </c>
    </row>
    <row r="116" spans="1:36" ht="24.95" customHeight="1" x14ac:dyDescent="0.25">
      <c r="A116" s="182" t="str">
        <f t="shared" si="322"/>
        <v>بیرجند</v>
      </c>
      <c r="B116" s="216"/>
      <c r="C116" s="167" t="str">
        <f t="shared" si="419"/>
        <v>تیر</v>
      </c>
      <c r="D116" s="171">
        <f>SUMIFS(واردات!$K$4:$K$500,واردات!$J$4:$J$500,$C116,واردات!$I$4:$I$500,$A116)+SUMIFS(واردات!$C$4:$C$500,واردات!$B$4:$B$500,$C116,واردات!$A$4:$A$500,$A116)</f>
        <v>0</v>
      </c>
      <c r="E116" s="159">
        <v>0</v>
      </c>
      <c r="F116" s="159">
        <f t="shared" si="324"/>
        <v>0</v>
      </c>
      <c r="G116" s="175" t="str">
        <f>IF(SUM(D116:D124)=0,"",IFERROR(D116/E116,""))</f>
        <v/>
      </c>
      <c r="H116" s="171">
        <f>SUMIFS(واردات!$L$4:$L$500,واردات!$J$4:$J$500,$C116,واردات!$I$4:$I$500,$A116)+SUMIFS(واردات!$D$4:$D$500,واردات!$B$4:$B$500,$C116,واردات!$A$4:$A$500,$A116)</f>
        <v>174</v>
      </c>
      <c r="I116" s="159">
        <v>0</v>
      </c>
      <c r="J116" s="159">
        <f t="shared" si="270"/>
        <v>174</v>
      </c>
      <c r="K116" s="175" t="str">
        <f>IF(SUM(H116:H124)=0,"",IFERROR(H116/I116,""))</f>
        <v/>
      </c>
      <c r="L116" s="171">
        <f>SUMIFS(واردات!$M$4:$M$500,واردات!$J$4:$J$500,$C116,واردات!$I$4:$I$500,$A116)+SUMIFS(واردات!$E$4:$E$500,واردات!$B$4:$B$500,$C116,واردات!$A$4:$A$500,$A116)</f>
        <v>0</v>
      </c>
      <c r="M116" s="159">
        <v>0</v>
      </c>
      <c r="N116" s="159">
        <f t="shared" si="271"/>
        <v>0</v>
      </c>
      <c r="O116" s="175" t="str">
        <f>IF(SUM(L116:L124)=0,"",IFERROR(L116/M116,""))</f>
        <v/>
      </c>
      <c r="P116" s="171">
        <f>SUMIFS(واردات!$N$4:$N$500,واردات!$J$4:$J$500,$C116,واردات!$I$4:$I$500,$A116)+SUMIFS(واردات!$F$4:$F$500,واردات!$B$4:$B$500,$C116,واردات!$A$4:$A$500,$A116)</f>
        <v>0</v>
      </c>
      <c r="Q116" s="159">
        <v>0</v>
      </c>
      <c r="R116" s="159">
        <f t="shared" si="272"/>
        <v>0</v>
      </c>
      <c r="S116" s="175" t="str">
        <f>IF(SUM(P116:P124)=0,"",IFERROR(P116/Q116,""))</f>
        <v/>
      </c>
      <c r="T116" s="171">
        <f t="shared" si="407"/>
        <v>511</v>
      </c>
      <c r="U116" s="159">
        <f t="shared" si="408"/>
        <v>0</v>
      </c>
      <c r="V116" s="159">
        <f t="shared" si="325"/>
        <v>511</v>
      </c>
      <c r="W116" s="175" t="str">
        <f t="shared" ref="W116" si="478">IF(SUM(T116:T124)=0,"",IFERROR(T116/U116,""))</f>
        <v/>
      </c>
      <c r="X116" s="171">
        <f t="shared" si="410"/>
        <v>399</v>
      </c>
      <c r="Y116" s="159">
        <f t="shared" si="411"/>
        <v>0</v>
      </c>
      <c r="Z116" s="159">
        <f t="shared" si="327"/>
        <v>399</v>
      </c>
      <c r="AA116" s="175" t="str">
        <f t="shared" ref="AA116" si="479">IF(SUM(X116:X124)=0,"",IFERROR(X116/Y116,""))</f>
        <v/>
      </c>
      <c r="AB116" s="171">
        <f t="shared" si="413"/>
        <v>0</v>
      </c>
      <c r="AC116" s="159">
        <f t="shared" si="414"/>
        <v>0</v>
      </c>
      <c r="AD116" s="159">
        <f t="shared" si="329"/>
        <v>0</v>
      </c>
      <c r="AE116" s="175" t="str">
        <f t="shared" ref="AE116" si="480">IF(SUM(AB116:AB124)=0,"",IFERROR(AB116/AC116,""))</f>
        <v/>
      </c>
      <c r="AF116" s="171">
        <f t="shared" si="416"/>
        <v>0</v>
      </c>
      <c r="AG116" s="159">
        <f t="shared" si="417"/>
        <v>0</v>
      </c>
      <c r="AH116" s="159">
        <f t="shared" si="331"/>
        <v>0</v>
      </c>
      <c r="AI116" s="187" t="str">
        <f t="shared" ref="AI116" si="481">IF(SUM(AF116:AF124)=0,"",IFERROR(AF116/AG116,""))</f>
        <v/>
      </c>
      <c r="AJ116" s="157">
        <f t="shared" si="477"/>
        <v>4</v>
      </c>
    </row>
    <row r="117" spans="1:36" ht="24.95" customHeight="1" x14ac:dyDescent="0.25">
      <c r="A117" s="182" t="str">
        <f t="shared" si="322"/>
        <v>بیرجند</v>
      </c>
      <c r="B117" s="216"/>
      <c r="C117" s="167" t="str">
        <f t="shared" si="419"/>
        <v>مرداد</v>
      </c>
      <c r="D117" s="171">
        <f>SUMIFS(واردات!$K$4:$K$500,واردات!$J$4:$J$500,$C117,واردات!$I$4:$I$500,$A117)+SUMIFS(واردات!$C$4:$C$500,واردات!$B$4:$B$500,$C117,واردات!$A$4:$A$500,$A117)</f>
        <v>0</v>
      </c>
      <c r="E117" s="159">
        <v>0</v>
      </c>
      <c r="F117" s="159">
        <f t="shared" si="324"/>
        <v>0</v>
      </c>
      <c r="G117" s="175" t="str">
        <f>IF(SUM(D117:D124)=0,"",IFERROR(D117/E117,""))</f>
        <v/>
      </c>
      <c r="H117" s="171">
        <f>SUMIFS(واردات!$L$4:$L$500,واردات!$J$4:$J$500,$C117,واردات!$I$4:$I$500,$A117)+SUMIFS(واردات!$D$4:$D$500,واردات!$B$4:$B$500,$C117,واردات!$A$4:$A$500,$A117)</f>
        <v>103</v>
      </c>
      <c r="I117" s="159">
        <v>0</v>
      </c>
      <c r="J117" s="159">
        <f t="shared" si="270"/>
        <v>103</v>
      </c>
      <c r="K117" s="175" t="str">
        <f>IF(SUM(H117:H124)=0,"",IFERROR(H117/I117,""))</f>
        <v/>
      </c>
      <c r="L117" s="171">
        <f>SUMIFS(واردات!$M$4:$M$500,واردات!$J$4:$J$500,$C117,واردات!$I$4:$I$500,$A117)+SUMIFS(واردات!$E$4:$E$500,واردات!$B$4:$B$500,$C117,واردات!$A$4:$A$500,$A117)</f>
        <v>0</v>
      </c>
      <c r="M117" s="159">
        <v>0</v>
      </c>
      <c r="N117" s="159">
        <f t="shared" si="271"/>
        <v>0</v>
      </c>
      <c r="O117" s="175" t="str">
        <f>IF(SUM(L117:L124)=0,"",IFERROR(L117/M117,""))</f>
        <v/>
      </c>
      <c r="P117" s="171">
        <f>SUMIFS(واردات!$N$4:$N$500,واردات!$J$4:$J$500,$C117,واردات!$I$4:$I$500,$A117)+SUMIFS(واردات!$F$4:$F$500,واردات!$B$4:$B$500,$C117,واردات!$A$4:$A$500,$A117)</f>
        <v>0</v>
      </c>
      <c r="Q117" s="159">
        <v>0</v>
      </c>
      <c r="R117" s="159">
        <f t="shared" si="272"/>
        <v>0</v>
      </c>
      <c r="S117" s="175" t="str">
        <f>IF(SUM(P117:P124)=0,"",IFERROR(P117/Q117,""))</f>
        <v/>
      </c>
      <c r="T117" s="171">
        <f t="shared" si="407"/>
        <v>511</v>
      </c>
      <c r="U117" s="159">
        <f t="shared" si="408"/>
        <v>0</v>
      </c>
      <c r="V117" s="159">
        <f t="shared" si="325"/>
        <v>511</v>
      </c>
      <c r="W117" s="175" t="str">
        <f t="shared" ref="W117" si="482">IF(SUM(T117:T124)=0,"",IFERROR(T117/U117,""))</f>
        <v/>
      </c>
      <c r="X117" s="171">
        <f t="shared" si="410"/>
        <v>502</v>
      </c>
      <c r="Y117" s="159">
        <f t="shared" si="411"/>
        <v>0</v>
      </c>
      <c r="Z117" s="159">
        <f t="shared" si="327"/>
        <v>502</v>
      </c>
      <c r="AA117" s="175" t="str">
        <f t="shared" ref="AA117" si="483">IF(SUM(X117:X124)=0,"",IFERROR(X117/Y117,""))</f>
        <v/>
      </c>
      <c r="AB117" s="171">
        <f t="shared" si="413"/>
        <v>0</v>
      </c>
      <c r="AC117" s="159">
        <f t="shared" si="414"/>
        <v>0</v>
      </c>
      <c r="AD117" s="159">
        <f t="shared" si="329"/>
        <v>0</v>
      </c>
      <c r="AE117" s="175" t="str">
        <f t="shared" ref="AE117" si="484">IF(SUM(AB117:AB124)=0,"",IFERROR(AB117/AC117,""))</f>
        <v/>
      </c>
      <c r="AF117" s="171">
        <f t="shared" si="416"/>
        <v>0</v>
      </c>
      <c r="AG117" s="159">
        <f t="shared" si="417"/>
        <v>0</v>
      </c>
      <c r="AH117" s="159">
        <f t="shared" si="331"/>
        <v>0</v>
      </c>
      <c r="AI117" s="187" t="str">
        <f t="shared" ref="AI117" si="485">IF(SUM(AF117:AF124)=0,"",IFERROR(AF117/AG117,""))</f>
        <v/>
      </c>
      <c r="AJ117" s="157">
        <f t="shared" si="477"/>
        <v>5</v>
      </c>
    </row>
    <row r="118" spans="1:36" ht="24.95" customHeight="1" x14ac:dyDescent="0.25">
      <c r="A118" s="182" t="str">
        <f t="shared" si="322"/>
        <v>بیرجند</v>
      </c>
      <c r="B118" s="216"/>
      <c r="C118" s="167" t="str">
        <f t="shared" si="419"/>
        <v>شهریور</v>
      </c>
      <c r="D118" s="171">
        <f>SUMIFS(واردات!$K$4:$K$500,واردات!$J$4:$J$500,$C118,واردات!$I$4:$I$500,$A118)+SUMIFS(واردات!$C$4:$C$500,واردات!$B$4:$B$500,$C118,واردات!$A$4:$A$500,$A118)</f>
        <v>86</v>
      </c>
      <c r="E118" s="159">
        <v>0</v>
      </c>
      <c r="F118" s="159">
        <f t="shared" si="324"/>
        <v>86</v>
      </c>
      <c r="G118" s="175" t="str">
        <f>IF(SUM(D118:D124)=0,"",IFERROR(D118/E118,""))</f>
        <v/>
      </c>
      <c r="H118" s="171">
        <f>SUMIFS(واردات!$L$4:$L$500,واردات!$J$4:$J$500,$C118,واردات!$I$4:$I$500,$A118)+SUMIFS(واردات!$D$4:$D$500,واردات!$B$4:$B$500,$C118,واردات!$A$4:$A$500,$A118)</f>
        <v>124</v>
      </c>
      <c r="I118" s="159">
        <v>0</v>
      </c>
      <c r="J118" s="159">
        <f t="shared" si="270"/>
        <v>124</v>
      </c>
      <c r="K118" s="175" t="str">
        <f>IF(SUM(H118:H124)=0,"",IFERROR(H118/I118,""))</f>
        <v/>
      </c>
      <c r="L118" s="171">
        <f>SUMIFS(واردات!$M$4:$M$500,واردات!$J$4:$J$500,$C118,واردات!$I$4:$I$500,$A118)+SUMIFS(واردات!$E$4:$E$500,واردات!$B$4:$B$500,$C118,واردات!$A$4:$A$500,$A118)</f>
        <v>0</v>
      </c>
      <c r="M118" s="159">
        <v>0</v>
      </c>
      <c r="N118" s="159">
        <f t="shared" si="271"/>
        <v>0</v>
      </c>
      <c r="O118" s="175" t="str">
        <f>IF(SUM(L118:L124)=0,"",IFERROR(L118/M118,""))</f>
        <v/>
      </c>
      <c r="P118" s="171">
        <f>SUMIFS(واردات!$N$4:$N$500,واردات!$J$4:$J$500,$C118,واردات!$I$4:$I$500,$A118)+SUMIFS(واردات!$F$4:$F$500,واردات!$B$4:$B$500,$C118,واردات!$A$4:$A$500,$A118)</f>
        <v>0</v>
      </c>
      <c r="Q118" s="159">
        <v>0</v>
      </c>
      <c r="R118" s="159">
        <f t="shared" si="272"/>
        <v>0</v>
      </c>
      <c r="S118" s="175" t="str">
        <f>IF(SUM(P118:P124)=0,"",IFERROR(P118/Q118,""))</f>
        <v/>
      </c>
      <c r="T118" s="171">
        <f t="shared" si="407"/>
        <v>597</v>
      </c>
      <c r="U118" s="159">
        <f t="shared" si="408"/>
        <v>0</v>
      </c>
      <c r="V118" s="159">
        <f t="shared" si="325"/>
        <v>597</v>
      </c>
      <c r="W118" s="175" t="str">
        <f t="shared" ref="W118" si="486">IF(SUM(T118:T124)=0,"",IFERROR(T118/U118,""))</f>
        <v/>
      </c>
      <c r="X118" s="171">
        <f t="shared" si="410"/>
        <v>626</v>
      </c>
      <c r="Y118" s="159">
        <f t="shared" si="411"/>
        <v>0</v>
      </c>
      <c r="Z118" s="159">
        <f t="shared" si="327"/>
        <v>626</v>
      </c>
      <c r="AA118" s="175" t="str">
        <f t="shared" ref="AA118" si="487">IF(SUM(X118:X124)=0,"",IFERROR(X118/Y118,""))</f>
        <v/>
      </c>
      <c r="AB118" s="171">
        <f t="shared" si="413"/>
        <v>0</v>
      </c>
      <c r="AC118" s="159">
        <f t="shared" si="414"/>
        <v>0</v>
      </c>
      <c r="AD118" s="159">
        <f t="shared" si="329"/>
        <v>0</v>
      </c>
      <c r="AE118" s="175" t="str">
        <f t="shared" ref="AE118" si="488">IF(SUM(AB118:AB124)=0,"",IFERROR(AB118/AC118,""))</f>
        <v/>
      </c>
      <c r="AF118" s="171">
        <f t="shared" si="416"/>
        <v>0</v>
      </c>
      <c r="AG118" s="159">
        <f t="shared" si="417"/>
        <v>0</v>
      </c>
      <c r="AH118" s="159">
        <f t="shared" si="331"/>
        <v>0</v>
      </c>
      <c r="AI118" s="187" t="str">
        <f t="shared" ref="AI118" si="489">IF(SUM(AF118:AF124)=0,"",IFERROR(AF118/AG118,""))</f>
        <v/>
      </c>
      <c r="AJ118" s="157">
        <f t="shared" si="477"/>
        <v>6</v>
      </c>
    </row>
    <row r="119" spans="1:36" ht="24.95" customHeight="1" x14ac:dyDescent="0.25">
      <c r="A119" s="182" t="str">
        <f t="shared" si="322"/>
        <v>بیرجند</v>
      </c>
      <c r="B119" s="216"/>
      <c r="C119" s="167" t="str">
        <f t="shared" si="419"/>
        <v>مهر</v>
      </c>
      <c r="D119" s="171">
        <f>SUMIFS(واردات!$K$4:$K$500,واردات!$J$4:$J$500,$C119,واردات!$I$4:$I$500,$A119)+SUMIFS(واردات!$C$4:$C$500,واردات!$B$4:$B$500,$C119,واردات!$A$4:$A$500,$A119)</f>
        <v>14</v>
      </c>
      <c r="E119" s="159">
        <v>0</v>
      </c>
      <c r="F119" s="159">
        <f t="shared" si="324"/>
        <v>14</v>
      </c>
      <c r="G119" s="175" t="str">
        <f>IF(SUM(D119:D124)=0,"",IFERROR(D119/E119,""))</f>
        <v/>
      </c>
      <c r="H119" s="171">
        <f>SUMIFS(واردات!$L$4:$L$500,واردات!$J$4:$J$500,$C119,واردات!$I$4:$I$500,$A119)+SUMIFS(واردات!$D$4:$D$500,واردات!$B$4:$B$500,$C119,واردات!$A$4:$A$500,$A119)</f>
        <v>86</v>
      </c>
      <c r="I119" s="159">
        <v>0</v>
      </c>
      <c r="J119" s="159">
        <f t="shared" si="270"/>
        <v>86</v>
      </c>
      <c r="K119" s="175" t="str">
        <f>IF(SUM(H119:H124)=0,"",IFERROR(H119/I119,""))</f>
        <v/>
      </c>
      <c r="L119" s="171">
        <f>SUMIFS(واردات!$M$4:$M$500,واردات!$J$4:$J$500,$C119,واردات!$I$4:$I$500,$A119)+SUMIFS(واردات!$E$4:$E$500,واردات!$B$4:$B$500,$C119,واردات!$A$4:$A$500,$A119)</f>
        <v>0</v>
      </c>
      <c r="M119" s="159">
        <v>0</v>
      </c>
      <c r="N119" s="159">
        <f t="shared" si="271"/>
        <v>0</v>
      </c>
      <c r="O119" s="175" t="str">
        <f>IF(SUM(L119:L124)=0,"",IFERROR(L119/M119,""))</f>
        <v/>
      </c>
      <c r="P119" s="171">
        <f>SUMIFS(واردات!$N$4:$N$500,واردات!$J$4:$J$500,$C119,واردات!$I$4:$I$500,$A119)+SUMIFS(واردات!$F$4:$F$500,واردات!$B$4:$B$500,$C119,واردات!$A$4:$A$500,$A119)</f>
        <v>0</v>
      </c>
      <c r="Q119" s="159">
        <v>0</v>
      </c>
      <c r="R119" s="159">
        <f t="shared" si="272"/>
        <v>0</v>
      </c>
      <c r="S119" s="175" t="str">
        <f>IF(SUM(P119:P124)=0,"",IFERROR(P119/Q119,""))</f>
        <v/>
      </c>
      <c r="T119" s="171">
        <f t="shared" si="407"/>
        <v>611</v>
      </c>
      <c r="U119" s="159">
        <f t="shared" si="408"/>
        <v>0</v>
      </c>
      <c r="V119" s="159">
        <f t="shared" si="325"/>
        <v>611</v>
      </c>
      <c r="W119" s="175" t="str">
        <f t="shared" ref="W119" si="490">IF(SUM(T119:T124)=0,"",IFERROR(T119/U119,""))</f>
        <v/>
      </c>
      <c r="X119" s="171">
        <f t="shared" si="410"/>
        <v>712</v>
      </c>
      <c r="Y119" s="159">
        <f t="shared" si="411"/>
        <v>0</v>
      </c>
      <c r="Z119" s="159">
        <f t="shared" si="327"/>
        <v>712</v>
      </c>
      <c r="AA119" s="175" t="str">
        <f t="shared" ref="AA119" si="491">IF(SUM(X119:X124)=0,"",IFERROR(X119/Y119,""))</f>
        <v/>
      </c>
      <c r="AB119" s="171">
        <f t="shared" si="413"/>
        <v>0</v>
      </c>
      <c r="AC119" s="159">
        <f t="shared" si="414"/>
        <v>0</v>
      </c>
      <c r="AD119" s="159">
        <f t="shared" si="329"/>
        <v>0</v>
      </c>
      <c r="AE119" s="175" t="str">
        <f t="shared" ref="AE119" si="492">IF(SUM(AB119:AB124)=0,"",IFERROR(AB119/AC119,""))</f>
        <v/>
      </c>
      <c r="AF119" s="171">
        <f t="shared" si="416"/>
        <v>0</v>
      </c>
      <c r="AG119" s="159">
        <f t="shared" si="417"/>
        <v>0</v>
      </c>
      <c r="AH119" s="159">
        <f t="shared" si="331"/>
        <v>0</v>
      </c>
      <c r="AI119" s="187" t="str">
        <f t="shared" ref="AI119" si="493">IF(SUM(AF119:AF124)=0,"",IFERROR(AF119/AG119,""))</f>
        <v/>
      </c>
      <c r="AJ119" s="157">
        <f t="shared" si="477"/>
        <v>7</v>
      </c>
    </row>
    <row r="120" spans="1:36" ht="24.95" customHeight="1" x14ac:dyDescent="0.25">
      <c r="A120" s="182" t="str">
        <f t="shared" si="322"/>
        <v>بیرجند</v>
      </c>
      <c r="B120" s="216"/>
      <c r="C120" s="167" t="str">
        <f t="shared" si="419"/>
        <v>آبان</v>
      </c>
      <c r="D120" s="171">
        <f>SUMIFS(واردات!$K$4:$K$500,واردات!$J$4:$J$500,$C120,واردات!$I$4:$I$500,$A120)+SUMIFS(واردات!$C$4:$C$500,واردات!$B$4:$B$500,$C120,واردات!$A$4:$A$500,$A120)</f>
        <v>0</v>
      </c>
      <c r="E120" s="159">
        <v>0</v>
      </c>
      <c r="F120" s="159">
        <f t="shared" si="324"/>
        <v>0</v>
      </c>
      <c r="G120" s="175" t="str">
        <f>IF(SUM(D120:D124)=0,"",IFERROR(D120/E120,""))</f>
        <v/>
      </c>
      <c r="H120" s="171">
        <f>SUMIFS(واردات!$L$4:$L$500,واردات!$J$4:$J$500,$C120,واردات!$I$4:$I$500,$A120)+SUMIFS(واردات!$D$4:$D$500,واردات!$B$4:$B$500,$C120,واردات!$A$4:$A$500,$A120)</f>
        <v>14</v>
      </c>
      <c r="I120" s="159">
        <v>0</v>
      </c>
      <c r="J120" s="159">
        <f t="shared" si="270"/>
        <v>14</v>
      </c>
      <c r="K120" s="175" t="str">
        <f>IF(SUM(H120:H124)=0,"",IFERROR(H120/I120,""))</f>
        <v/>
      </c>
      <c r="L120" s="171">
        <f>SUMIFS(واردات!$M$4:$M$500,واردات!$J$4:$J$500,$C120,واردات!$I$4:$I$500,$A120)+SUMIFS(واردات!$E$4:$E$500,واردات!$B$4:$B$500,$C120,واردات!$A$4:$A$500,$A120)</f>
        <v>0</v>
      </c>
      <c r="M120" s="159">
        <v>0</v>
      </c>
      <c r="N120" s="159">
        <f t="shared" si="271"/>
        <v>0</v>
      </c>
      <c r="O120" s="175" t="str">
        <f>IF(SUM(L120:L124)=0,"",IFERROR(L120/M120,""))</f>
        <v/>
      </c>
      <c r="P120" s="171">
        <f>SUMIFS(واردات!$N$4:$N$500,واردات!$J$4:$J$500,$C120,واردات!$I$4:$I$500,$A120)+SUMIFS(واردات!$F$4:$F$500,واردات!$B$4:$B$500,$C120,واردات!$A$4:$A$500,$A120)</f>
        <v>0</v>
      </c>
      <c r="Q120" s="159">
        <v>0</v>
      </c>
      <c r="R120" s="159">
        <f t="shared" si="272"/>
        <v>0</v>
      </c>
      <c r="S120" s="175" t="str">
        <f>IF(SUM(P120:P124)=0,"",IFERROR(P120/Q120,""))</f>
        <v/>
      </c>
      <c r="T120" s="171">
        <f t="shared" si="407"/>
        <v>611</v>
      </c>
      <c r="U120" s="159">
        <f t="shared" si="408"/>
        <v>0</v>
      </c>
      <c r="V120" s="159">
        <f t="shared" si="325"/>
        <v>611</v>
      </c>
      <c r="W120" s="175" t="str">
        <f t="shared" ref="W120" si="494">IF(SUM(T120:T124)=0,"",IFERROR(T120/U120,""))</f>
        <v/>
      </c>
      <c r="X120" s="171">
        <f t="shared" si="410"/>
        <v>726</v>
      </c>
      <c r="Y120" s="159">
        <f t="shared" si="411"/>
        <v>0</v>
      </c>
      <c r="Z120" s="159">
        <f t="shared" si="327"/>
        <v>726</v>
      </c>
      <c r="AA120" s="175" t="str">
        <f t="shared" ref="AA120" si="495">IF(SUM(X120:X124)=0,"",IFERROR(X120/Y120,""))</f>
        <v/>
      </c>
      <c r="AB120" s="171">
        <f t="shared" si="413"/>
        <v>0</v>
      </c>
      <c r="AC120" s="159">
        <f t="shared" si="414"/>
        <v>0</v>
      </c>
      <c r="AD120" s="159">
        <f t="shared" si="329"/>
        <v>0</v>
      </c>
      <c r="AE120" s="175" t="str">
        <f t="shared" ref="AE120" si="496">IF(SUM(AB120:AB124)=0,"",IFERROR(AB120/AC120,""))</f>
        <v/>
      </c>
      <c r="AF120" s="171">
        <f t="shared" si="416"/>
        <v>0</v>
      </c>
      <c r="AG120" s="159">
        <f t="shared" si="417"/>
        <v>0</v>
      </c>
      <c r="AH120" s="159">
        <f t="shared" si="331"/>
        <v>0</v>
      </c>
      <c r="AI120" s="187" t="str">
        <f t="shared" ref="AI120" si="497">IF(SUM(AF120:AF124)=0,"",IFERROR(AF120/AG120,""))</f>
        <v/>
      </c>
      <c r="AJ120" s="157">
        <f t="shared" si="477"/>
        <v>8</v>
      </c>
    </row>
    <row r="121" spans="1:36" ht="24.95" customHeight="1" x14ac:dyDescent="0.25">
      <c r="A121" s="182" t="str">
        <f t="shared" si="322"/>
        <v>بیرجند</v>
      </c>
      <c r="B121" s="216"/>
      <c r="C121" s="167" t="str">
        <f t="shared" si="419"/>
        <v>آذر</v>
      </c>
      <c r="D121" s="171">
        <f>SUMIFS(واردات!$K$4:$K$500,واردات!$J$4:$J$500,$C121,واردات!$I$4:$I$500,$A121)+SUMIFS(واردات!$C$4:$C$500,واردات!$B$4:$B$500,$C121,واردات!$A$4:$A$500,$A121)</f>
        <v>47</v>
      </c>
      <c r="E121" s="159">
        <v>0</v>
      </c>
      <c r="F121" s="159">
        <f t="shared" si="324"/>
        <v>47</v>
      </c>
      <c r="G121" s="175" t="str">
        <f>IF(SUM(D121:D124)=0,"",IFERROR(D121/E121,""))</f>
        <v/>
      </c>
      <c r="H121" s="171">
        <f>SUMIFS(واردات!$L$4:$L$500,واردات!$J$4:$J$500,$C121,واردات!$I$4:$I$500,$A121)+SUMIFS(واردات!$D$4:$D$500,واردات!$B$4:$B$500,$C121,واردات!$A$4:$A$500,$A121)</f>
        <v>0</v>
      </c>
      <c r="I121" s="159">
        <v>0</v>
      </c>
      <c r="J121" s="159">
        <f t="shared" si="270"/>
        <v>0</v>
      </c>
      <c r="K121" s="175" t="str">
        <f>IF(SUM(H121:H124)=0,"",IFERROR(H121/I121,""))</f>
        <v/>
      </c>
      <c r="L121" s="171">
        <f>SUMIFS(واردات!$M$4:$M$500,واردات!$J$4:$J$500,$C121,واردات!$I$4:$I$500,$A121)+SUMIFS(واردات!$E$4:$E$500,واردات!$B$4:$B$500,$C121,واردات!$A$4:$A$500,$A121)</f>
        <v>0</v>
      </c>
      <c r="M121" s="159">
        <v>0</v>
      </c>
      <c r="N121" s="159">
        <f t="shared" si="271"/>
        <v>0</v>
      </c>
      <c r="O121" s="175" t="str">
        <f>IF(SUM(L121:L124)=0,"",IFERROR(L121/M121,""))</f>
        <v/>
      </c>
      <c r="P121" s="171">
        <f>SUMIFS(واردات!$N$4:$N$500,واردات!$J$4:$J$500,$C121,واردات!$I$4:$I$500,$A121)+SUMIFS(واردات!$F$4:$F$500,واردات!$B$4:$B$500,$C121,واردات!$A$4:$A$500,$A121)</f>
        <v>0</v>
      </c>
      <c r="Q121" s="159">
        <v>0</v>
      </c>
      <c r="R121" s="159">
        <f t="shared" si="272"/>
        <v>0</v>
      </c>
      <c r="S121" s="175" t="str">
        <f>IF(SUM(P121:P124)=0,"",IFERROR(P121/Q121,""))</f>
        <v/>
      </c>
      <c r="T121" s="171">
        <f t="shared" si="407"/>
        <v>658</v>
      </c>
      <c r="U121" s="159">
        <f t="shared" si="408"/>
        <v>0</v>
      </c>
      <c r="V121" s="159">
        <f t="shared" si="325"/>
        <v>658</v>
      </c>
      <c r="W121" s="175" t="str">
        <f t="shared" ref="W121" si="498">IF(SUM(T121:T124)=0,"",IFERROR(T121/U121,""))</f>
        <v/>
      </c>
      <c r="X121" s="171">
        <f t="shared" si="410"/>
        <v>726</v>
      </c>
      <c r="Y121" s="159">
        <f t="shared" si="411"/>
        <v>0</v>
      </c>
      <c r="Z121" s="159">
        <f t="shared" si="327"/>
        <v>726</v>
      </c>
      <c r="AA121" s="175" t="str">
        <f t="shared" ref="AA121" si="499">IF(SUM(X121:X124)=0,"",IFERROR(X121/Y121,""))</f>
        <v/>
      </c>
      <c r="AB121" s="171">
        <f t="shared" si="413"/>
        <v>0</v>
      </c>
      <c r="AC121" s="159">
        <f t="shared" si="414"/>
        <v>0</v>
      </c>
      <c r="AD121" s="159">
        <f t="shared" si="329"/>
        <v>0</v>
      </c>
      <c r="AE121" s="175" t="str">
        <f t="shared" ref="AE121" si="500">IF(SUM(AB121:AB124)=0,"",IFERROR(AB121/AC121,""))</f>
        <v/>
      </c>
      <c r="AF121" s="171">
        <f t="shared" si="416"/>
        <v>0</v>
      </c>
      <c r="AG121" s="159">
        <f t="shared" si="417"/>
        <v>0</v>
      </c>
      <c r="AH121" s="159">
        <f t="shared" si="331"/>
        <v>0</v>
      </c>
      <c r="AI121" s="187" t="str">
        <f t="shared" ref="AI121" si="501">IF(SUM(AF121:AF124)=0,"",IFERROR(AF121/AG121,""))</f>
        <v/>
      </c>
      <c r="AJ121" s="157">
        <f t="shared" si="477"/>
        <v>9</v>
      </c>
    </row>
    <row r="122" spans="1:36" ht="24.95" customHeight="1" x14ac:dyDescent="0.25">
      <c r="A122" s="182" t="str">
        <f t="shared" si="322"/>
        <v>بیرجند</v>
      </c>
      <c r="B122" s="216"/>
      <c r="C122" s="167" t="str">
        <f t="shared" si="419"/>
        <v>دی</v>
      </c>
      <c r="D122" s="171">
        <f>SUMIFS(واردات!$K$4:$K$500,واردات!$J$4:$J$500,$C122,واردات!$I$4:$I$500,$A122)+SUMIFS(واردات!$C$4:$C$500,واردات!$B$4:$B$500,$C122,واردات!$A$4:$A$500,$A122)</f>
        <v>251</v>
      </c>
      <c r="E122" s="159">
        <v>0</v>
      </c>
      <c r="F122" s="159">
        <f t="shared" si="324"/>
        <v>251</v>
      </c>
      <c r="G122" s="175" t="str">
        <f>IF(SUM(D122:D124)=0,"",IFERROR(D122/E122,""))</f>
        <v/>
      </c>
      <c r="H122" s="171">
        <f>SUMIFS(واردات!$L$4:$L$500,واردات!$J$4:$J$500,$C122,واردات!$I$4:$I$500,$A122)+SUMIFS(واردات!$D$4:$D$500,واردات!$B$4:$B$500,$C122,واردات!$A$4:$A$500,$A122)</f>
        <v>48</v>
      </c>
      <c r="I122" s="159">
        <v>0</v>
      </c>
      <c r="J122" s="159">
        <f t="shared" si="270"/>
        <v>48</v>
      </c>
      <c r="K122" s="175" t="str">
        <f>IF(SUM(H122:H124)=0,"",IFERROR(H122/I122,""))</f>
        <v/>
      </c>
      <c r="L122" s="171">
        <f>SUMIFS(واردات!$M$4:$M$500,واردات!$J$4:$J$500,$C122,واردات!$I$4:$I$500,$A122)+SUMIFS(واردات!$E$4:$E$500,واردات!$B$4:$B$500,$C122,واردات!$A$4:$A$500,$A122)</f>
        <v>0</v>
      </c>
      <c r="M122" s="159">
        <v>0</v>
      </c>
      <c r="N122" s="159">
        <f t="shared" si="271"/>
        <v>0</v>
      </c>
      <c r="O122" s="175" t="str">
        <f>IF(SUM(L122:L124)=0,"",IFERROR(L122/M122,""))</f>
        <v/>
      </c>
      <c r="P122" s="171">
        <f>SUMIFS(واردات!$N$4:$N$500,واردات!$J$4:$J$500,$C122,واردات!$I$4:$I$500,$A122)+SUMIFS(واردات!$F$4:$F$500,واردات!$B$4:$B$500,$C122,واردات!$A$4:$A$500,$A122)</f>
        <v>0</v>
      </c>
      <c r="Q122" s="159">
        <v>0</v>
      </c>
      <c r="R122" s="159">
        <f t="shared" si="272"/>
        <v>0</v>
      </c>
      <c r="S122" s="175" t="str">
        <f>IF(SUM(P122:P124)=0,"",IFERROR(P122/Q122,""))</f>
        <v/>
      </c>
      <c r="T122" s="171">
        <f t="shared" si="407"/>
        <v>909</v>
      </c>
      <c r="U122" s="159">
        <f t="shared" si="408"/>
        <v>0</v>
      </c>
      <c r="V122" s="159">
        <f t="shared" si="325"/>
        <v>909</v>
      </c>
      <c r="W122" s="175" t="str">
        <f t="shared" ref="W122" si="502">IF(SUM(T122:T124)=0,"",IFERROR(T122/U122,""))</f>
        <v/>
      </c>
      <c r="X122" s="171">
        <f t="shared" si="410"/>
        <v>774</v>
      </c>
      <c r="Y122" s="159">
        <f t="shared" si="411"/>
        <v>0</v>
      </c>
      <c r="Z122" s="159">
        <f t="shared" si="327"/>
        <v>774</v>
      </c>
      <c r="AA122" s="175" t="str">
        <f t="shared" ref="AA122" si="503">IF(SUM(X122:X124)=0,"",IFERROR(X122/Y122,""))</f>
        <v/>
      </c>
      <c r="AB122" s="171">
        <f t="shared" si="413"/>
        <v>0</v>
      </c>
      <c r="AC122" s="159">
        <f t="shared" si="414"/>
        <v>0</v>
      </c>
      <c r="AD122" s="159">
        <f t="shared" si="329"/>
        <v>0</v>
      </c>
      <c r="AE122" s="175" t="str">
        <f t="shared" ref="AE122" si="504">IF(SUM(AB122:AB124)=0,"",IFERROR(AB122/AC122,""))</f>
        <v/>
      </c>
      <c r="AF122" s="171">
        <f t="shared" si="416"/>
        <v>0</v>
      </c>
      <c r="AG122" s="159">
        <f t="shared" si="417"/>
        <v>0</v>
      </c>
      <c r="AH122" s="159">
        <f t="shared" si="331"/>
        <v>0</v>
      </c>
      <c r="AI122" s="187" t="str">
        <f t="shared" ref="AI122" si="505">IF(SUM(AF122:AF124)=0,"",IFERROR(AF122/AG122,""))</f>
        <v/>
      </c>
      <c r="AJ122" s="157">
        <f t="shared" si="477"/>
        <v>10</v>
      </c>
    </row>
    <row r="123" spans="1:36" ht="24.95" customHeight="1" x14ac:dyDescent="0.25">
      <c r="A123" s="182" t="str">
        <f t="shared" si="322"/>
        <v>بیرجند</v>
      </c>
      <c r="B123" s="216"/>
      <c r="C123" s="167" t="str">
        <f t="shared" si="419"/>
        <v>بهمن</v>
      </c>
      <c r="D123" s="171">
        <f>SUMIFS(واردات!$K$4:$K$500,واردات!$J$4:$J$500,$C123,واردات!$I$4:$I$500,$A123)+SUMIFS(واردات!$C$4:$C$500,واردات!$B$4:$B$500,$C123,واردات!$A$4:$A$500,$A123)</f>
        <v>423</v>
      </c>
      <c r="E123" s="159">
        <v>0</v>
      </c>
      <c r="F123" s="159">
        <f t="shared" si="324"/>
        <v>423</v>
      </c>
      <c r="G123" s="175" t="str">
        <f>IF(SUM(D123:D124)=0,"",IFERROR(D123/E123,""))</f>
        <v/>
      </c>
      <c r="H123" s="171">
        <f>SUMIFS(واردات!$L$4:$L$500,واردات!$J$4:$J$500,$C123,واردات!$I$4:$I$500,$A123)+SUMIFS(واردات!$D$4:$D$500,واردات!$B$4:$B$500,$C123,واردات!$A$4:$A$500,$A123)</f>
        <v>286</v>
      </c>
      <c r="I123" s="159">
        <v>0</v>
      </c>
      <c r="J123" s="159">
        <f t="shared" si="270"/>
        <v>286</v>
      </c>
      <c r="K123" s="175" t="str">
        <f>IF(SUM(H123:H124)=0,"",IFERROR(H123/I123,""))</f>
        <v/>
      </c>
      <c r="L123" s="171">
        <f>SUMIFS(واردات!$M$4:$M$500,واردات!$J$4:$J$500,$C123,واردات!$I$4:$I$500,$A123)+SUMIFS(واردات!$E$4:$E$500,واردات!$B$4:$B$500,$C123,واردات!$A$4:$A$500,$A123)</f>
        <v>0</v>
      </c>
      <c r="M123" s="159">
        <v>0</v>
      </c>
      <c r="N123" s="159">
        <f t="shared" si="271"/>
        <v>0</v>
      </c>
      <c r="O123" s="175" t="str">
        <f>IF(SUM(L123:L124)=0,"",IFERROR(L123/M123,""))</f>
        <v/>
      </c>
      <c r="P123" s="171">
        <f>SUMIFS(واردات!$N$4:$N$500,واردات!$J$4:$J$500,$C123,واردات!$I$4:$I$500,$A123)+SUMIFS(واردات!$F$4:$F$500,واردات!$B$4:$B$500,$C123,واردات!$A$4:$A$500,$A123)</f>
        <v>0</v>
      </c>
      <c r="Q123" s="159">
        <v>0</v>
      </c>
      <c r="R123" s="159">
        <f t="shared" si="272"/>
        <v>0</v>
      </c>
      <c r="S123" s="175" t="str">
        <f>IF(SUM(P123:P124)=0,"",IFERROR(P123/Q123,""))</f>
        <v/>
      </c>
      <c r="T123" s="171">
        <f t="shared" si="407"/>
        <v>1332</v>
      </c>
      <c r="U123" s="159">
        <f t="shared" si="408"/>
        <v>0</v>
      </c>
      <c r="V123" s="159">
        <f t="shared" si="325"/>
        <v>1332</v>
      </c>
      <c r="W123" s="175" t="str">
        <f t="shared" ref="W123" si="506">IF(SUM(T123:T124)=0,"",IFERROR(T123/U123,""))</f>
        <v/>
      </c>
      <c r="X123" s="171">
        <f t="shared" si="410"/>
        <v>1060</v>
      </c>
      <c r="Y123" s="159">
        <f t="shared" si="411"/>
        <v>0</v>
      </c>
      <c r="Z123" s="159">
        <f t="shared" si="327"/>
        <v>1060</v>
      </c>
      <c r="AA123" s="175" t="str">
        <f t="shared" ref="AA123" si="507">IF(SUM(X123:X124)=0,"",IFERROR(X123/Y123,""))</f>
        <v/>
      </c>
      <c r="AB123" s="171">
        <f t="shared" si="413"/>
        <v>0</v>
      </c>
      <c r="AC123" s="159">
        <f t="shared" si="414"/>
        <v>0</v>
      </c>
      <c r="AD123" s="159">
        <f t="shared" si="329"/>
        <v>0</v>
      </c>
      <c r="AE123" s="175" t="str">
        <f t="shared" ref="AE123" si="508">IF(SUM(AB123:AB124)=0,"",IFERROR(AB123/AC123,""))</f>
        <v/>
      </c>
      <c r="AF123" s="171">
        <f t="shared" si="416"/>
        <v>0</v>
      </c>
      <c r="AG123" s="159">
        <f t="shared" si="417"/>
        <v>0</v>
      </c>
      <c r="AH123" s="159">
        <f t="shared" si="331"/>
        <v>0</v>
      </c>
      <c r="AI123" s="187" t="str">
        <f t="shared" ref="AI123" si="509">IF(SUM(AF123:AF124)=0,"",IFERROR(AF123/AG123,""))</f>
        <v/>
      </c>
      <c r="AJ123" s="157">
        <f t="shared" si="477"/>
        <v>11</v>
      </c>
    </row>
    <row r="124" spans="1:36" ht="24.95" customHeight="1" thickBot="1" x14ac:dyDescent="0.3">
      <c r="A124" s="182" t="str">
        <f t="shared" si="322"/>
        <v>بیرجند</v>
      </c>
      <c r="B124" s="217"/>
      <c r="C124" s="168" t="str">
        <f t="shared" si="419"/>
        <v>اسفند</v>
      </c>
      <c r="D124" s="172">
        <f>SUMIFS(واردات!$K$4:$K$500,واردات!$J$4:$J$500,$C124,واردات!$I$4:$I$500,$A124)+SUMIFS(واردات!$C$4:$C$500,واردات!$B$4:$B$500,$C124,واردات!$A$4:$A$500,$A124)</f>
        <v>624</v>
      </c>
      <c r="E124" s="173">
        <v>0</v>
      </c>
      <c r="F124" s="173">
        <f t="shared" si="324"/>
        <v>624</v>
      </c>
      <c r="G124" s="176" t="str">
        <f>IF(SUM(D124)=0,"",IFERROR(D124/E124,""))</f>
        <v/>
      </c>
      <c r="H124" s="172">
        <f>SUMIFS(واردات!$L$4:$L$500,واردات!$J$4:$J$500,$C124,واردات!$I$4:$I$500,$A124)+SUMIFS(واردات!$D$4:$D$500,واردات!$B$4:$B$500,$C124,واردات!$A$4:$A$500,$A124)</f>
        <v>599</v>
      </c>
      <c r="I124" s="173">
        <v>0</v>
      </c>
      <c r="J124" s="173">
        <f t="shared" si="270"/>
        <v>599</v>
      </c>
      <c r="K124" s="176" t="str">
        <f>IF(SUM(H124)=0,"",IFERROR(H124/I124,""))</f>
        <v/>
      </c>
      <c r="L124" s="172">
        <f>SUMIFS(واردات!$M$4:$M$500,واردات!$J$4:$J$500,$C124,واردات!$I$4:$I$500,$A124)+SUMIFS(واردات!$E$4:$E$500,واردات!$B$4:$B$500,$C124,واردات!$A$4:$A$500,$A124)</f>
        <v>0</v>
      </c>
      <c r="M124" s="173">
        <v>0</v>
      </c>
      <c r="N124" s="173">
        <f t="shared" si="271"/>
        <v>0</v>
      </c>
      <c r="O124" s="176" t="str">
        <f>IF(SUM(L124)=0,"",IFERROR(L124/M124,""))</f>
        <v/>
      </c>
      <c r="P124" s="172">
        <f>SUMIFS(واردات!$N$4:$N$500,واردات!$J$4:$J$500,$C124,واردات!$I$4:$I$500,$A124)+SUMIFS(واردات!$F$4:$F$500,واردات!$B$4:$B$500,$C124,واردات!$A$4:$A$500,$A124)</f>
        <v>0</v>
      </c>
      <c r="Q124" s="173">
        <v>0</v>
      </c>
      <c r="R124" s="173">
        <f t="shared" si="272"/>
        <v>0</v>
      </c>
      <c r="S124" s="176" t="str">
        <f>IF(SUM(P124)=0,"",IFERROR(P124/Q124,""))</f>
        <v/>
      </c>
      <c r="T124" s="172">
        <f t="shared" si="407"/>
        <v>1956</v>
      </c>
      <c r="U124" s="173">
        <f t="shared" si="408"/>
        <v>0</v>
      </c>
      <c r="V124" s="173">
        <f t="shared" si="325"/>
        <v>1956</v>
      </c>
      <c r="W124" s="176" t="str">
        <f t="shared" ref="W124" si="510">IF(SUM(T124)=0,"",IFERROR(T124/U124,""))</f>
        <v/>
      </c>
      <c r="X124" s="172">
        <f t="shared" si="410"/>
        <v>1659</v>
      </c>
      <c r="Y124" s="173">
        <f t="shared" si="411"/>
        <v>0</v>
      </c>
      <c r="Z124" s="173">
        <f t="shared" si="327"/>
        <v>1659</v>
      </c>
      <c r="AA124" s="176" t="str">
        <f t="shared" ref="AA124" si="511">IF(SUM(X124)=0,"",IFERROR(X124/Y124,""))</f>
        <v/>
      </c>
      <c r="AB124" s="172">
        <f t="shared" si="413"/>
        <v>0</v>
      </c>
      <c r="AC124" s="173">
        <f t="shared" si="414"/>
        <v>0</v>
      </c>
      <c r="AD124" s="173">
        <f t="shared" si="329"/>
        <v>0</v>
      </c>
      <c r="AE124" s="176" t="str">
        <f t="shared" ref="AE124" si="512">IF(SUM(AB124)=0,"",IFERROR(AB124/AC124,""))</f>
        <v/>
      </c>
      <c r="AF124" s="172">
        <f t="shared" si="416"/>
        <v>0</v>
      </c>
      <c r="AG124" s="173">
        <f t="shared" si="417"/>
        <v>0</v>
      </c>
      <c r="AH124" s="173">
        <f t="shared" si="331"/>
        <v>0</v>
      </c>
      <c r="AI124" s="188" t="str">
        <f t="shared" ref="AI124" si="513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22"/>
        <v>ماهیرود</v>
      </c>
      <c r="B125" s="215" t="str">
        <f>واردات!B82</f>
        <v>ماهیرود</v>
      </c>
      <c r="C125" s="166" t="str">
        <f>C113</f>
        <v>فروردین</v>
      </c>
      <c r="D125" s="170">
        <f>SUMIFS(واردات!$K$4:$K$500,واردات!$J$4:$J$500,$C125,واردات!$I$4:$I$500,$A125)+SUMIFS(واردات!$C$4:$C$500,واردات!$B$4:$B$500,$C125,واردات!$A$4:$A$500,$A125)</f>
        <v>0</v>
      </c>
      <c r="E125" s="160">
        <v>10.034146341463416</v>
      </c>
      <c r="F125" s="160">
        <f>IFERROR(SUM(D125,-E125),"")</f>
        <v>-10.034146341463416</v>
      </c>
      <c r="G125" s="185">
        <f>IF(SUM(D125:D136)=0,"",IFERROR(D125/E125,""))</f>
        <v>0</v>
      </c>
      <c r="H125" s="170">
        <f>SUMIFS(واردات!$L$4:$L$500,واردات!$J$4:$J$500,$C125,واردات!$I$4:$I$500,$A125)+SUMIFS(واردات!$D$4:$D$500,واردات!$B$4:$B$500,$C125,واردات!$A$4:$A$500,$A125)</f>
        <v>10</v>
      </c>
      <c r="I125" s="160">
        <v>15.4</v>
      </c>
      <c r="J125" s="160">
        <f t="shared" si="270"/>
        <v>-5.4</v>
      </c>
      <c r="K125" s="185">
        <f>IF(SUM(H125:H136)=0,"",IFERROR(H125/I125,""))</f>
        <v>0.64935064935064934</v>
      </c>
      <c r="L125" s="170">
        <f>SUMIFS(واردات!$M$4:$M$500,واردات!$J$4:$J$500,$C125,واردات!$I$4:$I$500,$A125)+SUMIFS(واردات!$E$4:$E$500,واردات!$B$4:$B$500,$C125,واردات!$A$4:$A$500,$A125)</f>
        <v>0</v>
      </c>
      <c r="M125" s="160">
        <v>0</v>
      </c>
      <c r="N125" s="160">
        <f t="shared" si="271"/>
        <v>0</v>
      </c>
      <c r="O125" s="185" t="str">
        <f>IF(SUM(L125:L136)=0,"",IFERROR(L125/M125,""))</f>
        <v/>
      </c>
      <c r="P125" s="170">
        <f>SUMIFS(واردات!$N$4:$N$500,واردات!$J$4:$J$500,$C125,واردات!$I$4:$I$500,$A125)+SUMIFS(واردات!$F$4:$F$500,واردات!$B$4:$B$500,$C125,واردات!$A$4:$A$500,$A125)</f>
        <v>0</v>
      </c>
      <c r="Q125" s="160">
        <v>0</v>
      </c>
      <c r="R125" s="160">
        <f t="shared" si="272"/>
        <v>0</v>
      </c>
      <c r="S125" s="185" t="str">
        <f>IF(SUM(P125:P136)=0,"",IFERROR(P125/Q125,""))</f>
        <v/>
      </c>
      <c r="T125" s="183">
        <f t="shared" si="407"/>
        <v>0</v>
      </c>
      <c r="U125" s="160">
        <f t="shared" si="408"/>
        <v>10.034146341463416</v>
      </c>
      <c r="V125" s="160">
        <f t="shared" si="325"/>
        <v>-10.034146341463416</v>
      </c>
      <c r="W125" s="185">
        <f t="shared" ref="W125" si="514">IF(SUM(T125:T136)=0,"",IFERROR(T125/U125,""))</f>
        <v>0</v>
      </c>
      <c r="X125" s="183">
        <f t="shared" si="410"/>
        <v>10</v>
      </c>
      <c r="Y125" s="160">
        <f t="shared" si="411"/>
        <v>15.4</v>
      </c>
      <c r="Z125" s="160">
        <f t="shared" si="327"/>
        <v>-5.4</v>
      </c>
      <c r="AA125" s="185">
        <f t="shared" ref="AA125" si="515">IF(SUM(X125:X136)=0,"",IFERROR(X125/Y125,""))</f>
        <v>0.64935064935064934</v>
      </c>
      <c r="AB125" s="183">
        <f t="shared" si="413"/>
        <v>0</v>
      </c>
      <c r="AC125" s="160">
        <f t="shared" si="414"/>
        <v>0</v>
      </c>
      <c r="AD125" s="160">
        <f t="shared" si="329"/>
        <v>0</v>
      </c>
      <c r="AE125" s="185" t="str">
        <f t="shared" ref="AE125" si="516">IF(SUM(AB125:AB136)=0,"",IFERROR(AB125/AC125,""))</f>
        <v/>
      </c>
      <c r="AF125" s="183">
        <f t="shared" si="416"/>
        <v>0</v>
      </c>
      <c r="AG125" s="160">
        <f t="shared" si="417"/>
        <v>0</v>
      </c>
      <c r="AH125" s="160">
        <f t="shared" si="331"/>
        <v>0</v>
      </c>
      <c r="AI125" s="186" t="str">
        <f t="shared" ref="AI125" si="517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22"/>
        <v>ماهیرود</v>
      </c>
      <c r="B126" s="216"/>
      <c r="C126" s="167" t="str">
        <f t="shared" si="419"/>
        <v>اردیبهشت</v>
      </c>
      <c r="D126" s="171">
        <f>SUMIFS(واردات!$K$4:$K$500,واردات!$J$4:$J$500,$C126,واردات!$I$4:$I$500,$A126)+SUMIFS(واردات!$C$4:$C$500,واردات!$B$4:$B$500,$C126,واردات!$A$4:$A$500,$A126)</f>
        <v>4</v>
      </c>
      <c r="E126" s="159">
        <v>10.034146341463416</v>
      </c>
      <c r="F126" s="159">
        <f>IFERROR(SUM(D126,-E126),"")</f>
        <v>-6.0341463414634156</v>
      </c>
      <c r="G126" s="175">
        <f>IF(SUM(D126:D136)=0,"",IFERROR(D126/E126,""))</f>
        <v>0.39863879436071947</v>
      </c>
      <c r="H126" s="171">
        <f>SUMIFS(واردات!$L$4:$L$500,واردات!$J$4:$J$500,$C126,واردات!$I$4:$I$500,$A126)+SUMIFS(واردات!$D$4:$D$500,واردات!$B$4:$B$500,$C126,واردات!$A$4:$A$500,$A126)</f>
        <v>0</v>
      </c>
      <c r="I126" s="159">
        <v>15.4</v>
      </c>
      <c r="J126" s="159">
        <f t="shared" si="270"/>
        <v>-15.4</v>
      </c>
      <c r="K126" s="175">
        <f>IF(SUM(H126:H136)=0,"",IFERROR(H126/I126,""))</f>
        <v>0</v>
      </c>
      <c r="L126" s="171">
        <f>SUMIFS(واردات!$M$4:$M$500,واردات!$J$4:$J$500,$C126,واردات!$I$4:$I$500,$A126)+SUMIFS(واردات!$E$4:$E$500,واردات!$B$4:$B$500,$C126,واردات!$A$4:$A$500,$A126)</f>
        <v>0</v>
      </c>
      <c r="M126" s="159">
        <v>0</v>
      </c>
      <c r="N126" s="159">
        <f t="shared" si="271"/>
        <v>0</v>
      </c>
      <c r="O126" s="175" t="str">
        <f>IF(SUM(L126:L136)=0,"",IFERROR(L126/M126,""))</f>
        <v/>
      </c>
      <c r="P126" s="171">
        <f>SUMIFS(واردات!$N$4:$N$500,واردات!$J$4:$J$500,$C126,واردات!$I$4:$I$500,$A126)+SUMIFS(واردات!$F$4:$F$500,واردات!$B$4:$B$500,$C126,واردات!$A$4:$A$500,$A126)</f>
        <v>0</v>
      </c>
      <c r="Q126" s="159">
        <v>0</v>
      </c>
      <c r="R126" s="159">
        <f t="shared" si="272"/>
        <v>0</v>
      </c>
      <c r="S126" s="175" t="str">
        <f>IF(SUM(P126:P136)=0,"",IFERROR(P126/Q126,""))</f>
        <v/>
      </c>
      <c r="T126" s="171">
        <f t="shared" si="407"/>
        <v>4</v>
      </c>
      <c r="U126" s="159">
        <f t="shared" si="408"/>
        <v>20.068292682926831</v>
      </c>
      <c r="V126" s="159">
        <f t="shared" si="325"/>
        <v>-16.068292682926831</v>
      </c>
      <c r="W126" s="175">
        <f t="shared" ref="W126" si="518">IF(SUM(T126:T136)=0,"",IFERROR(T126/U126,""))</f>
        <v>0.19931939718035974</v>
      </c>
      <c r="X126" s="171">
        <f t="shared" si="410"/>
        <v>10</v>
      </c>
      <c r="Y126" s="159">
        <f t="shared" si="411"/>
        <v>30.8</v>
      </c>
      <c r="Z126" s="159">
        <f t="shared" si="327"/>
        <v>-20.8</v>
      </c>
      <c r="AA126" s="175">
        <f t="shared" ref="AA126" si="519">IF(SUM(X126:X136)=0,"",IFERROR(X126/Y126,""))</f>
        <v>0.32467532467532467</v>
      </c>
      <c r="AB126" s="171">
        <f t="shared" si="413"/>
        <v>0</v>
      </c>
      <c r="AC126" s="159">
        <f t="shared" si="414"/>
        <v>0</v>
      </c>
      <c r="AD126" s="159">
        <f t="shared" si="329"/>
        <v>0</v>
      </c>
      <c r="AE126" s="175" t="str">
        <f t="shared" ref="AE126" si="520">IF(SUM(AB126:AB136)=0,"",IFERROR(AB126/AC126,""))</f>
        <v/>
      </c>
      <c r="AF126" s="171">
        <f t="shared" si="416"/>
        <v>0</v>
      </c>
      <c r="AG126" s="159">
        <f t="shared" si="417"/>
        <v>0</v>
      </c>
      <c r="AH126" s="159">
        <f t="shared" si="331"/>
        <v>0</v>
      </c>
      <c r="AI126" s="187" t="str">
        <f t="shared" ref="AI126" si="521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22"/>
        <v>ماهیرود</v>
      </c>
      <c r="B127" s="216"/>
      <c r="C127" s="167" t="str">
        <f t="shared" si="419"/>
        <v>خرداد</v>
      </c>
      <c r="D127" s="171">
        <f>SUMIFS(واردات!$K$4:$K$500,واردات!$J$4:$J$500,$C127,واردات!$I$4:$I$500,$A127)+SUMIFS(واردات!$C$4:$C$500,واردات!$B$4:$B$500,$C127,واردات!$A$4:$A$500,$A127)</f>
        <v>0</v>
      </c>
      <c r="E127" s="159">
        <v>10.034146341463416</v>
      </c>
      <c r="F127" s="159">
        <f t="shared" si="324"/>
        <v>-10.034146341463416</v>
      </c>
      <c r="G127" s="175">
        <f>IF(SUM(D127:D136)=0,"",IFERROR(D127/E127,""))</f>
        <v>0</v>
      </c>
      <c r="H127" s="171">
        <f>SUMIFS(واردات!$L$4:$L$500,واردات!$J$4:$J$500,$C127,واردات!$I$4:$I$500,$A127)+SUMIFS(واردات!$D$4:$D$500,واردات!$B$4:$B$500,$C127,واردات!$A$4:$A$500,$A127)</f>
        <v>2</v>
      </c>
      <c r="I127" s="159">
        <v>15.4</v>
      </c>
      <c r="J127" s="159">
        <f t="shared" si="270"/>
        <v>-13.4</v>
      </c>
      <c r="K127" s="175">
        <f>IF(SUM(H127:H136)=0,"",IFERROR(H127/I127,""))</f>
        <v>0.12987012987012986</v>
      </c>
      <c r="L127" s="171">
        <f>SUMIFS(واردات!$M$4:$M$500,واردات!$J$4:$J$500,$C127,واردات!$I$4:$I$500,$A127)+SUMIFS(واردات!$E$4:$E$500,واردات!$B$4:$B$500,$C127,واردات!$A$4:$A$500,$A127)</f>
        <v>0</v>
      </c>
      <c r="M127" s="159">
        <v>0</v>
      </c>
      <c r="N127" s="159">
        <f t="shared" si="271"/>
        <v>0</v>
      </c>
      <c r="O127" s="175" t="str">
        <f>IF(SUM(L127:L136)=0,"",IFERROR(L127/M127,""))</f>
        <v/>
      </c>
      <c r="P127" s="171">
        <f>SUMIFS(واردات!$N$4:$N$500,واردات!$J$4:$J$500,$C127,واردات!$I$4:$I$500,$A127)+SUMIFS(واردات!$F$4:$F$500,واردات!$B$4:$B$500,$C127,واردات!$A$4:$A$500,$A127)</f>
        <v>0</v>
      </c>
      <c r="Q127" s="159">
        <v>0</v>
      </c>
      <c r="R127" s="159">
        <f t="shared" si="272"/>
        <v>0</v>
      </c>
      <c r="S127" s="175" t="str">
        <f>IF(SUM(P127:P136)=0,"",IFERROR(P127/Q127,""))</f>
        <v/>
      </c>
      <c r="T127" s="171">
        <f t="shared" si="407"/>
        <v>4</v>
      </c>
      <c r="U127" s="159">
        <f t="shared" si="408"/>
        <v>30.102439024390247</v>
      </c>
      <c r="V127" s="159">
        <f t="shared" si="325"/>
        <v>-26.102439024390247</v>
      </c>
      <c r="W127" s="175">
        <f t="shared" ref="W127" si="522">IF(SUM(T127:T136)=0,"",IFERROR(T127/U127,""))</f>
        <v>0.13287959812023981</v>
      </c>
      <c r="X127" s="171">
        <f t="shared" si="410"/>
        <v>12</v>
      </c>
      <c r="Y127" s="159">
        <f t="shared" si="411"/>
        <v>46.2</v>
      </c>
      <c r="Z127" s="159">
        <f t="shared" si="327"/>
        <v>-34.200000000000003</v>
      </c>
      <c r="AA127" s="175">
        <f t="shared" ref="AA127" si="523">IF(SUM(X127:X136)=0,"",IFERROR(X127/Y127,""))</f>
        <v>0.25974025974025972</v>
      </c>
      <c r="AB127" s="171">
        <f t="shared" si="413"/>
        <v>0</v>
      </c>
      <c r="AC127" s="159">
        <f t="shared" si="414"/>
        <v>0</v>
      </c>
      <c r="AD127" s="159">
        <f t="shared" si="329"/>
        <v>0</v>
      </c>
      <c r="AE127" s="175" t="str">
        <f t="shared" ref="AE127" si="524">IF(SUM(AB127:AB136)=0,"",IFERROR(AB127/AC127,""))</f>
        <v/>
      </c>
      <c r="AF127" s="171">
        <f t="shared" si="416"/>
        <v>0</v>
      </c>
      <c r="AG127" s="159">
        <f t="shared" si="417"/>
        <v>0</v>
      </c>
      <c r="AH127" s="159">
        <f t="shared" si="331"/>
        <v>0</v>
      </c>
      <c r="AI127" s="187" t="str">
        <f t="shared" ref="AI127" si="525">IF(SUM(AF127:AF136)=0,"",IFERROR(AF127/AG127,""))</f>
        <v/>
      </c>
      <c r="AJ127" s="157">
        <f t="shared" ref="AJ127:AJ135" si="526">AJ126+1</f>
        <v>3</v>
      </c>
    </row>
    <row r="128" spans="1:36" ht="24.95" customHeight="1" x14ac:dyDescent="0.25">
      <c r="A128" s="182" t="str">
        <f t="shared" si="322"/>
        <v>ماهیرود</v>
      </c>
      <c r="B128" s="216"/>
      <c r="C128" s="167" t="str">
        <f t="shared" si="419"/>
        <v>تیر</v>
      </c>
      <c r="D128" s="171">
        <f>SUMIFS(واردات!$K$4:$K$500,واردات!$J$4:$J$500,$C128,واردات!$I$4:$I$500,$A128)+SUMIFS(واردات!$C$4:$C$500,واردات!$B$4:$B$500,$C128,واردات!$A$4:$A$500,$A128)</f>
        <v>3</v>
      </c>
      <c r="E128" s="159">
        <v>6.3853658536585369</v>
      </c>
      <c r="F128" s="159">
        <f t="shared" si="324"/>
        <v>-3.3853658536585369</v>
      </c>
      <c r="G128" s="175">
        <f>IF(SUM(D128:D136)=0,"",IFERROR(D128/E128,""))</f>
        <v>0.46982429335370507</v>
      </c>
      <c r="H128" s="171">
        <f>SUMIFS(واردات!$L$4:$L$500,واردات!$J$4:$J$500,$C128,واردات!$I$4:$I$500,$A128)+SUMIFS(واردات!$D$4:$D$500,واردات!$B$4:$B$500,$C128,واردات!$A$4:$A$500,$A128)</f>
        <v>0</v>
      </c>
      <c r="I128" s="159">
        <v>5.1333333333333337</v>
      </c>
      <c r="J128" s="159">
        <f t="shared" si="270"/>
        <v>-5.1333333333333337</v>
      </c>
      <c r="K128" s="175">
        <f>IF(SUM(H128:H136)=0,"",IFERROR(H128/I128,""))</f>
        <v>0</v>
      </c>
      <c r="L128" s="171">
        <f>SUMIFS(واردات!$M$4:$M$500,واردات!$J$4:$J$500,$C128,واردات!$I$4:$I$500,$A128)+SUMIFS(واردات!$E$4:$E$500,واردات!$B$4:$B$500,$C128,واردات!$A$4:$A$500,$A128)</f>
        <v>0</v>
      </c>
      <c r="M128" s="159">
        <v>0</v>
      </c>
      <c r="N128" s="159">
        <f t="shared" si="271"/>
        <v>0</v>
      </c>
      <c r="O128" s="175" t="str">
        <f>IF(SUM(L128:L136)=0,"",IFERROR(L128/M128,""))</f>
        <v/>
      </c>
      <c r="P128" s="171">
        <f>SUMIFS(واردات!$N$4:$N$500,واردات!$J$4:$J$500,$C128,واردات!$I$4:$I$500,$A128)+SUMIFS(واردات!$F$4:$F$500,واردات!$B$4:$B$500,$C128,واردات!$A$4:$A$500,$A128)</f>
        <v>0</v>
      </c>
      <c r="Q128" s="159">
        <v>0</v>
      </c>
      <c r="R128" s="159">
        <f t="shared" si="272"/>
        <v>0</v>
      </c>
      <c r="S128" s="175" t="str">
        <f>IF(SUM(P128:P136)=0,"",IFERROR(P128/Q128,""))</f>
        <v/>
      </c>
      <c r="T128" s="171">
        <f t="shared" si="407"/>
        <v>7</v>
      </c>
      <c r="U128" s="159">
        <f t="shared" si="408"/>
        <v>36.487804878048784</v>
      </c>
      <c r="V128" s="159">
        <f t="shared" si="325"/>
        <v>-29.487804878048784</v>
      </c>
      <c r="W128" s="175">
        <f t="shared" ref="W128" si="527">IF(SUM(T128:T136)=0,"",IFERROR(T128/U128,""))</f>
        <v>0.19184491978609625</v>
      </c>
      <c r="X128" s="171">
        <f t="shared" si="410"/>
        <v>12</v>
      </c>
      <c r="Y128" s="159">
        <f t="shared" si="411"/>
        <v>51.333333333333336</v>
      </c>
      <c r="Z128" s="159">
        <f t="shared" si="327"/>
        <v>-39.333333333333336</v>
      </c>
      <c r="AA128" s="175">
        <f t="shared" ref="AA128" si="528">IF(SUM(X128:X136)=0,"",IFERROR(X128/Y128,""))</f>
        <v>0.23376623376623376</v>
      </c>
      <c r="AB128" s="171">
        <f t="shared" si="413"/>
        <v>0</v>
      </c>
      <c r="AC128" s="159">
        <f t="shared" si="414"/>
        <v>0</v>
      </c>
      <c r="AD128" s="159">
        <f t="shared" si="329"/>
        <v>0</v>
      </c>
      <c r="AE128" s="175" t="str">
        <f t="shared" ref="AE128" si="529">IF(SUM(AB128:AB136)=0,"",IFERROR(AB128/AC128,""))</f>
        <v/>
      </c>
      <c r="AF128" s="171">
        <f t="shared" si="416"/>
        <v>0</v>
      </c>
      <c r="AG128" s="159">
        <f t="shared" si="417"/>
        <v>0</v>
      </c>
      <c r="AH128" s="159">
        <f t="shared" si="331"/>
        <v>0</v>
      </c>
      <c r="AI128" s="187" t="str">
        <f t="shared" ref="AI128" si="530">IF(SUM(AF128:AF136)=0,"",IFERROR(AF128/AG128,""))</f>
        <v/>
      </c>
      <c r="AJ128" s="157">
        <f t="shared" si="526"/>
        <v>4</v>
      </c>
    </row>
    <row r="129" spans="1:36" ht="24.95" customHeight="1" x14ac:dyDescent="0.25">
      <c r="A129" s="182" t="str">
        <f t="shared" si="322"/>
        <v>ماهیرود</v>
      </c>
      <c r="B129" s="216"/>
      <c r="C129" s="167" t="str">
        <f t="shared" si="419"/>
        <v>مرداد</v>
      </c>
      <c r="D129" s="171">
        <f>SUMIFS(واردات!$K$4:$K$500,واردات!$J$4:$J$500,$C129,واردات!$I$4:$I$500,$A129)+SUMIFS(واردات!$C$4:$C$500,واردات!$B$4:$B$500,$C129,واردات!$A$4:$A$500,$A129)</f>
        <v>5</v>
      </c>
      <c r="E129" s="159">
        <v>6.3853658536585369</v>
      </c>
      <c r="F129" s="159">
        <f t="shared" si="324"/>
        <v>-1.3853658536585369</v>
      </c>
      <c r="G129" s="175">
        <f>IF(SUM(D129:D136)=0,"",IFERROR(D129/E129,""))</f>
        <v>0.78304048892284184</v>
      </c>
      <c r="H129" s="171">
        <f>SUMIFS(واردات!$L$4:$L$500,واردات!$J$4:$J$500,$C129,واردات!$I$4:$I$500,$A129)+SUMIFS(واردات!$D$4:$D$500,واردات!$B$4:$B$500,$C129,واردات!$A$4:$A$500,$A129)</f>
        <v>5</v>
      </c>
      <c r="I129" s="159">
        <v>5.1333333333333337</v>
      </c>
      <c r="J129" s="159">
        <f t="shared" si="270"/>
        <v>-0.13333333333333375</v>
      </c>
      <c r="K129" s="175">
        <f>IF(SUM(H129:H136)=0,"",IFERROR(H129/I129,""))</f>
        <v>0.97402597402597391</v>
      </c>
      <c r="L129" s="171">
        <f>SUMIFS(واردات!$M$4:$M$500,واردات!$J$4:$J$500,$C129,واردات!$I$4:$I$500,$A129)+SUMIFS(واردات!$E$4:$E$500,واردات!$B$4:$B$500,$C129,واردات!$A$4:$A$500,$A129)</f>
        <v>0</v>
      </c>
      <c r="M129" s="159">
        <v>0</v>
      </c>
      <c r="N129" s="159">
        <f t="shared" si="271"/>
        <v>0</v>
      </c>
      <c r="O129" s="175" t="str">
        <f>IF(SUM(L129:L136)=0,"",IFERROR(L129/M129,""))</f>
        <v/>
      </c>
      <c r="P129" s="171">
        <f>SUMIFS(واردات!$N$4:$N$500,واردات!$J$4:$J$500,$C129,واردات!$I$4:$I$500,$A129)+SUMIFS(واردات!$F$4:$F$500,واردات!$B$4:$B$500,$C129,واردات!$A$4:$A$500,$A129)</f>
        <v>0</v>
      </c>
      <c r="Q129" s="159">
        <v>0</v>
      </c>
      <c r="R129" s="159">
        <f t="shared" si="272"/>
        <v>0</v>
      </c>
      <c r="S129" s="175" t="str">
        <f>IF(SUM(P129:P136)=0,"",IFERROR(P129/Q129,""))</f>
        <v/>
      </c>
      <c r="T129" s="171">
        <f t="shared" si="407"/>
        <v>12</v>
      </c>
      <c r="U129" s="159">
        <f t="shared" si="408"/>
        <v>42.873170731707319</v>
      </c>
      <c r="V129" s="159">
        <f t="shared" si="325"/>
        <v>-30.873170731707319</v>
      </c>
      <c r="W129" s="175">
        <f t="shared" ref="W129" si="531">IF(SUM(T129:T136)=0,"",IFERROR(T129/U129,""))</f>
        <v>0.27989532370007963</v>
      </c>
      <c r="X129" s="171">
        <f t="shared" si="410"/>
        <v>17</v>
      </c>
      <c r="Y129" s="159">
        <f t="shared" si="411"/>
        <v>56.466666666666669</v>
      </c>
      <c r="Z129" s="159">
        <f t="shared" si="327"/>
        <v>-39.466666666666669</v>
      </c>
      <c r="AA129" s="175">
        <f t="shared" ref="AA129" si="532">IF(SUM(X129:X136)=0,"",IFERROR(X129/Y129,""))</f>
        <v>0.30106257378984652</v>
      </c>
      <c r="AB129" s="171">
        <f t="shared" si="413"/>
        <v>0</v>
      </c>
      <c r="AC129" s="159">
        <f t="shared" si="414"/>
        <v>0</v>
      </c>
      <c r="AD129" s="159">
        <f t="shared" si="329"/>
        <v>0</v>
      </c>
      <c r="AE129" s="175" t="str">
        <f t="shared" ref="AE129" si="533">IF(SUM(AB129:AB136)=0,"",IFERROR(AB129/AC129,""))</f>
        <v/>
      </c>
      <c r="AF129" s="171">
        <f t="shared" si="416"/>
        <v>0</v>
      </c>
      <c r="AG129" s="159">
        <f t="shared" si="417"/>
        <v>0</v>
      </c>
      <c r="AH129" s="159">
        <f t="shared" si="331"/>
        <v>0</v>
      </c>
      <c r="AI129" s="187" t="str">
        <f t="shared" ref="AI129" si="534">IF(SUM(AF129:AF136)=0,"",IFERROR(AF129/AG129,""))</f>
        <v/>
      </c>
      <c r="AJ129" s="157">
        <f t="shared" si="526"/>
        <v>5</v>
      </c>
    </row>
    <row r="130" spans="1:36" ht="24.95" customHeight="1" x14ac:dyDescent="0.25">
      <c r="A130" s="182" t="str">
        <f t="shared" si="322"/>
        <v>ماهیرود</v>
      </c>
      <c r="B130" s="216"/>
      <c r="C130" s="167" t="str">
        <f t="shared" si="419"/>
        <v>شهریور</v>
      </c>
      <c r="D130" s="171">
        <f>SUMIFS(واردات!$K$4:$K$500,واردات!$J$4:$J$500,$C130,واردات!$I$4:$I$500,$A130)+SUMIFS(واردات!$C$4:$C$500,واردات!$B$4:$B$500,$C130,واردات!$A$4:$A$500,$A130)</f>
        <v>5</v>
      </c>
      <c r="E130" s="159">
        <v>6.3853658536585369</v>
      </c>
      <c r="F130" s="159">
        <f t="shared" si="324"/>
        <v>-1.3853658536585369</v>
      </c>
      <c r="G130" s="175">
        <f>IF(SUM(D130:D136)=0,"",IFERROR(D130/E130,""))</f>
        <v>0.78304048892284184</v>
      </c>
      <c r="H130" s="171">
        <f>SUMIFS(واردات!$L$4:$L$500,واردات!$J$4:$J$500,$C130,واردات!$I$4:$I$500,$A130)+SUMIFS(واردات!$D$4:$D$500,واردات!$B$4:$B$500,$C130,واردات!$A$4:$A$500,$A130)</f>
        <v>3</v>
      </c>
      <c r="I130" s="159">
        <v>5.1333333333333337</v>
      </c>
      <c r="J130" s="159">
        <f t="shared" si="270"/>
        <v>-2.1333333333333337</v>
      </c>
      <c r="K130" s="175">
        <f>IF(SUM(H130:H136)=0,"",IFERROR(H130/I130,""))</f>
        <v>0.58441558441558439</v>
      </c>
      <c r="L130" s="171">
        <f>SUMIFS(واردات!$M$4:$M$500,واردات!$J$4:$J$500,$C130,واردات!$I$4:$I$500,$A130)+SUMIFS(واردات!$E$4:$E$500,واردات!$B$4:$B$500,$C130,واردات!$A$4:$A$500,$A130)</f>
        <v>0</v>
      </c>
      <c r="M130" s="159">
        <v>0</v>
      </c>
      <c r="N130" s="159">
        <f t="shared" si="271"/>
        <v>0</v>
      </c>
      <c r="O130" s="175" t="str">
        <f>IF(SUM(L130:L136)=0,"",IFERROR(L130/M130,""))</f>
        <v/>
      </c>
      <c r="P130" s="171">
        <f>SUMIFS(واردات!$N$4:$N$500,واردات!$J$4:$J$500,$C130,واردات!$I$4:$I$500,$A130)+SUMIFS(واردات!$F$4:$F$500,واردات!$B$4:$B$500,$C130,واردات!$A$4:$A$500,$A130)</f>
        <v>0</v>
      </c>
      <c r="Q130" s="159">
        <v>0</v>
      </c>
      <c r="R130" s="159">
        <f t="shared" si="272"/>
        <v>0</v>
      </c>
      <c r="S130" s="175" t="str">
        <f>IF(SUM(P130:P136)=0,"",IFERROR(P130/Q130,""))</f>
        <v/>
      </c>
      <c r="T130" s="171">
        <f t="shared" si="407"/>
        <v>17</v>
      </c>
      <c r="U130" s="159">
        <f t="shared" si="408"/>
        <v>49.258536585365853</v>
      </c>
      <c r="V130" s="159">
        <f t="shared" si="325"/>
        <v>-32.258536585365853</v>
      </c>
      <c r="W130" s="175">
        <f t="shared" ref="W130" si="535">IF(SUM(T130:T136)=0,"",IFERROR(T130/U130,""))</f>
        <v>0.3451178451178451</v>
      </c>
      <c r="X130" s="171">
        <f t="shared" si="410"/>
        <v>20</v>
      </c>
      <c r="Y130" s="159">
        <f t="shared" si="411"/>
        <v>61.6</v>
      </c>
      <c r="Z130" s="159">
        <f t="shared" si="327"/>
        <v>-41.6</v>
      </c>
      <c r="AA130" s="175">
        <f t="shared" ref="AA130" si="536">IF(SUM(X130:X136)=0,"",IFERROR(X130/Y130,""))</f>
        <v>0.32467532467532467</v>
      </c>
      <c r="AB130" s="171">
        <f t="shared" si="413"/>
        <v>0</v>
      </c>
      <c r="AC130" s="159">
        <f t="shared" si="414"/>
        <v>0</v>
      </c>
      <c r="AD130" s="159">
        <f t="shared" si="329"/>
        <v>0</v>
      </c>
      <c r="AE130" s="175" t="str">
        <f t="shared" ref="AE130" si="537">IF(SUM(AB130:AB136)=0,"",IFERROR(AB130/AC130,""))</f>
        <v/>
      </c>
      <c r="AF130" s="171">
        <f t="shared" si="416"/>
        <v>0</v>
      </c>
      <c r="AG130" s="159">
        <f t="shared" si="417"/>
        <v>0</v>
      </c>
      <c r="AH130" s="159">
        <f t="shared" si="331"/>
        <v>0</v>
      </c>
      <c r="AI130" s="187" t="str">
        <f t="shared" ref="AI130" si="538">IF(SUM(AF130:AF136)=0,"",IFERROR(AF130/AG130,""))</f>
        <v/>
      </c>
      <c r="AJ130" s="157">
        <f t="shared" si="526"/>
        <v>6</v>
      </c>
    </row>
    <row r="131" spans="1:36" ht="24.95" customHeight="1" x14ac:dyDescent="0.25">
      <c r="A131" s="182" t="str">
        <f t="shared" si="322"/>
        <v>ماهیرود</v>
      </c>
      <c r="B131" s="216"/>
      <c r="C131" s="167" t="str">
        <f t="shared" si="419"/>
        <v>مهر</v>
      </c>
      <c r="D131" s="171">
        <f>SUMIFS(واردات!$K$4:$K$500,واردات!$J$4:$J$500,$C131,واردات!$I$4:$I$500,$A131)+SUMIFS(واردات!$C$4:$C$500,واردات!$B$4:$B$500,$C131,واردات!$A$4:$A$500,$A131)</f>
        <v>3</v>
      </c>
      <c r="E131" s="159">
        <v>20.980487804878052</v>
      </c>
      <c r="F131" s="159">
        <f t="shared" si="324"/>
        <v>-17.980487804878052</v>
      </c>
      <c r="G131" s="175">
        <f>IF(SUM(D131:D136)=0,"",IFERROR(D131/E131,""))</f>
        <v>0.14299000232504067</v>
      </c>
      <c r="H131" s="171">
        <f>SUMIFS(واردات!$L$4:$L$500,واردات!$J$4:$J$500,$C131,واردات!$I$4:$I$500,$A131)+SUMIFS(واردات!$D$4:$D$500,واردات!$B$4:$B$500,$C131,واردات!$A$4:$A$500,$A131)</f>
        <v>3</v>
      </c>
      <c r="I131" s="159">
        <v>45.1</v>
      </c>
      <c r="J131" s="159">
        <f t="shared" si="270"/>
        <v>-42.1</v>
      </c>
      <c r="K131" s="175">
        <f>IF(SUM(H131:H136)=0,"",IFERROR(H131/I131,""))</f>
        <v>6.6518847006651879E-2</v>
      </c>
      <c r="L131" s="171">
        <f>SUMIFS(واردات!$M$4:$M$500,واردات!$J$4:$J$500,$C131,واردات!$I$4:$I$500,$A131)+SUMIFS(واردات!$E$4:$E$500,واردات!$B$4:$B$500,$C131,واردات!$A$4:$A$500,$A131)</f>
        <v>0</v>
      </c>
      <c r="M131" s="159">
        <v>0</v>
      </c>
      <c r="N131" s="159">
        <f t="shared" si="271"/>
        <v>0</v>
      </c>
      <c r="O131" s="175" t="str">
        <f>IF(SUM(L131:L136)=0,"",IFERROR(L131/M131,""))</f>
        <v/>
      </c>
      <c r="P131" s="171">
        <f>SUMIFS(واردات!$N$4:$N$500,واردات!$J$4:$J$500,$C131,واردات!$I$4:$I$500,$A131)+SUMIFS(واردات!$F$4:$F$500,واردات!$B$4:$B$500,$C131,واردات!$A$4:$A$500,$A131)</f>
        <v>0</v>
      </c>
      <c r="Q131" s="159">
        <v>0</v>
      </c>
      <c r="R131" s="159">
        <f t="shared" si="272"/>
        <v>0</v>
      </c>
      <c r="S131" s="175" t="str">
        <f>IF(SUM(P131:P136)=0,"",IFERROR(P131/Q131,""))</f>
        <v/>
      </c>
      <c r="T131" s="171">
        <f t="shared" si="407"/>
        <v>20</v>
      </c>
      <c r="U131" s="159">
        <f t="shared" si="408"/>
        <v>70.239024390243912</v>
      </c>
      <c r="V131" s="159">
        <f t="shared" si="325"/>
        <v>-50.239024390243912</v>
      </c>
      <c r="W131" s="175">
        <f t="shared" ref="W131" si="539">IF(SUM(T131:T136)=0,"",IFERROR(T131/U131,""))</f>
        <v>0.28474199597194244</v>
      </c>
      <c r="X131" s="171">
        <f t="shared" si="410"/>
        <v>23</v>
      </c>
      <c r="Y131" s="159">
        <f t="shared" si="411"/>
        <v>106.7</v>
      </c>
      <c r="Z131" s="159">
        <f t="shared" si="327"/>
        <v>-83.7</v>
      </c>
      <c r="AA131" s="175">
        <f t="shared" ref="AA131" si="540">IF(SUM(X131:X136)=0,"",IFERROR(X131/Y131,""))</f>
        <v>0.2155576382380506</v>
      </c>
      <c r="AB131" s="171">
        <f t="shared" si="413"/>
        <v>0</v>
      </c>
      <c r="AC131" s="159">
        <f t="shared" si="414"/>
        <v>0</v>
      </c>
      <c r="AD131" s="159">
        <f t="shared" si="329"/>
        <v>0</v>
      </c>
      <c r="AE131" s="175" t="str">
        <f t="shared" ref="AE131" si="541">IF(SUM(AB131:AB136)=0,"",IFERROR(AB131/AC131,""))</f>
        <v/>
      </c>
      <c r="AF131" s="171">
        <f t="shared" si="416"/>
        <v>0</v>
      </c>
      <c r="AG131" s="159">
        <f t="shared" si="417"/>
        <v>0</v>
      </c>
      <c r="AH131" s="159">
        <f t="shared" si="331"/>
        <v>0</v>
      </c>
      <c r="AI131" s="187" t="str">
        <f t="shared" ref="AI131" si="542">IF(SUM(AF131:AF136)=0,"",IFERROR(AF131/AG131,""))</f>
        <v/>
      </c>
      <c r="AJ131" s="157">
        <f t="shared" si="526"/>
        <v>7</v>
      </c>
    </row>
    <row r="132" spans="1:36" ht="24.95" customHeight="1" x14ac:dyDescent="0.25">
      <c r="A132" s="182" t="str">
        <f t="shared" si="322"/>
        <v>ماهیرود</v>
      </c>
      <c r="B132" s="216"/>
      <c r="C132" s="167" t="str">
        <f t="shared" si="419"/>
        <v>آبان</v>
      </c>
      <c r="D132" s="171">
        <f>SUMIFS(واردات!$K$4:$K$500,واردات!$J$4:$J$500,$C132,واردات!$I$4:$I$500,$A132)+SUMIFS(واردات!$C$4:$C$500,واردات!$B$4:$B$500,$C132,واردات!$A$4:$A$500,$A132)</f>
        <v>0</v>
      </c>
      <c r="E132" s="159">
        <v>20.980487804878052</v>
      </c>
      <c r="F132" s="159">
        <f t="shared" si="324"/>
        <v>-20.980487804878052</v>
      </c>
      <c r="G132" s="175">
        <f>IF(SUM(D132:D136)=0,"",IFERROR(D132/E132,""))</f>
        <v>0</v>
      </c>
      <c r="H132" s="171">
        <f>SUMIFS(واردات!$L$4:$L$500,واردات!$J$4:$J$500,$C132,واردات!$I$4:$I$500,$A132)+SUMIFS(واردات!$D$4:$D$500,واردات!$B$4:$B$500,$C132,واردات!$A$4:$A$500,$A132)</f>
        <v>4</v>
      </c>
      <c r="I132" s="159">
        <v>45.1</v>
      </c>
      <c r="J132" s="159">
        <f t="shared" si="270"/>
        <v>-41.1</v>
      </c>
      <c r="K132" s="175">
        <f>IF(SUM(H132:H136)=0,"",IFERROR(H132/I132,""))</f>
        <v>8.8691796008869173E-2</v>
      </c>
      <c r="L132" s="171">
        <f>SUMIFS(واردات!$M$4:$M$500,واردات!$J$4:$J$500,$C132,واردات!$I$4:$I$500,$A132)+SUMIFS(واردات!$E$4:$E$500,واردات!$B$4:$B$500,$C132,واردات!$A$4:$A$500,$A132)</f>
        <v>0</v>
      </c>
      <c r="M132" s="159">
        <v>0</v>
      </c>
      <c r="N132" s="159">
        <f t="shared" si="271"/>
        <v>0</v>
      </c>
      <c r="O132" s="175" t="str">
        <f>IF(SUM(L132:L136)=0,"",IFERROR(L132/M132,""))</f>
        <v/>
      </c>
      <c r="P132" s="171">
        <f>SUMIFS(واردات!$N$4:$N$500,واردات!$J$4:$J$500,$C132,واردات!$I$4:$I$500,$A132)+SUMIFS(واردات!$F$4:$F$500,واردات!$B$4:$B$500,$C132,واردات!$A$4:$A$500,$A132)</f>
        <v>0</v>
      </c>
      <c r="Q132" s="159">
        <v>0</v>
      </c>
      <c r="R132" s="159">
        <f t="shared" si="272"/>
        <v>0</v>
      </c>
      <c r="S132" s="175" t="str">
        <f>IF(SUM(P132:P136)=0,"",IFERROR(P132/Q132,""))</f>
        <v/>
      </c>
      <c r="T132" s="171">
        <f t="shared" si="407"/>
        <v>20</v>
      </c>
      <c r="U132" s="159">
        <f t="shared" si="408"/>
        <v>91.219512195121965</v>
      </c>
      <c r="V132" s="159">
        <f t="shared" si="325"/>
        <v>-71.219512195121965</v>
      </c>
      <c r="W132" s="175">
        <f t="shared" ref="W132" si="543">IF(SUM(T132:T136)=0,"",IFERROR(T132/U132,""))</f>
        <v>0.21925133689839568</v>
      </c>
      <c r="X132" s="171">
        <f t="shared" si="410"/>
        <v>27</v>
      </c>
      <c r="Y132" s="159">
        <f t="shared" si="411"/>
        <v>151.80000000000001</v>
      </c>
      <c r="Z132" s="159">
        <f t="shared" si="327"/>
        <v>-124.80000000000001</v>
      </c>
      <c r="AA132" s="175">
        <f t="shared" ref="AA132" si="544">IF(SUM(X132:X136)=0,"",IFERROR(X132/Y132,""))</f>
        <v>0.17786561264822134</v>
      </c>
      <c r="AB132" s="171">
        <f t="shared" si="413"/>
        <v>0</v>
      </c>
      <c r="AC132" s="159">
        <f t="shared" si="414"/>
        <v>0</v>
      </c>
      <c r="AD132" s="159">
        <f t="shared" si="329"/>
        <v>0</v>
      </c>
      <c r="AE132" s="175" t="str">
        <f t="shared" ref="AE132" si="545">IF(SUM(AB132:AB136)=0,"",IFERROR(AB132/AC132,""))</f>
        <v/>
      </c>
      <c r="AF132" s="171">
        <f t="shared" si="416"/>
        <v>0</v>
      </c>
      <c r="AG132" s="159">
        <f t="shared" si="417"/>
        <v>0</v>
      </c>
      <c r="AH132" s="159">
        <f t="shared" si="331"/>
        <v>0</v>
      </c>
      <c r="AI132" s="187" t="str">
        <f t="shared" ref="AI132" si="546">IF(SUM(AF132:AF136)=0,"",IFERROR(AF132/AG132,""))</f>
        <v/>
      </c>
      <c r="AJ132" s="157">
        <f t="shared" si="526"/>
        <v>8</v>
      </c>
    </row>
    <row r="133" spans="1:36" ht="24.95" customHeight="1" x14ac:dyDescent="0.25">
      <c r="A133" s="182" t="str">
        <f t="shared" si="322"/>
        <v>ماهیرود</v>
      </c>
      <c r="B133" s="216"/>
      <c r="C133" s="167" t="str">
        <f t="shared" si="419"/>
        <v>آذر</v>
      </c>
      <c r="D133" s="171">
        <f>SUMIFS(واردات!$K$4:$K$500,واردات!$J$4:$J$500,$C133,واردات!$I$4:$I$500,$A133)+SUMIFS(واردات!$C$4:$C$500,واردات!$B$4:$B$500,$C133,واردات!$A$4:$A$500,$A133)</f>
        <v>56</v>
      </c>
      <c r="E133" s="159">
        <v>20.980487804878052</v>
      </c>
      <c r="F133" s="159">
        <f t="shared" si="324"/>
        <v>35.019512195121948</v>
      </c>
      <c r="G133" s="175">
        <f>IF(SUM(D133:D136)=0,"",IFERROR(D133/E133,""))</f>
        <v>2.6691467100674258</v>
      </c>
      <c r="H133" s="171">
        <f>SUMIFS(واردات!$L$4:$L$500,واردات!$J$4:$J$500,$C133,واردات!$I$4:$I$500,$A133)+SUMIFS(واردات!$D$4:$D$500,واردات!$B$4:$B$500,$C133,واردات!$A$4:$A$500,$A133)</f>
        <v>55</v>
      </c>
      <c r="I133" s="159">
        <v>45.1</v>
      </c>
      <c r="J133" s="159">
        <f t="shared" si="270"/>
        <v>9.8999999999999986</v>
      </c>
      <c r="K133" s="175">
        <f>IF(SUM(H133:H136)=0,"",IFERROR(H133/I133,""))</f>
        <v>1.2195121951219512</v>
      </c>
      <c r="L133" s="171">
        <f>SUMIFS(واردات!$M$4:$M$500,واردات!$J$4:$J$500,$C133,واردات!$I$4:$I$500,$A133)+SUMIFS(واردات!$E$4:$E$500,واردات!$B$4:$B$500,$C133,واردات!$A$4:$A$500,$A133)</f>
        <v>0</v>
      </c>
      <c r="M133" s="159">
        <v>0</v>
      </c>
      <c r="N133" s="159">
        <f t="shared" si="271"/>
        <v>0</v>
      </c>
      <c r="O133" s="175" t="str">
        <f>IF(SUM(L133:L136)=0,"",IFERROR(L133/M133,""))</f>
        <v/>
      </c>
      <c r="P133" s="171">
        <f>SUMIFS(واردات!$N$4:$N$500,واردات!$J$4:$J$500,$C133,واردات!$I$4:$I$500,$A133)+SUMIFS(واردات!$F$4:$F$500,واردات!$B$4:$B$500,$C133,واردات!$A$4:$A$500,$A133)</f>
        <v>0</v>
      </c>
      <c r="Q133" s="159">
        <v>0</v>
      </c>
      <c r="R133" s="159">
        <f t="shared" si="272"/>
        <v>0</v>
      </c>
      <c r="S133" s="175" t="str">
        <f>IF(SUM(P133:P136)=0,"",IFERROR(P133/Q133,""))</f>
        <v/>
      </c>
      <c r="T133" s="171">
        <f t="shared" ref="T133:T148" si="547">IF(OR($C$1="",$AJ133&gt;$C$1),"",IFERROR(SUMIFS(D$5:D$5012,$A$5:$A$5012,$A133,$AJ$5:$AJ$5012,"&lt;"&amp;$AJ133+1),""))</f>
        <v>76</v>
      </c>
      <c r="U133" s="159">
        <f t="shared" ref="U133:U148" si="548">IF($C$1="","",IFERROR(SUMIFS(E$5:E$5012,$A$5:$A$5012,$A133,$AJ$5:$AJ$5012,"&lt;"&amp;$AJ133+1),""))</f>
        <v>112.20000000000002</v>
      </c>
      <c r="V133" s="159">
        <f t="shared" si="325"/>
        <v>-36.200000000000017</v>
      </c>
      <c r="W133" s="175">
        <f t="shared" ref="W133" si="549">IF(SUM(T133:T136)=0,"",IFERROR(T133/U133,""))</f>
        <v>0.67736185383244196</v>
      </c>
      <c r="X133" s="171">
        <f t="shared" ref="X133:X148" si="550">IF(OR($C$1="",$AJ133&gt;$C$1),"",IFERROR(SUMIFS(H$5:H$5012,$A$5:$A$5012,$A133,$AJ$5:$AJ$5012,"&lt;"&amp;$AJ133+1),""))</f>
        <v>82</v>
      </c>
      <c r="Y133" s="159">
        <f t="shared" ref="Y133:Y148" si="551">IF($C$1="","",IFERROR(SUMIFS(I$5:I$5012,$A$5:$A$5012,$A133,$AJ$5:$AJ$5012,"&lt;"&amp;$AJ133+1),""))</f>
        <v>196.9</v>
      </c>
      <c r="Z133" s="159">
        <f t="shared" si="327"/>
        <v>-114.9</v>
      </c>
      <c r="AA133" s="175">
        <f t="shared" ref="AA133" si="552">IF(SUM(X133:X136)=0,"",IFERROR(X133/Y133,""))</f>
        <v>0.41645505332656169</v>
      </c>
      <c r="AB133" s="171">
        <f t="shared" ref="AB133:AB148" si="553">IF(OR($C$1="",$AJ133&gt;$C$1),"",IFERROR(SUMIFS(L$5:L$5012,$A$5:$A$5012,$A133,$AJ$5:$AJ$5012,"&lt;"&amp;$AJ133+1),""))</f>
        <v>0</v>
      </c>
      <c r="AC133" s="159">
        <f t="shared" ref="AC133:AC148" si="554">IF($C$1="","",IFERROR(SUMIFS(M$5:M$5012,$A$5:$A$5012,$A133,$AJ$5:$AJ$5012,"&lt;"&amp;$AJ133+1),""))</f>
        <v>0</v>
      </c>
      <c r="AD133" s="159">
        <f t="shared" si="329"/>
        <v>0</v>
      </c>
      <c r="AE133" s="175" t="str">
        <f t="shared" ref="AE133" si="555">IF(SUM(AB133:AB136)=0,"",IFERROR(AB133/AC133,""))</f>
        <v/>
      </c>
      <c r="AF133" s="171">
        <f t="shared" ref="AF133:AF148" si="556">IF(OR($C$1="",$AJ133&gt;$C$1),"",IFERROR(SUMIFS(P$5:P$5012,$A$5:$A$5012,$A133,$AJ$5:$AJ$5012,"&lt;"&amp;$AJ133+1),""))</f>
        <v>0</v>
      </c>
      <c r="AG133" s="159">
        <f t="shared" ref="AG133:AG148" si="557">IF($C$1="","",IFERROR(SUMIFS(Q$5:Q$5012,$A$5:$A$5012,$A133,$AJ$5:$AJ$5012,"&lt;"&amp;$AJ133+1),""))</f>
        <v>0</v>
      </c>
      <c r="AH133" s="159">
        <f t="shared" si="331"/>
        <v>0</v>
      </c>
      <c r="AI133" s="187" t="str">
        <f t="shared" ref="AI133" si="558">IF(SUM(AF133:AF136)=0,"",IFERROR(AF133/AG133,""))</f>
        <v/>
      </c>
      <c r="AJ133" s="157">
        <f t="shared" si="526"/>
        <v>9</v>
      </c>
    </row>
    <row r="134" spans="1:36" ht="24.95" customHeight="1" x14ac:dyDescent="0.25">
      <c r="A134" s="182" t="str">
        <f t="shared" si="322"/>
        <v>ماهیرود</v>
      </c>
      <c r="B134" s="216"/>
      <c r="C134" s="167" t="str">
        <f t="shared" si="419"/>
        <v>دی</v>
      </c>
      <c r="D134" s="171">
        <f>SUMIFS(واردات!$K$4:$K$500,واردات!$J$4:$J$500,$C134,واردات!$I$4:$I$500,$A134)+SUMIFS(واردات!$C$4:$C$500,واردات!$B$4:$B$500,$C134,واردات!$A$4:$A$500,$A134)</f>
        <v>281</v>
      </c>
      <c r="E134" s="159">
        <v>9.35</v>
      </c>
      <c r="F134" s="159">
        <f t="shared" si="324"/>
        <v>271.64999999999998</v>
      </c>
      <c r="G134" s="175">
        <f>IF(SUM(D134:D136)=0,"",IFERROR(D134/E134,""))</f>
        <v>30.053475935828878</v>
      </c>
      <c r="H134" s="171">
        <f>SUMIFS(واردات!$L$4:$L$500,واردات!$J$4:$J$500,$C134,واردات!$I$4:$I$500,$A134)+SUMIFS(واردات!$D$4:$D$500,واردات!$B$4:$B$500,$C134,واردات!$A$4:$A$500,$A134)</f>
        <v>106</v>
      </c>
      <c r="I134" s="159">
        <v>16.408333333333335</v>
      </c>
      <c r="J134" s="159">
        <f t="shared" ref="J134:J145" si="559">IFERROR(SUM(H134,-I134),"")</f>
        <v>89.591666666666669</v>
      </c>
      <c r="K134" s="175">
        <f>IF(SUM(H134:H136)=0,"",IFERROR(H134/I134,""))</f>
        <v>6.4601320467242251</v>
      </c>
      <c r="L134" s="171">
        <f>SUMIFS(واردات!$M$4:$M$500,واردات!$J$4:$J$500,$C134,واردات!$I$4:$I$500,$A134)+SUMIFS(واردات!$E$4:$E$500,واردات!$B$4:$B$500,$C134,واردات!$A$4:$A$500,$A134)</f>
        <v>0</v>
      </c>
      <c r="M134" s="159">
        <v>0</v>
      </c>
      <c r="N134" s="159">
        <f t="shared" ref="N134:N145" si="560">IFERROR(SUM(L134,-M134),"")</f>
        <v>0</v>
      </c>
      <c r="O134" s="175" t="str">
        <f>IF(SUM(L134:L136)=0,"",IFERROR(L134/M134,""))</f>
        <v/>
      </c>
      <c r="P134" s="171">
        <f>SUMIFS(واردات!$N$4:$N$500,واردات!$J$4:$J$500,$C134,واردات!$I$4:$I$500,$A134)+SUMIFS(واردات!$F$4:$F$500,واردات!$B$4:$B$500,$C134,واردات!$A$4:$A$500,$A134)</f>
        <v>0</v>
      </c>
      <c r="Q134" s="159">
        <v>0</v>
      </c>
      <c r="R134" s="159">
        <f t="shared" ref="R134:R145" si="561">IFERROR(SUM(P134,-Q134),"")</f>
        <v>0</v>
      </c>
      <c r="S134" s="175" t="str">
        <f>IF(SUM(P134:P136)=0,"",IFERROR(P134/Q134,""))</f>
        <v/>
      </c>
      <c r="T134" s="171">
        <f t="shared" si="547"/>
        <v>357</v>
      </c>
      <c r="U134" s="159">
        <f t="shared" si="548"/>
        <v>121.55000000000001</v>
      </c>
      <c r="V134" s="159">
        <f t="shared" si="325"/>
        <v>235.45</v>
      </c>
      <c r="W134" s="175">
        <f t="shared" ref="W134" si="562">IF(SUM(T134:T136)=0,"",IFERROR(T134/U134,""))</f>
        <v>2.9370629370629366</v>
      </c>
      <c r="X134" s="171">
        <f t="shared" si="550"/>
        <v>188</v>
      </c>
      <c r="Y134" s="159">
        <f t="shared" si="551"/>
        <v>213.30833333333334</v>
      </c>
      <c r="Z134" s="159">
        <f t="shared" si="327"/>
        <v>-25.308333333333337</v>
      </c>
      <c r="AA134" s="175">
        <f t="shared" ref="AA134" si="563">IF(SUM(X134:X136)=0,"",IFERROR(X134/Y134,""))</f>
        <v>0.88135328358792042</v>
      </c>
      <c r="AB134" s="171">
        <f t="shared" si="553"/>
        <v>0</v>
      </c>
      <c r="AC134" s="159">
        <f t="shared" si="554"/>
        <v>0</v>
      </c>
      <c r="AD134" s="159">
        <f t="shared" si="329"/>
        <v>0</v>
      </c>
      <c r="AE134" s="175" t="str">
        <f t="shared" ref="AE134" si="564">IF(SUM(AB134:AB136)=0,"",IFERROR(AB134/AC134,""))</f>
        <v/>
      </c>
      <c r="AF134" s="171">
        <f t="shared" si="556"/>
        <v>0</v>
      </c>
      <c r="AG134" s="159">
        <f t="shared" si="557"/>
        <v>0</v>
      </c>
      <c r="AH134" s="159">
        <f t="shared" si="331"/>
        <v>0</v>
      </c>
      <c r="AI134" s="187" t="str">
        <f t="shared" ref="AI134" si="565">IF(SUM(AF134:AF136)=0,"",IFERROR(AF134/AG134,""))</f>
        <v/>
      </c>
      <c r="AJ134" s="157">
        <f t="shared" si="526"/>
        <v>10</v>
      </c>
    </row>
    <row r="135" spans="1:36" ht="24.95" customHeight="1" x14ac:dyDescent="0.25">
      <c r="A135" s="182" t="str">
        <f t="shared" si="322"/>
        <v>ماهیرود</v>
      </c>
      <c r="B135" s="216"/>
      <c r="C135" s="167" t="str">
        <f t="shared" si="419"/>
        <v>بهمن</v>
      </c>
      <c r="D135" s="171">
        <f>SUMIFS(واردات!$K$4:$K$500,واردات!$J$4:$J$500,$C135,واردات!$I$4:$I$500,$A135)+SUMIFS(واردات!$C$4:$C$500,واردات!$B$4:$B$500,$C135,واردات!$A$4:$A$500,$A135)</f>
        <v>710</v>
      </c>
      <c r="E135" s="159">
        <v>9.35</v>
      </c>
      <c r="F135" s="159">
        <f t="shared" si="324"/>
        <v>700.65</v>
      </c>
      <c r="G135" s="175">
        <f>IF(SUM(D135:D136)=0,"",IFERROR(D135/E135,""))</f>
        <v>75.935828877005349</v>
      </c>
      <c r="H135" s="171">
        <f>SUMIFS(واردات!$L$4:$L$500,واردات!$J$4:$J$500,$C135,واردات!$I$4:$I$500,$A135)+SUMIFS(واردات!$D$4:$D$500,واردات!$B$4:$B$500,$C135,واردات!$A$4:$A$500,$A135)</f>
        <v>109</v>
      </c>
      <c r="I135" s="159">
        <v>16.408333333333335</v>
      </c>
      <c r="J135" s="159">
        <f t="shared" si="559"/>
        <v>92.591666666666669</v>
      </c>
      <c r="K135" s="175">
        <f>IF(SUM(H135:H136)=0,"",IFERROR(H135/I135,""))</f>
        <v>6.6429659725749106</v>
      </c>
      <c r="L135" s="171">
        <f>SUMIFS(واردات!$M$4:$M$500,واردات!$J$4:$J$500,$C135,واردات!$I$4:$I$500,$A135)+SUMIFS(واردات!$E$4:$E$500,واردات!$B$4:$B$500,$C135,واردات!$A$4:$A$500,$A135)</f>
        <v>0</v>
      </c>
      <c r="M135" s="159">
        <v>0</v>
      </c>
      <c r="N135" s="159">
        <f t="shared" si="560"/>
        <v>0</v>
      </c>
      <c r="O135" s="175" t="str">
        <f>IF(SUM(L135:L136)=0,"",IFERROR(L135/M135,""))</f>
        <v/>
      </c>
      <c r="P135" s="171">
        <f>SUMIFS(واردات!$N$4:$N$500,واردات!$J$4:$J$500,$C135,واردات!$I$4:$I$500,$A135)+SUMIFS(واردات!$F$4:$F$500,واردات!$B$4:$B$500,$C135,واردات!$A$4:$A$500,$A135)</f>
        <v>0</v>
      </c>
      <c r="Q135" s="159">
        <v>0</v>
      </c>
      <c r="R135" s="159">
        <f t="shared" si="561"/>
        <v>0</v>
      </c>
      <c r="S135" s="175" t="str">
        <f>IF(SUM(P135:P136)=0,"",IFERROR(P135/Q135,""))</f>
        <v/>
      </c>
      <c r="T135" s="171">
        <f t="shared" si="547"/>
        <v>1067</v>
      </c>
      <c r="U135" s="159">
        <f t="shared" si="548"/>
        <v>130.9</v>
      </c>
      <c r="V135" s="159">
        <f t="shared" si="325"/>
        <v>936.1</v>
      </c>
      <c r="W135" s="175">
        <f t="shared" ref="W135" si="566">IF(SUM(T135:T136)=0,"",IFERROR(T135/U135,""))</f>
        <v>8.1512605042016801</v>
      </c>
      <c r="X135" s="171">
        <f t="shared" si="550"/>
        <v>297</v>
      </c>
      <c r="Y135" s="159">
        <f t="shared" si="551"/>
        <v>229.71666666666667</v>
      </c>
      <c r="Z135" s="159">
        <f t="shared" si="327"/>
        <v>67.283333333333331</v>
      </c>
      <c r="AA135" s="175">
        <f t="shared" ref="AA135" si="567">IF(SUM(X135:X136)=0,"",IFERROR(X135/Y135,""))</f>
        <v>1.2928970470869912</v>
      </c>
      <c r="AB135" s="171">
        <f t="shared" si="553"/>
        <v>0</v>
      </c>
      <c r="AC135" s="159">
        <f t="shared" si="554"/>
        <v>0</v>
      </c>
      <c r="AD135" s="159">
        <f t="shared" si="329"/>
        <v>0</v>
      </c>
      <c r="AE135" s="175" t="str">
        <f t="shared" ref="AE135" si="568">IF(SUM(AB135:AB136)=0,"",IFERROR(AB135/AC135,""))</f>
        <v/>
      </c>
      <c r="AF135" s="171">
        <f t="shared" si="556"/>
        <v>0</v>
      </c>
      <c r="AG135" s="159">
        <f t="shared" si="557"/>
        <v>0</v>
      </c>
      <c r="AH135" s="159">
        <f t="shared" si="331"/>
        <v>0</v>
      </c>
      <c r="AI135" s="187" t="str">
        <f t="shared" ref="AI135" si="569">IF(SUM(AF135:AF136)=0,"",IFERROR(AF135/AG135,""))</f>
        <v/>
      </c>
      <c r="AJ135" s="157">
        <f t="shared" si="526"/>
        <v>11</v>
      </c>
    </row>
    <row r="136" spans="1:36" ht="24.95" customHeight="1" thickBot="1" x14ac:dyDescent="0.3">
      <c r="A136" s="182" t="str">
        <f t="shared" si="322"/>
        <v>ماهیرود</v>
      </c>
      <c r="B136" s="217"/>
      <c r="C136" s="168" t="str">
        <f t="shared" si="419"/>
        <v>اسفند</v>
      </c>
      <c r="D136" s="172">
        <f>SUMIFS(واردات!$K$4:$K$500,واردات!$J$4:$J$500,$C136,واردات!$I$4:$I$500,$A136)+SUMIFS(واردات!$C$4:$C$500,واردات!$B$4:$B$500,$C136,واردات!$A$4:$A$500,$A136)</f>
        <v>471</v>
      </c>
      <c r="E136" s="173">
        <v>9.35</v>
      </c>
      <c r="F136" s="173">
        <f t="shared" si="324"/>
        <v>461.65</v>
      </c>
      <c r="G136" s="176">
        <f>IF(SUM(D136)=0,"",IFERROR(D136/E136,""))</f>
        <v>50.37433155080214</v>
      </c>
      <c r="H136" s="172">
        <f>SUMIFS(واردات!$L$4:$L$500,واردات!$J$4:$J$500,$C136,واردات!$I$4:$I$500,$A136)+SUMIFS(واردات!$D$4:$D$500,واردات!$B$4:$B$500,$C136,واردات!$A$4:$A$500,$A136)</f>
        <v>556</v>
      </c>
      <c r="I136" s="173">
        <v>16.408333333333335</v>
      </c>
      <c r="J136" s="173">
        <f t="shared" si="559"/>
        <v>539.5916666666667</v>
      </c>
      <c r="K136" s="176">
        <f>IF(SUM(H136)=0,"",IFERROR(H136/I136,""))</f>
        <v>33.885220924327065</v>
      </c>
      <c r="L136" s="172">
        <f>SUMIFS(واردات!$M$4:$M$500,واردات!$J$4:$J$500,$C136,واردات!$I$4:$I$500,$A136)+SUMIFS(واردات!$E$4:$E$500,واردات!$B$4:$B$500,$C136,واردات!$A$4:$A$500,$A136)</f>
        <v>0</v>
      </c>
      <c r="M136" s="173">
        <v>0</v>
      </c>
      <c r="N136" s="173">
        <f t="shared" si="560"/>
        <v>0</v>
      </c>
      <c r="O136" s="176" t="str">
        <f>IF(SUM(L136)=0,"",IFERROR(L136/M136,""))</f>
        <v/>
      </c>
      <c r="P136" s="172">
        <f>SUMIFS(واردات!$N$4:$N$500,واردات!$J$4:$J$500,$C136,واردات!$I$4:$I$500,$A136)+SUMIFS(واردات!$F$4:$F$500,واردات!$B$4:$B$500,$C136,واردات!$A$4:$A$500,$A136)</f>
        <v>0</v>
      </c>
      <c r="Q136" s="173">
        <v>0</v>
      </c>
      <c r="R136" s="173">
        <f t="shared" si="561"/>
        <v>0</v>
      </c>
      <c r="S136" s="176" t="str">
        <f>IF(SUM(P136)=0,"",IFERROR(P136/Q136,""))</f>
        <v/>
      </c>
      <c r="T136" s="172">
        <f t="shared" si="547"/>
        <v>1538</v>
      </c>
      <c r="U136" s="173">
        <f t="shared" si="548"/>
        <v>140.25</v>
      </c>
      <c r="V136" s="173">
        <f t="shared" si="325"/>
        <v>1397.75</v>
      </c>
      <c r="W136" s="176">
        <f t="shared" ref="W136" si="570">IF(SUM(T136)=0,"",IFERROR(T136/U136,""))</f>
        <v>10.966131907308379</v>
      </c>
      <c r="X136" s="172">
        <f t="shared" si="550"/>
        <v>853</v>
      </c>
      <c r="Y136" s="173">
        <f t="shared" si="551"/>
        <v>246.125</v>
      </c>
      <c r="Z136" s="173">
        <f t="shared" si="327"/>
        <v>606.875</v>
      </c>
      <c r="AA136" s="176">
        <f t="shared" ref="AA136" si="571">IF(SUM(X136)=0,"",IFERROR(X136/Y136,""))</f>
        <v>3.4657186389029966</v>
      </c>
      <c r="AB136" s="172">
        <f t="shared" si="553"/>
        <v>0</v>
      </c>
      <c r="AC136" s="173">
        <f t="shared" si="554"/>
        <v>0</v>
      </c>
      <c r="AD136" s="173">
        <f t="shared" si="329"/>
        <v>0</v>
      </c>
      <c r="AE136" s="176" t="str">
        <f t="shared" ref="AE136" si="572">IF(SUM(AB136)=0,"",IFERROR(AB136/AC136,""))</f>
        <v/>
      </c>
      <c r="AF136" s="172">
        <f t="shared" si="556"/>
        <v>0</v>
      </c>
      <c r="AG136" s="173">
        <f t="shared" si="557"/>
        <v>0</v>
      </c>
      <c r="AH136" s="173">
        <f t="shared" si="331"/>
        <v>0</v>
      </c>
      <c r="AI136" s="188" t="str">
        <f t="shared" ref="AI136" si="573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 t="shared" ref="A137:A148" si="574">IF(B137="",A136,B137)</f>
        <v>باجگیران</v>
      </c>
      <c r="B137" s="215" t="str">
        <f>واردات!J82</f>
        <v>باجگیران</v>
      </c>
      <c r="C137" s="166" t="str">
        <f>C125</f>
        <v>فروردین</v>
      </c>
      <c r="D137" s="170">
        <f>SUMIFS(واردات!$K$4:$K$500,واردات!$J$4:$J$500,$C137,واردات!$I$4:$I$500,$A137)+SUMIFS(واردات!$C$4:$C$500,واردات!$B$4:$B$500,$C137,واردات!$A$4:$A$500,$A137)</f>
        <v>0</v>
      </c>
      <c r="E137" s="160"/>
      <c r="F137" s="160">
        <f>IFERROR(SUM(D137,-E137),"")</f>
        <v>0</v>
      </c>
      <c r="G137" s="185" t="str">
        <f>IF(SUM(D137:D148)=0,"",IFERROR(D137/E137,""))</f>
        <v/>
      </c>
      <c r="H137" s="170">
        <f>SUMIFS(واردات!$L$4:$L$500,واردات!$J$4:$J$500,$C137,واردات!$I$4:$I$500,$A137)+SUMIFS(واردات!$D$4:$D$500,واردات!$B$4:$B$500,$C137,واردات!$A$4:$A$500,$A137)</f>
        <v>0</v>
      </c>
      <c r="I137" s="160"/>
      <c r="J137" s="160">
        <f t="shared" si="559"/>
        <v>0</v>
      </c>
      <c r="K137" s="185" t="str">
        <f>IF(SUM(H137:H148)=0,"",IFERROR(H137/I137,""))</f>
        <v/>
      </c>
      <c r="L137" s="170">
        <f>SUMIFS(واردات!$M$4:$M$500,واردات!$J$4:$J$500,$C137,واردات!$I$4:$I$500,$A137)+SUMIFS(واردات!$E$4:$E$500,واردات!$B$4:$B$500,$C137,واردات!$A$4:$A$500,$A137)</f>
        <v>0</v>
      </c>
      <c r="M137" s="160">
        <v>0</v>
      </c>
      <c r="N137" s="160">
        <f t="shared" si="560"/>
        <v>0</v>
      </c>
      <c r="O137" s="185" t="str">
        <f>IF(SUM(L137:L148)=0,"",IFERROR(L137/M137,""))</f>
        <v/>
      </c>
      <c r="P137" s="170">
        <f>SUMIFS(واردات!$N$4:$N$500,واردات!$J$4:$J$500,$C137,واردات!$I$4:$I$500,$A137)+SUMIFS(واردات!$F$4:$F$500,واردات!$B$4:$B$500,$C137,واردات!$A$4:$A$500,$A137)</f>
        <v>0</v>
      </c>
      <c r="Q137" s="160">
        <v>0</v>
      </c>
      <c r="R137" s="160">
        <f t="shared" si="561"/>
        <v>0</v>
      </c>
      <c r="S137" s="185" t="str">
        <f>IF(SUM(P137:P148)=0,"",IFERROR(P137/Q137,""))</f>
        <v/>
      </c>
      <c r="T137" s="183">
        <f t="shared" si="547"/>
        <v>0</v>
      </c>
      <c r="U137" s="160">
        <f t="shared" si="548"/>
        <v>0</v>
      </c>
      <c r="V137" s="160">
        <f t="shared" ref="V137:V148" si="575">IFERROR(SUM(T137,-U137),"")</f>
        <v>0</v>
      </c>
      <c r="W137" s="185" t="str">
        <f t="shared" ref="W137" si="576">IF(SUM(T137:T148)=0,"",IFERROR(T137/U137,""))</f>
        <v/>
      </c>
      <c r="X137" s="183">
        <f t="shared" si="550"/>
        <v>0</v>
      </c>
      <c r="Y137" s="160">
        <f t="shared" si="551"/>
        <v>0</v>
      </c>
      <c r="Z137" s="160">
        <f t="shared" ref="Z137:Z148" si="577">IFERROR(SUM(X137,-Y137),"")</f>
        <v>0</v>
      </c>
      <c r="AA137" s="185" t="str">
        <f t="shared" ref="AA137" si="578">IF(SUM(X137:X148)=0,"",IFERROR(X137/Y137,""))</f>
        <v/>
      </c>
      <c r="AB137" s="183">
        <f t="shared" si="553"/>
        <v>0</v>
      </c>
      <c r="AC137" s="160">
        <f t="shared" si="554"/>
        <v>0</v>
      </c>
      <c r="AD137" s="160">
        <f t="shared" ref="AD137:AD148" si="579">IFERROR(SUM(AB137,-AC137),"")</f>
        <v>0</v>
      </c>
      <c r="AE137" s="185" t="str">
        <f t="shared" ref="AE137" si="580">IF(SUM(AB137:AB148)=0,"",IFERROR(AB137/AC137,""))</f>
        <v/>
      </c>
      <c r="AF137" s="183">
        <f t="shared" si="556"/>
        <v>0</v>
      </c>
      <c r="AG137" s="160">
        <f t="shared" si="557"/>
        <v>0</v>
      </c>
      <c r="AH137" s="160">
        <f t="shared" ref="AH137:AH148" si="581">IFERROR(SUM(AF137,-AG137),"")</f>
        <v>0</v>
      </c>
      <c r="AI137" s="186" t="str">
        <f t="shared" ref="AI137" si="582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si="574"/>
        <v>باجگیران</v>
      </c>
      <c r="B138" s="216"/>
      <c r="C138" s="167" t="str">
        <f t="shared" si="419"/>
        <v>اردیبهشت</v>
      </c>
      <c r="D138" s="171">
        <f>SUMIFS(واردات!$K$4:$K$500,واردات!$J$4:$J$500,$C138,واردات!$I$4:$I$500,$A138)+SUMIFS(واردات!$C$4:$C$500,واردات!$B$4:$B$500,$C138,واردات!$A$4:$A$500,$A138)</f>
        <v>0</v>
      </c>
      <c r="E138" s="159"/>
      <c r="F138" s="159">
        <f>IFERROR(SUM(D138,-E138),"")</f>
        <v>0</v>
      </c>
      <c r="G138" s="175" t="str">
        <f>IF(SUM(D138:D148)=0,"",IFERROR(D138/E138,""))</f>
        <v/>
      </c>
      <c r="H138" s="171">
        <f>SUMIFS(واردات!$L$4:$L$500,واردات!$J$4:$J$500,$C138,واردات!$I$4:$I$500,$A138)+SUMIFS(واردات!$D$4:$D$500,واردات!$B$4:$B$500,$C138,واردات!$A$4:$A$500,$A138)</f>
        <v>0</v>
      </c>
      <c r="I138" s="159"/>
      <c r="J138" s="159">
        <f t="shared" si="559"/>
        <v>0</v>
      </c>
      <c r="K138" s="175" t="str">
        <f>IF(SUM(H138:H148)=0,"",IFERROR(H138/I138,""))</f>
        <v/>
      </c>
      <c r="L138" s="171">
        <f>SUMIFS(واردات!$M$4:$M$500,واردات!$J$4:$J$500,$C138,واردات!$I$4:$I$500,$A138)+SUMIFS(واردات!$E$4:$E$500,واردات!$B$4:$B$500,$C138,واردات!$A$4:$A$500,$A138)</f>
        <v>0</v>
      </c>
      <c r="M138" s="159">
        <v>0</v>
      </c>
      <c r="N138" s="159">
        <f t="shared" si="560"/>
        <v>0</v>
      </c>
      <c r="O138" s="175" t="str">
        <f>IF(SUM(L138:L148)=0,"",IFERROR(L138/M138,""))</f>
        <v/>
      </c>
      <c r="P138" s="171">
        <f>SUMIFS(واردات!$N$4:$N$500,واردات!$J$4:$J$500,$C138,واردات!$I$4:$I$500,$A138)+SUMIFS(واردات!$F$4:$F$500,واردات!$B$4:$B$500,$C138,واردات!$A$4:$A$500,$A138)</f>
        <v>0</v>
      </c>
      <c r="Q138" s="159">
        <v>0</v>
      </c>
      <c r="R138" s="159">
        <f t="shared" si="561"/>
        <v>0</v>
      </c>
      <c r="S138" s="175" t="str">
        <f>IF(SUM(P138:P148)=0,"",IFERROR(P138/Q138,""))</f>
        <v/>
      </c>
      <c r="T138" s="171">
        <f t="shared" si="547"/>
        <v>0</v>
      </c>
      <c r="U138" s="159">
        <f t="shared" si="548"/>
        <v>0</v>
      </c>
      <c r="V138" s="159">
        <f t="shared" si="575"/>
        <v>0</v>
      </c>
      <c r="W138" s="175" t="str">
        <f t="shared" ref="W138" si="583">IF(SUM(T138:T148)=0,"",IFERROR(T138/U138,""))</f>
        <v/>
      </c>
      <c r="X138" s="171">
        <f t="shared" si="550"/>
        <v>0</v>
      </c>
      <c r="Y138" s="159">
        <f t="shared" si="551"/>
        <v>0</v>
      </c>
      <c r="Z138" s="159">
        <f t="shared" si="577"/>
        <v>0</v>
      </c>
      <c r="AA138" s="175" t="str">
        <f t="shared" ref="AA138" si="584">IF(SUM(X138:X148)=0,"",IFERROR(X138/Y138,""))</f>
        <v/>
      </c>
      <c r="AB138" s="171">
        <f t="shared" si="553"/>
        <v>0</v>
      </c>
      <c r="AC138" s="159">
        <f t="shared" si="554"/>
        <v>0</v>
      </c>
      <c r="AD138" s="159">
        <f t="shared" si="579"/>
        <v>0</v>
      </c>
      <c r="AE138" s="175" t="str">
        <f t="shared" ref="AE138" si="585">IF(SUM(AB138:AB148)=0,"",IFERROR(AB138/AC138,""))</f>
        <v/>
      </c>
      <c r="AF138" s="171">
        <f t="shared" si="556"/>
        <v>0</v>
      </c>
      <c r="AG138" s="159">
        <f t="shared" si="557"/>
        <v>0</v>
      </c>
      <c r="AH138" s="159">
        <f t="shared" si="581"/>
        <v>0</v>
      </c>
      <c r="AI138" s="187" t="str">
        <f t="shared" ref="AI138" si="586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74"/>
        <v>باجگیران</v>
      </c>
      <c r="B139" s="216"/>
      <c r="C139" s="167" t="str">
        <f t="shared" si="419"/>
        <v>خرداد</v>
      </c>
      <c r="D139" s="171">
        <f>SUMIFS(واردات!$K$4:$K$500,واردات!$J$4:$J$500,$C139,واردات!$I$4:$I$500,$A139)+SUMIFS(واردات!$C$4:$C$500,واردات!$B$4:$B$500,$C139,واردات!$A$4:$A$500,$A139)</f>
        <v>0</v>
      </c>
      <c r="E139" s="159"/>
      <c r="F139" s="159">
        <f t="shared" ref="F139:F148" si="587">IFERROR(SUM(D139,-E139),"")</f>
        <v>0</v>
      </c>
      <c r="G139" s="175" t="str">
        <f>IF(SUM(D139:D148)=0,"",IFERROR(D139/E139,""))</f>
        <v/>
      </c>
      <c r="H139" s="171">
        <f>SUMIFS(واردات!$L$4:$L$500,واردات!$J$4:$J$500,$C139,واردات!$I$4:$I$500,$A139)+SUMIFS(واردات!$D$4:$D$500,واردات!$B$4:$B$500,$C139,واردات!$A$4:$A$500,$A139)</f>
        <v>0</v>
      </c>
      <c r="I139" s="159"/>
      <c r="J139" s="159">
        <f t="shared" si="559"/>
        <v>0</v>
      </c>
      <c r="K139" s="175" t="str">
        <f>IF(SUM(H139:H148)=0,"",IFERROR(H139/I139,""))</f>
        <v/>
      </c>
      <c r="L139" s="171">
        <f>SUMIFS(واردات!$M$4:$M$500,واردات!$J$4:$J$500,$C139,واردات!$I$4:$I$500,$A139)+SUMIFS(واردات!$E$4:$E$500,واردات!$B$4:$B$500,$C139,واردات!$A$4:$A$500,$A139)</f>
        <v>0</v>
      </c>
      <c r="M139" s="159">
        <v>0</v>
      </c>
      <c r="N139" s="159">
        <f t="shared" si="560"/>
        <v>0</v>
      </c>
      <c r="O139" s="175" t="str">
        <f>IF(SUM(L139:L148)=0,"",IFERROR(L139/M139,""))</f>
        <v/>
      </c>
      <c r="P139" s="171">
        <f>SUMIFS(واردات!$N$4:$N$500,واردات!$J$4:$J$500,$C139,واردات!$I$4:$I$500,$A139)+SUMIFS(واردات!$F$4:$F$500,واردات!$B$4:$B$500,$C139,واردات!$A$4:$A$500,$A139)</f>
        <v>0</v>
      </c>
      <c r="Q139" s="159">
        <v>0</v>
      </c>
      <c r="R139" s="159">
        <f t="shared" si="561"/>
        <v>0</v>
      </c>
      <c r="S139" s="175" t="str">
        <f>IF(SUM(P139:P148)=0,"",IFERROR(P139/Q139,""))</f>
        <v/>
      </c>
      <c r="T139" s="171">
        <f t="shared" si="547"/>
        <v>0</v>
      </c>
      <c r="U139" s="159">
        <f t="shared" si="548"/>
        <v>0</v>
      </c>
      <c r="V139" s="159">
        <f t="shared" si="575"/>
        <v>0</v>
      </c>
      <c r="W139" s="175" t="str">
        <f t="shared" ref="W139" si="588">IF(SUM(T139:T148)=0,"",IFERROR(T139/U139,""))</f>
        <v/>
      </c>
      <c r="X139" s="171">
        <f t="shared" si="550"/>
        <v>0</v>
      </c>
      <c r="Y139" s="159">
        <f t="shared" si="551"/>
        <v>0</v>
      </c>
      <c r="Z139" s="159">
        <f t="shared" si="577"/>
        <v>0</v>
      </c>
      <c r="AA139" s="175" t="str">
        <f t="shared" ref="AA139" si="589">IF(SUM(X139:X148)=0,"",IFERROR(X139/Y139,""))</f>
        <v/>
      </c>
      <c r="AB139" s="171">
        <f t="shared" si="553"/>
        <v>0</v>
      </c>
      <c r="AC139" s="159">
        <f t="shared" si="554"/>
        <v>0</v>
      </c>
      <c r="AD139" s="159">
        <f t="shared" si="579"/>
        <v>0</v>
      </c>
      <c r="AE139" s="175" t="str">
        <f t="shared" ref="AE139" si="590">IF(SUM(AB139:AB148)=0,"",IFERROR(AB139/AC139,""))</f>
        <v/>
      </c>
      <c r="AF139" s="171">
        <f t="shared" si="556"/>
        <v>0</v>
      </c>
      <c r="AG139" s="159">
        <f t="shared" si="557"/>
        <v>0</v>
      </c>
      <c r="AH139" s="159">
        <f t="shared" si="581"/>
        <v>0</v>
      </c>
      <c r="AI139" s="187" t="str">
        <f t="shared" ref="AI139" si="591">IF(SUM(AF139:AF148)=0,"",IFERROR(AF139/AG139,""))</f>
        <v/>
      </c>
      <c r="AJ139" s="157">
        <f t="shared" ref="AJ139:AJ147" si="592">AJ138+1</f>
        <v>3</v>
      </c>
    </row>
    <row r="140" spans="1:36" ht="24.95" customHeight="1" x14ac:dyDescent="0.25">
      <c r="A140" s="182" t="str">
        <f t="shared" si="574"/>
        <v>باجگیران</v>
      </c>
      <c r="B140" s="216"/>
      <c r="C140" s="167" t="str">
        <f t="shared" si="419"/>
        <v>تیر</v>
      </c>
      <c r="D140" s="171">
        <f>SUMIFS(واردات!$K$4:$K$500,واردات!$J$4:$J$500,$C140,واردات!$I$4:$I$500,$A140)+SUMIFS(واردات!$C$4:$C$500,واردات!$B$4:$B$500,$C140,واردات!$A$4:$A$500,$A140)</f>
        <v>0</v>
      </c>
      <c r="E140" s="159"/>
      <c r="F140" s="159">
        <f t="shared" si="587"/>
        <v>0</v>
      </c>
      <c r="G140" s="175" t="str">
        <f>IF(SUM(D140:D148)=0,"",IFERROR(D140/E140,""))</f>
        <v/>
      </c>
      <c r="H140" s="171">
        <f>SUMIFS(واردات!$L$4:$L$500,واردات!$J$4:$J$500,$C140,واردات!$I$4:$I$500,$A140)+SUMIFS(واردات!$D$4:$D$500,واردات!$B$4:$B$500,$C140,واردات!$A$4:$A$500,$A140)</f>
        <v>0</v>
      </c>
      <c r="I140" s="159"/>
      <c r="J140" s="159">
        <f t="shared" si="559"/>
        <v>0</v>
      </c>
      <c r="K140" s="175" t="str">
        <f>IF(SUM(H140:H148)=0,"",IFERROR(H140/I140,""))</f>
        <v/>
      </c>
      <c r="L140" s="171">
        <f>SUMIFS(واردات!$M$4:$M$500,واردات!$J$4:$J$500,$C140,واردات!$I$4:$I$500,$A140)+SUMIFS(واردات!$E$4:$E$500,واردات!$B$4:$B$500,$C140,واردات!$A$4:$A$500,$A140)</f>
        <v>0</v>
      </c>
      <c r="M140" s="159">
        <v>0</v>
      </c>
      <c r="N140" s="159">
        <f t="shared" si="560"/>
        <v>0</v>
      </c>
      <c r="O140" s="175" t="str">
        <f>IF(SUM(L140:L148)=0,"",IFERROR(L140/M140,""))</f>
        <v/>
      </c>
      <c r="P140" s="171">
        <f>SUMIFS(واردات!$N$4:$N$500,واردات!$J$4:$J$500,$C140,واردات!$I$4:$I$500,$A140)+SUMIFS(واردات!$F$4:$F$500,واردات!$B$4:$B$500,$C140,واردات!$A$4:$A$500,$A140)</f>
        <v>0</v>
      </c>
      <c r="Q140" s="159">
        <v>0</v>
      </c>
      <c r="R140" s="159">
        <f t="shared" si="561"/>
        <v>0</v>
      </c>
      <c r="S140" s="175" t="str">
        <f>IF(SUM(P140:P148)=0,"",IFERROR(P140/Q140,""))</f>
        <v/>
      </c>
      <c r="T140" s="171">
        <f t="shared" si="547"/>
        <v>0</v>
      </c>
      <c r="U140" s="159">
        <f t="shared" si="548"/>
        <v>0</v>
      </c>
      <c r="V140" s="159">
        <f t="shared" si="575"/>
        <v>0</v>
      </c>
      <c r="W140" s="175" t="str">
        <f t="shared" ref="W140" si="593">IF(SUM(T140:T148)=0,"",IFERROR(T140/U140,""))</f>
        <v/>
      </c>
      <c r="X140" s="171">
        <f t="shared" si="550"/>
        <v>0</v>
      </c>
      <c r="Y140" s="159">
        <f t="shared" si="551"/>
        <v>0</v>
      </c>
      <c r="Z140" s="159">
        <f t="shared" si="577"/>
        <v>0</v>
      </c>
      <c r="AA140" s="175" t="str">
        <f t="shared" ref="AA140" si="594">IF(SUM(X140:X148)=0,"",IFERROR(X140/Y140,""))</f>
        <v/>
      </c>
      <c r="AB140" s="171">
        <f t="shared" si="553"/>
        <v>0</v>
      </c>
      <c r="AC140" s="159">
        <f t="shared" si="554"/>
        <v>0</v>
      </c>
      <c r="AD140" s="159">
        <f t="shared" si="579"/>
        <v>0</v>
      </c>
      <c r="AE140" s="175" t="str">
        <f t="shared" ref="AE140" si="595">IF(SUM(AB140:AB148)=0,"",IFERROR(AB140/AC140,""))</f>
        <v/>
      </c>
      <c r="AF140" s="171">
        <f t="shared" si="556"/>
        <v>0</v>
      </c>
      <c r="AG140" s="159">
        <f t="shared" si="557"/>
        <v>0</v>
      </c>
      <c r="AH140" s="159">
        <f t="shared" si="581"/>
        <v>0</v>
      </c>
      <c r="AI140" s="187" t="str">
        <f t="shared" ref="AI140" si="596">IF(SUM(AF140:AF148)=0,"",IFERROR(AF140/AG140,""))</f>
        <v/>
      </c>
      <c r="AJ140" s="157">
        <f t="shared" si="592"/>
        <v>4</v>
      </c>
    </row>
    <row r="141" spans="1:36" ht="24.95" customHeight="1" x14ac:dyDescent="0.25">
      <c r="A141" s="182" t="str">
        <f t="shared" si="574"/>
        <v>باجگیران</v>
      </c>
      <c r="B141" s="216"/>
      <c r="C141" s="167" t="str">
        <f t="shared" si="419"/>
        <v>مرداد</v>
      </c>
      <c r="D141" s="171">
        <f>SUMIFS(واردات!$K$4:$K$500,واردات!$J$4:$J$500,$C141,واردات!$I$4:$I$500,$A141)+SUMIFS(واردات!$C$4:$C$500,واردات!$B$4:$B$500,$C141,واردات!$A$4:$A$500,$A141)</f>
        <v>0</v>
      </c>
      <c r="E141" s="159"/>
      <c r="F141" s="159">
        <f t="shared" si="587"/>
        <v>0</v>
      </c>
      <c r="G141" s="175" t="str">
        <f>IF(SUM(D141:D148)=0,"",IFERROR(D141/E141,""))</f>
        <v/>
      </c>
      <c r="H141" s="171">
        <f>SUMIFS(واردات!$L$4:$L$500,واردات!$J$4:$J$500,$C141,واردات!$I$4:$I$500,$A141)+SUMIFS(واردات!$D$4:$D$500,واردات!$B$4:$B$500,$C141,واردات!$A$4:$A$500,$A141)</f>
        <v>0</v>
      </c>
      <c r="I141" s="159"/>
      <c r="J141" s="159">
        <f t="shared" si="559"/>
        <v>0</v>
      </c>
      <c r="K141" s="175" t="str">
        <f>IF(SUM(H141:H148)=0,"",IFERROR(H141/I141,""))</f>
        <v/>
      </c>
      <c r="L141" s="171">
        <f>SUMIFS(واردات!$M$4:$M$500,واردات!$J$4:$J$500,$C141,واردات!$I$4:$I$500,$A141)+SUMIFS(واردات!$E$4:$E$500,واردات!$B$4:$B$500,$C141,واردات!$A$4:$A$500,$A141)</f>
        <v>0</v>
      </c>
      <c r="M141" s="159">
        <v>0</v>
      </c>
      <c r="N141" s="159">
        <f t="shared" si="560"/>
        <v>0</v>
      </c>
      <c r="O141" s="175" t="str">
        <f>IF(SUM(L141:L148)=0,"",IFERROR(L141/M141,""))</f>
        <v/>
      </c>
      <c r="P141" s="171">
        <f>SUMIFS(واردات!$N$4:$N$500,واردات!$J$4:$J$500,$C141,واردات!$I$4:$I$500,$A141)+SUMIFS(واردات!$F$4:$F$500,واردات!$B$4:$B$500,$C141,واردات!$A$4:$A$500,$A141)</f>
        <v>0</v>
      </c>
      <c r="Q141" s="159">
        <v>0</v>
      </c>
      <c r="R141" s="159">
        <f t="shared" si="561"/>
        <v>0</v>
      </c>
      <c r="S141" s="175" t="str">
        <f>IF(SUM(P141:P148)=0,"",IFERROR(P141/Q141,""))</f>
        <v/>
      </c>
      <c r="T141" s="171">
        <f t="shared" si="547"/>
        <v>0</v>
      </c>
      <c r="U141" s="159">
        <f t="shared" si="548"/>
        <v>0</v>
      </c>
      <c r="V141" s="159">
        <f t="shared" si="575"/>
        <v>0</v>
      </c>
      <c r="W141" s="175" t="str">
        <f t="shared" ref="W141" si="597">IF(SUM(T141:T148)=0,"",IFERROR(T141/U141,""))</f>
        <v/>
      </c>
      <c r="X141" s="171">
        <f t="shared" si="550"/>
        <v>0</v>
      </c>
      <c r="Y141" s="159">
        <f t="shared" si="551"/>
        <v>0</v>
      </c>
      <c r="Z141" s="159">
        <f t="shared" si="577"/>
        <v>0</v>
      </c>
      <c r="AA141" s="175" t="str">
        <f t="shared" ref="AA141" si="598">IF(SUM(X141:X148)=0,"",IFERROR(X141/Y141,""))</f>
        <v/>
      </c>
      <c r="AB141" s="171">
        <f t="shared" si="553"/>
        <v>0</v>
      </c>
      <c r="AC141" s="159">
        <f t="shared" si="554"/>
        <v>0</v>
      </c>
      <c r="AD141" s="159">
        <f t="shared" si="579"/>
        <v>0</v>
      </c>
      <c r="AE141" s="175" t="str">
        <f t="shared" ref="AE141" si="599">IF(SUM(AB141:AB148)=0,"",IFERROR(AB141/AC141,""))</f>
        <v/>
      </c>
      <c r="AF141" s="171">
        <f t="shared" si="556"/>
        <v>0</v>
      </c>
      <c r="AG141" s="159">
        <f t="shared" si="557"/>
        <v>0</v>
      </c>
      <c r="AH141" s="159">
        <f t="shared" si="581"/>
        <v>0</v>
      </c>
      <c r="AI141" s="187" t="str">
        <f t="shared" ref="AI141" si="600">IF(SUM(AF141:AF148)=0,"",IFERROR(AF141/AG141,""))</f>
        <v/>
      </c>
      <c r="AJ141" s="157">
        <f t="shared" si="592"/>
        <v>5</v>
      </c>
    </row>
    <row r="142" spans="1:36" ht="24.95" customHeight="1" x14ac:dyDescent="0.25">
      <c r="A142" s="182" t="str">
        <f t="shared" si="574"/>
        <v>باجگیران</v>
      </c>
      <c r="B142" s="216"/>
      <c r="C142" s="167" t="str">
        <f t="shared" si="419"/>
        <v>شهریور</v>
      </c>
      <c r="D142" s="171">
        <f>SUMIFS(واردات!$K$4:$K$500,واردات!$J$4:$J$500,$C142,واردات!$I$4:$I$500,$A142)+SUMIFS(واردات!$C$4:$C$500,واردات!$B$4:$B$500,$C142,واردات!$A$4:$A$500,$A142)</f>
        <v>0</v>
      </c>
      <c r="E142" s="159"/>
      <c r="F142" s="159">
        <f t="shared" si="587"/>
        <v>0</v>
      </c>
      <c r="G142" s="175" t="str">
        <f>IF(SUM(D142:D148)=0,"",IFERROR(D142/E142,""))</f>
        <v/>
      </c>
      <c r="H142" s="171">
        <f>SUMIFS(واردات!$L$4:$L$500,واردات!$J$4:$J$500,$C142,واردات!$I$4:$I$500,$A142)+SUMIFS(واردات!$D$4:$D$500,واردات!$B$4:$B$500,$C142,واردات!$A$4:$A$500,$A142)</f>
        <v>0</v>
      </c>
      <c r="I142" s="159"/>
      <c r="J142" s="159">
        <f t="shared" si="559"/>
        <v>0</v>
      </c>
      <c r="K142" s="175" t="str">
        <f>IF(SUM(H142:H148)=0,"",IFERROR(H142/I142,""))</f>
        <v/>
      </c>
      <c r="L142" s="171">
        <f>SUMIFS(واردات!$M$4:$M$500,واردات!$J$4:$J$500,$C142,واردات!$I$4:$I$500,$A142)+SUMIFS(واردات!$E$4:$E$500,واردات!$B$4:$B$500,$C142,واردات!$A$4:$A$500,$A142)</f>
        <v>0</v>
      </c>
      <c r="M142" s="159">
        <v>0</v>
      </c>
      <c r="N142" s="159">
        <f t="shared" si="560"/>
        <v>0</v>
      </c>
      <c r="O142" s="175" t="str">
        <f>IF(SUM(L142:L148)=0,"",IFERROR(L142/M142,""))</f>
        <v/>
      </c>
      <c r="P142" s="171">
        <f>SUMIFS(واردات!$N$4:$N$500,واردات!$J$4:$J$500,$C142,واردات!$I$4:$I$500,$A142)+SUMIFS(واردات!$F$4:$F$500,واردات!$B$4:$B$500,$C142,واردات!$A$4:$A$500,$A142)</f>
        <v>0</v>
      </c>
      <c r="Q142" s="159">
        <v>0</v>
      </c>
      <c r="R142" s="159">
        <f t="shared" si="561"/>
        <v>0</v>
      </c>
      <c r="S142" s="175" t="str">
        <f>IF(SUM(P142:P148)=0,"",IFERROR(P142/Q142,""))</f>
        <v/>
      </c>
      <c r="T142" s="171">
        <f t="shared" si="547"/>
        <v>0</v>
      </c>
      <c r="U142" s="159">
        <f t="shared" si="548"/>
        <v>0</v>
      </c>
      <c r="V142" s="159">
        <f t="shared" si="575"/>
        <v>0</v>
      </c>
      <c r="W142" s="175" t="str">
        <f t="shared" ref="W142" si="601">IF(SUM(T142:T148)=0,"",IFERROR(T142/U142,""))</f>
        <v/>
      </c>
      <c r="X142" s="171">
        <f t="shared" si="550"/>
        <v>0</v>
      </c>
      <c r="Y142" s="159">
        <f t="shared" si="551"/>
        <v>0</v>
      </c>
      <c r="Z142" s="159">
        <f t="shared" si="577"/>
        <v>0</v>
      </c>
      <c r="AA142" s="175" t="str">
        <f t="shared" ref="AA142" si="602">IF(SUM(X142:X148)=0,"",IFERROR(X142/Y142,""))</f>
        <v/>
      </c>
      <c r="AB142" s="171">
        <f t="shared" si="553"/>
        <v>0</v>
      </c>
      <c r="AC142" s="159">
        <f t="shared" si="554"/>
        <v>0</v>
      </c>
      <c r="AD142" s="159">
        <f t="shared" si="579"/>
        <v>0</v>
      </c>
      <c r="AE142" s="175" t="str">
        <f t="shared" ref="AE142" si="603">IF(SUM(AB142:AB148)=0,"",IFERROR(AB142/AC142,""))</f>
        <v/>
      </c>
      <c r="AF142" s="171">
        <f t="shared" si="556"/>
        <v>0</v>
      </c>
      <c r="AG142" s="159">
        <f t="shared" si="557"/>
        <v>0</v>
      </c>
      <c r="AH142" s="159">
        <f t="shared" si="581"/>
        <v>0</v>
      </c>
      <c r="AI142" s="187" t="str">
        <f t="shared" ref="AI142" si="604">IF(SUM(AF142:AF148)=0,"",IFERROR(AF142/AG142,""))</f>
        <v/>
      </c>
      <c r="AJ142" s="157">
        <f t="shared" si="592"/>
        <v>6</v>
      </c>
    </row>
    <row r="143" spans="1:36" ht="24.95" customHeight="1" x14ac:dyDescent="0.25">
      <c r="A143" s="182" t="str">
        <f t="shared" si="574"/>
        <v>باجگیران</v>
      </c>
      <c r="B143" s="216"/>
      <c r="C143" s="167" t="str">
        <f t="shared" si="419"/>
        <v>مهر</v>
      </c>
      <c r="D143" s="171">
        <f>SUMIFS(واردات!$K$4:$K$500,واردات!$J$4:$J$500,$C143,واردات!$I$4:$I$500,$A143)+SUMIFS(واردات!$C$4:$C$500,واردات!$B$4:$B$500,$C143,واردات!$A$4:$A$500,$A143)</f>
        <v>0</v>
      </c>
      <c r="E143" s="159"/>
      <c r="F143" s="159">
        <f t="shared" si="587"/>
        <v>0</v>
      </c>
      <c r="G143" s="175" t="str">
        <f>IF(SUM(D143:D148)=0,"",IFERROR(D143/E143,""))</f>
        <v/>
      </c>
      <c r="H143" s="171">
        <f>SUMIFS(واردات!$L$4:$L$500,واردات!$J$4:$J$500,$C143,واردات!$I$4:$I$500,$A143)+SUMIFS(واردات!$D$4:$D$500,واردات!$B$4:$B$500,$C143,واردات!$A$4:$A$500,$A143)</f>
        <v>0</v>
      </c>
      <c r="I143" s="159"/>
      <c r="J143" s="159">
        <f t="shared" si="559"/>
        <v>0</v>
      </c>
      <c r="K143" s="175" t="str">
        <f>IF(SUM(H143:H148)=0,"",IFERROR(H143/I143,""))</f>
        <v/>
      </c>
      <c r="L143" s="171">
        <f>SUMIFS(واردات!$M$4:$M$500,واردات!$J$4:$J$500,$C143,واردات!$I$4:$I$500,$A143)+SUMIFS(واردات!$E$4:$E$500,واردات!$B$4:$B$500,$C143,واردات!$A$4:$A$500,$A143)</f>
        <v>0</v>
      </c>
      <c r="M143" s="159">
        <v>0</v>
      </c>
      <c r="N143" s="159">
        <f t="shared" si="560"/>
        <v>0</v>
      </c>
      <c r="O143" s="175" t="str">
        <f>IF(SUM(L143:L148)=0,"",IFERROR(L143/M143,""))</f>
        <v/>
      </c>
      <c r="P143" s="171">
        <f>SUMIFS(واردات!$N$4:$N$500,واردات!$J$4:$J$500,$C143,واردات!$I$4:$I$500,$A143)+SUMIFS(واردات!$F$4:$F$500,واردات!$B$4:$B$500,$C143,واردات!$A$4:$A$500,$A143)</f>
        <v>0</v>
      </c>
      <c r="Q143" s="159">
        <v>0</v>
      </c>
      <c r="R143" s="159">
        <f t="shared" si="561"/>
        <v>0</v>
      </c>
      <c r="S143" s="175" t="str">
        <f>IF(SUM(P143:P148)=0,"",IFERROR(P143/Q143,""))</f>
        <v/>
      </c>
      <c r="T143" s="171">
        <f t="shared" si="547"/>
        <v>0</v>
      </c>
      <c r="U143" s="159">
        <f t="shared" si="548"/>
        <v>0</v>
      </c>
      <c r="V143" s="159">
        <f t="shared" si="575"/>
        <v>0</v>
      </c>
      <c r="W143" s="175" t="str">
        <f t="shared" ref="W143" si="605">IF(SUM(T143:T148)=0,"",IFERROR(T143/U143,""))</f>
        <v/>
      </c>
      <c r="X143" s="171">
        <f t="shared" si="550"/>
        <v>0</v>
      </c>
      <c r="Y143" s="159">
        <f t="shared" si="551"/>
        <v>0</v>
      </c>
      <c r="Z143" s="159">
        <f t="shared" si="577"/>
        <v>0</v>
      </c>
      <c r="AA143" s="175" t="str">
        <f t="shared" ref="AA143" si="606">IF(SUM(X143:X148)=0,"",IFERROR(X143/Y143,""))</f>
        <v/>
      </c>
      <c r="AB143" s="171">
        <f t="shared" si="553"/>
        <v>0</v>
      </c>
      <c r="AC143" s="159">
        <f t="shared" si="554"/>
        <v>0</v>
      </c>
      <c r="AD143" s="159">
        <f t="shared" si="579"/>
        <v>0</v>
      </c>
      <c r="AE143" s="175" t="str">
        <f t="shared" ref="AE143" si="607">IF(SUM(AB143:AB148)=0,"",IFERROR(AB143/AC143,""))</f>
        <v/>
      </c>
      <c r="AF143" s="171">
        <f t="shared" si="556"/>
        <v>0</v>
      </c>
      <c r="AG143" s="159">
        <f t="shared" si="557"/>
        <v>0</v>
      </c>
      <c r="AH143" s="159">
        <f t="shared" si="581"/>
        <v>0</v>
      </c>
      <c r="AI143" s="187" t="str">
        <f t="shared" ref="AI143" si="608">IF(SUM(AF143:AF148)=0,"",IFERROR(AF143/AG143,""))</f>
        <v/>
      </c>
      <c r="AJ143" s="157">
        <f t="shared" si="592"/>
        <v>7</v>
      </c>
    </row>
    <row r="144" spans="1:36" ht="24.95" customHeight="1" x14ac:dyDescent="0.25">
      <c r="A144" s="182" t="str">
        <f t="shared" si="574"/>
        <v>باجگیران</v>
      </c>
      <c r="B144" s="216"/>
      <c r="C144" s="167" t="str">
        <f t="shared" si="419"/>
        <v>آبان</v>
      </c>
      <c r="D144" s="171">
        <f>SUMIFS(واردات!$K$4:$K$500,واردات!$J$4:$J$500,$C144,واردات!$I$4:$I$500,$A144)+SUMIFS(واردات!$C$4:$C$500,واردات!$B$4:$B$500,$C144,واردات!$A$4:$A$500,$A144)</f>
        <v>0</v>
      </c>
      <c r="E144" s="159"/>
      <c r="F144" s="159">
        <f t="shared" si="587"/>
        <v>0</v>
      </c>
      <c r="G144" s="175" t="str">
        <f>IF(SUM(D144:D148)=0,"",IFERROR(D144/E144,""))</f>
        <v/>
      </c>
      <c r="H144" s="171">
        <f>SUMIFS(واردات!$L$4:$L$500,واردات!$J$4:$J$500,$C144,واردات!$I$4:$I$500,$A144)+SUMIFS(واردات!$D$4:$D$500,واردات!$B$4:$B$500,$C144,واردات!$A$4:$A$500,$A144)</f>
        <v>0</v>
      </c>
      <c r="I144" s="159"/>
      <c r="J144" s="159">
        <f t="shared" si="559"/>
        <v>0</v>
      </c>
      <c r="K144" s="175" t="str">
        <f>IF(SUM(H144:H148)=0,"",IFERROR(H144/I144,""))</f>
        <v/>
      </c>
      <c r="L144" s="171">
        <f>SUMIFS(واردات!$M$4:$M$500,واردات!$J$4:$J$500,$C144,واردات!$I$4:$I$500,$A144)+SUMIFS(واردات!$E$4:$E$500,واردات!$B$4:$B$500,$C144,واردات!$A$4:$A$500,$A144)</f>
        <v>0</v>
      </c>
      <c r="M144" s="159">
        <v>0</v>
      </c>
      <c r="N144" s="159">
        <f t="shared" si="560"/>
        <v>0</v>
      </c>
      <c r="O144" s="175" t="str">
        <f>IF(SUM(L144:L148)=0,"",IFERROR(L144/M144,""))</f>
        <v/>
      </c>
      <c r="P144" s="171">
        <f>SUMIFS(واردات!$N$4:$N$500,واردات!$J$4:$J$500,$C144,واردات!$I$4:$I$500,$A144)+SUMIFS(واردات!$F$4:$F$500,واردات!$B$4:$B$500,$C144,واردات!$A$4:$A$500,$A144)</f>
        <v>0</v>
      </c>
      <c r="Q144" s="159">
        <v>0</v>
      </c>
      <c r="R144" s="159">
        <f t="shared" si="561"/>
        <v>0</v>
      </c>
      <c r="S144" s="175" t="str">
        <f>IF(SUM(P144:P148)=0,"",IFERROR(P144/Q144,""))</f>
        <v/>
      </c>
      <c r="T144" s="171">
        <f t="shared" si="547"/>
        <v>0</v>
      </c>
      <c r="U144" s="159">
        <f t="shared" si="548"/>
        <v>0</v>
      </c>
      <c r="V144" s="159">
        <f t="shared" si="575"/>
        <v>0</v>
      </c>
      <c r="W144" s="175" t="str">
        <f t="shared" ref="W144" si="609">IF(SUM(T144:T148)=0,"",IFERROR(T144/U144,""))</f>
        <v/>
      </c>
      <c r="X144" s="171">
        <f t="shared" si="550"/>
        <v>0</v>
      </c>
      <c r="Y144" s="159">
        <f t="shared" si="551"/>
        <v>0</v>
      </c>
      <c r="Z144" s="159">
        <f t="shared" si="577"/>
        <v>0</v>
      </c>
      <c r="AA144" s="175" t="str">
        <f t="shared" ref="AA144" si="610">IF(SUM(X144:X148)=0,"",IFERROR(X144/Y144,""))</f>
        <v/>
      </c>
      <c r="AB144" s="171">
        <f t="shared" si="553"/>
        <v>0</v>
      </c>
      <c r="AC144" s="159">
        <f t="shared" si="554"/>
        <v>0</v>
      </c>
      <c r="AD144" s="159">
        <f t="shared" si="579"/>
        <v>0</v>
      </c>
      <c r="AE144" s="175" t="str">
        <f t="shared" ref="AE144" si="611">IF(SUM(AB144:AB148)=0,"",IFERROR(AB144/AC144,""))</f>
        <v/>
      </c>
      <c r="AF144" s="171">
        <f t="shared" si="556"/>
        <v>0</v>
      </c>
      <c r="AG144" s="159">
        <f t="shared" si="557"/>
        <v>0</v>
      </c>
      <c r="AH144" s="159">
        <f t="shared" si="581"/>
        <v>0</v>
      </c>
      <c r="AI144" s="187" t="str">
        <f t="shared" ref="AI144" si="612">IF(SUM(AF144:AF148)=0,"",IFERROR(AF144/AG144,""))</f>
        <v/>
      </c>
      <c r="AJ144" s="157">
        <f t="shared" si="592"/>
        <v>8</v>
      </c>
    </row>
    <row r="145" spans="1:36" ht="24.95" customHeight="1" x14ac:dyDescent="0.25">
      <c r="A145" s="182" t="str">
        <f t="shared" si="574"/>
        <v>باجگیران</v>
      </c>
      <c r="B145" s="216"/>
      <c r="C145" s="167" t="str">
        <f t="shared" si="419"/>
        <v>آذر</v>
      </c>
      <c r="D145" s="171">
        <f>SUMIFS(واردات!$K$4:$K$500,واردات!$J$4:$J$500,$C145,واردات!$I$4:$I$500,$A145)+SUMIFS(واردات!$C$4:$C$500,واردات!$B$4:$B$500,$C145,واردات!$A$4:$A$500,$A145)</f>
        <v>0</v>
      </c>
      <c r="E145" s="159"/>
      <c r="F145" s="159">
        <f t="shared" si="587"/>
        <v>0</v>
      </c>
      <c r="G145" s="175" t="str">
        <f>IF(SUM(D145:D148)=0,"",IFERROR(D145/E145,""))</f>
        <v/>
      </c>
      <c r="H145" s="171">
        <f>SUMIFS(واردات!$L$4:$L$500,واردات!$J$4:$J$500,$C145,واردات!$I$4:$I$500,$A145)+SUMIFS(واردات!$D$4:$D$500,واردات!$B$4:$B$500,$C145,واردات!$A$4:$A$500,$A145)</f>
        <v>0</v>
      </c>
      <c r="I145" s="159"/>
      <c r="J145" s="159">
        <f t="shared" si="559"/>
        <v>0</v>
      </c>
      <c r="K145" s="175" t="str">
        <f>IF(SUM(H145:H148)=0,"",IFERROR(H145/I145,""))</f>
        <v/>
      </c>
      <c r="L145" s="171">
        <f>SUMIFS(واردات!$M$4:$M$500,واردات!$J$4:$J$500,$C145,واردات!$I$4:$I$500,$A145)+SUMIFS(واردات!$E$4:$E$500,واردات!$B$4:$B$500,$C145,واردات!$A$4:$A$500,$A145)</f>
        <v>0</v>
      </c>
      <c r="M145" s="159">
        <v>0</v>
      </c>
      <c r="N145" s="159">
        <f t="shared" si="560"/>
        <v>0</v>
      </c>
      <c r="O145" s="175" t="str">
        <f>IF(SUM(L145:L148)=0,"",IFERROR(L145/M145,""))</f>
        <v/>
      </c>
      <c r="P145" s="171">
        <f>SUMIFS(واردات!$N$4:$N$500,واردات!$J$4:$J$500,$C145,واردات!$I$4:$I$500,$A145)+SUMIFS(واردات!$F$4:$F$500,واردات!$B$4:$B$500,$C145,واردات!$A$4:$A$500,$A145)</f>
        <v>0</v>
      </c>
      <c r="Q145" s="159">
        <v>0</v>
      </c>
      <c r="R145" s="159">
        <f t="shared" si="561"/>
        <v>0</v>
      </c>
      <c r="S145" s="175" t="str">
        <f>IF(SUM(P145:P148)=0,"",IFERROR(P145/Q145,""))</f>
        <v/>
      </c>
      <c r="T145" s="171">
        <f t="shared" si="547"/>
        <v>0</v>
      </c>
      <c r="U145" s="159">
        <f t="shared" si="548"/>
        <v>0</v>
      </c>
      <c r="V145" s="159">
        <f t="shared" si="575"/>
        <v>0</v>
      </c>
      <c r="W145" s="175" t="str">
        <f t="shared" ref="W145" si="613">IF(SUM(T145:T148)=0,"",IFERROR(T145/U145,""))</f>
        <v/>
      </c>
      <c r="X145" s="171">
        <f t="shared" si="550"/>
        <v>0</v>
      </c>
      <c r="Y145" s="159">
        <f t="shared" si="551"/>
        <v>0</v>
      </c>
      <c r="Z145" s="159">
        <f t="shared" si="577"/>
        <v>0</v>
      </c>
      <c r="AA145" s="175" t="str">
        <f t="shared" ref="AA145" si="614">IF(SUM(X145:X148)=0,"",IFERROR(X145/Y145,""))</f>
        <v/>
      </c>
      <c r="AB145" s="171">
        <f t="shared" si="553"/>
        <v>0</v>
      </c>
      <c r="AC145" s="159">
        <f t="shared" si="554"/>
        <v>0</v>
      </c>
      <c r="AD145" s="159">
        <f t="shared" si="579"/>
        <v>0</v>
      </c>
      <c r="AE145" s="175" t="str">
        <f t="shared" ref="AE145" si="615">IF(SUM(AB145:AB148)=0,"",IFERROR(AB145/AC145,""))</f>
        <v/>
      </c>
      <c r="AF145" s="171">
        <f t="shared" si="556"/>
        <v>0</v>
      </c>
      <c r="AG145" s="159">
        <f t="shared" si="557"/>
        <v>0</v>
      </c>
      <c r="AH145" s="159">
        <f t="shared" si="581"/>
        <v>0</v>
      </c>
      <c r="AI145" s="187" t="str">
        <f t="shared" ref="AI145" si="616">IF(SUM(AF145:AF148)=0,"",IFERROR(AF145/AG145,""))</f>
        <v/>
      </c>
      <c r="AJ145" s="157">
        <f t="shared" si="592"/>
        <v>9</v>
      </c>
    </row>
    <row r="146" spans="1:36" ht="24.95" customHeight="1" x14ac:dyDescent="0.25">
      <c r="A146" s="182" t="str">
        <f t="shared" si="574"/>
        <v>باجگیران</v>
      </c>
      <c r="B146" s="216"/>
      <c r="C146" s="167" t="str">
        <f t="shared" si="419"/>
        <v>دی</v>
      </c>
      <c r="D146" s="171">
        <f>SUMIFS(واردات!$K$4:$K$500,واردات!$J$4:$J$500,$C146,واردات!$I$4:$I$500,$A146)+SUMIFS(واردات!$C$4:$C$500,واردات!$B$4:$B$500,$C146,واردات!$A$4:$A$500,$A146)</f>
        <v>0</v>
      </c>
      <c r="E146" s="159"/>
      <c r="F146" s="159">
        <f t="shared" si="587"/>
        <v>0</v>
      </c>
      <c r="G146" s="175" t="str">
        <f>IF(SUM(D146:D148)=0,"",IFERROR(D146/E146,""))</f>
        <v/>
      </c>
      <c r="H146" s="171">
        <f>SUMIFS(واردات!$L$4:$L$500,واردات!$J$4:$J$500,$C146,واردات!$I$4:$I$500,$A146)+SUMIFS(واردات!$D$4:$D$500,واردات!$B$4:$B$500,$C146,واردات!$A$4:$A$500,$A146)</f>
        <v>0</v>
      </c>
      <c r="I146" s="159"/>
      <c r="J146" s="159">
        <f t="shared" ref="J146:J148" si="617">IFERROR(SUM(H146,-I146),"")</f>
        <v>0</v>
      </c>
      <c r="K146" s="175" t="str">
        <f>IF(SUM(H146:H148)=0,"",IFERROR(H146/I146,""))</f>
        <v/>
      </c>
      <c r="L146" s="171">
        <f>SUMIFS(واردات!$M$4:$M$500,واردات!$J$4:$J$500,$C146,واردات!$I$4:$I$500,$A146)+SUMIFS(واردات!$E$4:$E$500,واردات!$B$4:$B$500,$C146,واردات!$A$4:$A$500,$A146)</f>
        <v>0</v>
      </c>
      <c r="M146" s="159">
        <v>0</v>
      </c>
      <c r="N146" s="159">
        <f t="shared" ref="N146:N148" si="618">IFERROR(SUM(L146,-M146),"")</f>
        <v>0</v>
      </c>
      <c r="O146" s="175" t="str">
        <f>IF(SUM(L146:L148)=0,"",IFERROR(L146/M146,""))</f>
        <v/>
      </c>
      <c r="P146" s="171">
        <f>SUMIFS(واردات!$N$4:$N$500,واردات!$J$4:$J$500,$C146,واردات!$I$4:$I$500,$A146)+SUMIFS(واردات!$F$4:$F$500,واردات!$B$4:$B$500,$C146,واردات!$A$4:$A$500,$A146)</f>
        <v>0</v>
      </c>
      <c r="Q146" s="159">
        <v>0</v>
      </c>
      <c r="R146" s="159">
        <f t="shared" ref="R146:R148" si="619">IFERROR(SUM(P146,-Q146),"")</f>
        <v>0</v>
      </c>
      <c r="S146" s="175" t="str">
        <f>IF(SUM(P146:P148)=0,"",IFERROR(P146/Q146,""))</f>
        <v/>
      </c>
      <c r="T146" s="171">
        <f t="shared" si="547"/>
        <v>0</v>
      </c>
      <c r="U146" s="159">
        <f t="shared" si="548"/>
        <v>0</v>
      </c>
      <c r="V146" s="159">
        <f t="shared" si="575"/>
        <v>0</v>
      </c>
      <c r="W146" s="175" t="str">
        <f t="shared" ref="W146" si="620">IF(SUM(T146:T148)=0,"",IFERROR(T146/U146,""))</f>
        <v/>
      </c>
      <c r="X146" s="171">
        <f t="shared" si="550"/>
        <v>0</v>
      </c>
      <c r="Y146" s="159">
        <f t="shared" si="551"/>
        <v>0</v>
      </c>
      <c r="Z146" s="159">
        <f t="shared" si="577"/>
        <v>0</v>
      </c>
      <c r="AA146" s="175" t="str">
        <f t="shared" ref="AA146" si="621">IF(SUM(X146:X148)=0,"",IFERROR(X146/Y146,""))</f>
        <v/>
      </c>
      <c r="AB146" s="171">
        <f t="shared" si="553"/>
        <v>0</v>
      </c>
      <c r="AC146" s="159">
        <f t="shared" si="554"/>
        <v>0</v>
      </c>
      <c r="AD146" s="159">
        <f t="shared" si="579"/>
        <v>0</v>
      </c>
      <c r="AE146" s="175" t="str">
        <f t="shared" ref="AE146" si="622">IF(SUM(AB146:AB148)=0,"",IFERROR(AB146/AC146,""))</f>
        <v/>
      </c>
      <c r="AF146" s="171">
        <f t="shared" si="556"/>
        <v>0</v>
      </c>
      <c r="AG146" s="159">
        <f t="shared" si="557"/>
        <v>0</v>
      </c>
      <c r="AH146" s="159">
        <f t="shared" si="581"/>
        <v>0</v>
      </c>
      <c r="AI146" s="187" t="str">
        <f t="shared" ref="AI146" si="623">IF(SUM(AF146:AF148)=0,"",IFERROR(AF146/AG146,""))</f>
        <v/>
      </c>
      <c r="AJ146" s="157">
        <f t="shared" si="592"/>
        <v>10</v>
      </c>
    </row>
    <row r="147" spans="1:36" ht="24.95" customHeight="1" x14ac:dyDescent="0.25">
      <c r="A147" s="182" t="str">
        <f t="shared" si="574"/>
        <v>باجگیران</v>
      </c>
      <c r="B147" s="216"/>
      <c r="C147" s="167" t="str">
        <f t="shared" si="419"/>
        <v>بهمن</v>
      </c>
      <c r="D147" s="171">
        <f>SUMIFS(واردات!$K$4:$K$500,واردات!$J$4:$J$500,$C147,واردات!$I$4:$I$500,$A147)+SUMIFS(واردات!$C$4:$C$500,واردات!$B$4:$B$500,$C147,واردات!$A$4:$A$500,$A147)</f>
        <v>0</v>
      </c>
      <c r="E147" s="159"/>
      <c r="F147" s="159">
        <f t="shared" si="587"/>
        <v>0</v>
      </c>
      <c r="G147" s="175" t="str">
        <f>IF(SUM(D147:D148)=0,"",IFERROR(D147/E147,""))</f>
        <v/>
      </c>
      <c r="H147" s="171">
        <f>SUMIFS(واردات!$L$4:$L$500,واردات!$J$4:$J$500,$C147,واردات!$I$4:$I$500,$A147)+SUMIFS(واردات!$D$4:$D$500,واردات!$B$4:$B$500,$C147,واردات!$A$4:$A$500,$A147)</f>
        <v>0</v>
      </c>
      <c r="I147" s="159"/>
      <c r="J147" s="159">
        <f t="shared" si="617"/>
        <v>0</v>
      </c>
      <c r="K147" s="175" t="str">
        <f>IF(SUM(H147:H148)=0,"",IFERROR(H147/I147,""))</f>
        <v/>
      </c>
      <c r="L147" s="171">
        <f>SUMIFS(واردات!$M$4:$M$500,واردات!$J$4:$J$500,$C147,واردات!$I$4:$I$500,$A147)+SUMIFS(واردات!$E$4:$E$500,واردات!$B$4:$B$500,$C147,واردات!$A$4:$A$500,$A147)</f>
        <v>0</v>
      </c>
      <c r="M147" s="159">
        <v>0</v>
      </c>
      <c r="N147" s="159">
        <f t="shared" si="618"/>
        <v>0</v>
      </c>
      <c r="O147" s="175" t="str">
        <f>IF(SUM(L147:L148)=0,"",IFERROR(L147/M147,""))</f>
        <v/>
      </c>
      <c r="P147" s="171">
        <f>SUMIFS(واردات!$N$4:$N$500,واردات!$J$4:$J$500,$C147,واردات!$I$4:$I$500,$A147)+SUMIFS(واردات!$F$4:$F$500,واردات!$B$4:$B$500,$C147,واردات!$A$4:$A$500,$A147)</f>
        <v>0</v>
      </c>
      <c r="Q147" s="159">
        <v>0</v>
      </c>
      <c r="R147" s="159">
        <f t="shared" si="619"/>
        <v>0</v>
      </c>
      <c r="S147" s="175" t="str">
        <f>IF(SUM(P147:P148)=0,"",IFERROR(P147/Q147,""))</f>
        <v/>
      </c>
      <c r="T147" s="171">
        <f t="shared" si="547"/>
        <v>0</v>
      </c>
      <c r="U147" s="159">
        <f t="shared" si="548"/>
        <v>0</v>
      </c>
      <c r="V147" s="159">
        <f t="shared" si="575"/>
        <v>0</v>
      </c>
      <c r="W147" s="175" t="str">
        <f t="shared" ref="W147" si="624">IF(SUM(T147:T148)=0,"",IFERROR(T147/U147,""))</f>
        <v/>
      </c>
      <c r="X147" s="171">
        <f t="shared" si="550"/>
        <v>0</v>
      </c>
      <c r="Y147" s="159">
        <f t="shared" si="551"/>
        <v>0</v>
      </c>
      <c r="Z147" s="159">
        <f t="shared" si="577"/>
        <v>0</v>
      </c>
      <c r="AA147" s="175" t="str">
        <f t="shared" ref="AA147" si="625">IF(SUM(X147:X148)=0,"",IFERROR(X147/Y147,""))</f>
        <v/>
      </c>
      <c r="AB147" s="171">
        <f t="shared" si="553"/>
        <v>0</v>
      </c>
      <c r="AC147" s="159">
        <f t="shared" si="554"/>
        <v>0</v>
      </c>
      <c r="AD147" s="159">
        <f t="shared" si="579"/>
        <v>0</v>
      </c>
      <c r="AE147" s="175" t="str">
        <f t="shared" ref="AE147" si="626">IF(SUM(AB147:AB148)=0,"",IFERROR(AB147/AC147,""))</f>
        <v/>
      </c>
      <c r="AF147" s="171">
        <f t="shared" si="556"/>
        <v>0</v>
      </c>
      <c r="AG147" s="159">
        <f t="shared" si="557"/>
        <v>0</v>
      </c>
      <c r="AH147" s="159">
        <f t="shared" si="581"/>
        <v>0</v>
      </c>
      <c r="AI147" s="187" t="str">
        <f t="shared" ref="AI147" si="627">IF(SUM(AF147:AF148)=0,"",IFERROR(AF147/AG147,""))</f>
        <v/>
      </c>
      <c r="AJ147" s="157">
        <f t="shared" si="592"/>
        <v>11</v>
      </c>
    </row>
    <row r="148" spans="1:36" ht="24.95" customHeight="1" thickBot="1" x14ac:dyDescent="0.3">
      <c r="A148" s="182" t="str">
        <f t="shared" si="574"/>
        <v>باجگیران</v>
      </c>
      <c r="B148" s="217"/>
      <c r="C148" s="168" t="str">
        <f t="shared" si="419"/>
        <v>اسفند</v>
      </c>
      <c r="D148" s="172">
        <f>SUMIFS(واردات!$K$4:$K$500,واردات!$J$4:$J$500,$C148,واردات!$I$4:$I$500,$A148)+SUMIFS(واردات!$C$4:$C$500,واردات!$B$4:$B$500,$C148,واردات!$A$4:$A$500,$A148)</f>
        <v>0</v>
      </c>
      <c r="E148" s="173"/>
      <c r="F148" s="173">
        <f t="shared" si="587"/>
        <v>0</v>
      </c>
      <c r="G148" s="176" t="str">
        <f>IF(SUM(D148)=0,"",IFERROR(D148/E148,""))</f>
        <v/>
      </c>
      <c r="H148" s="172">
        <f>SUMIFS(واردات!$L$4:$L$500,واردات!$J$4:$J$500,$C148,واردات!$I$4:$I$500,$A148)+SUMIFS(واردات!$D$4:$D$500,واردات!$B$4:$B$500,$C148,واردات!$A$4:$A$500,$A148)</f>
        <v>0</v>
      </c>
      <c r="I148" s="173"/>
      <c r="J148" s="173">
        <f t="shared" si="617"/>
        <v>0</v>
      </c>
      <c r="K148" s="176" t="str">
        <f>IF(SUM(H148)=0,"",IFERROR(H148/I148,""))</f>
        <v/>
      </c>
      <c r="L148" s="172">
        <f>SUMIFS(واردات!$M$4:$M$500,واردات!$J$4:$J$500,$C148,واردات!$I$4:$I$500,$A148)+SUMIFS(واردات!$E$4:$E$500,واردات!$B$4:$B$500,$C148,واردات!$A$4:$A$500,$A148)</f>
        <v>0</v>
      </c>
      <c r="M148" s="173">
        <v>0</v>
      </c>
      <c r="N148" s="173">
        <f t="shared" si="618"/>
        <v>0</v>
      </c>
      <c r="O148" s="176" t="str">
        <f>IF(SUM(L148)=0,"",IFERROR(L148/M148,""))</f>
        <v/>
      </c>
      <c r="P148" s="172">
        <f>SUMIFS(واردات!$N$4:$N$500,واردات!$J$4:$J$500,$C148,واردات!$I$4:$I$500,$A148)+SUMIFS(واردات!$F$4:$F$500,واردات!$B$4:$B$500,$C148,واردات!$A$4:$A$500,$A148)</f>
        <v>0</v>
      </c>
      <c r="Q148" s="173">
        <v>0</v>
      </c>
      <c r="R148" s="173">
        <f t="shared" si="619"/>
        <v>0</v>
      </c>
      <c r="S148" s="176" t="str">
        <f>IF(SUM(P148)=0,"",IFERROR(P148/Q148,""))</f>
        <v/>
      </c>
      <c r="T148" s="172">
        <f t="shared" si="547"/>
        <v>0</v>
      </c>
      <c r="U148" s="173">
        <f t="shared" si="548"/>
        <v>0</v>
      </c>
      <c r="V148" s="173">
        <f t="shared" si="575"/>
        <v>0</v>
      </c>
      <c r="W148" s="176" t="str">
        <f t="shared" ref="W148" si="628">IF(SUM(T148)=0,"",IFERROR(T148/U148,""))</f>
        <v/>
      </c>
      <c r="X148" s="172">
        <f t="shared" si="550"/>
        <v>0</v>
      </c>
      <c r="Y148" s="173">
        <f t="shared" si="551"/>
        <v>0</v>
      </c>
      <c r="Z148" s="173">
        <f t="shared" si="577"/>
        <v>0</v>
      </c>
      <c r="AA148" s="176" t="str">
        <f t="shared" ref="AA148" si="629">IF(SUM(X148)=0,"",IFERROR(X148/Y148,""))</f>
        <v/>
      </c>
      <c r="AB148" s="172">
        <f t="shared" si="553"/>
        <v>0</v>
      </c>
      <c r="AC148" s="173">
        <f t="shared" si="554"/>
        <v>0</v>
      </c>
      <c r="AD148" s="173">
        <f t="shared" si="579"/>
        <v>0</v>
      </c>
      <c r="AE148" s="176" t="str">
        <f t="shared" ref="AE148" si="630">IF(SUM(AB148)=0,"",IFERROR(AB148/AC148,""))</f>
        <v/>
      </c>
      <c r="AF148" s="172">
        <f t="shared" si="556"/>
        <v>0</v>
      </c>
      <c r="AG148" s="173">
        <f t="shared" si="557"/>
        <v>0</v>
      </c>
      <c r="AH148" s="173">
        <f t="shared" si="581"/>
        <v>0</v>
      </c>
      <c r="AI148" s="188" t="str">
        <f t="shared" ref="AI148" si="631">IF(SUM(AF148)=0,"",IFERROR(AF148/AG148,""))</f>
        <v/>
      </c>
      <c r="AJ148" s="157">
        <f>AJ147+1</f>
        <v>12</v>
      </c>
    </row>
  </sheetData>
  <sheetProtection algorithmName="SHA-512" hashValue="QKwhcEnQyXcEzmZNYvjMO6F7pGXu668ytEnPnRax0gM5A98xotj8sIABoIIeJ7cnWFrqMHWmwOzZGNHlyDLRqw==" saltValue="2E51pxOa1HnQtfvoOCYfAg==" spinCount="100000" sheet="1" selectLockedCells="1"/>
  <mergeCells count="23">
    <mergeCell ref="B137:B148"/>
    <mergeCell ref="B2:AI2"/>
    <mergeCell ref="AF3:AI3"/>
    <mergeCell ref="AB3:AE3"/>
    <mergeCell ref="X3:AA3"/>
    <mergeCell ref="T3:W3"/>
    <mergeCell ref="P3:S3"/>
    <mergeCell ref="L3:O3"/>
    <mergeCell ref="B125:B136"/>
    <mergeCell ref="H3:K3"/>
    <mergeCell ref="D3:G3"/>
    <mergeCell ref="B17:B28"/>
    <mergeCell ref="B29:B40"/>
    <mergeCell ref="B41:B52"/>
    <mergeCell ref="B53:B64"/>
    <mergeCell ref="B3:B4"/>
    <mergeCell ref="B101:B112"/>
    <mergeCell ref="B113:B124"/>
    <mergeCell ref="C3:C4"/>
    <mergeCell ref="B5:B16"/>
    <mergeCell ref="B65:B76"/>
    <mergeCell ref="B77:B88"/>
    <mergeCell ref="B89:B100"/>
  </mergeCells>
  <conditionalFormatting sqref="A1:XFD1048576">
    <cfRule type="cellIs" dxfId="215" priority="1" operator="equal">
      <formula>0</formula>
    </cfRule>
  </conditionalFormatting>
  <conditionalFormatting sqref="F5:F148">
    <cfRule type="cellIs" dxfId="214" priority="149" operator="lessThan">
      <formula>0</formula>
    </cfRule>
  </conditionalFormatting>
  <conditionalFormatting sqref="G5:G148">
    <cfRule type="containsBlanks" dxfId="213" priority="146">
      <formula>LEN(TRIM(G5))=0</formula>
    </cfRule>
    <cfRule type="cellIs" dxfId="212" priority="147" operator="greaterThan">
      <formula>1.1</formula>
    </cfRule>
    <cfRule type="cellIs" dxfId="211" priority="148" operator="lessThan">
      <formula>0.9</formula>
    </cfRule>
  </conditionalFormatting>
  <conditionalFormatting sqref="J5:J148">
    <cfRule type="cellIs" dxfId="210" priority="101" operator="lessThan">
      <formula>0</formula>
    </cfRule>
  </conditionalFormatting>
  <conditionalFormatting sqref="K5:K148">
    <cfRule type="containsBlanks" dxfId="209" priority="23">
      <formula>LEN(TRIM(K5))=0</formula>
    </cfRule>
    <cfRule type="cellIs" dxfId="208" priority="24" operator="greaterThan">
      <formula>1.1</formula>
    </cfRule>
    <cfRule type="cellIs" dxfId="207" priority="25" operator="lessThan">
      <formula>0.9</formula>
    </cfRule>
    <cfRule type="containsBlanks" dxfId="206" priority="98">
      <formula>LEN(TRIM(K5))=0</formula>
    </cfRule>
    <cfRule type="cellIs" dxfId="205" priority="99" operator="greaterThan">
      <formula>1.1</formula>
    </cfRule>
    <cfRule type="cellIs" dxfId="204" priority="100" operator="lessThan">
      <formula>0.9</formula>
    </cfRule>
    <cfRule type="containsBlanks" dxfId="203" priority="138">
      <formula>LEN(TRIM(K5))=0</formula>
    </cfRule>
    <cfRule type="cellIs" dxfId="202" priority="139" operator="greaterThan">
      <formula>1.1</formula>
    </cfRule>
    <cfRule type="cellIs" dxfId="201" priority="140" operator="lessThan">
      <formula>0.9</formula>
    </cfRule>
  </conditionalFormatting>
  <conditionalFormatting sqref="N5:N148">
    <cfRule type="cellIs" dxfId="200" priority="93" operator="lessThan">
      <formula>0</formula>
    </cfRule>
  </conditionalFormatting>
  <conditionalFormatting sqref="O5:O148">
    <cfRule type="containsBlanks" dxfId="199" priority="20">
      <formula>LEN(TRIM(O5))=0</formula>
    </cfRule>
    <cfRule type="cellIs" dxfId="198" priority="21" operator="greaterThan">
      <formula>1.1</formula>
    </cfRule>
    <cfRule type="cellIs" dxfId="197" priority="22" operator="lessThan">
      <formula>0.9</formula>
    </cfRule>
    <cfRule type="containsBlanks" dxfId="196" priority="90">
      <formula>LEN(TRIM(O5))=0</formula>
    </cfRule>
    <cfRule type="cellIs" dxfId="195" priority="91" operator="greaterThan">
      <formula>1.1</formula>
    </cfRule>
    <cfRule type="cellIs" dxfId="194" priority="92" operator="lessThan">
      <formula>0.9</formula>
    </cfRule>
    <cfRule type="containsBlanks" dxfId="193" priority="130">
      <formula>LEN(TRIM(O5))=0</formula>
    </cfRule>
    <cfRule type="cellIs" dxfId="192" priority="131" operator="greaterThan">
      <formula>1.1</formula>
    </cfRule>
    <cfRule type="cellIs" dxfId="191" priority="132" operator="lessThan">
      <formula>0.9</formula>
    </cfRule>
  </conditionalFormatting>
  <conditionalFormatting sqref="R5:R148">
    <cfRule type="cellIs" dxfId="190" priority="85" operator="lessThan">
      <formula>0</formula>
    </cfRule>
  </conditionalFormatting>
  <conditionalFormatting sqref="S5:S148">
    <cfRule type="containsBlanks" dxfId="189" priority="17">
      <formula>LEN(TRIM(S5))=0</formula>
    </cfRule>
    <cfRule type="cellIs" dxfId="188" priority="18" operator="greaterThan">
      <formula>1.1</formula>
    </cfRule>
    <cfRule type="cellIs" dxfId="187" priority="19" operator="lessThan">
      <formula>0.9</formula>
    </cfRule>
    <cfRule type="containsBlanks" dxfId="186" priority="82">
      <formula>LEN(TRIM(S5))=0</formula>
    </cfRule>
    <cfRule type="cellIs" dxfId="185" priority="83" operator="greaterThan">
      <formula>1.1</formula>
    </cfRule>
    <cfRule type="cellIs" dxfId="184" priority="84" operator="lessThan">
      <formula>0.9</formula>
    </cfRule>
    <cfRule type="containsBlanks" dxfId="183" priority="122">
      <formula>LEN(TRIM(S5))=0</formula>
    </cfRule>
    <cfRule type="cellIs" dxfId="182" priority="123" operator="greaterThan">
      <formula>1.1</formula>
    </cfRule>
    <cfRule type="cellIs" dxfId="181" priority="124" operator="lessThan">
      <formula>0.9</formula>
    </cfRule>
  </conditionalFormatting>
  <conditionalFormatting sqref="V5:V148">
    <cfRule type="cellIs" dxfId="180" priority="77" operator="lessThan">
      <formula>0</formula>
    </cfRule>
  </conditionalFormatting>
  <conditionalFormatting sqref="W5:W148">
    <cfRule type="containsBlanks" dxfId="179" priority="14">
      <formula>LEN(TRIM(W5))=0</formula>
    </cfRule>
    <cfRule type="cellIs" dxfId="178" priority="15" operator="greaterThan">
      <formula>1.1</formula>
    </cfRule>
    <cfRule type="cellIs" dxfId="177" priority="16" operator="lessThan">
      <formula>0.9</formula>
    </cfRule>
    <cfRule type="containsBlanks" dxfId="176" priority="74">
      <formula>LEN(TRIM(W5))=0</formula>
    </cfRule>
    <cfRule type="cellIs" dxfId="175" priority="75" operator="greaterThan">
      <formula>1.1</formula>
    </cfRule>
    <cfRule type="cellIs" dxfId="174" priority="76" operator="lessThan">
      <formula>0.9</formula>
    </cfRule>
    <cfRule type="containsBlanks" dxfId="173" priority="114">
      <formula>LEN(TRIM(W5))=0</formula>
    </cfRule>
    <cfRule type="cellIs" dxfId="172" priority="115" operator="greaterThan">
      <formula>1.1</formula>
    </cfRule>
    <cfRule type="cellIs" dxfId="171" priority="116" operator="lessThan">
      <formula>0.9</formula>
    </cfRule>
  </conditionalFormatting>
  <conditionalFormatting sqref="Z5:Z148">
    <cfRule type="cellIs" dxfId="170" priority="61" operator="lessThan">
      <formula>0</formula>
    </cfRule>
  </conditionalFormatting>
  <conditionalFormatting sqref="AA5:AA148">
    <cfRule type="containsBlanks" dxfId="169" priority="11">
      <formula>LEN(TRIM(AA5))=0</formula>
    </cfRule>
    <cfRule type="cellIs" dxfId="168" priority="12" operator="greaterThan">
      <formula>1.1</formula>
    </cfRule>
    <cfRule type="cellIs" dxfId="167" priority="13" operator="lessThan">
      <formula>0.9</formula>
    </cfRule>
    <cfRule type="containsBlanks" dxfId="166" priority="58">
      <formula>LEN(TRIM(AA5))=0</formula>
    </cfRule>
    <cfRule type="cellIs" dxfId="165" priority="59" operator="greaterThan">
      <formula>1.1</formula>
    </cfRule>
    <cfRule type="cellIs" dxfId="164" priority="60" operator="lessThan">
      <formula>0.9</formula>
    </cfRule>
    <cfRule type="containsBlanks" dxfId="163" priority="66">
      <formula>LEN(TRIM(AA5))=0</formula>
    </cfRule>
    <cfRule type="cellIs" dxfId="162" priority="67" operator="greaterThan">
      <formula>1.1</formula>
    </cfRule>
    <cfRule type="cellIs" dxfId="161" priority="68" operator="lessThan">
      <formula>0.9</formula>
    </cfRule>
    <cfRule type="containsBlanks" dxfId="160" priority="106">
      <formula>LEN(TRIM(AA5))=0</formula>
    </cfRule>
    <cfRule type="cellIs" dxfId="159" priority="107" operator="greaterThan">
      <formula>1.1</formula>
    </cfRule>
    <cfRule type="cellIs" dxfId="158" priority="108" operator="lessThan">
      <formula>0.9</formula>
    </cfRule>
  </conditionalFormatting>
  <conditionalFormatting sqref="AD5:AD148">
    <cfRule type="cellIs" dxfId="157" priority="45" operator="lessThan">
      <formula>0</formula>
    </cfRule>
  </conditionalFormatting>
  <conditionalFormatting sqref="AE5:AE148">
    <cfRule type="containsBlanks" dxfId="156" priority="8">
      <formula>LEN(TRIM(AE5))=0</formula>
    </cfRule>
    <cfRule type="cellIs" dxfId="155" priority="9" operator="greaterThan">
      <formula>1.1</formula>
    </cfRule>
    <cfRule type="cellIs" dxfId="154" priority="10" operator="lessThan">
      <formula>0.9</formula>
    </cfRule>
    <cfRule type="containsBlanks" dxfId="153" priority="42">
      <formula>LEN(TRIM(AE5))=0</formula>
    </cfRule>
    <cfRule type="cellIs" dxfId="152" priority="43" operator="greaterThan">
      <formula>1.1</formula>
    </cfRule>
    <cfRule type="cellIs" dxfId="151" priority="44" operator="lessThan">
      <formula>0.9</formula>
    </cfRule>
    <cfRule type="containsBlanks" dxfId="150" priority="50">
      <formula>LEN(TRIM(AE5))=0</formula>
    </cfRule>
    <cfRule type="cellIs" dxfId="149" priority="51" operator="greaterThan">
      <formula>1.1</formula>
    </cfRule>
    <cfRule type="cellIs" dxfId="148" priority="52" operator="lessThan">
      <formula>0.9</formula>
    </cfRule>
  </conditionalFormatting>
  <conditionalFormatting sqref="AH5:AH148">
    <cfRule type="cellIs" dxfId="147" priority="29" operator="lessThan">
      <formula>0</formula>
    </cfRule>
  </conditionalFormatting>
  <conditionalFormatting sqref="AI5:AI148">
    <cfRule type="containsBlanks" dxfId="146" priority="5">
      <formula>LEN(TRIM(AI5))=0</formula>
    </cfRule>
    <cfRule type="cellIs" dxfId="145" priority="6" operator="greaterThan">
      <formula>1.1</formula>
    </cfRule>
    <cfRule type="cellIs" dxfId="144" priority="7" operator="lessThan">
      <formula>0.9</formula>
    </cfRule>
    <cfRule type="containsBlanks" dxfId="143" priority="26">
      <formula>LEN(TRIM(AI5))=0</formula>
    </cfRule>
    <cfRule type="cellIs" dxfId="142" priority="27" operator="greaterThan">
      <formula>1.1</formula>
    </cfRule>
    <cfRule type="cellIs" dxfId="141" priority="28" operator="lessThan">
      <formula>0.9</formula>
    </cfRule>
    <cfRule type="containsBlanks" dxfId="140" priority="34">
      <formula>LEN(TRIM(AI5))=0</formula>
    </cfRule>
    <cfRule type="cellIs" dxfId="139" priority="35" operator="greaterThan">
      <formula>1.1</formula>
    </cfRule>
    <cfRule type="cellIs" dxfId="138" priority="36" operator="lessThan">
      <formula>0.9</formula>
    </cfRule>
  </conditionalFormatting>
  <dataValidations count="1">
    <dataValidation type="list" allowBlank="1" showInputMessage="1" showErrorMessage="1" sqref="C1" xr:uid="{5519FF9A-EEDB-44DA-95DC-8E7658BB5DD7}">
      <formula1>$AJ$5:$AJ$16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T137" sqref="T137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ht="24.95" customHeight="1" thickBot="1" x14ac:dyDescent="0.3">
      <c r="B1" s="190" t="str">
        <f>'مقایسه بودجه- واردات'!B1</f>
        <v>ماه:</v>
      </c>
      <c r="C1" s="191">
        <f>'مقایسه بودجه- واردات'!C1</f>
        <v>12</v>
      </c>
      <c r="D1" s="189" t="str">
        <f>D3</f>
        <v>تخلیه</v>
      </c>
      <c r="E1" s="189" t="str">
        <f>D1</f>
        <v>تخلیه</v>
      </c>
      <c r="F1" s="189"/>
      <c r="G1" s="189"/>
      <c r="H1" s="189" t="str">
        <f>H3</f>
        <v>بارگیری</v>
      </c>
      <c r="I1" s="189" t="str">
        <f>H1</f>
        <v>بارگیری</v>
      </c>
      <c r="J1" s="189"/>
      <c r="K1" s="189"/>
      <c r="L1" s="189" t="str">
        <f>L3</f>
        <v>حمل یکسره</v>
      </c>
      <c r="M1" s="189" t="str">
        <f>L1</f>
        <v>حمل یکسره</v>
      </c>
      <c r="N1" s="189"/>
      <c r="O1" s="189"/>
      <c r="P1" s="189" t="str">
        <f>P3</f>
        <v>ترانشیپمنت</v>
      </c>
      <c r="Q1" s="189" t="str">
        <f>P1</f>
        <v>ترانشیپمنت</v>
      </c>
      <c r="R1" s="189"/>
      <c r="S1" s="189"/>
    </row>
    <row r="2" spans="1:36" ht="24.95" customHeight="1" thickBot="1" x14ac:dyDescent="0.3">
      <c r="B2" s="223" t="s">
        <v>53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</row>
    <row r="3" spans="1:36" s="158" customFormat="1" ht="24.95" customHeight="1" x14ac:dyDescent="0.25">
      <c r="B3" s="237" t="s">
        <v>42</v>
      </c>
      <c r="C3" s="218" t="s">
        <v>0</v>
      </c>
      <c r="D3" s="235" t="s">
        <v>1</v>
      </c>
      <c r="E3" s="236"/>
      <c r="F3" s="236"/>
      <c r="G3" s="236"/>
      <c r="H3" s="232" t="s">
        <v>2</v>
      </c>
      <c r="I3" s="233"/>
      <c r="J3" s="233"/>
      <c r="K3" s="234"/>
      <c r="L3" s="229" t="s">
        <v>3</v>
      </c>
      <c r="M3" s="230"/>
      <c r="N3" s="230"/>
      <c r="O3" s="231"/>
      <c r="P3" s="226" t="s">
        <v>4</v>
      </c>
      <c r="Q3" s="227"/>
      <c r="R3" s="227"/>
      <c r="S3" s="228"/>
      <c r="T3" s="235" t="s">
        <v>49</v>
      </c>
      <c r="U3" s="236"/>
      <c r="V3" s="236"/>
      <c r="W3" s="236"/>
      <c r="X3" s="232" t="s">
        <v>50</v>
      </c>
      <c r="Y3" s="233"/>
      <c r="Z3" s="233"/>
      <c r="AA3" s="234"/>
      <c r="AB3" s="229" t="s">
        <v>51</v>
      </c>
      <c r="AC3" s="230"/>
      <c r="AD3" s="230"/>
      <c r="AE3" s="231"/>
      <c r="AF3" s="226" t="s">
        <v>52</v>
      </c>
      <c r="AG3" s="227"/>
      <c r="AH3" s="227"/>
      <c r="AI3" s="228"/>
    </row>
    <row r="4" spans="1:36" s="158" customFormat="1" ht="36" customHeight="1" thickBot="1" x14ac:dyDescent="0.3">
      <c r="B4" s="238"/>
      <c r="C4" s="21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>IF(B5="",A4,B5)</f>
        <v>مجتمع خراسان</v>
      </c>
      <c r="B5" s="215" t="s">
        <v>48</v>
      </c>
      <c r="C5" s="166" t="str">
        <f>تجمیعی!B4</f>
        <v>فروردین</v>
      </c>
      <c r="D5" s="183">
        <f t="shared" ref="D5:E16" si="0">SUMIFS(D$29:D$1812,$C$29:$C$1812,$C5)</f>
        <v>2522</v>
      </c>
      <c r="E5" s="184">
        <f t="shared" si="0"/>
        <v>3159.2034526979905</v>
      </c>
      <c r="F5" s="160">
        <f>IFERROR(SUM(D5,-E5),"")</f>
        <v>-637.20345269799054</v>
      </c>
      <c r="G5" s="185">
        <f>IF(SUM(D5:D16)=0,"",IFERROR(D5/E5,""))</f>
        <v>0.79830249547435361</v>
      </c>
      <c r="H5" s="183">
        <f t="shared" ref="H5:I16" si="1">SUMIFS(H$29:H$1812,$C$29:$C$1812,$C5)</f>
        <v>3038</v>
      </c>
      <c r="I5" s="184">
        <f t="shared" si="1"/>
        <v>3365.6030464002229</v>
      </c>
      <c r="J5" s="160">
        <f>IFERROR(SUM(H5,-I5),"")</f>
        <v>-327.60304640022287</v>
      </c>
      <c r="K5" s="185">
        <f>IF(SUM(H5:H16)=0,"",IFERROR(H5/I5,""))</f>
        <v>0.90266141256598276</v>
      </c>
      <c r="L5" s="183">
        <f t="shared" ref="L5:M16" si="2">SUMIFS(L$29:L$1812,$C$29:$C$1812,$C5)</f>
        <v>0</v>
      </c>
      <c r="M5" s="184">
        <f t="shared" si="2"/>
        <v>13.220744489372093</v>
      </c>
      <c r="N5" s="160">
        <f>IFERROR(SUM(L5,-M5),"")</f>
        <v>-13.220744489372093</v>
      </c>
      <c r="O5" s="185">
        <f>IF(SUM(L5:L16)=0,"",IFERROR(L5/M5,""))</f>
        <v>0</v>
      </c>
      <c r="P5" s="183">
        <f t="shared" ref="P5:Q16" si="3">SUMIFS(P$29:P$1812,$C$29:$C$1812,$C5)</f>
        <v>35731</v>
      </c>
      <c r="Q5" s="184">
        <f t="shared" si="3"/>
        <v>70938.900760016404</v>
      </c>
      <c r="R5" s="160">
        <f>IFERROR(SUM(P5,-Q5),"")</f>
        <v>-35207.900760016404</v>
      </c>
      <c r="S5" s="185">
        <f>IF(SUM(P5:P16)=0,"",IFERROR(P5/Q5,""))</f>
        <v>0.50368697029682785</v>
      </c>
      <c r="T5" s="183">
        <f t="shared" ref="T5:T36" si="4">IF(OR($C$1="",$AJ5&gt;$C$1),"",IFERROR(SUMIFS(D$5:D$5012,$A$5:$A$5012,$A5,$AJ$5:$AJ$5012,"&lt;"&amp;$AJ5+1),""))</f>
        <v>2522</v>
      </c>
      <c r="U5" s="184">
        <f t="shared" ref="U5:U36" si="5">IF($C$1="","",IFERROR(SUMIFS(E$5:E$5012,$A$5:$A$5012,$A5,$AJ$5:$AJ$5012,"&lt;"&amp;$AJ5+1),""))</f>
        <v>3159.2034526979905</v>
      </c>
      <c r="V5" s="184">
        <f>IFERROR(SUM(T5,-U5),"")</f>
        <v>-637.20345269799054</v>
      </c>
      <c r="W5" s="185">
        <f>IF(SUM(T5:T16)=0,"",IFERROR(T5/U5,""))</f>
        <v>0.79830249547435361</v>
      </c>
      <c r="X5" s="183">
        <f t="shared" ref="X5:X36" si="6">IF(OR($C$1="",$AJ5&gt;$C$1),"",IFERROR(SUMIFS(H$5:H$5012,$A$5:$A$5012,$A5,$AJ$5:$AJ$5012,"&lt;"&amp;$AJ5+1),""))</f>
        <v>3038</v>
      </c>
      <c r="Y5" s="184">
        <f t="shared" ref="Y5:Y36" si="7">IF($C$1="","",IFERROR(SUMIFS(I$5:I$5012,$A$5:$A$5012,$A5,$AJ$5:$AJ$5012,"&lt;"&amp;$AJ5+1),""))</f>
        <v>3365.6030464002229</v>
      </c>
      <c r="Z5" s="184">
        <f>IFERROR(SUM(X5,-Y5),"")</f>
        <v>-327.60304640022287</v>
      </c>
      <c r="AA5" s="185">
        <f>IF(SUM(X5:X16)=0,"",IFERROR(X5/Y5,""))</f>
        <v>0.90266141256598276</v>
      </c>
      <c r="AB5" s="183">
        <f t="shared" ref="AB5:AB36" si="8">IF(OR($C$1="",$AJ5&gt;$C$1),"",IFERROR(SUMIFS(L$5:L$5012,$A$5:$A$5012,$A5,$AJ$5:$AJ$5012,"&lt;"&amp;$AJ5+1),""))</f>
        <v>0</v>
      </c>
      <c r="AC5" s="184">
        <f t="shared" ref="AC5:AC36" si="9">IF($C$1="","",IFERROR(SUMIFS(M$5:M$5012,$A$5:$A$5012,$A5,$AJ$5:$AJ$5012,"&lt;"&amp;$AJ5+1),""))</f>
        <v>13.220744489372093</v>
      </c>
      <c r="AD5" s="184">
        <f>IFERROR(SUM(AB5,-AC5),"")</f>
        <v>-13.220744489372093</v>
      </c>
      <c r="AE5" s="185">
        <f>IF(SUM(AB5:AB16)=0,"",IFERROR(AB5/AC5,""))</f>
        <v>0</v>
      </c>
      <c r="AF5" s="183">
        <f t="shared" ref="AF5:AF36" si="10">IF(OR($C$1="",$AJ5&gt;$C$1),"",IFERROR(SUMIFS(P$5:P$5012,$A$5:$A$5012,$A5,$AJ$5:$AJ$5012,"&lt;"&amp;$AJ5+1),""))</f>
        <v>35731</v>
      </c>
      <c r="AG5" s="184">
        <f t="shared" ref="AG5:AG36" si="11">IF($C$1="","",IFERROR(SUMIFS(Q$5:Q$5012,$A$5:$A$5012,$A5,$AJ$5:$AJ$5012,"&lt;"&amp;$AJ5+1),""))</f>
        <v>70938.900760016404</v>
      </c>
      <c r="AH5" s="184">
        <f>IFERROR(SUM(AF5,-AG5),"")</f>
        <v>-35207.900760016404</v>
      </c>
      <c r="AI5" s="186">
        <f>IF(SUM(AF5:AF16)=0,"",IFERROR(AF5/AG5,""))</f>
        <v>0.50368697029682785</v>
      </c>
      <c r="AJ5" s="157">
        <v>1</v>
      </c>
    </row>
    <row r="6" spans="1:36" ht="24.95" customHeight="1" x14ac:dyDescent="0.25">
      <c r="A6" s="182" t="str">
        <f t="shared" ref="A6:A16" si="12">IF(B6="",A5,B6)</f>
        <v>مجتمع خراسان</v>
      </c>
      <c r="B6" s="216"/>
      <c r="C6" s="167" t="str">
        <f>تجمیعی!B5</f>
        <v>اردیبهشت</v>
      </c>
      <c r="D6" s="171">
        <f t="shared" si="0"/>
        <v>3329</v>
      </c>
      <c r="E6" s="159">
        <f t="shared" si="0"/>
        <v>3159.2034526979905</v>
      </c>
      <c r="F6" s="159">
        <f t="shared" ref="F6:F69" si="13">IFERROR(SUM(D6,-E6),"")</f>
        <v>169.79654730200946</v>
      </c>
      <c r="G6" s="175">
        <f>IF(SUM(D6:D16)=0,"",IFERROR(D6/E6,""))</f>
        <v>1.0537466326067102</v>
      </c>
      <c r="H6" s="171">
        <f t="shared" si="1"/>
        <v>4584</v>
      </c>
      <c r="I6" s="159">
        <f t="shared" si="1"/>
        <v>3365.6030464002229</v>
      </c>
      <c r="J6" s="159">
        <f t="shared" ref="J6:J69" si="14">IFERROR(SUM(H6,-I6),"")</f>
        <v>1218.3969535997771</v>
      </c>
      <c r="K6" s="175">
        <f>IF(SUM(H6:H16)=0,"",IFERROR(H6/I6,""))</f>
        <v>1.3620144553003506</v>
      </c>
      <c r="L6" s="171">
        <f t="shared" si="2"/>
        <v>0</v>
      </c>
      <c r="M6" s="159">
        <f t="shared" si="2"/>
        <v>13.220744489372093</v>
      </c>
      <c r="N6" s="159">
        <f t="shared" ref="N6:N69" si="15">IFERROR(SUM(L6,-M6),"")</f>
        <v>-13.220744489372093</v>
      </c>
      <c r="O6" s="175">
        <f>IF(SUM(L6:L16)=0,"",IFERROR(L6/M6,""))</f>
        <v>0</v>
      </c>
      <c r="P6" s="171">
        <f t="shared" si="3"/>
        <v>54049</v>
      </c>
      <c r="Q6" s="159">
        <f t="shared" si="3"/>
        <v>70938.900760016404</v>
      </c>
      <c r="R6" s="159">
        <f t="shared" ref="R6:R69" si="16">IFERROR(SUM(P6,-Q6),"")</f>
        <v>-16889.900760016404</v>
      </c>
      <c r="S6" s="175">
        <f>IF(SUM(P6:P16)=0,"",IFERROR(P6/Q6,""))</f>
        <v>0.76190918411388564</v>
      </c>
      <c r="T6" s="171">
        <f t="shared" si="4"/>
        <v>5851</v>
      </c>
      <c r="U6" s="159">
        <f t="shared" si="5"/>
        <v>6318.4069053959811</v>
      </c>
      <c r="V6" s="159">
        <f t="shared" ref="V6:V69" si="17">IFERROR(SUM(T6,-U6),"")</f>
        <v>-467.40690539598108</v>
      </c>
      <c r="W6" s="175">
        <f>IF(SUM(T6:T16)=0,"",IFERROR(T6/U6,""))</f>
        <v>0.92602456404053191</v>
      </c>
      <c r="X6" s="171">
        <f t="shared" si="6"/>
        <v>7622</v>
      </c>
      <c r="Y6" s="159">
        <f t="shared" si="7"/>
        <v>6731.2060928004457</v>
      </c>
      <c r="Z6" s="159">
        <f t="shared" ref="Z6:Z69" si="18">IFERROR(SUM(X6,-Y6),"")</f>
        <v>890.79390719955427</v>
      </c>
      <c r="AA6" s="175">
        <f>IF(SUM(X6:X16)=0,"",IFERROR(X6/Y6,""))</f>
        <v>1.1323379339331667</v>
      </c>
      <c r="AB6" s="171">
        <f t="shared" si="8"/>
        <v>0</v>
      </c>
      <c r="AC6" s="159">
        <f t="shared" si="9"/>
        <v>26.441488978744186</v>
      </c>
      <c r="AD6" s="159">
        <f t="shared" ref="AD6:AD69" si="19">IFERROR(SUM(AB6,-AC6),"")</f>
        <v>-26.441488978744186</v>
      </c>
      <c r="AE6" s="175">
        <f>IF(SUM(AB6:AB16)=0,"",IFERROR(AB6/AC6,""))</f>
        <v>0</v>
      </c>
      <c r="AF6" s="171">
        <f t="shared" si="10"/>
        <v>89780</v>
      </c>
      <c r="AG6" s="159">
        <f t="shared" si="11"/>
        <v>141877.80152003281</v>
      </c>
      <c r="AH6" s="159">
        <f t="shared" ref="AH6:AH69" si="20">IFERROR(SUM(AF6,-AG6),"")</f>
        <v>-52097.801520032808</v>
      </c>
      <c r="AI6" s="187">
        <f>IF(SUM(AF6:AF16)=0,"",IFERROR(AF6/AG6,""))</f>
        <v>0.63279807720535675</v>
      </c>
      <c r="AJ6" s="157">
        <f>AJ5+1</f>
        <v>2</v>
      </c>
    </row>
    <row r="7" spans="1:36" ht="24.95" customHeight="1" x14ac:dyDescent="0.25">
      <c r="A7" s="182" t="str">
        <f t="shared" si="12"/>
        <v>مجتمع خراسان</v>
      </c>
      <c r="B7" s="216"/>
      <c r="C7" s="167" t="str">
        <f>تجمیعی!B6</f>
        <v>خرداد</v>
      </c>
      <c r="D7" s="171">
        <f t="shared" si="0"/>
        <v>2317</v>
      </c>
      <c r="E7" s="159">
        <f t="shared" si="0"/>
        <v>3159.2034526979905</v>
      </c>
      <c r="F7" s="159">
        <f t="shared" si="13"/>
        <v>-842.20345269799054</v>
      </c>
      <c r="G7" s="175">
        <f>IF(SUM(D7:D16)=0,"",IFERROR(D7/E7,""))</f>
        <v>0.73341272086204501</v>
      </c>
      <c r="H7" s="171">
        <f t="shared" si="1"/>
        <v>2552</v>
      </c>
      <c r="I7" s="159">
        <f t="shared" si="1"/>
        <v>3365.6030464002229</v>
      </c>
      <c r="J7" s="159">
        <f t="shared" si="14"/>
        <v>-813.60304640022287</v>
      </c>
      <c r="K7" s="175">
        <f>IF(SUM(H7:H16)=0,"",IFERROR(H7/I7,""))</f>
        <v>0.75825935644120734</v>
      </c>
      <c r="L7" s="171">
        <f t="shared" si="2"/>
        <v>0</v>
      </c>
      <c r="M7" s="159">
        <f t="shared" si="2"/>
        <v>13.220744489372093</v>
      </c>
      <c r="N7" s="159">
        <f t="shared" si="15"/>
        <v>-13.220744489372093</v>
      </c>
      <c r="O7" s="175">
        <f>IF(SUM(L7:L16)=0,"",IFERROR(L7/M7,""))</f>
        <v>0</v>
      </c>
      <c r="P7" s="171">
        <f t="shared" si="3"/>
        <v>45135</v>
      </c>
      <c r="Q7" s="159">
        <f t="shared" si="3"/>
        <v>70938.900760016404</v>
      </c>
      <c r="R7" s="159">
        <f t="shared" si="16"/>
        <v>-25803.900760016404</v>
      </c>
      <c r="S7" s="175">
        <f>IF(SUM(P7:P16)=0,"",IFERROR(P7/Q7,""))</f>
        <v>0.63625175350108654</v>
      </c>
      <c r="T7" s="171">
        <f t="shared" si="4"/>
        <v>8168</v>
      </c>
      <c r="U7" s="159">
        <f t="shared" si="5"/>
        <v>9477.6103580939707</v>
      </c>
      <c r="V7" s="159">
        <f t="shared" si="17"/>
        <v>-1309.6103580939707</v>
      </c>
      <c r="W7" s="175">
        <f>IF(SUM(T7:T16)=0,"",IFERROR(T7/U7,""))</f>
        <v>0.86182061631436968</v>
      </c>
      <c r="X7" s="171">
        <f t="shared" si="6"/>
        <v>10174</v>
      </c>
      <c r="Y7" s="159">
        <f t="shared" si="7"/>
        <v>10096.809139200668</v>
      </c>
      <c r="Z7" s="159">
        <f t="shared" si="18"/>
        <v>77.190860799331858</v>
      </c>
      <c r="AA7" s="175">
        <f>IF(SUM(X7:X16)=0,"",IFERROR(X7/Y7,""))</f>
        <v>1.0076450747691803</v>
      </c>
      <c r="AB7" s="171">
        <f t="shared" si="8"/>
        <v>0</v>
      </c>
      <c r="AC7" s="159">
        <f t="shared" si="9"/>
        <v>39.662233468116277</v>
      </c>
      <c r="AD7" s="159">
        <f t="shared" si="19"/>
        <v>-39.662233468116277</v>
      </c>
      <c r="AE7" s="175">
        <f>IF(SUM(AB7:AB16)=0,"",IFERROR(AB7/AC7,""))</f>
        <v>0</v>
      </c>
      <c r="AF7" s="171">
        <f t="shared" si="10"/>
        <v>134915</v>
      </c>
      <c r="AG7" s="159">
        <f t="shared" si="11"/>
        <v>212816.70228004921</v>
      </c>
      <c r="AH7" s="159">
        <f t="shared" si="20"/>
        <v>-77901.702280049212</v>
      </c>
      <c r="AI7" s="187">
        <f>IF(SUM(AF7:AF16)=0,"",IFERROR(AF7/AG7,""))</f>
        <v>0.63394930263726668</v>
      </c>
      <c r="AJ7" s="157">
        <f t="shared" ref="AJ7:AJ15" si="21">AJ6+1</f>
        <v>3</v>
      </c>
    </row>
    <row r="8" spans="1:36" ht="24.95" customHeight="1" x14ac:dyDescent="0.25">
      <c r="A8" s="182" t="str">
        <f t="shared" si="12"/>
        <v>مجتمع خراسان</v>
      </c>
      <c r="B8" s="216"/>
      <c r="C8" s="167" t="str">
        <f>تجمیعی!B7</f>
        <v>تیر</v>
      </c>
      <c r="D8" s="171">
        <f t="shared" si="0"/>
        <v>2908</v>
      </c>
      <c r="E8" s="159">
        <f t="shared" si="0"/>
        <v>3142.9829796213862</v>
      </c>
      <c r="F8" s="159">
        <f t="shared" si="13"/>
        <v>-234.98297962138622</v>
      </c>
      <c r="G8" s="175">
        <f>IF(SUM(D8:D16)=0,"",IFERROR(D8/E8,""))</f>
        <v>0.92523568178861315</v>
      </c>
      <c r="H8" s="171">
        <f t="shared" si="1"/>
        <v>3351</v>
      </c>
      <c r="I8" s="159">
        <f t="shared" si="1"/>
        <v>2963.8646353603276</v>
      </c>
      <c r="J8" s="159">
        <f t="shared" si="14"/>
        <v>387.13536463967239</v>
      </c>
      <c r="K8" s="175">
        <f>IF(SUM(H8:H16)=0,"",IFERROR(H8/I8,""))</f>
        <v>1.1306184364903045</v>
      </c>
      <c r="L8" s="171">
        <f t="shared" si="2"/>
        <v>0</v>
      </c>
      <c r="M8" s="159">
        <f t="shared" si="2"/>
        <v>51.62912156458102</v>
      </c>
      <c r="N8" s="159">
        <f t="shared" si="15"/>
        <v>-51.62912156458102</v>
      </c>
      <c r="O8" s="175">
        <f>IF(SUM(L8:L16)=0,"",IFERROR(L8/M8,""))</f>
        <v>0</v>
      </c>
      <c r="P8" s="171">
        <f t="shared" si="3"/>
        <v>83791</v>
      </c>
      <c r="Q8" s="159">
        <f t="shared" si="3"/>
        <v>51099.350882923223</v>
      </c>
      <c r="R8" s="159">
        <f t="shared" si="16"/>
        <v>32691.649117076777</v>
      </c>
      <c r="S8" s="175">
        <f>IF(SUM(P8:P16)=0,"",IFERROR(P8/Q8,""))</f>
        <v>1.6397664266221026</v>
      </c>
      <c r="T8" s="171">
        <f t="shared" si="4"/>
        <v>11076</v>
      </c>
      <c r="U8" s="159">
        <f t="shared" si="5"/>
        <v>12620.593337715356</v>
      </c>
      <c r="V8" s="159">
        <f t="shared" si="17"/>
        <v>-1544.593337715356</v>
      </c>
      <c r="W8" s="175">
        <f>IF(SUM(T8:T16)=0,"",IFERROR(T8/U8,""))</f>
        <v>0.87761325506785037</v>
      </c>
      <c r="X8" s="171">
        <f t="shared" si="6"/>
        <v>13525</v>
      </c>
      <c r="Y8" s="159">
        <f t="shared" si="7"/>
        <v>13060.673774560995</v>
      </c>
      <c r="Z8" s="159">
        <f t="shared" si="18"/>
        <v>464.3262254390047</v>
      </c>
      <c r="AA8" s="175">
        <f>IF(SUM(X8:X16)=0,"",IFERROR(X8/Y8,""))</f>
        <v>1.035551475632398</v>
      </c>
      <c r="AB8" s="171">
        <f t="shared" si="8"/>
        <v>0</v>
      </c>
      <c r="AC8" s="159">
        <f t="shared" si="9"/>
        <v>91.291355032697297</v>
      </c>
      <c r="AD8" s="159">
        <f t="shared" si="19"/>
        <v>-91.291355032697297</v>
      </c>
      <c r="AE8" s="175">
        <f>IF(SUM(AB8:AB16)=0,"",IFERROR(AB8/AC8,""))</f>
        <v>0</v>
      </c>
      <c r="AF8" s="171">
        <f t="shared" si="10"/>
        <v>218706</v>
      </c>
      <c r="AG8" s="159">
        <f t="shared" si="11"/>
        <v>263916.05316297244</v>
      </c>
      <c r="AH8" s="159">
        <f t="shared" si="20"/>
        <v>-45210.053162972443</v>
      </c>
      <c r="AI8" s="187">
        <f>IF(SUM(AF8:AF16)=0,"",IFERROR(AF8/AG8,""))</f>
        <v>0.82869532708927518</v>
      </c>
      <c r="AJ8" s="157">
        <f t="shared" si="21"/>
        <v>4</v>
      </c>
    </row>
    <row r="9" spans="1:36" ht="24.95" customHeight="1" x14ac:dyDescent="0.25">
      <c r="A9" s="182" t="str">
        <f>IF(B9="",A8,B9)</f>
        <v>مجتمع خراسان</v>
      </c>
      <c r="B9" s="216"/>
      <c r="C9" s="167" t="str">
        <f>تجمیعی!B8</f>
        <v>مرداد</v>
      </c>
      <c r="D9" s="171">
        <f t="shared" si="0"/>
        <v>7312</v>
      </c>
      <c r="E9" s="159">
        <f t="shared" si="0"/>
        <v>3142.9829796213862</v>
      </c>
      <c r="F9" s="159">
        <f t="shared" si="13"/>
        <v>4169.0170203786138</v>
      </c>
      <c r="G9" s="175">
        <f>IF(SUM(D9:D16)=0,"",IFERROR(D9/E9,""))</f>
        <v>2.3264523057903506</v>
      </c>
      <c r="H9" s="171">
        <f t="shared" si="1"/>
        <v>4861</v>
      </c>
      <c r="I9" s="159">
        <f t="shared" si="1"/>
        <v>2963.8646353603276</v>
      </c>
      <c r="J9" s="159">
        <f t="shared" si="14"/>
        <v>1897.1353646396724</v>
      </c>
      <c r="K9" s="175">
        <f>IF(SUM(H9:H16)=0,"",IFERROR(H9/I9,""))</f>
        <v>1.6400883974274456</v>
      </c>
      <c r="L9" s="171">
        <f t="shared" si="2"/>
        <v>0</v>
      </c>
      <c r="M9" s="159">
        <f t="shared" si="2"/>
        <v>51.62912156458102</v>
      </c>
      <c r="N9" s="159">
        <f t="shared" si="15"/>
        <v>-51.62912156458102</v>
      </c>
      <c r="O9" s="175">
        <f>IF(SUM(L9:L16)=0,"",IFERROR(L9/M9,""))</f>
        <v>0</v>
      </c>
      <c r="P9" s="171">
        <f t="shared" si="3"/>
        <v>78725</v>
      </c>
      <c r="Q9" s="159">
        <f t="shared" si="3"/>
        <v>51099.350882923223</v>
      </c>
      <c r="R9" s="159">
        <f t="shared" si="16"/>
        <v>27625.649117076777</v>
      </c>
      <c r="S9" s="175">
        <f>IF(SUM(P9:P16)=0,"",IFERROR(P9/Q9,""))</f>
        <v>1.5406262240076503</v>
      </c>
      <c r="T9" s="171">
        <f t="shared" si="4"/>
        <v>18388</v>
      </c>
      <c r="U9" s="159">
        <f t="shared" si="5"/>
        <v>15763.576317336741</v>
      </c>
      <c r="V9" s="159">
        <f t="shared" si="17"/>
        <v>2624.4236826632587</v>
      </c>
      <c r="W9" s="175">
        <f>IF(SUM(T9:T16)=0,"",IFERROR(T9/U9,""))</f>
        <v>1.1664865656010384</v>
      </c>
      <c r="X9" s="171">
        <f t="shared" si="6"/>
        <v>18386</v>
      </c>
      <c r="Y9" s="159">
        <f t="shared" si="7"/>
        <v>16024.538409921322</v>
      </c>
      <c r="Z9" s="159">
        <f t="shared" si="18"/>
        <v>2361.4615900786775</v>
      </c>
      <c r="AA9" s="175">
        <f>IF(SUM(X9:X16)=0,"",IFERROR(X9/Y9,""))</f>
        <v>1.1473653424311192</v>
      </c>
      <c r="AB9" s="171">
        <f t="shared" si="8"/>
        <v>0</v>
      </c>
      <c r="AC9" s="159">
        <f t="shared" si="9"/>
        <v>142.92047659727831</v>
      </c>
      <c r="AD9" s="159">
        <f t="shared" si="19"/>
        <v>-142.92047659727831</v>
      </c>
      <c r="AE9" s="175">
        <f>IF(SUM(AB9:AB16)=0,"",IFERROR(AB9/AC9,""))</f>
        <v>0</v>
      </c>
      <c r="AF9" s="171">
        <f t="shared" si="10"/>
        <v>297431</v>
      </c>
      <c r="AG9" s="159">
        <f t="shared" si="11"/>
        <v>315015.40404589567</v>
      </c>
      <c r="AH9" s="159">
        <f t="shared" si="20"/>
        <v>-17584.404045895673</v>
      </c>
      <c r="AI9" s="187">
        <f>IF(SUM(AF9:AF16)=0,"",IFERROR(AF9/AG9,""))</f>
        <v>0.94417922482503824</v>
      </c>
      <c r="AJ9" s="157">
        <f t="shared" si="21"/>
        <v>5</v>
      </c>
    </row>
    <row r="10" spans="1:36" ht="24.95" customHeight="1" x14ac:dyDescent="0.25">
      <c r="A10" s="182" t="str">
        <f t="shared" si="12"/>
        <v>مجتمع خراسان</v>
      </c>
      <c r="B10" s="216"/>
      <c r="C10" s="167" t="str">
        <f>تجمیعی!B9</f>
        <v>شهریور</v>
      </c>
      <c r="D10" s="171">
        <f t="shared" si="0"/>
        <v>6573</v>
      </c>
      <c r="E10" s="159">
        <f t="shared" si="0"/>
        <v>3142.9829796213862</v>
      </c>
      <c r="F10" s="159">
        <f t="shared" ref="F10" si="22">IFERROR(SUM(D10,-E10),"")</f>
        <v>3430.0170203786138</v>
      </c>
      <c r="G10" s="175">
        <f>IF(SUM(D10:D16)=0,"",IFERROR(D10/E10,""))</f>
        <v>2.0913253563949636</v>
      </c>
      <c r="H10" s="171">
        <f t="shared" si="1"/>
        <v>7970</v>
      </c>
      <c r="I10" s="159">
        <f t="shared" si="1"/>
        <v>2963.8646353603276</v>
      </c>
      <c r="J10" s="159">
        <f t="shared" ref="J10" si="23">IFERROR(SUM(H10,-I10),"")</f>
        <v>5006.1353646396728</v>
      </c>
      <c r="K10" s="175">
        <f>IF(SUM(H10:H16)=0,"",IFERROR(H10/I10,""))</f>
        <v>2.6890566812377581</v>
      </c>
      <c r="L10" s="171">
        <f t="shared" si="2"/>
        <v>18</v>
      </c>
      <c r="M10" s="159">
        <f t="shared" si="2"/>
        <v>51.62912156458102</v>
      </c>
      <c r="N10" s="159">
        <f t="shared" ref="N10" si="24">IFERROR(SUM(L10,-M10),"")</f>
        <v>-33.62912156458102</v>
      </c>
      <c r="O10" s="175">
        <f>IF(SUM(L10:L16)=0,"",IFERROR(L10/M10,""))</f>
        <v>0.34864044660307547</v>
      </c>
      <c r="P10" s="171">
        <f t="shared" si="3"/>
        <v>81319</v>
      </c>
      <c r="Q10" s="159">
        <f t="shared" si="3"/>
        <v>51099.350882923223</v>
      </c>
      <c r="R10" s="159">
        <f t="shared" ref="R10" si="25">IFERROR(SUM(P10,-Q10),"")</f>
        <v>30219.649117076777</v>
      </c>
      <c r="S10" s="175">
        <f>IF(SUM(P10:P16)=0,"",IFERROR(P10/Q10,""))</f>
        <v>1.5913900782480548</v>
      </c>
      <c r="T10" s="171">
        <f t="shared" si="4"/>
        <v>24961</v>
      </c>
      <c r="U10" s="159">
        <f t="shared" si="5"/>
        <v>18906.559296958127</v>
      </c>
      <c r="V10" s="159">
        <f t="shared" si="17"/>
        <v>6054.4407030418733</v>
      </c>
      <c r="W10" s="175">
        <f>IF(SUM(T10:T16)=0,"",IFERROR(T10/U10,""))</f>
        <v>1.3202296413613435</v>
      </c>
      <c r="X10" s="171">
        <f t="shared" si="6"/>
        <v>26356</v>
      </c>
      <c r="Y10" s="159">
        <f t="shared" si="7"/>
        <v>18988.403045281651</v>
      </c>
      <c r="Z10" s="159">
        <f t="shared" si="18"/>
        <v>7367.5969547183486</v>
      </c>
      <c r="AA10" s="175">
        <f>IF(SUM(X10:X16)=0,"",IFERROR(X10/Y10,""))</f>
        <v>1.3880050859015809</v>
      </c>
      <c r="AB10" s="171">
        <f t="shared" si="8"/>
        <v>18</v>
      </c>
      <c r="AC10" s="159">
        <f t="shared" si="9"/>
        <v>194.54959816185934</v>
      </c>
      <c r="AD10" s="159">
        <f t="shared" si="19"/>
        <v>-176.54959816185934</v>
      </c>
      <c r="AE10" s="175">
        <f>IF(SUM(AB10:AB16)=0,"",IFERROR(AB10/AC10,""))</f>
        <v>9.2521393876252314E-2</v>
      </c>
      <c r="AF10" s="171">
        <f t="shared" si="10"/>
        <v>378750</v>
      </c>
      <c r="AG10" s="159">
        <f t="shared" si="11"/>
        <v>366114.7549288189</v>
      </c>
      <c r="AH10" s="159">
        <f t="shared" si="20"/>
        <v>12635.245071181096</v>
      </c>
      <c r="AI10" s="187">
        <f>IF(SUM(AF10:AF16)=0,"",IFERROR(AF10/AG10,""))</f>
        <v>1.0345117067834038</v>
      </c>
      <c r="AJ10" s="157">
        <f t="shared" si="21"/>
        <v>6</v>
      </c>
    </row>
    <row r="11" spans="1:36" ht="24.95" customHeight="1" x14ac:dyDescent="0.25">
      <c r="A11" s="182" t="str">
        <f t="shared" si="12"/>
        <v>مجتمع خراسان</v>
      </c>
      <c r="B11" s="216"/>
      <c r="C11" s="167" t="str">
        <f>تجمیعی!B10</f>
        <v>مهر</v>
      </c>
      <c r="D11" s="171">
        <f t="shared" si="0"/>
        <v>6018</v>
      </c>
      <c r="E11" s="159">
        <f t="shared" si="0"/>
        <v>3387.1302343472889</v>
      </c>
      <c r="F11" s="159">
        <f t="shared" si="13"/>
        <v>2630.8697656527111</v>
      </c>
      <c r="G11" s="175">
        <f>IF(SUM(D11:D16)=0,"",IFERROR(D11/E11,""))</f>
        <v>1.7767253053851613</v>
      </c>
      <c r="H11" s="171">
        <f t="shared" si="1"/>
        <v>4942</v>
      </c>
      <c r="I11" s="159">
        <f t="shared" si="1"/>
        <v>3304.3156515727819</v>
      </c>
      <c r="J11" s="159">
        <f t="shared" si="14"/>
        <v>1637.6843484272181</v>
      </c>
      <c r="K11" s="175">
        <f>IF(SUM(H11:H16)=0,"",IFERROR(H11/I11,""))</f>
        <v>1.4956198260440754</v>
      </c>
      <c r="L11" s="171">
        <f t="shared" si="2"/>
        <v>0</v>
      </c>
      <c r="M11" s="159">
        <f t="shared" si="2"/>
        <v>45.750133946046901</v>
      </c>
      <c r="N11" s="159">
        <f t="shared" si="15"/>
        <v>-45.750133946046901</v>
      </c>
      <c r="O11" s="175" t="str">
        <f>IF(SUM(L11:L16)=0,"",IFERROR(L11/M11,""))</f>
        <v/>
      </c>
      <c r="P11" s="171">
        <f t="shared" si="3"/>
        <v>81957</v>
      </c>
      <c r="Q11" s="159">
        <f t="shared" si="3"/>
        <v>66169.548357060426</v>
      </c>
      <c r="R11" s="159">
        <f t="shared" si="16"/>
        <v>15787.451642939574</v>
      </c>
      <c r="S11" s="175">
        <f>IF(SUM(P11:P16)=0,"",IFERROR(P11/Q11,""))</f>
        <v>1.2385908931665697</v>
      </c>
      <c r="T11" s="171">
        <f t="shared" si="4"/>
        <v>30979</v>
      </c>
      <c r="U11" s="159">
        <f t="shared" si="5"/>
        <v>22293.689531305416</v>
      </c>
      <c r="V11" s="159">
        <f t="shared" si="17"/>
        <v>8685.3104686945844</v>
      </c>
      <c r="W11" s="175">
        <f>IF(SUM(T11:T16)=0,"",IFERROR(T11/U11,""))</f>
        <v>1.3895860510885123</v>
      </c>
      <c r="X11" s="171">
        <f t="shared" si="6"/>
        <v>31298</v>
      </c>
      <c r="Y11" s="159">
        <f t="shared" si="7"/>
        <v>22292.718696854434</v>
      </c>
      <c r="Z11" s="159">
        <f t="shared" si="18"/>
        <v>9005.2813031455662</v>
      </c>
      <c r="AA11" s="175">
        <f>IF(SUM(X11:X16)=0,"",IFERROR(X11/Y11,""))</f>
        <v>1.4039561717708409</v>
      </c>
      <c r="AB11" s="171">
        <f t="shared" si="8"/>
        <v>18</v>
      </c>
      <c r="AC11" s="159">
        <f t="shared" si="9"/>
        <v>240.29973210790624</v>
      </c>
      <c r="AD11" s="159">
        <f t="shared" si="19"/>
        <v>-222.29973210790624</v>
      </c>
      <c r="AE11" s="175">
        <f>IF(SUM(AB11:AB16)=0,"",IFERROR(AB11/AC11,""))</f>
        <v>7.4906450548671968E-2</v>
      </c>
      <c r="AF11" s="171">
        <f t="shared" si="10"/>
        <v>460707</v>
      </c>
      <c r="AG11" s="159">
        <f t="shared" si="11"/>
        <v>432284.30328587932</v>
      </c>
      <c r="AH11" s="159">
        <f t="shared" si="20"/>
        <v>28422.696714120684</v>
      </c>
      <c r="AI11" s="187">
        <f>IF(SUM(AF11:AF16)=0,"",IFERROR(AF11/AG11,""))</f>
        <v>1.0657500087282237</v>
      </c>
      <c r="AJ11" s="157">
        <f t="shared" si="21"/>
        <v>7</v>
      </c>
    </row>
    <row r="12" spans="1:36" ht="24.95" customHeight="1" x14ac:dyDescent="0.25">
      <c r="A12" s="182" t="str">
        <f t="shared" si="12"/>
        <v>مجتمع خراسان</v>
      </c>
      <c r="B12" s="216"/>
      <c r="C12" s="167" t="str">
        <f>تجمیعی!B11</f>
        <v>آبان</v>
      </c>
      <c r="D12" s="171">
        <f t="shared" si="0"/>
        <v>5221</v>
      </c>
      <c r="E12" s="159">
        <f t="shared" si="0"/>
        <v>3387.1302343472889</v>
      </c>
      <c r="F12" s="159">
        <f t="shared" si="13"/>
        <v>1833.8697656527111</v>
      </c>
      <c r="G12" s="175">
        <f>IF(SUM(D12:D16)=0,"",IFERROR(D12/E12,""))</f>
        <v>1.5414228679654249</v>
      </c>
      <c r="H12" s="171">
        <f t="shared" si="1"/>
        <v>6646</v>
      </c>
      <c r="I12" s="159">
        <f t="shared" si="1"/>
        <v>3304.3156515727819</v>
      </c>
      <c r="J12" s="159">
        <f t="shared" si="14"/>
        <v>3341.6843484272181</v>
      </c>
      <c r="K12" s="175">
        <f>IF(SUM(H12:H16)=0,"",IFERROR(H12/I12,""))</f>
        <v>2.0113090578488317</v>
      </c>
      <c r="L12" s="171">
        <f t="shared" si="2"/>
        <v>0</v>
      </c>
      <c r="M12" s="159">
        <f t="shared" si="2"/>
        <v>45.750133946046901</v>
      </c>
      <c r="N12" s="159">
        <f t="shared" si="15"/>
        <v>-45.750133946046901</v>
      </c>
      <c r="O12" s="175" t="str">
        <f>IF(SUM(L12:L16)=0,"",IFERROR(L12/M12,""))</f>
        <v/>
      </c>
      <c r="P12" s="171">
        <f t="shared" si="3"/>
        <v>77237</v>
      </c>
      <c r="Q12" s="159">
        <f t="shared" si="3"/>
        <v>66169.548357060426</v>
      </c>
      <c r="R12" s="159">
        <f t="shared" si="16"/>
        <v>11067.451642939574</v>
      </c>
      <c r="S12" s="175">
        <f>IF(SUM(P12:P16)=0,"",IFERROR(P12/Q12,""))</f>
        <v>1.1672589872189849</v>
      </c>
      <c r="T12" s="171">
        <f t="shared" si="4"/>
        <v>36200</v>
      </c>
      <c r="U12" s="159">
        <f t="shared" si="5"/>
        <v>25680.819765652705</v>
      </c>
      <c r="V12" s="159">
        <f t="shared" si="17"/>
        <v>10519.180234347295</v>
      </c>
      <c r="W12" s="175">
        <f>IF(SUM(T12:T16)=0,"",IFERROR(T12/U12,""))</f>
        <v>1.4096123227505521</v>
      </c>
      <c r="X12" s="171">
        <f t="shared" si="6"/>
        <v>37944</v>
      </c>
      <c r="Y12" s="159">
        <f t="shared" si="7"/>
        <v>25597.034348427216</v>
      </c>
      <c r="Z12" s="159">
        <f t="shared" si="18"/>
        <v>12346.965651572784</v>
      </c>
      <c r="AA12" s="175">
        <f>IF(SUM(X12:X16)=0,"",IFERROR(X12/Y12,""))</f>
        <v>1.4823592250377799</v>
      </c>
      <c r="AB12" s="171">
        <f t="shared" si="8"/>
        <v>18</v>
      </c>
      <c r="AC12" s="159">
        <f t="shared" si="9"/>
        <v>286.04986605395311</v>
      </c>
      <c r="AD12" s="159">
        <f t="shared" si="19"/>
        <v>-268.04986605395311</v>
      </c>
      <c r="AE12" s="175">
        <f>IF(SUM(AB12:AB16)=0,"",IFERROR(AB12/AC12,""))</f>
        <v>6.2926091343125962E-2</v>
      </c>
      <c r="AF12" s="171">
        <f t="shared" si="10"/>
        <v>537944</v>
      </c>
      <c r="AG12" s="159">
        <f t="shared" si="11"/>
        <v>498453.85164293973</v>
      </c>
      <c r="AH12" s="159">
        <f t="shared" si="20"/>
        <v>39490.148357060272</v>
      </c>
      <c r="AI12" s="187">
        <f>IF(SUM(AF12:AF16)=0,"",IFERROR(AF12/AG12,""))</f>
        <v>1.079225284801989</v>
      </c>
      <c r="AJ12" s="157">
        <f t="shared" si="21"/>
        <v>8</v>
      </c>
    </row>
    <row r="13" spans="1:36" ht="24.95" customHeight="1" x14ac:dyDescent="0.25">
      <c r="A13" s="182" t="str">
        <f t="shared" si="12"/>
        <v>مجتمع خراسان</v>
      </c>
      <c r="B13" s="216"/>
      <c r="C13" s="167" t="str">
        <f>تجمیعی!B12</f>
        <v>آذر</v>
      </c>
      <c r="D13" s="171">
        <f t="shared" si="0"/>
        <v>4310</v>
      </c>
      <c r="E13" s="159">
        <f t="shared" si="0"/>
        <v>3387.1302343472889</v>
      </c>
      <c r="F13" s="159">
        <f t="shared" si="13"/>
        <v>922.86976565271107</v>
      </c>
      <c r="G13" s="175">
        <f>IF(SUM(D13:D16)=0,"",IFERROR(D13/E13,""))</f>
        <v>1.2724636201744841</v>
      </c>
      <c r="H13" s="171">
        <f t="shared" si="1"/>
        <v>4251</v>
      </c>
      <c r="I13" s="159">
        <f t="shared" si="1"/>
        <v>3304.3156515727819</v>
      </c>
      <c r="J13" s="159">
        <f t="shared" si="14"/>
        <v>946.68434842721808</v>
      </c>
      <c r="K13" s="175">
        <f>IF(SUM(H13:H16)=0,"",IFERROR(H13/I13,""))</f>
        <v>1.2864993687805271</v>
      </c>
      <c r="L13" s="171">
        <f t="shared" si="2"/>
        <v>0</v>
      </c>
      <c r="M13" s="159">
        <f t="shared" si="2"/>
        <v>45.750133946046901</v>
      </c>
      <c r="N13" s="159">
        <f t="shared" si="15"/>
        <v>-45.750133946046901</v>
      </c>
      <c r="O13" s="175" t="str">
        <f>IF(SUM(L13:L16)=0,"",IFERROR(L13/M13,""))</f>
        <v/>
      </c>
      <c r="P13" s="171">
        <f t="shared" si="3"/>
        <v>54303</v>
      </c>
      <c r="Q13" s="159">
        <f t="shared" si="3"/>
        <v>66169.548357060426</v>
      </c>
      <c r="R13" s="159">
        <f t="shared" si="16"/>
        <v>-11866.548357060426</v>
      </c>
      <c r="S13" s="175">
        <f>IF(SUM(P13:P16)=0,"",IFERROR(P13/Q13,""))</f>
        <v>0.82066451031180054</v>
      </c>
      <c r="T13" s="171">
        <f t="shared" si="4"/>
        <v>40510</v>
      </c>
      <c r="U13" s="159">
        <f t="shared" si="5"/>
        <v>29067.949999999993</v>
      </c>
      <c r="V13" s="159">
        <f t="shared" si="17"/>
        <v>11442.050000000007</v>
      </c>
      <c r="W13" s="175">
        <f>IF(SUM(T13:T16)=0,"",IFERROR(T13/U13,""))</f>
        <v>1.3936311298182364</v>
      </c>
      <c r="X13" s="171">
        <f t="shared" si="6"/>
        <v>42195</v>
      </c>
      <c r="Y13" s="159">
        <f t="shared" si="7"/>
        <v>28901.35</v>
      </c>
      <c r="Z13" s="159">
        <f t="shared" si="18"/>
        <v>13293.650000000001</v>
      </c>
      <c r="AA13" s="175">
        <f>IF(SUM(X13:X16)=0,"",IFERROR(X13/Y13,""))</f>
        <v>1.4599664029534953</v>
      </c>
      <c r="AB13" s="171">
        <f t="shared" si="8"/>
        <v>18</v>
      </c>
      <c r="AC13" s="159">
        <f t="shared" si="9"/>
        <v>331.8</v>
      </c>
      <c r="AD13" s="159">
        <f t="shared" si="19"/>
        <v>-313.8</v>
      </c>
      <c r="AE13" s="175">
        <f>IF(SUM(AB13:AB16)=0,"",IFERROR(AB13/AC13,""))</f>
        <v>5.4249547920433995E-2</v>
      </c>
      <c r="AF13" s="171">
        <f t="shared" si="10"/>
        <v>592247</v>
      </c>
      <c r="AG13" s="159">
        <f t="shared" si="11"/>
        <v>564623.40000000014</v>
      </c>
      <c r="AH13" s="159">
        <f t="shared" si="20"/>
        <v>27623.59999999986</v>
      </c>
      <c r="AI13" s="187">
        <f>IF(SUM(AF13:AF16)=0,"",IFERROR(AF13/AG13,""))</f>
        <v>1.0489239376193049</v>
      </c>
      <c r="AJ13" s="157">
        <f t="shared" si="21"/>
        <v>9</v>
      </c>
    </row>
    <row r="14" spans="1:36" ht="24.95" customHeight="1" x14ac:dyDescent="0.25">
      <c r="A14" s="182" t="str">
        <f t="shared" si="12"/>
        <v>مجتمع خراسان</v>
      </c>
      <c r="B14" s="216"/>
      <c r="C14" s="167" t="str">
        <f>تجمیعی!B13</f>
        <v>دی</v>
      </c>
      <c r="D14" s="171">
        <f t="shared" si="0"/>
        <v>3090</v>
      </c>
      <c r="E14" s="159">
        <f t="shared" si="0"/>
        <v>3499.7292409201928</v>
      </c>
      <c r="F14" s="159">
        <f t="shared" si="13"/>
        <v>-409.72924092019275</v>
      </c>
      <c r="G14" s="175">
        <f>IF(SUM(D14:D16)=0,"",IFERROR(D14/E14,""))</f>
        <v>0.88292544573749321</v>
      </c>
      <c r="H14" s="171">
        <f t="shared" si="1"/>
        <v>3004</v>
      </c>
      <c r="I14" s="159">
        <f t="shared" si="1"/>
        <v>2728.281826842855</v>
      </c>
      <c r="J14" s="159">
        <f t="shared" si="14"/>
        <v>275.71817315714497</v>
      </c>
      <c r="K14" s="175">
        <f>IF(SUM(H14:H16)=0,"",IFERROR(H14/I14,""))</f>
        <v>1.1010592712396592</v>
      </c>
      <c r="L14" s="171">
        <f t="shared" si="2"/>
        <v>0</v>
      </c>
      <c r="M14" s="159">
        <f t="shared" si="2"/>
        <v>11.700209119634367</v>
      </c>
      <c r="N14" s="159">
        <f t="shared" si="15"/>
        <v>-11.700209119634367</v>
      </c>
      <c r="O14" s="175" t="str">
        <f>IF(SUM(L14:L16)=0,"",IFERROR(L14/M14,""))</f>
        <v/>
      </c>
      <c r="P14" s="171">
        <f t="shared" si="3"/>
        <v>45217</v>
      </c>
      <c r="Q14" s="159">
        <f t="shared" si="3"/>
        <v>106094.58132722875</v>
      </c>
      <c r="R14" s="159">
        <f t="shared" si="16"/>
        <v>-60877.581327228749</v>
      </c>
      <c r="S14" s="175">
        <f>IF(SUM(P14:P16)=0,"",IFERROR(P14/Q14,""))</f>
        <v>0.4261951876744457</v>
      </c>
      <c r="T14" s="171">
        <f t="shared" si="4"/>
        <v>43600</v>
      </c>
      <c r="U14" s="159">
        <f t="shared" si="5"/>
        <v>32567.679240920188</v>
      </c>
      <c r="V14" s="159">
        <f t="shared" si="17"/>
        <v>11032.320759079812</v>
      </c>
      <c r="W14" s="175">
        <f>IF(SUM(T14:T16)=0,"",IFERROR(T14/U14,""))</f>
        <v>1.3387505961805861</v>
      </c>
      <c r="X14" s="171">
        <f t="shared" si="6"/>
        <v>45199</v>
      </c>
      <c r="Y14" s="159">
        <f t="shared" si="7"/>
        <v>31629.631826842855</v>
      </c>
      <c r="Z14" s="159">
        <f t="shared" si="18"/>
        <v>13569.368173157145</v>
      </c>
      <c r="AA14" s="175">
        <f>IF(SUM(X14:X16)=0,"",IFERROR(X14/Y14,""))</f>
        <v>1.4290080974525079</v>
      </c>
      <c r="AB14" s="171">
        <f t="shared" si="8"/>
        <v>18</v>
      </c>
      <c r="AC14" s="159">
        <f t="shared" si="9"/>
        <v>343.50020911963441</v>
      </c>
      <c r="AD14" s="159">
        <f t="shared" si="19"/>
        <v>-325.50020911963441</v>
      </c>
      <c r="AE14" s="175">
        <f>IF(SUM(AB14:AB16)=0,"",IFERROR(AB14/AC14,""))</f>
        <v>5.2401714823209766E-2</v>
      </c>
      <c r="AF14" s="171">
        <f t="shared" si="10"/>
        <v>637464</v>
      </c>
      <c r="AG14" s="159">
        <f t="shared" si="11"/>
        <v>670717.98132722895</v>
      </c>
      <c r="AH14" s="159">
        <f t="shared" si="20"/>
        <v>-33253.981327228947</v>
      </c>
      <c r="AI14" s="187">
        <f>IF(SUM(AF14:AF16)=0,"",IFERROR(AF14/AG14,""))</f>
        <v>0.95042032232172247</v>
      </c>
      <c r="AJ14" s="157">
        <f t="shared" si="21"/>
        <v>10</v>
      </c>
    </row>
    <row r="15" spans="1:36" ht="24.95" customHeight="1" x14ac:dyDescent="0.25">
      <c r="A15" s="182" t="str">
        <f t="shared" si="12"/>
        <v>مجتمع خراسان</v>
      </c>
      <c r="B15" s="216"/>
      <c r="C15" s="167" t="str">
        <f>تجمیعی!B14</f>
        <v>بهمن</v>
      </c>
      <c r="D15" s="171">
        <f t="shared" si="0"/>
        <v>2981.7579999999998</v>
      </c>
      <c r="E15" s="159">
        <f t="shared" si="0"/>
        <v>3499.7292409201928</v>
      </c>
      <c r="F15" s="159">
        <f t="shared" si="13"/>
        <v>-517.97124092019294</v>
      </c>
      <c r="G15" s="175">
        <f>IF(SUM(D15:D16)=0,"",IFERROR(D15/E15,""))</f>
        <v>0.85199676738878194</v>
      </c>
      <c r="H15" s="171">
        <f t="shared" si="1"/>
        <v>3841.1370000000002</v>
      </c>
      <c r="I15" s="159">
        <f t="shared" si="1"/>
        <v>2728.281826842855</v>
      </c>
      <c r="J15" s="159">
        <f t="shared" si="14"/>
        <v>1112.8551731571451</v>
      </c>
      <c r="K15" s="175">
        <f>IF(SUM(H15:H16)=0,"",IFERROR(H15/I15,""))</f>
        <v>1.4078959740185388</v>
      </c>
      <c r="L15" s="171">
        <f t="shared" si="2"/>
        <v>0</v>
      </c>
      <c r="M15" s="159">
        <f t="shared" si="2"/>
        <v>11.700209119634367</v>
      </c>
      <c r="N15" s="159">
        <f t="shared" si="15"/>
        <v>-11.700209119634367</v>
      </c>
      <c r="O15" s="175" t="str">
        <f>IF(SUM(L15:L16)=0,"",IFERROR(L15/M15,""))</f>
        <v/>
      </c>
      <c r="P15" s="171">
        <f t="shared" si="3"/>
        <v>69924</v>
      </c>
      <c r="Q15" s="159">
        <f t="shared" si="3"/>
        <v>106094.58132722875</v>
      </c>
      <c r="R15" s="159">
        <f t="shared" si="16"/>
        <v>-36170.581327228749</v>
      </c>
      <c r="S15" s="175">
        <f>IF(SUM(P15:P16)=0,"",IFERROR(P15/Q15,""))</f>
        <v>0.65907230251781279</v>
      </c>
      <c r="T15" s="171">
        <f t="shared" si="4"/>
        <v>46581.758000000002</v>
      </c>
      <c r="U15" s="159">
        <f t="shared" si="5"/>
        <v>36067.408481840379</v>
      </c>
      <c r="V15" s="159">
        <f t="shared" si="17"/>
        <v>10514.349518159623</v>
      </c>
      <c r="W15" s="175">
        <f>IF(SUM(T15:T16)=0,"",IFERROR(T15/U15,""))</f>
        <v>1.2915194065981621</v>
      </c>
      <c r="X15" s="171">
        <f t="shared" si="6"/>
        <v>49040.137000000002</v>
      </c>
      <c r="Y15" s="159">
        <f t="shared" si="7"/>
        <v>34357.913653685711</v>
      </c>
      <c r="Z15" s="159">
        <f t="shared" si="18"/>
        <v>14682.223346314291</v>
      </c>
      <c r="AA15" s="175">
        <f>IF(SUM(X15:X16)=0,"",IFERROR(X15/Y15,""))</f>
        <v>1.4273316329479531</v>
      </c>
      <c r="AB15" s="171">
        <f t="shared" si="8"/>
        <v>18</v>
      </c>
      <c r="AC15" s="159">
        <f t="shared" si="9"/>
        <v>355.2004182392688</v>
      </c>
      <c r="AD15" s="159">
        <f t="shared" si="19"/>
        <v>-337.2004182392688</v>
      </c>
      <c r="AE15" s="175">
        <f>IF(SUM(AB15:AB16)=0,"",IFERROR(AB15/AC15,""))</f>
        <v>5.0675616006383491E-2</v>
      </c>
      <c r="AF15" s="171">
        <f t="shared" si="10"/>
        <v>707388</v>
      </c>
      <c r="AG15" s="159">
        <f t="shared" si="11"/>
        <v>776812.56265445775</v>
      </c>
      <c r="AH15" s="159">
        <f t="shared" si="20"/>
        <v>-69424.562654457754</v>
      </c>
      <c r="AI15" s="187">
        <f>IF(SUM(AF15:AF16)=0,"",IFERROR(AF15/AG15,""))</f>
        <v>0.91062893934512845</v>
      </c>
      <c r="AJ15" s="157">
        <f t="shared" si="21"/>
        <v>11</v>
      </c>
    </row>
    <row r="16" spans="1:36" ht="24.95" customHeight="1" thickBot="1" x14ac:dyDescent="0.3">
      <c r="A16" s="182" t="str">
        <f t="shared" si="12"/>
        <v>مجتمع خراسان</v>
      </c>
      <c r="B16" s="217"/>
      <c r="C16" s="168" t="str">
        <f>تجمیعی!B15</f>
        <v>اسفند</v>
      </c>
      <c r="D16" s="172">
        <f t="shared" si="0"/>
        <v>3255</v>
      </c>
      <c r="E16" s="173">
        <f t="shared" si="0"/>
        <v>3499.7292409201928</v>
      </c>
      <c r="F16" s="173">
        <f t="shared" si="13"/>
        <v>-244.72924092019275</v>
      </c>
      <c r="G16" s="176">
        <f>IF(SUM(D16)=0,"",IFERROR(D16/E16,""))</f>
        <v>0.9300719501215341</v>
      </c>
      <c r="H16" s="172">
        <f t="shared" si="1"/>
        <v>3181</v>
      </c>
      <c r="I16" s="173">
        <f t="shared" si="1"/>
        <v>2728.281826842855</v>
      </c>
      <c r="J16" s="173">
        <f t="shared" si="14"/>
        <v>452.71817315714497</v>
      </c>
      <c r="K16" s="176">
        <f>IF(SUM(H16)=0,"",IFERROR(H16/I16,""))</f>
        <v>1.1659352669152316</v>
      </c>
      <c r="L16" s="172">
        <f t="shared" si="2"/>
        <v>0</v>
      </c>
      <c r="M16" s="173">
        <f t="shared" si="2"/>
        <v>11.700209119634367</v>
      </c>
      <c r="N16" s="173">
        <f t="shared" si="15"/>
        <v>-11.700209119634367</v>
      </c>
      <c r="O16" s="176" t="str">
        <f>IF(SUM(L16)=0,"",IFERROR(L16/M16,""))</f>
        <v/>
      </c>
      <c r="P16" s="172">
        <f t="shared" si="3"/>
        <v>50463</v>
      </c>
      <c r="Q16" s="173">
        <f t="shared" si="3"/>
        <v>106094.58132722875</v>
      </c>
      <c r="R16" s="173">
        <f t="shared" si="16"/>
        <v>-55631.581327228749</v>
      </c>
      <c r="S16" s="176">
        <f>IF(SUM(P16)=0,"",IFERROR(P16/Q16,""))</f>
        <v>0.47564163380179036</v>
      </c>
      <c r="T16" s="172">
        <f t="shared" si="4"/>
        <v>49836.758000000002</v>
      </c>
      <c r="U16" s="173">
        <f t="shared" si="5"/>
        <v>39567.13772276057</v>
      </c>
      <c r="V16" s="173">
        <f t="shared" si="17"/>
        <v>10269.620277239432</v>
      </c>
      <c r="W16" s="176">
        <f>IF(SUM(T16)=0,"",IFERROR(T16/U16,""))</f>
        <v>1.2595492337403003</v>
      </c>
      <c r="X16" s="172">
        <f t="shared" si="6"/>
        <v>52221.137000000002</v>
      </c>
      <c r="Y16" s="173">
        <f t="shared" si="7"/>
        <v>37086.195480528564</v>
      </c>
      <c r="Z16" s="173">
        <f t="shared" si="18"/>
        <v>15134.941519471438</v>
      </c>
      <c r="AA16" s="176">
        <f>IF(SUM(X16)=0,"",IFERROR(X16/Y16,""))</f>
        <v>1.4081017565529947</v>
      </c>
      <c r="AB16" s="172">
        <f t="shared" si="8"/>
        <v>18</v>
      </c>
      <c r="AC16" s="173">
        <f t="shared" si="9"/>
        <v>366.90062735890319</v>
      </c>
      <c r="AD16" s="173">
        <f t="shared" si="19"/>
        <v>-348.90062735890319</v>
      </c>
      <c r="AE16" s="176">
        <f>IF(SUM(AB16)=0,"",IFERROR(AB16/AC16,""))</f>
        <v>4.9059605402070765E-2</v>
      </c>
      <c r="AF16" s="172">
        <f t="shared" si="10"/>
        <v>757851</v>
      </c>
      <c r="AG16" s="173">
        <f t="shared" si="11"/>
        <v>882907.14398168656</v>
      </c>
      <c r="AH16" s="173">
        <f t="shared" si="20"/>
        <v>-125056.14398168656</v>
      </c>
      <c r="AI16" s="188">
        <f>IF(SUM(AF16)=0,"",IFERROR(AF16/AG16,""))</f>
        <v>0.85835866791414195</v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15" t="str">
        <f>واردات!J2</f>
        <v>فرودگاه هاشمی نژاد</v>
      </c>
      <c r="C17" s="166" t="str">
        <f>C5</f>
        <v>فروردین</v>
      </c>
      <c r="D17" s="183">
        <f>SUMIFS(صادرات!$K$4:$K$500,صادرات!$J$4:$J$500,$C17,صادرات!$I$4:$I$500,$A17)+SUMIFS(صادرات!$C$4:$C$500,صادرات!$B$4:$B$500,$C17,صادرات!$A$4:$A$500,$A17)</f>
        <v>0</v>
      </c>
      <c r="E17" s="184"/>
      <c r="F17" s="184">
        <f t="shared" si="13"/>
        <v>0</v>
      </c>
      <c r="G17" s="185" t="str">
        <f>IF(SUM(D17:D28)=0,"",IFERROR(D17/E17,""))</f>
        <v/>
      </c>
      <c r="H17" s="183">
        <f>SUMIFS(صادرات!$L$4:$L$500,صادرات!$J$4:$J$500,$C17,صادرات!$I$4:$I$500,$A17)+SUMIFS(صادرات!$D$4:$D$500,صادرات!$B$4:$B$500,$C17,صادرات!$A$4:$A$500,$A17)</f>
        <v>0</v>
      </c>
      <c r="I17" s="184"/>
      <c r="J17" s="184">
        <f t="shared" si="14"/>
        <v>0</v>
      </c>
      <c r="K17" s="185" t="str">
        <f>IF(SUM(H17:H28)=0,"",IFERROR(H17/I17,""))</f>
        <v/>
      </c>
      <c r="L17" s="183">
        <f>SUMIFS(صادرات!$M$4:$M$500,صادرات!$J$4:$J$500,$C17,صادرات!$I$4:$I$500,$A17)+SUMIFS(صادرات!$E$4:$E$500,صادرات!$B$4:$B$500,$C17,صادرات!$A$4:$A$500,$A17)</f>
        <v>0</v>
      </c>
      <c r="M17" s="184">
        <v>0</v>
      </c>
      <c r="N17" s="184">
        <f t="shared" si="15"/>
        <v>0</v>
      </c>
      <c r="O17" s="185" t="str">
        <f>IF(SUM(L17:L28)=0,"",IFERROR(L17/M17,""))</f>
        <v/>
      </c>
      <c r="P17" s="183">
        <f>SUMIFS(صادرات!$N$4:$N$500,صادرات!$J$4:$J$500,$C17,صادرات!$I$4:$I$500,$A17)+SUMIFS(صادرات!$F$4:$F$500,صادرات!$B$4:$B$500,$C17,صادرات!$A$4:$A$500,$A17)</f>
        <v>0</v>
      </c>
      <c r="Q17" s="184">
        <v>0</v>
      </c>
      <c r="R17" s="184">
        <f t="shared" si="16"/>
        <v>0</v>
      </c>
      <c r="S17" s="185" t="str">
        <f>IF(SUM(P17:P28)=0,"",IFERROR(P17/Q17,""))</f>
        <v/>
      </c>
      <c r="T17" s="183">
        <f t="shared" si="4"/>
        <v>0</v>
      </c>
      <c r="U17" s="160">
        <f t="shared" si="5"/>
        <v>0</v>
      </c>
      <c r="V17" s="160">
        <f t="shared" si="17"/>
        <v>0</v>
      </c>
      <c r="W17" s="185" t="str">
        <f t="shared" ref="W17" si="26">IF(SUM(T17:T28)=0,"",IFERROR(T17/U17,""))</f>
        <v/>
      </c>
      <c r="X17" s="183">
        <f t="shared" si="6"/>
        <v>0</v>
      </c>
      <c r="Y17" s="160">
        <f t="shared" si="7"/>
        <v>0</v>
      </c>
      <c r="Z17" s="160">
        <f t="shared" si="18"/>
        <v>0</v>
      </c>
      <c r="AA17" s="185" t="str">
        <f t="shared" ref="AA17" si="27">IF(SUM(X17:X28)=0,"",IFERROR(X17/Y17,""))</f>
        <v/>
      </c>
      <c r="AB17" s="183">
        <f t="shared" si="8"/>
        <v>0</v>
      </c>
      <c r="AC17" s="160">
        <f t="shared" si="9"/>
        <v>0</v>
      </c>
      <c r="AD17" s="160">
        <f t="shared" si="19"/>
        <v>0</v>
      </c>
      <c r="AE17" s="185" t="str">
        <f t="shared" ref="AE17" si="28">IF(SUM(AB17:AB28)=0,"",IFERROR(AB17/AC17,""))</f>
        <v/>
      </c>
      <c r="AF17" s="183">
        <f t="shared" si="10"/>
        <v>0</v>
      </c>
      <c r="AG17" s="160">
        <f t="shared" si="11"/>
        <v>0</v>
      </c>
      <c r="AH17" s="160">
        <f t="shared" si="20"/>
        <v>0</v>
      </c>
      <c r="AI17" s="186" t="str">
        <f t="shared" ref="AI17" si="29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30">IF(B18="",A17,B18)</f>
        <v>فرودگاه هاشمی نژاد</v>
      </c>
      <c r="B18" s="216"/>
      <c r="C18" s="167" t="str">
        <f t="shared" ref="C18:C81" si="31">C6</f>
        <v>اردیبهشت</v>
      </c>
      <c r="D18" s="171">
        <f>SUMIFS(صادرات!$K$4:$K$500,صادرات!$J$4:$J$500,$C18,صادرات!$I$4:$I$500,$A18)+SUMIFS(صادرات!$C$4:$C$500,صادرات!$B$4:$B$500,$C18,صادرات!$A$4:$A$500,$A18)</f>
        <v>0</v>
      </c>
      <c r="E18" s="159"/>
      <c r="F18" s="159">
        <f t="shared" si="13"/>
        <v>0</v>
      </c>
      <c r="G18" s="175" t="str">
        <f>IF(SUM(D18:D28)=0,"",IFERROR(D18/E18,""))</f>
        <v/>
      </c>
      <c r="H18" s="171">
        <f>SUMIFS(صادرات!$L$4:$L$500,صادرات!$J$4:$J$500,$C18,صادرات!$I$4:$I$500,$A18)+SUMIFS(صادرات!$D$4:$D$500,صادرات!$B$4:$B$500,$C18,صادرات!$A$4:$A$500,$A18)</f>
        <v>0</v>
      </c>
      <c r="I18" s="159"/>
      <c r="J18" s="159">
        <f t="shared" si="14"/>
        <v>0</v>
      </c>
      <c r="K18" s="175" t="str">
        <f>IF(SUM(H18:H28)=0,"",IFERROR(H18/I18,""))</f>
        <v/>
      </c>
      <c r="L18" s="171">
        <f>SUMIFS(صادرات!$M$4:$M$500,صادرات!$J$4:$J$500,$C18,صادرات!$I$4:$I$500,$A18)+SUMIFS(صادرات!$E$4:$E$500,صادرات!$B$4:$B$500,$C18,صادرات!$A$4:$A$500,$A18)</f>
        <v>0</v>
      </c>
      <c r="M18" s="159">
        <v>0</v>
      </c>
      <c r="N18" s="159">
        <f t="shared" si="15"/>
        <v>0</v>
      </c>
      <c r="O18" s="175" t="str">
        <f>IF(SUM(L18:L28)=0,"",IFERROR(L18/M18,""))</f>
        <v/>
      </c>
      <c r="P18" s="171">
        <f>SUMIFS(صادرات!$N$4:$N$500,صادرات!$J$4:$J$500,$C18,صادرات!$I$4:$I$500,$A18)+SUMIFS(صادرات!$F$4:$F$500,صادرات!$B$4:$B$500,$C18,صادرات!$A$4:$A$500,$A18)</f>
        <v>0</v>
      </c>
      <c r="Q18" s="159"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4"/>
        <v>0</v>
      </c>
      <c r="U18" s="159">
        <f t="shared" si="5"/>
        <v>0</v>
      </c>
      <c r="V18" s="159">
        <f t="shared" si="17"/>
        <v>0</v>
      </c>
      <c r="W18" s="175" t="str">
        <f t="shared" ref="W18" si="32">IF(SUM(T18:T28)=0,"",IFERROR(T18/U18,""))</f>
        <v/>
      </c>
      <c r="X18" s="171">
        <f t="shared" si="6"/>
        <v>0</v>
      </c>
      <c r="Y18" s="159">
        <f t="shared" si="7"/>
        <v>0</v>
      </c>
      <c r="Z18" s="159">
        <f t="shared" si="18"/>
        <v>0</v>
      </c>
      <c r="AA18" s="175" t="str">
        <f t="shared" ref="AA18" si="33">IF(SUM(X18:X28)=0,"",IFERROR(X18/Y18,""))</f>
        <v/>
      </c>
      <c r="AB18" s="171">
        <f t="shared" si="8"/>
        <v>0</v>
      </c>
      <c r="AC18" s="159">
        <f t="shared" si="9"/>
        <v>0</v>
      </c>
      <c r="AD18" s="159">
        <f t="shared" si="19"/>
        <v>0</v>
      </c>
      <c r="AE18" s="175" t="str">
        <f t="shared" ref="AE18" si="34">IF(SUM(AB18:AB28)=0,"",IFERROR(AB18/AC18,""))</f>
        <v/>
      </c>
      <c r="AF18" s="171">
        <f t="shared" si="10"/>
        <v>0</v>
      </c>
      <c r="AG18" s="159">
        <f t="shared" si="11"/>
        <v>0</v>
      </c>
      <c r="AH18" s="159">
        <f t="shared" si="20"/>
        <v>0</v>
      </c>
      <c r="AI18" s="187" t="str">
        <f t="shared" ref="AI18" si="35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30"/>
        <v>فرودگاه هاشمی نژاد</v>
      </c>
      <c r="B19" s="216"/>
      <c r="C19" s="167" t="str">
        <f t="shared" si="31"/>
        <v>خرداد</v>
      </c>
      <c r="D19" s="171">
        <f>SUMIFS(صادرات!$K$4:$K$500,صادرات!$J$4:$J$500,$C19,صادرات!$I$4:$I$500,$A19)+SUMIFS(صادرات!$C$4:$C$500,صادرات!$B$4:$B$500,$C19,صادرات!$A$4:$A$500,$A19)</f>
        <v>0</v>
      </c>
      <c r="E19" s="159"/>
      <c r="F19" s="159">
        <f t="shared" si="13"/>
        <v>0</v>
      </c>
      <c r="G19" s="175" t="str">
        <f>IF(SUM(D19:D28)=0,"",IFERROR(D19/E19,""))</f>
        <v/>
      </c>
      <c r="H19" s="171">
        <f>SUMIFS(صادرات!$L$4:$L$500,صادرات!$J$4:$J$500,$C19,صادرات!$I$4:$I$500,$A19)+SUMIFS(صادرات!$D$4:$D$500,صادرات!$B$4:$B$500,$C19,صادرات!$A$4:$A$500,$A19)</f>
        <v>0</v>
      </c>
      <c r="I19" s="159"/>
      <c r="J19" s="159">
        <f t="shared" si="14"/>
        <v>0</v>
      </c>
      <c r="K19" s="175" t="str">
        <f>IF(SUM(H19:H28)=0,"",IFERROR(H19/I19,""))</f>
        <v/>
      </c>
      <c r="L19" s="171">
        <f>SUMIFS(صادرات!$M$4:$M$500,صادرات!$J$4:$J$500,$C19,صادرات!$I$4:$I$500,$A19)+SUMIFS(صادرات!$E$4:$E$500,صادرات!$B$4:$B$500,$C19,صادرات!$A$4:$A$500,$A19)</f>
        <v>0</v>
      </c>
      <c r="M19" s="159">
        <v>0</v>
      </c>
      <c r="N19" s="159">
        <f t="shared" si="15"/>
        <v>0</v>
      </c>
      <c r="O19" s="175" t="str">
        <f>IF(SUM(L19:L28)=0,"",IFERROR(L19/M19,""))</f>
        <v/>
      </c>
      <c r="P19" s="171">
        <f>SUMIFS(صادرات!$N$4:$N$500,صادرات!$J$4:$J$500,$C19,صادرات!$I$4:$I$500,$A19)+SUMIFS(صادرات!$F$4:$F$500,صادرات!$B$4:$B$500,$C19,صادرات!$A$4:$A$500,$A19)</f>
        <v>0</v>
      </c>
      <c r="Q19" s="159"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4"/>
        <v>0</v>
      </c>
      <c r="U19" s="159">
        <f t="shared" si="5"/>
        <v>0</v>
      </c>
      <c r="V19" s="159">
        <f t="shared" si="17"/>
        <v>0</v>
      </c>
      <c r="W19" s="175" t="str">
        <f t="shared" ref="W19" si="36">IF(SUM(T19:T28)=0,"",IFERROR(T19/U19,""))</f>
        <v/>
      </c>
      <c r="X19" s="171">
        <f t="shared" si="6"/>
        <v>0</v>
      </c>
      <c r="Y19" s="159">
        <f t="shared" si="7"/>
        <v>0</v>
      </c>
      <c r="Z19" s="159">
        <f t="shared" si="18"/>
        <v>0</v>
      </c>
      <c r="AA19" s="175" t="str">
        <f t="shared" ref="AA19" si="37">IF(SUM(X19:X28)=0,"",IFERROR(X19/Y19,""))</f>
        <v/>
      </c>
      <c r="AB19" s="171">
        <f t="shared" si="8"/>
        <v>0</v>
      </c>
      <c r="AC19" s="159">
        <f t="shared" si="9"/>
        <v>0</v>
      </c>
      <c r="AD19" s="159">
        <f t="shared" si="19"/>
        <v>0</v>
      </c>
      <c r="AE19" s="175" t="str">
        <f t="shared" ref="AE19" si="38">IF(SUM(AB19:AB28)=0,"",IFERROR(AB19/AC19,""))</f>
        <v/>
      </c>
      <c r="AF19" s="171">
        <f t="shared" si="10"/>
        <v>0</v>
      </c>
      <c r="AG19" s="159">
        <f t="shared" si="11"/>
        <v>0</v>
      </c>
      <c r="AH19" s="159">
        <f t="shared" si="20"/>
        <v>0</v>
      </c>
      <c r="AI19" s="187" t="str">
        <f t="shared" ref="AI19" si="39">IF(SUM(AF19:AF28)=0,"",IFERROR(AF19/AG19,""))</f>
        <v/>
      </c>
      <c r="AJ19" s="157">
        <f t="shared" ref="AJ19:AJ27" si="40">AJ18+1</f>
        <v>3</v>
      </c>
    </row>
    <row r="20" spans="1:36" ht="24.95" hidden="1" customHeight="1" x14ac:dyDescent="0.25">
      <c r="A20" s="182" t="str">
        <f t="shared" si="30"/>
        <v>فرودگاه هاشمی نژاد</v>
      </c>
      <c r="B20" s="216"/>
      <c r="C20" s="167" t="str">
        <f t="shared" si="31"/>
        <v>تیر</v>
      </c>
      <c r="D20" s="171">
        <f>SUMIFS(صادرات!$K$4:$K$500,صادرات!$J$4:$J$500,$C20,صادرات!$I$4:$I$500,$A20)+SUMIFS(صادرات!$C$4:$C$500,صادرات!$B$4:$B$500,$C20,صادرات!$A$4:$A$500,$A20)</f>
        <v>0</v>
      </c>
      <c r="E20" s="159"/>
      <c r="F20" s="159">
        <f t="shared" si="13"/>
        <v>0</v>
      </c>
      <c r="G20" s="175" t="str">
        <f>IF(SUM(D20:D28)=0,"",IFERROR(D20/E20,""))</f>
        <v/>
      </c>
      <c r="H20" s="171">
        <f>SUMIFS(صادرات!$L$4:$L$500,صادرات!$J$4:$J$500,$C20,صادرات!$I$4:$I$500,$A20)+SUMIFS(صادرات!$D$4:$D$500,صادرات!$B$4:$B$500,$C20,صادرات!$A$4:$A$500,$A20)</f>
        <v>0</v>
      </c>
      <c r="I20" s="159"/>
      <c r="J20" s="159">
        <f t="shared" si="14"/>
        <v>0</v>
      </c>
      <c r="K20" s="175" t="str">
        <f>IF(SUM(H20:H28)=0,"",IFERROR(H20/I20,""))</f>
        <v/>
      </c>
      <c r="L20" s="171">
        <f>SUMIFS(صادرات!$M$4:$M$500,صادرات!$J$4:$J$500,$C20,صادرات!$I$4:$I$500,$A20)+SUMIFS(صادرات!$E$4:$E$500,صادرات!$B$4:$B$500,$C20,صادرات!$A$4:$A$500,$A20)</f>
        <v>0</v>
      </c>
      <c r="M20" s="159">
        <v>0</v>
      </c>
      <c r="N20" s="159">
        <f t="shared" si="15"/>
        <v>0</v>
      </c>
      <c r="O20" s="175" t="str">
        <f>IF(SUM(L20:L28)=0,"",IFERROR(L20/M20,""))</f>
        <v/>
      </c>
      <c r="P20" s="171">
        <f>SUMIFS(صادرات!$N$4:$N$500,صادرات!$J$4:$J$500,$C20,صادرات!$I$4:$I$500,$A20)+SUMIFS(صادرات!$F$4:$F$500,صادرات!$B$4:$B$500,$C20,صادرات!$A$4:$A$500,$A20)</f>
        <v>0</v>
      </c>
      <c r="Q20" s="159"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4"/>
        <v>0</v>
      </c>
      <c r="U20" s="159">
        <f t="shared" si="5"/>
        <v>0</v>
      </c>
      <c r="V20" s="159">
        <f t="shared" si="17"/>
        <v>0</v>
      </c>
      <c r="W20" s="175" t="str">
        <f t="shared" ref="W20" si="41">IF(SUM(T20:T28)=0,"",IFERROR(T20/U20,""))</f>
        <v/>
      </c>
      <c r="X20" s="171">
        <f t="shared" si="6"/>
        <v>0</v>
      </c>
      <c r="Y20" s="159">
        <f t="shared" si="7"/>
        <v>0</v>
      </c>
      <c r="Z20" s="159">
        <f t="shared" si="18"/>
        <v>0</v>
      </c>
      <c r="AA20" s="175" t="str">
        <f t="shared" ref="AA20" si="42">IF(SUM(X20:X28)=0,"",IFERROR(X20/Y20,""))</f>
        <v/>
      </c>
      <c r="AB20" s="171">
        <f t="shared" si="8"/>
        <v>0</v>
      </c>
      <c r="AC20" s="159">
        <f t="shared" si="9"/>
        <v>0</v>
      </c>
      <c r="AD20" s="159">
        <f t="shared" si="19"/>
        <v>0</v>
      </c>
      <c r="AE20" s="175" t="str">
        <f t="shared" ref="AE20" si="43">IF(SUM(AB20:AB28)=0,"",IFERROR(AB20/AC20,""))</f>
        <v/>
      </c>
      <c r="AF20" s="171">
        <f t="shared" si="10"/>
        <v>0</v>
      </c>
      <c r="AG20" s="159">
        <f t="shared" si="11"/>
        <v>0</v>
      </c>
      <c r="AH20" s="159">
        <f t="shared" si="20"/>
        <v>0</v>
      </c>
      <c r="AI20" s="187" t="str">
        <f t="shared" ref="AI20" si="44">IF(SUM(AF20:AF28)=0,"",IFERROR(AF20/AG20,""))</f>
        <v/>
      </c>
      <c r="AJ20" s="157">
        <f t="shared" si="40"/>
        <v>4</v>
      </c>
    </row>
    <row r="21" spans="1:36" ht="24.95" hidden="1" customHeight="1" x14ac:dyDescent="0.25">
      <c r="A21" s="182" t="str">
        <f t="shared" si="30"/>
        <v>فرودگاه هاشمی نژاد</v>
      </c>
      <c r="B21" s="216"/>
      <c r="C21" s="167" t="str">
        <f t="shared" si="31"/>
        <v>مرداد</v>
      </c>
      <c r="D21" s="171">
        <f>SUMIFS(صادرات!$K$4:$K$500,صادرات!$J$4:$J$500,$C21,صادرات!$I$4:$I$500,$A21)+SUMIFS(صادرات!$C$4:$C$500,صادرات!$B$4:$B$500,$C21,صادرات!$A$4:$A$500,$A21)</f>
        <v>0</v>
      </c>
      <c r="E21" s="159"/>
      <c r="F21" s="159">
        <f t="shared" si="13"/>
        <v>0</v>
      </c>
      <c r="G21" s="175" t="str">
        <f>IF(SUM(D21:D28)=0,"",IFERROR(D21/E21,""))</f>
        <v/>
      </c>
      <c r="H21" s="171">
        <f>SUMIFS(صادرات!$L$4:$L$500,صادرات!$J$4:$J$500,$C21,صادرات!$I$4:$I$500,$A21)+SUMIFS(صادرات!$D$4:$D$500,صادرات!$B$4:$B$500,$C21,صادرات!$A$4:$A$500,$A21)</f>
        <v>0</v>
      </c>
      <c r="I21" s="159"/>
      <c r="J21" s="159">
        <f t="shared" si="14"/>
        <v>0</v>
      </c>
      <c r="K21" s="175" t="str">
        <f>IF(SUM(H21:H28)=0,"",IFERROR(H21/I21,""))</f>
        <v/>
      </c>
      <c r="L21" s="171">
        <f>SUMIFS(صادرات!$M$4:$M$500,صادرات!$J$4:$J$500,$C21,صادرات!$I$4:$I$500,$A21)+SUMIFS(صادرات!$E$4:$E$500,صادرات!$B$4:$B$500,$C21,صادرات!$A$4:$A$500,$A21)</f>
        <v>0</v>
      </c>
      <c r="M21" s="159">
        <v>0</v>
      </c>
      <c r="N21" s="159">
        <f t="shared" si="15"/>
        <v>0</v>
      </c>
      <c r="O21" s="175" t="str">
        <f>IF(SUM(L21:L28)=0,"",IFERROR(L21/M21,""))</f>
        <v/>
      </c>
      <c r="P21" s="171">
        <f>SUMIFS(صادرات!$N$4:$N$500,صادرات!$J$4:$J$500,$C21,صادرات!$I$4:$I$500,$A21)+SUMIFS(صادرات!$F$4:$F$500,صادرات!$B$4:$B$500,$C21,صادرات!$A$4:$A$500,$A21)</f>
        <v>0</v>
      </c>
      <c r="Q21" s="159"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4"/>
        <v>0</v>
      </c>
      <c r="U21" s="159">
        <f t="shared" si="5"/>
        <v>0</v>
      </c>
      <c r="V21" s="159">
        <f t="shared" si="17"/>
        <v>0</v>
      </c>
      <c r="W21" s="175" t="str">
        <f t="shared" ref="W21" si="45">IF(SUM(T21:T28)=0,"",IFERROR(T21/U21,""))</f>
        <v/>
      </c>
      <c r="X21" s="171">
        <f t="shared" si="6"/>
        <v>0</v>
      </c>
      <c r="Y21" s="159">
        <f t="shared" si="7"/>
        <v>0</v>
      </c>
      <c r="Z21" s="159">
        <f t="shared" si="18"/>
        <v>0</v>
      </c>
      <c r="AA21" s="175" t="str">
        <f t="shared" ref="AA21" si="46">IF(SUM(X21:X28)=0,"",IFERROR(X21/Y21,""))</f>
        <v/>
      </c>
      <c r="AB21" s="171">
        <f t="shared" si="8"/>
        <v>0</v>
      </c>
      <c r="AC21" s="159">
        <f t="shared" si="9"/>
        <v>0</v>
      </c>
      <c r="AD21" s="159">
        <f t="shared" si="19"/>
        <v>0</v>
      </c>
      <c r="AE21" s="175" t="str">
        <f t="shared" ref="AE21" si="47">IF(SUM(AB21:AB28)=0,"",IFERROR(AB21/AC21,""))</f>
        <v/>
      </c>
      <c r="AF21" s="171">
        <f t="shared" si="10"/>
        <v>0</v>
      </c>
      <c r="AG21" s="159">
        <f t="shared" si="11"/>
        <v>0</v>
      </c>
      <c r="AH21" s="159">
        <f t="shared" si="20"/>
        <v>0</v>
      </c>
      <c r="AI21" s="187" t="str">
        <f t="shared" ref="AI21" si="48">IF(SUM(AF21:AF28)=0,"",IFERROR(AF21/AG21,""))</f>
        <v/>
      </c>
      <c r="AJ21" s="157">
        <f t="shared" si="40"/>
        <v>5</v>
      </c>
    </row>
    <row r="22" spans="1:36" ht="24.95" hidden="1" customHeight="1" x14ac:dyDescent="0.25">
      <c r="A22" s="182" t="str">
        <f t="shared" si="30"/>
        <v>فرودگاه هاشمی نژاد</v>
      </c>
      <c r="B22" s="216"/>
      <c r="C22" s="167" t="str">
        <f t="shared" si="31"/>
        <v>شهریور</v>
      </c>
      <c r="D22" s="171">
        <f>SUMIFS(صادرات!$K$4:$K$500,صادرات!$J$4:$J$500,$C22,صادرات!$I$4:$I$500,$A22)+SUMIFS(صادرات!$C$4:$C$500,صادرات!$B$4:$B$500,$C22,صادرات!$A$4:$A$500,$A22)</f>
        <v>0</v>
      </c>
      <c r="E22" s="159"/>
      <c r="F22" s="159">
        <f t="shared" si="13"/>
        <v>0</v>
      </c>
      <c r="G22" s="175" t="str">
        <f>IF(SUM(D22:D28)=0,"",IFERROR(D22/E22,""))</f>
        <v/>
      </c>
      <c r="H22" s="171">
        <f>SUMIFS(صادرات!$L$4:$L$500,صادرات!$J$4:$J$500,$C22,صادرات!$I$4:$I$500,$A22)+SUMIFS(صادرات!$D$4:$D$500,صادرات!$B$4:$B$500,$C22,صادرات!$A$4:$A$500,$A22)</f>
        <v>0</v>
      </c>
      <c r="I22" s="159"/>
      <c r="J22" s="159">
        <f t="shared" si="14"/>
        <v>0</v>
      </c>
      <c r="K22" s="175" t="str">
        <f>IF(SUM(H22:H28)=0,"",IFERROR(H22/I22,""))</f>
        <v/>
      </c>
      <c r="L22" s="171">
        <f>SUMIFS(صادرات!$M$4:$M$500,صادرات!$J$4:$J$500,$C22,صادرات!$I$4:$I$500,$A22)+SUMIFS(صادرات!$E$4:$E$500,صادرات!$B$4:$B$500,$C22,صادرات!$A$4:$A$500,$A22)</f>
        <v>0</v>
      </c>
      <c r="M22" s="159">
        <v>0</v>
      </c>
      <c r="N22" s="159">
        <f t="shared" si="15"/>
        <v>0</v>
      </c>
      <c r="O22" s="175" t="str">
        <f>IF(SUM(L22:L28)=0,"",IFERROR(L22/M22,""))</f>
        <v/>
      </c>
      <c r="P22" s="171">
        <f>SUMIFS(صادرات!$N$4:$N$500,صادرات!$J$4:$J$500,$C22,صادرات!$I$4:$I$500,$A22)+SUMIFS(صادرات!$F$4:$F$500,صادرات!$B$4:$B$500,$C22,صادرات!$A$4:$A$500,$A22)</f>
        <v>0</v>
      </c>
      <c r="Q22" s="159"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4"/>
        <v>0</v>
      </c>
      <c r="U22" s="159">
        <f t="shared" si="5"/>
        <v>0</v>
      </c>
      <c r="V22" s="159">
        <f t="shared" si="17"/>
        <v>0</v>
      </c>
      <c r="W22" s="175" t="str">
        <f t="shared" ref="W22" si="49">IF(SUM(T22:T28)=0,"",IFERROR(T22/U22,""))</f>
        <v/>
      </c>
      <c r="X22" s="171">
        <f t="shared" si="6"/>
        <v>0</v>
      </c>
      <c r="Y22" s="159">
        <f t="shared" si="7"/>
        <v>0</v>
      </c>
      <c r="Z22" s="159">
        <f t="shared" si="18"/>
        <v>0</v>
      </c>
      <c r="AA22" s="175" t="str">
        <f t="shared" ref="AA22" si="50">IF(SUM(X22:X28)=0,"",IFERROR(X22/Y22,""))</f>
        <v/>
      </c>
      <c r="AB22" s="171">
        <f t="shared" si="8"/>
        <v>0</v>
      </c>
      <c r="AC22" s="159">
        <f t="shared" si="9"/>
        <v>0</v>
      </c>
      <c r="AD22" s="159">
        <f t="shared" si="19"/>
        <v>0</v>
      </c>
      <c r="AE22" s="175" t="str">
        <f t="shared" ref="AE22" si="51">IF(SUM(AB22:AB28)=0,"",IFERROR(AB22/AC22,""))</f>
        <v/>
      </c>
      <c r="AF22" s="171">
        <f t="shared" si="10"/>
        <v>0</v>
      </c>
      <c r="AG22" s="159">
        <f t="shared" si="11"/>
        <v>0</v>
      </c>
      <c r="AH22" s="159">
        <f t="shared" si="20"/>
        <v>0</v>
      </c>
      <c r="AI22" s="187" t="str">
        <f t="shared" ref="AI22" si="52">IF(SUM(AF22:AF28)=0,"",IFERROR(AF22/AG22,""))</f>
        <v/>
      </c>
      <c r="AJ22" s="157">
        <f t="shared" si="40"/>
        <v>6</v>
      </c>
    </row>
    <row r="23" spans="1:36" ht="24.95" hidden="1" customHeight="1" x14ac:dyDescent="0.25">
      <c r="A23" s="182" t="str">
        <f t="shared" si="30"/>
        <v>فرودگاه هاشمی نژاد</v>
      </c>
      <c r="B23" s="216"/>
      <c r="C23" s="167" t="str">
        <f t="shared" si="31"/>
        <v>مهر</v>
      </c>
      <c r="D23" s="171">
        <f>SUMIFS(صادرات!$K$4:$K$500,صادرات!$J$4:$J$500,$C23,صادرات!$I$4:$I$500,$A23)+SUMIFS(صادرات!$C$4:$C$500,صادرات!$B$4:$B$500,$C23,صادرات!$A$4:$A$500,$A23)</f>
        <v>0</v>
      </c>
      <c r="E23" s="159"/>
      <c r="F23" s="159">
        <f t="shared" si="13"/>
        <v>0</v>
      </c>
      <c r="G23" s="175" t="str">
        <f>IF(SUM(D23:D28)=0,"",IFERROR(D23/E23,""))</f>
        <v/>
      </c>
      <c r="H23" s="171">
        <f>SUMIFS(صادرات!$L$4:$L$500,صادرات!$J$4:$J$500,$C23,صادرات!$I$4:$I$500,$A23)+SUMIFS(صادرات!$D$4:$D$500,صادرات!$B$4:$B$500,$C23,صادرات!$A$4:$A$500,$A23)</f>
        <v>0</v>
      </c>
      <c r="I23" s="159"/>
      <c r="J23" s="159">
        <f t="shared" si="14"/>
        <v>0</v>
      </c>
      <c r="K23" s="175" t="str">
        <f>IF(SUM(H23:H28)=0,"",IFERROR(H23/I23,""))</f>
        <v/>
      </c>
      <c r="L23" s="171">
        <f>SUMIFS(صادرات!$M$4:$M$500,صادرات!$J$4:$J$500,$C23,صادرات!$I$4:$I$500,$A23)+SUMIFS(صادرات!$E$4:$E$500,صادرات!$B$4:$B$500,$C23,صادرات!$A$4:$A$500,$A23)</f>
        <v>0</v>
      </c>
      <c r="M23" s="159">
        <v>0</v>
      </c>
      <c r="N23" s="159">
        <f t="shared" si="15"/>
        <v>0</v>
      </c>
      <c r="O23" s="175" t="str">
        <f>IF(SUM(L23:L28)=0,"",IFERROR(L23/M23,""))</f>
        <v/>
      </c>
      <c r="P23" s="171">
        <f>SUMIFS(صادرات!$N$4:$N$500,صادرات!$J$4:$J$500,$C23,صادرات!$I$4:$I$500,$A23)+SUMIFS(صادرات!$F$4:$F$500,صادرات!$B$4:$B$500,$C23,صادرات!$A$4:$A$500,$A23)</f>
        <v>0</v>
      </c>
      <c r="Q23" s="159"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4"/>
        <v>0</v>
      </c>
      <c r="U23" s="159">
        <f t="shared" si="5"/>
        <v>0</v>
      </c>
      <c r="V23" s="159">
        <f t="shared" si="17"/>
        <v>0</v>
      </c>
      <c r="W23" s="175" t="str">
        <f t="shared" ref="W23" si="53">IF(SUM(T23:T28)=0,"",IFERROR(T23/U23,""))</f>
        <v/>
      </c>
      <c r="X23" s="171">
        <f t="shared" si="6"/>
        <v>0</v>
      </c>
      <c r="Y23" s="159">
        <f t="shared" si="7"/>
        <v>0</v>
      </c>
      <c r="Z23" s="159">
        <f t="shared" si="18"/>
        <v>0</v>
      </c>
      <c r="AA23" s="175" t="str">
        <f t="shared" ref="AA23" si="54">IF(SUM(X23:X28)=0,"",IFERROR(X23/Y23,""))</f>
        <v/>
      </c>
      <c r="AB23" s="171">
        <f t="shared" si="8"/>
        <v>0</v>
      </c>
      <c r="AC23" s="159">
        <f t="shared" si="9"/>
        <v>0</v>
      </c>
      <c r="AD23" s="159">
        <f t="shared" si="19"/>
        <v>0</v>
      </c>
      <c r="AE23" s="175" t="str">
        <f t="shared" ref="AE23" si="55">IF(SUM(AB23:AB28)=0,"",IFERROR(AB23/AC23,""))</f>
        <v/>
      </c>
      <c r="AF23" s="171">
        <f t="shared" si="10"/>
        <v>0</v>
      </c>
      <c r="AG23" s="159">
        <f t="shared" si="11"/>
        <v>0</v>
      </c>
      <c r="AH23" s="159">
        <f t="shared" si="20"/>
        <v>0</v>
      </c>
      <c r="AI23" s="187" t="str">
        <f t="shared" ref="AI23" si="56">IF(SUM(AF23:AF28)=0,"",IFERROR(AF23/AG23,""))</f>
        <v/>
      </c>
      <c r="AJ23" s="157">
        <f t="shared" si="40"/>
        <v>7</v>
      </c>
    </row>
    <row r="24" spans="1:36" ht="24.95" hidden="1" customHeight="1" x14ac:dyDescent="0.25">
      <c r="A24" s="182" t="str">
        <f t="shared" si="30"/>
        <v>فرودگاه هاشمی نژاد</v>
      </c>
      <c r="B24" s="216"/>
      <c r="C24" s="167" t="str">
        <f t="shared" si="31"/>
        <v>آبان</v>
      </c>
      <c r="D24" s="171">
        <f>SUMIFS(صادرات!$K$4:$K$500,صادرات!$J$4:$J$500,$C24,صادرات!$I$4:$I$500,$A24)+SUMIFS(صادرات!$C$4:$C$500,صادرات!$B$4:$B$500,$C24,صادرات!$A$4:$A$500,$A24)</f>
        <v>0</v>
      </c>
      <c r="E24" s="159"/>
      <c r="F24" s="159">
        <f t="shared" si="13"/>
        <v>0</v>
      </c>
      <c r="G24" s="175" t="str">
        <f>IF(SUM(D24:D28)=0,"",IFERROR(D24/E24,""))</f>
        <v/>
      </c>
      <c r="H24" s="171">
        <f>SUMIFS(صادرات!$L$4:$L$500,صادرات!$J$4:$J$500,$C24,صادرات!$I$4:$I$500,$A24)+SUMIFS(صادرات!$D$4:$D$500,صادرات!$B$4:$B$500,$C24,صادرات!$A$4:$A$500,$A24)</f>
        <v>0</v>
      </c>
      <c r="I24" s="159"/>
      <c r="J24" s="159">
        <f t="shared" si="14"/>
        <v>0</v>
      </c>
      <c r="K24" s="175" t="str">
        <f>IF(SUM(H24:H28)=0,"",IFERROR(H24/I24,""))</f>
        <v/>
      </c>
      <c r="L24" s="171">
        <f>SUMIFS(صادرات!$M$4:$M$500,صادرات!$J$4:$J$500,$C24,صادرات!$I$4:$I$500,$A24)+SUMIFS(صادرات!$E$4:$E$500,صادرات!$B$4:$B$500,$C24,صادرات!$A$4:$A$500,$A24)</f>
        <v>0</v>
      </c>
      <c r="M24" s="159">
        <v>0</v>
      </c>
      <c r="N24" s="159">
        <f t="shared" si="15"/>
        <v>0</v>
      </c>
      <c r="O24" s="175" t="str">
        <f>IF(SUM(L24:L28)=0,"",IFERROR(L24/M24,""))</f>
        <v/>
      </c>
      <c r="P24" s="171">
        <f>SUMIFS(صادرات!$N$4:$N$500,صادرات!$J$4:$J$500,$C24,صادرات!$I$4:$I$500,$A24)+SUMIFS(صادرات!$F$4:$F$500,صادرات!$B$4:$B$500,$C24,صادرات!$A$4:$A$500,$A24)</f>
        <v>0</v>
      </c>
      <c r="Q24" s="159"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4"/>
        <v>0</v>
      </c>
      <c r="U24" s="159">
        <f t="shared" si="5"/>
        <v>0</v>
      </c>
      <c r="V24" s="159">
        <f t="shared" si="17"/>
        <v>0</v>
      </c>
      <c r="W24" s="175" t="str">
        <f t="shared" ref="W24" si="57">IF(SUM(T24:T28)=0,"",IFERROR(T24/U24,""))</f>
        <v/>
      </c>
      <c r="X24" s="171">
        <f t="shared" si="6"/>
        <v>0</v>
      </c>
      <c r="Y24" s="159">
        <f t="shared" si="7"/>
        <v>0</v>
      </c>
      <c r="Z24" s="159">
        <f t="shared" si="18"/>
        <v>0</v>
      </c>
      <c r="AA24" s="175" t="str">
        <f t="shared" ref="AA24" si="58">IF(SUM(X24:X28)=0,"",IFERROR(X24/Y24,""))</f>
        <v/>
      </c>
      <c r="AB24" s="171">
        <f t="shared" si="8"/>
        <v>0</v>
      </c>
      <c r="AC24" s="159">
        <f t="shared" si="9"/>
        <v>0</v>
      </c>
      <c r="AD24" s="159">
        <f t="shared" si="19"/>
        <v>0</v>
      </c>
      <c r="AE24" s="175" t="str">
        <f t="shared" ref="AE24" si="59">IF(SUM(AB24:AB28)=0,"",IFERROR(AB24/AC24,""))</f>
        <v/>
      </c>
      <c r="AF24" s="171">
        <f t="shared" si="10"/>
        <v>0</v>
      </c>
      <c r="AG24" s="159">
        <f t="shared" si="11"/>
        <v>0</v>
      </c>
      <c r="AH24" s="159">
        <f t="shared" si="20"/>
        <v>0</v>
      </c>
      <c r="AI24" s="187" t="str">
        <f t="shared" ref="AI24" si="60">IF(SUM(AF24:AF28)=0,"",IFERROR(AF24/AG24,""))</f>
        <v/>
      </c>
      <c r="AJ24" s="157">
        <f t="shared" si="40"/>
        <v>8</v>
      </c>
    </row>
    <row r="25" spans="1:36" ht="24.95" hidden="1" customHeight="1" x14ac:dyDescent="0.25">
      <c r="A25" s="182" t="str">
        <f t="shared" si="30"/>
        <v>فرودگاه هاشمی نژاد</v>
      </c>
      <c r="B25" s="216"/>
      <c r="C25" s="167" t="str">
        <f t="shared" si="31"/>
        <v>آذر</v>
      </c>
      <c r="D25" s="171">
        <f>SUMIFS(صادرات!$K$4:$K$500,صادرات!$J$4:$J$500,$C25,صادرات!$I$4:$I$500,$A25)+SUMIFS(صادرات!$C$4:$C$500,صادرات!$B$4:$B$500,$C25,صادرات!$A$4:$A$500,$A25)</f>
        <v>0</v>
      </c>
      <c r="E25" s="159"/>
      <c r="F25" s="159">
        <f t="shared" si="13"/>
        <v>0</v>
      </c>
      <c r="G25" s="175" t="str">
        <f>IF(SUM(D25:D28)=0,"",IFERROR(D25/E25,""))</f>
        <v/>
      </c>
      <c r="H25" s="171">
        <f>SUMIFS(صادرات!$L$4:$L$500,صادرات!$J$4:$J$500,$C25,صادرات!$I$4:$I$500,$A25)+SUMIFS(صادرات!$D$4:$D$500,صادرات!$B$4:$B$500,$C25,صادرات!$A$4:$A$500,$A25)</f>
        <v>0</v>
      </c>
      <c r="I25" s="159"/>
      <c r="J25" s="159">
        <f t="shared" si="14"/>
        <v>0</v>
      </c>
      <c r="K25" s="175" t="str">
        <f>IF(SUM(H25:H28)=0,"",IFERROR(H25/I25,""))</f>
        <v/>
      </c>
      <c r="L25" s="171">
        <f>SUMIFS(صادرات!$M$4:$M$500,صادرات!$J$4:$J$500,$C25,صادرات!$I$4:$I$500,$A25)+SUMIFS(صادرات!$E$4:$E$500,صادرات!$B$4:$B$500,$C25,صادرات!$A$4:$A$500,$A25)</f>
        <v>0</v>
      </c>
      <c r="M25" s="159">
        <v>0</v>
      </c>
      <c r="N25" s="159">
        <f t="shared" si="15"/>
        <v>0</v>
      </c>
      <c r="O25" s="175" t="str">
        <f>IF(SUM(L25:L28)=0,"",IFERROR(L25/M25,""))</f>
        <v/>
      </c>
      <c r="P25" s="171">
        <f>SUMIFS(صادرات!$N$4:$N$500,صادرات!$J$4:$J$500,$C25,صادرات!$I$4:$I$500,$A25)+SUMIFS(صادرات!$F$4:$F$500,صادرات!$B$4:$B$500,$C25,صادرات!$A$4:$A$500,$A25)</f>
        <v>0</v>
      </c>
      <c r="Q25" s="159"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4"/>
        <v>0</v>
      </c>
      <c r="U25" s="159">
        <f t="shared" si="5"/>
        <v>0</v>
      </c>
      <c r="V25" s="159">
        <f t="shared" si="17"/>
        <v>0</v>
      </c>
      <c r="W25" s="175" t="str">
        <f t="shared" ref="W25" si="61">IF(SUM(T25:T28)=0,"",IFERROR(T25/U25,""))</f>
        <v/>
      </c>
      <c r="X25" s="171">
        <f t="shared" si="6"/>
        <v>0</v>
      </c>
      <c r="Y25" s="159">
        <f t="shared" si="7"/>
        <v>0</v>
      </c>
      <c r="Z25" s="159">
        <f t="shared" si="18"/>
        <v>0</v>
      </c>
      <c r="AA25" s="175" t="str">
        <f t="shared" ref="AA25" si="62">IF(SUM(X25:X28)=0,"",IFERROR(X25/Y25,""))</f>
        <v/>
      </c>
      <c r="AB25" s="171">
        <f t="shared" si="8"/>
        <v>0</v>
      </c>
      <c r="AC25" s="159">
        <f t="shared" si="9"/>
        <v>0</v>
      </c>
      <c r="AD25" s="159">
        <f t="shared" si="19"/>
        <v>0</v>
      </c>
      <c r="AE25" s="175" t="str">
        <f t="shared" ref="AE25" si="63">IF(SUM(AB25:AB28)=0,"",IFERROR(AB25/AC25,""))</f>
        <v/>
      </c>
      <c r="AF25" s="171">
        <f t="shared" si="10"/>
        <v>0</v>
      </c>
      <c r="AG25" s="159">
        <f t="shared" si="11"/>
        <v>0</v>
      </c>
      <c r="AH25" s="159">
        <f t="shared" si="20"/>
        <v>0</v>
      </c>
      <c r="AI25" s="187" t="str">
        <f t="shared" ref="AI25" si="64">IF(SUM(AF25:AF28)=0,"",IFERROR(AF25/AG25,""))</f>
        <v/>
      </c>
      <c r="AJ25" s="157">
        <f t="shared" si="40"/>
        <v>9</v>
      </c>
    </row>
    <row r="26" spans="1:36" ht="24.95" hidden="1" customHeight="1" x14ac:dyDescent="0.25">
      <c r="A26" s="182" t="str">
        <f t="shared" si="30"/>
        <v>فرودگاه هاشمی نژاد</v>
      </c>
      <c r="B26" s="216"/>
      <c r="C26" s="167" t="str">
        <f t="shared" si="31"/>
        <v>دی</v>
      </c>
      <c r="D26" s="171">
        <f>SUMIFS(صادرات!$K$4:$K$500,صادرات!$J$4:$J$500,$C26,صادرات!$I$4:$I$500,$A26)+SUMIFS(صادرات!$C$4:$C$500,صادرات!$B$4:$B$500,$C26,صادرات!$A$4:$A$500,$A26)</f>
        <v>0</v>
      </c>
      <c r="E26" s="159"/>
      <c r="F26" s="159">
        <f t="shared" si="13"/>
        <v>0</v>
      </c>
      <c r="G26" s="175" t="str">
        <f>IF(SUM(D26:D28)=0,"",IFERROR(D26/E26,""))</f>
        <v/>
      </c>
      <c r="H26" s="171">
        <f>SUMIFS(صادرات!$L$4:$L$500,صادرات!$J$4:$J$500,$C26,صادرات!$I$4:$I$500,$A26)+SUMIFS(صادرات!$D$4:$D$500,صادرات!$B$4:$B$500,$C26,صادرات!$A$4:$A$500,$A26)</f>
        <v>0</v>
      </c>
      <c r="I26" s="159"/>
      <c r="J26" s="159">
        <f t="shared" si="14"/>
        <v>0</v>
      </c>
      <c r="K26" s="175" t="str">
        <f>IF(SUM(H26:H28)=0,"",IFERROR(H26/I26,""))</f>
        <v/>
      </c>
      <c r="L26" s="171">
        <f>SUMIFS(صادرات!$M$4:$M$500,صادرات!$J$4:$J$500,$C26,صادرات!$I$4:$I$500,$A26)+SUMIFS(صادرات!$E$4:$E$500,صادرات!$B$4:$B$500,$C26,صادرات!$A$4:$A$500,$A26)</f>
        <v>0</v>
      </c>
      <c r="M26" s="159">
        <v>0</v>
      </c>
      <c r="N26" s="159">
        <f t="shared" si="15"/>
        <v>0</v>
      </c>
      <c r="O26" s="175" t="str">
        <f>IF(SUM(L26:L28)=0,"",IFERROR(L26/M26,""))</f>
        <v/>
      </c>
      <c r="P26" s="171">
        <f>SUMIFS(صادرات!$N$4:$N$500,صادرات!$J$4:$J$500,$C26,صادرات!$I$4:$I$500,$A26)+SUMIFS(صادرات!$F$4:$F$500,صادرات!$B$4:$B$500,$C26,صادرات!$A$4:$A$500,$A26)</f>
        <v>0</v>
      </c>
      <c r="Q26" s="159"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4"/>
        <v>0</v>
      </c>
      <c r="U26" s="159">
        <f t="shared" si="5"/>
        <v>0</v>
      </c>
      <c r="V26" s="159">
        <f t="shared" si="17"/>
        <v>0</v>
      </c>
      <c r="W26" s="175" t="str">
        <f t="shared" ref="W26" si="65">IF(SUM(T26:T28)=0,"",IFERROR(T26/U26,""))</f>
        <v/>
      </c>
      <c r="X26" s="171">
        <f t="shared" si="6"/>
        <v>0</v>
      </c>
      <c r="Y26" s="159">
        <f t="shared" si="7"/>
        <v>0</v>
      </c>
      <c r="Z26" s="159">
        <f t="shared" si="18"/>
        <v>0</v>
      </c>
      <c r="AA26" s="175" t="str">
        <f t="shared" ref="AA26" si="66">IF(SUM(X26:X28)=0,"",IFERROR(X26/Y26,""))</f>
        <v/>
      </c>
      <c r="AB26" s="171">
        <f t="shared" si="8"/>
        <v>0</v>
      </c>
      <c r="AC26" s="159">
        <f t="shared" si="9"/>
        <v>0</v>
      </c>
      <c r="AD26" s="159">
        <f t="shared" si="19"/>
        <v>0</v>
      </c>
      <c r="AE26" s="175" t="str">
        <f t="shared" ref="AE26" si="67">IF(SUM(AB26:AB28)=0,"",IFERROR(AB26/AC26,""))</f>
        <v/>
      </c>
      <c r="AF26" s="171">
        <f t="shared" si="10"/>
        <v>0</v>
      </c>
      <c r="AG26" s="159">
        <f t="shared" si="11"/>
        <v>0</v>
      </c>
      <c r="AH26" s="159">
        <f t="shared" si="20"/>
        <v>0</v>
      </c>
      <c r="AI26" s="187" t="str">
        <f t="shared" ref="AI26" si="68">IF(SUM(AF26:AF28)=0,"",IFERROR(AF26/AG26,""))</f>
        <v/>
      </c>
      <c r="AJ26" s="157">
        <f t="shared" si="40"/>
        <v>10</v>
      </c>
    </row>
    <row r="27" spans="1:36" ht="24.95" hidden="1" customHeight="1" x14ac:dyDescent="0.25">
      <c r="A27" s="182" t="str">
        <f t="shared" si="30"/>
        <v>فرودگاه هاشمی نژاد</v>
      </c>
      <c r="B27" s="216"/>
      <c r="C27" s="167" t="str">
        <f t="shared" si="31"/>
        <v>بهمن</v>
      </c>
      <c r="D27" s="171">
        <f>SUMIFS(صادرات!$K$4:$K$500,صادرات!$J$4:$J$500,$C27,صادرات!$I$4:$I$500,$A27)+SUMIFS(صادرات!$C$4:$C$500,صادرات!$B$4:$B$500,$C27,صادرات!$A$4:$A$500,$A27)</f>
        <v>0</v>
      </c>
      <c r="E27" s="159"/>
      <c r="F27" s="159">
        <f t="shared" si="13"/>
        <v>0</v>
      </c>
      <c r="G27" s="175" t="str">
        <f>IF(SUM(D27:D28)=0,"",IFERROR(D27/E27,""))</f>
        <v/>
      </c>
      <c r="H27" s="171">
        <f>SUMIFS(صادرات!$L$4:$L$500,صادرات!$J$4:$J$500,$C27,صادرات!$I$4:$I$500,$A27)+SUMIFS(صادرات!$D$4:$D$500,صادرات!$B$4:$B$500,$C27,صادرات!$A$4:$A$500,$A27)</f>
        <v>0</v>
      </c>
      <c r="I27" s="159"/>
      <c r="J27" s="159">
        <f t="shared" si="14"/>
        <v>0</v>
      </c>
      <c r="K27" s="175" t="str">
        <f>IF(SUM(H27:H28)=0,"",IFERROR(H27/I27,""))</f>
        <v/>
      </c>
      <c r="L27" s="171">
        <f>SUMIFS(صادرات!$M$4:$M$500,صادرات!$J$4:$J$500,$C27,صادرات!$I$4:$I$500,$A27)+SUMIFS(صادرات!$E$4:$E$500,صادرات!$B$4:$B$500,$C27,صادرات!$A$4:$A$500,$A27)</f>
        <v>0</v>
      </c>
      <c r="M27" s="159">
        <v>0</v>
      </c>
      <c r="N27" s="159">
        <f t="shared" si="15"/>
        <v>0</v>
      </c>
      <c r="O27" s="175" t="str">
        <f>IF(SUM(L27:L28)=0,"",IFERROR(L27/M27,""))</f>
        <v/>
      </c>
      <c r="P27" s="171">
        <f>SUMIFS(صادرات!$N$4:$N$500,صادرات!$J$4:$J$500,$C27,صادرات!$I$4:$I$500,$A27)+SUMIFS(صادرات!$F$4:$F$500,صادرات!$B$4:$B$500,$C27,صادرات!$A$4:$A$500,$A27)</f>
        <v>0</v>
      </c>
      <c r="Q27" s="159"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4"/>
        <v>0</v>
      </c>
      <c r="U27" s="159">
        <f t="shared" si="5"/>
        <v>0</v>
      </c>
      <c r="V27" s="159">
        <f t="shared" si="17"/>
        <v>0</v>
      </c>
      <c r="W27" s="175" t="str">
        <f t="shared" ref="W27" si="69">IF(SUM(T27:T28)=0,"",IFERROR(T27/U27,""))</f>
        <v/>
      </c>
      <c r="X27" s="171">
        <f t="shared" si="6"/>
        <v>0</v>
      </c>
      <c r="Y27" s="159">
        <f t="shared" si="7"/>
        <v>0</v>
      </c>
      <c r="Z27" s="159">
        <f t="shared" si="18"/>
        <v>0</v>
      </c>
      <c r="AA27" s="175" t="str">
        <f t="shared" ref="AA27" si="70">IF(SUM(X27:X28)=0,"",IFERROR(X27/Y27,""))</f>
        <v/>
      </c>
      <c r="AB27" s="171">
        <f t="shared" si="8"/>
        <v>0</v>
      </c>
      <c r="AC27" s="159">
        <f t="shared" si="9"/>
        <v>0</v>
      </c>
      <c r="AD27" s="159">
        <f t="shared" si="19"/>
        <v>0</v>
      </c>
      <c r="AE27" s="175" t="str">
        <f t="shared" ref="AE27" si="71">IF(SUM(AB27:AB28)=0,"",IFERROR(AB27/AC27,""))</f>
        <v/>
      </c>
      <c r="AF27" s="171">
        <f t="shared" si="10"/>
        <v>0</v>
      </c>
      <c r="AG27" s="159">
        <f t="shared" si="11"/>
        <v>0</v>
      </c>
      <c r="AH27" s="159">
        <f t="shared" si="20"/>
        <v>0</v>
      </c>
      <c r="AI27" s="187" t="str">
        <f t="shared" ref="AI27" si="72">IF(SUM(AF27:AF28)=0,"",IFERROR(AF27/AG27,""))</f>
        <v/>
      </c>
      <c r="AJ27" s="157">
        <f t="shared" si="40"/>
        <v>11</v>
      </c>
    </row>
    <row r="28" spans="1:36" ht="24.95" hidden="1" customHeight="1" thickBot="1" x14ac:dyDescent="0.3">
      <c r="A28" s="182" t="str">
        <f t="shared" si="30"/>
        <v>فرودگاه هاشمی نژاد</v>
      </c>
      <c r="B28" s="217"/>
      <c r="C28" s="168" t="str">
        <f t="shared" si="31"/>
        <v>اسفند</v>
      </c>
      <c r="D28" s="172">
        <f>SUMIFS(صادرات!$K$4:$K$500,صادرات!$J$4:$J$500,$C28,صادرات!$I$4:$I$500,$A28)+SUMIFS(صادرات!$C$4:$C$500,صادرات!$B$4:$B$500,$C28,صادرات!$A$4:$A$500,$A28)</f>
        <v>0</v>
      </c>
      <c r="E28" s="173"/>
      <c r="F28" s="173">
        <f t="shared" si="13"/>
        <v>0</v>
      </c>
      <c r="G28" s="176" t="str">
        <f>IF(SUM(D28)=0,"",IFERROR(D28/E28,""))</f>
        <v/>
      </c>
      <c r="H28" s="172">
        <f>SUMIFS(صادرات!$L$4:$L$500,صادرات!$J$4:$J$500,$C28,صادرات!$I$4:$I$500,$A28)+SUMIFS(صادرات!$D$4:$D$500,صادرات!$B$4:$B$500,$C28,صادرات!$A$4:$A$500,$A28)</f>
        <v>0</v>
      </c>
      <c r="I28" s="173"/>
      <c r="J28" s="173">
        <f t="shared" si="14"/>
        <v>0</v>
      </c>
      <c r="K28" s="176" t="str">
        <f>IF(SUM(H28)=0,"",IFERROR(H28/I28,""))</f>
        <v/>
      </c>
      <c r="L28" s="172">
        <f>SUMIFS(صادرات!$M$4:$M$500,صادرات!$J$4:$J$500,$C28,صادرات!$I$4:$I$500,$A28)+SUMIFS(صادرات!$E$4:$E$500,صادرات!$B$4:$B$500,$C28,صادرات!$A$4:$A$500,$A28)</f>
        <v>0</v>
      </c>
      <c r="M28" s="173">
        <v>0</v>
      </c>
      <c r="N28" s="173">
        <f t="shared" si="15"/>
        <v>0</v>
      </c>
      <c r="O28" s="176" t="str">
        <f>IF(SUM(L28)=0,"",IFERROR(L28/M28,""))</f>
        <v/>
      </c>
      <c r="P28" s="172">
        <f>SUMIFS(صادرات!$N$4:$N$500,صادرات!$J$4:$J$500,$C28,صادرات!$I$4:$I$500,$A28)+SUMIFS(صادرات!$F$4:$F$500,صادرات!$B$4:$B$500,$C28,صادرات!$A$4:$A$500,$A28)</f>
        <v>0</v>
      </c>
      <c r="Q28" s="173">
        <v>0</v>
      </c>
      <c r="R28" s="173">
        <f t="shared" si="16"/>
        <v>0</v>
      </c>
      <c r="S28" s="176" t="str">
        <f>IF(SUM(P28)=0,"",IFERROR(P28/Q28,""))</f>
        <v/>
      </c>
      <c r="T28" s="172">
        <f t="shared" si="4"/>
        <v>0</v>
      </c>
      <c r="U28" s="173">
        <f t="shared" si="5"/>
        <v>0</v>
      </c>
      <c r="V28" s="173">
        <f t="shared" si="17"/>
        <v>0</v>
      </c>
      <c r="W28" s="176" t="str">
        <f t="shared" ref="W28" si="73">IF(SUM(T28)=0,"",IFERROR(T28/U28,""))</f>
        <v/>
      </c>
      <c r="X28" s="172">
        <f t="shared" si="6"/>
        <v>0</v>
      </c>
      <c r="Y28" s="173">
        <f t="shared" si="7"/>
        <v>0</v>
      </c>
      <c r="Z28" s="173">
        <f t="shared" si="18"/>
        <v>0</v>
      </c>
      <c r="AA28" s="176" t="str">
        <f t="shared" ref="AA28" si="74">IF(SUM(X28)=0,"",IFERROR(X28/Y28,""))</f>
        <v/>
      </c>
      <c r="AB28" s="172">
        <f t="shared" si="8"/>
        <v>0</v>
      </c>
      <c r="AC28" s="173">
        <f t="shared" si="9"/>
        <v>0</v>
      </c>
      <c r="AD28" s="173">
        <f t="shared" si="19"/>
        <v>0</v>
      </c>
      <c r="AE28" s="176" t="str">
        <f t="shared" ref="AE28" si="75">IF(SUM(AB28)=0,"",IFERROR(AB28/AC28,""))</f>
        <v/>
      </c>
      <c r="AF28" s="172">
        <f t="shared" si="10"/>
        <v>0</v>
      </c>
      <c r="AG28" s="173">
        <f t="shared" si="11"/>
        <v>0</v>
      </c>
      <c r="AH28" s="173">
        <f t="shared" si="20"/>
        <v>0</v>
      </c>
      <c r="AI28" s="188" t="str">
        <f t="shared" ref="AI28" si="76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30"/>
        <v>شهید کاوه</v>
      </c>
      <c r="B29" s="215" t="str">
        <f>واردات!B18</f>
        <v>شهید کاوه</v>
      </c>
      <c r="C29" s="166" t="str">
        <f>C17</f>
        <v>فروردین</v>
      </c>
      <c r="D29" s="170">
        <f>SUMIFS(صادرات!$K$4:$K$500,صادرات!$J$4:$J$500,$C29,صادرات!$I$4:$I$500,$A29)+SUMIFS(صادرات!$C$4:$C$500,صادرات!$B$4:$B$500,$C29,صادرات!$A$4:$A$500,$A29)</f>
        <v>0</v>
      </c>
      <c r="E29" s="160">
        <v>72.642376048065103</v>
      </c>
      <c r="F29" s="160">
        <f t="shared" si="13"/>
        <v>-72.642376048065103</v>
      </c>
      <c r="G29" s="185">
        <f>IF(SUM(D29:D40)=0,"",IFERROR(D29/E29,""))</f>
        <v>0</v>
      </c>
      <c r="H29" s="170">
        <f>SUMIFS(صادرات!$L$4:$L$500,صادرات!$J$4:$J$500,$C29,صادرات!$I$4:$I$500,$A29)+SUMIFS(صادرات!$D$4:$D$500,صادرات!$B$4:$B$500,$C29,صادرات!$A$4:$A$500,$A29)</f>
        <v>0</v>
      </c>
      <c r="I29" s="160">
        <v>100.00970859207638</v>
      </c>
      <c r="J29" s="160">
        <f t="shared" si="14"/>
        <v>-100.00970859207638</v>
      </c>
      <c r="K29" s="185">
        <f>IF(SUM(H29:H40)=0,"",IFERROR(H29/I29,""))</f>
        <v>0</v>
      </c>
      <c r="L29" s="170">
        <f>SUMIFS(صادرات!$M$4:$M$500,صادرات!$J$4:$J$500,$C29,صادرات!$I$4:$I$500,$A29)+SUMIFS(صادرات!$E$4:$E$500,صادرات!$B$4:$B$500,$C29,صادرات!$A$4:$A$500,$A29)</f>
        <v>0</v>
      </c>
      <c r="M29" s="160">
        <v>13.220744489372093</v>
      </c>
      <c r="N29" s="160">
        <f t="shared" si="15"/>
        <v>-13.220744489372093</v>
      </c>
      <c r="O29" s="185">
        <f>IF(SUM(L29:L40)=0,"",IFERROR(L29/M29,""))</f>
        <v>0</v>
      </c>
      <c r="P29" s="170">
        <f>SUMIFS(صادرات!$N$4:$N$500,صادرات!$J$4:$J$500,$C29,صادرات!$I$4:$I$500,$A29)+SUMIFS(صادرات!$F$4:$F$500,صادرات!$B$4:$B$500,$C29,صادرات!$A$4:$A$500,$A29)</f>
        <v>0</v>
      </c>
      <c r="Q29" s="160">
        <v>0</v>
      </c>
      <c r="R29" s="160">
        <f t="shared" si="16"/>
        <v>0</v>
      </c>
      <c r="S29" s="185" t="str">
        <f>IF(SUM(P29:P40)=0,"",IFERROR(P29/Q29,""))</f>
        <v/>
      </c>
      <c r="T29" s="183">
        <f t="shared" si="4"/>
        <v>0</v>
      </c>
      <c r="U29" s="160">
        <f t="shared" si="5"/>
        <v>72.642376048065103</v>
      </c>
      <c r="V29" s="160">
        <f t="shared" si="17"/>
        <v>-72.642376048065103</v>
      </c>
      <c r="W29" s="185">
        <f t="shared" ref="W29" si="77">IF(SUM(T29:T40)=0,"",IFERROR(T29/U29,""))</f>
        <v>0</v>
      </c>
      <c r="X29" s="183">
        <f t="shared" si="6"/>
        <v>0</v>
      </c>
      <c r="Y29" s="160">
        <f t="shared" si="7"/>
        <v>100.00970859207638</v>
      </c>
      <c r="Z29" s="160">
        <f t="shared" si="18"/>
        <v>-100.00970859207638</v>
      </c>
      <c r="AA29" s="185">
        <f t="shared" ref="AA29" si="78">IF(SUM(X29:X40)=0,"",IFERROR(X29/Y29,""))</f>
        <v>0</v>
      </c>
      <c r="AB29" s="183">
        <f t="shared" si="8"/>
        <v>0</v>
      </c>
      <c r="AC29" s="160">
        <f t="shared" si="9"/>
        <v>13.220744489372093</v>
      </c>
      <c r="AD29" s="160">
        <f t="shared" si="19"/>
        <v>-13.220744489372093</v>
      </c>
      <c r="AE29" s="185">
        <f t="shared" ref="AE29" si="79">IF(SUM(AB29:AB40)=0,"",IFERROR(AB29/AC29,""))</f>
        <v>0</v>
      </c>
      <c r="AF29" s="183">
        <f t="shared" si="10"/>
        <v>0</v>
      </c>
      <c r="AG29" s="160">
        <f t="shared" si="11"/>
        <v>0</v>
      </c>
      <c r="AH29" s="160">
        <f t="shared" si="20"/>
        <v>0</v>
      </c>
      <c r="AI29" s="186" t="str">
        <f t="shared" ref="AI29" si="80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30"/>
        <v>شهید کاوه</v>
      </c>
      <c r="B30" s="216"/>
      <c r="C30" s="167" t="str">
        <f t="shared" si="31"/>
        <v>اردیبهشت</v>
      </c>
      <c r="D30" s="171">
        <f>SUMIFS(صادرات!$K$4:$K$500,صادرات!$J$4:$J$500,$C30,صادرات!$I$4:$I$500,$A30)+SUMIFS(صادرات!$C$4:$C$500,صادرات!$B$4:$B$500,$C30,صادرات!$A$4:$A$500,$A30)</f>
        <v>4</v>
      </c>
      <c r="E30" s="159">
        <v>72.642376048065103</v>
      </c>
      <c r="F30" s="159">
        <f t="shared" si="13"/>
        <v>-68.642376048065103</v>
      </c>
      <c r="G30" s="175">
        <f>IF(SUM(D30:D40)=0,"",IFERROR(D30/E30,""))</f>
        <v>5.5064278147418114E-2</v>
      </c>
      <c r="H30" s="171">
        <f>SUMIFS(صادرات!$L$4:$L$500,صادرات!$J$4:$J$500,$C30,صادرات!$I$4:$I$500,$A30)+SUMIFS(صادرات!$D$4:$D$500,صادرات!$B$4:$B$500,$C30,صادرات!$A$4:$A$500,$A30)</f>
        <v>4</v>
      </c>
      <c r="I30" s="159">
        <v>100.00970859207638</v>
      </c>
      <c r="J30" s="159">
        <f t="shared" si="14"/>
        <v>-96.009708592076379</v>
      </c>
      <c r="K30" s="175">
        <f>IF(SUM(H30:H40)=0,"",IFERROR(H30/I30,""))</f>
        <v>3.9996116940159886E-2</v>
      </c>
      <c r="L30" s="171">
        <f>SUMIFS(صادرات!$M$4:$M$500,صادرات!$J$4:$J$500,$C30,صادرات!$I$4:$I$500,$A30)+SUMIFS(صادرات!$E$4:$E$500,صادرات!$B$4:$B$500,$C30,صادرات!$A$4:$A$500,$A30)</f>
        <v>0</v>
      </c>
      <c r="M30" s="159">
        <v>13.220744489372093</v>
      </c>
      <c r="N30" s="159">
        <f t="shared" si="15"/>
        <v>-13.220744489372093</v>
      </c>
      <c r="O30" s="175">
        <f>IF(SUM(L30:L40)=0,"",IFERROR(L30/M30,""))</f>
        <v>0</v>
      </c>
      <c r="P30" s="171">
        <f>SUMIFS(صادرات!$N$4:$N$500,صادرات!$J$4:$J$500,$C30,صادرات!$I$4:$I$500,$A30)+SUMIFS(صادرات!$F$4:$F$500,صادرات!$B$4:$B$500,$C30,صادرات!$A$4:$A$500,$A30)</f>
        <v>0</v>
      </c>
      <c r="Q30" s="159">
        <v>0</v>
      </c>
      <c r="R30" s="159">
        <f t="shared" si="16"/>
        <v>0</v>
      </c>
      <c r="S30" s="175" t="str">
        <f>IF(SUM(P30:P40)=0,"",IFERROR(P30/Q30,""))</f>
        <v/>
      </c>
      <c r="T30" s="171">
        <f t="shared" si="4"/>
        <v>4</v>
      </c>
      <c r="U30" s="159">
        <f t="shared" si="5"/>
        <v>145.28475209613021</v>
      </c>
      <c r="V30" s="159">
        <f t="shared" si="17"/>
        <v>-141.28475209613021</v>
      </c>
      <c r="W30" s="175">
        <f t="shared" ref="W30" si="81">IF(SUM(T30:T40)=0,"",IFERROR(T30/U30,""))</f>
        <v>2.7532139073709057E-2</v>
      </c>
      <c r="X30" s="171">
        <f t="shared" si="6"/>
        <v>4</v>
      </c>
      <c r="Y30" s="159">
        <f t="shared" si="7"/>
        <v>200.01941718415276</v>
      </c>
      <c r="Z30" s="159">
        <f t="shared" si="18"/>
        <v>-196.01941718415276</v>
      </c>
      <c r="AA30" s="175">
        <f t="shared" ref="AA30" si="82">IF(SUM(X30:X40)=0,"",IFERROR(X30/Y30,""))</f>
        <v>1.9998058470079943E-2</v>
      </c>
      <c r="AB30" s="171">
        <f t="shared" si="8"/>
        <v>0</v>
      </c>
      <c r="AC30" s="159">
        <f t="shared" si="9"/>
        <v>26.441488978744186</v>
      </c>
      <c r="AD30" s="159">
        <f t="shared" si="19"/>
        <v>-26.441488978744186</v>
      </c>
      <c r="AE30" s="175">
        <f t="shared" ref="AE30" si="83">IF(SUM(AB30:AB40)=0,"",IFERROR(AB30/AC30,""))</f>
        <v>0</v>
      </c>
      <c r="AF30" s="171">
        <f t="shared" si="10"/>
        <v>0</v>
      </c>
      <c r="AG30" s="159">
        <f t="shared" si="11"/>
        <v>0</v>
      </c>
      <c r="AH30" s="159">
        <f t="shared" si="20"/>
        <v>0</v>
      </c>
      <c r="AI30" s="187" t="str">
        <f t="shared" ref="AI30" si="84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30"/>
        <v>شهید کاوه</v>
      </c>
      <c r="B31" s="216"/>
      <c r="C31" s="167" t="str">
        <f t="shared" si="31"/>
        <v>خرداد</v>
      </c>
      <c r="D31" s="171">
        <f>SUMIFS(صادرات!$K$4:$K$500,صادرات!$J$4:$J$500,$C31,صادرات!$I$4:$I$500,$A31)+SUMIFS(صادرات!$C$4:$C$500,صادرات!$B$4:$B$500,$C31,صادرات!$A$4:$A$500,$A31)</f>
        <v>9</v>
      </c>
      <c r="E31" s="159">
        <v>72.642376048065103</v>
      </c>
      <c r="F31" s="159">
        <f t="shared" si="13"/>
        <v>-63.642376048065103</v>
      </c>
      <c r="G31" s="175">
        <f>IF(SUM(D31:D40)=0,"",IFERROR(D31/E31,""))</f>
        <v>0.12389462583169075</v>
      </c>
      <c r="H31" s="171">
        <f>SUMIFS(صادرات!$L$4:$L$500,صادرات!$J$4:$J$500,$C31,صادرات!$I$4:$I$500,$A31)+SUMIFS(صادرات!$D$4:$D$500,صادرات!$B$4:$B$500,$C31,صادرات!$A$4:$A$500,$A31)</f>
        <v>0</v>
      </c>
      <c r="I31" s="159">
        <v>100.00970859207638</v>
      </c>
      <c r="J31" s="159">
        <f t="shared" si="14"/>
        <v>-100.00970859207638</v>
      </c>
      <c r="K31" s="175">
        <f>IF(SUM(H31:H40)=0,"",IFERROR(H31/I31,""))</f>
        <v>0</v>
      </c>
      <c r="L31" s="171">
        <f>SUMIFS(صادرات!$M$4:$M$500,صادرات!$J$4:$J$500,$C31,صادرات!$I$4:$I$500,$A31)+SUMIFS(صادرات!$E$4:$E$500,صادرات!$B$4:$B$500,$C31,صادرات!$A$4:$A$500,$A31)</f>
        <v>0</v>
      </c>
      <c r="M31" s="159">
        <v>13.220744489372093</v>
      </c>
      <c r="N31" s="159">
        <f t="shared" si="15"/>
        <v>-13.220744489372093</v>
      </c>
      <c r="O31" s="175">
        <f>IF(SUM(L31:L40)=0,"",IFERROR(L31/M31,""))</f>
        <v>0</v>
      </c>
      <c r="P31" s="171">
        <f>SUMIFS(صادرات!$N$4:$N$500,صادرات!$J$4:$J$500,$C31,صادرات!$I$4:$I$500,$A31)+SUMIFS(صادرات!$F$4:$F$500,صادرات!$B$4:$B$500,$C31,صادرات!$A$4:$A$500,$A31)</f>
        <v>0</v>
      </c>
      <c r="Q31" s="159">
        <v>0</v>
      </c>
      <c r="R31" s="159">
        <f t="shared" si="16"/>
        <v>0</v>
      </c>
      <c r="S31" s="175" t="str">
        <f>IF(SUM(P31:P40)=0,"",IFERROR(P31/Q31,""))</f>
        <v/>
      </c>
      <c r="T31" s="171">
        <f t="shared" si="4"/>
        <v>13</v>
      </c>
      <c r="U31" s="159">
        <f t="shared" si="5"/>
        <v>217.92712814419531</v>
      </c>
      <c r="V31" s="159">
        <f t="shared" si="17"/>
        <v>-204.92712814419531</v>
      </c>
      <c r="W31" s="175">
        <f t="shared" ref="W31" si="85">IF(SUM(T31:T40)=0,"",IFERROR(T31/U31,""))</f>
        <v>5.9652967993036286E-2</v>
      </c>
      <c r="X31" s="171">
        <f t="shared" si="6"/>
        <v>4</v>
      </c>
      <c r="Y31" s="159">
        <f t="shared" si="7"/>
        <v>300.02912577622914</v>
      </c>
      <c r="Z31" s="159">
        <f t="shared" si="18"/>
        <v>-296.02912577622914</v>
      </c>
      <c r="AA31" s="175">
        <f t="shared" ref="AA31" si="86">IF(SUM(X31:X40)=0,"",IFERROR(X31/Y31,""))</f>
        <v>1.3332038980053296E-2</v>
      </c>
      <c r="AB31" s="171">
        <f t="shared" si="8"/>
        <v>0</v>
      </c>
      <c r="AC31" s="159">
        <f t="shared" si="9"/>
        <v>39.662233468116277</v>
      </c>
      <c r="AD31" s="159">
        <f t="shared" si="19"/>
        <v>-39.662233468116277</v>
      </c>
      <c r="AE31" s="175">
        <f t="shared" ref="AE31" si="87">IF(SUM(AB31:AB40)=0,"",IFERROR(AB31/AC31,""))</f>
        <v>0</v>
      </c>
      <c r="AF31" s="171">
        <f t="shared" si="10"/>
        <v>0</v>
      </c>
      <c r="AG31" s="159">
        <f t="shared" si="11"/>
        <v>0</v>
      </c>
      <c r="AH31" s="159">
        <f t="shared" si="20"/>
        <v>0</v>
      </c>
      <c r="AI31" s="187" t="str">
        <f t="shared" ref="AI31" si="88">IF(SUM(AF31:AF40)=0,"",IFERROR(AF31/AG31,""))</f>
        <v/>
      </c>
      <c r="AJ31" s="157">
        <f t="shared" ref="AJ31:AJ39" si="89">AJ30+1</f>
        <v>3</v>
      </c>
    </row>
    <row r="32" spans="1:36" ht="24.95" customHeight="1" x14ac:dyDescent="0.25">
      <c r="A32" s="182" t="str">
        <f t="shared" si="30"/>
        <v>شهید کاوه</v>
      </c>
      <c r="B32" s="216"/>
      <c r="C32" s="167" t="str">
        <f t="shared" si="31"/>
        <v>تیر</v>
      </c>
      <c r="D32" s="171">
        <f>SUMIFS(صادرات!$K$4:$K$500,صادرات!$J$4:$J$500,$C32,صادرات!$I$4:$I$500,$A32)+SUMIFS(صادرات!$C$4:$C$500,صادرات!$B$4:$B$500,$C32,صادرات!$A$4:$A$500,$A32)</f>
        <v>3</v>
      </c>
      <c r="E32" s="159">
        <v>39.893738970037695</v>
      </c>
      <c r="F32" s="159">
        <f t="shared" si="13"/>
        <v>-36.893738970037695</v>
      </c>
      <c r="G32" s="175">
        <f>IF(SUM(D32:D40)=0,"",IFERROR(D32/E32,""))</f>
        <v>7.5199770125662035E-2</v>
      </c>
      <c r="H32" s="171">
        <f>SUMIFS(صادرات!$L$4:$L$500,صادرات!$J$4:$J$500,$C32,صادرات!$I$4:$I$500,$A32)+SUMIFS(صادرات!$D$4:$D$500,صادرات!$B$4:$B$500,$C32,صادرات!$A$4:$A$500,$A32)</f>
        <v>12</v>
      </c>
      <c r="I32" s="159">
        <v>58.683234429175492</v>
      </c>
      <c r="J32" s="159">
        <f t="shared" si="14"/>
        <v>-46.683234429175492</v>
      </c>
      <c r="K32" s="175">
        <f>IF(SUM(H32:H40)=0,"",IFERROR(H32/I32,""))</f>
        <v>0.20448770618604434</v>
      </c>
      <c r="L32" s="171">
        <f>SUMIFS(صادرات!$M$4:$M$500,صادرات!$J$4:$J$500,$C32,صادرات!$I$4:$I$500,$A32)+SUMIFS(صادرات!$E$4:$E$500,صادرات!$B$4:$B$500,$C32,صادرات!$A$4:$A$500,$A32)</f>
        <v>0</v>
      </c>
      <c r="M32" s="159">
        <v>51.62912156458102</v>
      </c>
      <c r="N32" s="159">
        <f t="shared" si="15"/>
        <v>-51.62912156458102</v>
      </c>
      <c r="O32" s="175">
        <f>IF(SUM(L32:L40)=0,"",IFERROR(L32/M32,""))</f>
        <v>0</v>
      </c>
      <c r="P32" s="171">
        <f>SUMIFS(صادرات!$N$4:$N$500,صادرات!$J$4:$J$500,$C32,صادرات!$I$4:$I$500,$A32)+SUMIFS(صادرات!$F$4:$F$500,صادرات!$B$4:$B$500,$C32,صادرات!$A$4:$A$500,$A32)</f>
        <v>0</v>
      </c>
      <c r="Q32" s="159">
        <v>0</v>
      </c>
      <c r="R32" s="159">
        <f t="shared" si="16"/>
        <v>0</v>
      </c>
      <c r="S32" s="175" t="str">
        <f>IF(SUM(P32:P40)=0,"",IFERROR(P32/Q32,""))</f>
        <v/>
      </c>
      <c r="T32" s="171">
        <f t="shared" si="4"/>
        <v>16</v>
      </c>
      <c r="U32" s="159">
        <f t="shared" si="5"/>
        <v>257.82086711423301</v>
      </c>
      <c r="V32" s="159">
        <f t="shared" si="17"/>
        <v>-241.82086711423301</v>
      </c>
      <c r="W32" s="175">
        <f t="shared" ref="W32" si="90">IF(SUM(T32:T40)=0,"",IFERROR(T32/U32,""))</f>
        <v>6.2058591994847569E-2</v>
      </c>
      <c r="X32" s="171">
        <f t="shared" si="6"/>
        <v>16</v>
      </c>
      <c r="Y32" s="159">
        <f t="shared" si="7"/>
        <v>358.71236020540465</v>
      </c>
      <c r="Z32" s="159">
        <f t="shared" si="18"/>
        <v>-342.71236020540465</v>
      </c>
      <c r="AA32" s="175">
        <f t="shared" ref="AA32" si="91">IF(SUM(X32:X40)=0,"",IFERROR(X32/Y32,""))</f>
        <v>4.4603982954025151E-2</v>
      </c>
      <c r="AB32" s="171">
        <f t="shared" si="8"/>
        <v>0</v>
      </c>
      <c r="AC32" s="159">
        <f t="shared" si="9"/>
        <v>91.291355032697297</v>
      </c>
      <c r="AD32" s="159">
        <f t="shared" si="19"/>
        <v>-91.291355032697297</v>
      </c>
      <c r="AE32" s="175">
        <f t="shared" ref="AE32" si="92">IF(SUM(AB32:AB40)=0,"",IFERROR(AB32/AC32,""))</f>
        <v>0</v>
      </c>
      <c r="AF32" s="171">
        <f t="shared" si="10"/>
        <v>0</v>
      </c>
      <c r="AG32" s="159">
        <f t="shared" si="11"/>
        <v>0</v>
      </c>
      <c r="AH32" s="159">
        <f t="shared" si="20"/>
        <v>0</v>
      </c>
      <c r="AI32" s="187" t="str">
        <f t="shared" ref="AI32" si="93">IF(SUM(AF32:AF40)=0,"",IFERROR(AF32/AG32,""))</f>
        <v/>
      </c>
      <c r="AJ32" s="157">
        <f t="shared" si="89"/>
        <v>4</v>
      </c>
    </row>
    <row r="33" spans="1:36" ht="24.95" customHeight="1" x14ac:dyDescent="0.25">
      <c r="A33" s="182" t="str">
        <f t="shared" si="30"/>
        <v>شهید کاوه</v>
      </c>
      <c r="B33" s="216"/>
      <c r="C33" s="167" t="str">
        <f t="shared" si="31"/>
        <v>مرداد</v>
      </c>
      <c r="D33" s="171">
        <f>SUMIFS(صادرات!$K$4:$K$500,صادرات!$J$4:$J$500,$C33,صادرات!$I$4:$I$500,$A33)+SUMIFS(صادرات!$C$4:$C$500,صادرات!$B$4:$B$500,$C33,صادرات!$A$4:$A$500,$A33)</f>
        <v>2</v>
      </c>
      <c r="E33" s="159">
        <v>39.893738970037695</v>
      </c>
      <c r="F33" s="159">
        <f t="shared" si="13"/>
        <v>-37.893738970037695</v>
      </c>
      <c r="G33" s="175">
        <f>IF(SUM(D33:D40)=0,"",IFERROR(D33/E33,""))</f>
        <v>5.0133180083774688E-2</v>
      </c>
      <c r="H33" s="171">
        <f>SUMIFS(صادرات!$L$4:$L$500,صادرات!$J$4:$J$500,$C33,صادرات!$I$4:$I$500,$A33)+SUMIFS(صادرات!$D$4:$D$500,صادرات!$B$4:$B$500,$C33,صادرات!$A$4:$A$500,$A33)</f>
        <v>0</v>
      </c>
      <c r="I33" s="159">
        <v>58.683234429175492</v>
      </c>
      <c r="J33" s="159">
        <f t="shared" si="14"/>
        <v>-58.683234429175492</v>
      </c>
      <c r="K33" s="175">
        <f>IF(SUM(H33:H40)=0,"",IFERROR(H33/I33,""))</f>
        <v>0</v>
      </c>
      <c r="L33" s="171">
        <f>SUMIFS(صادرات!$M$4:$M$500,صادرات!$J$4:$J$500,$C33,صادرات!$I$4:$I$500,$A33)+SUMIFS(صادرات!$E$4:$E$500,صادرات!$B$4:$B$500,$C33,صادرات!$A$4:$A$500,$A33)</f>
        <v>0</v>
      </c>
      <c r="M33" s="159">
        <v>51.62912156458102</v>
      </c>
      <c r="N33" s="159">
        <f t="shared" si="15"/>
        <v>-51.62912156458102</v>
      </c>
      <c r="O33" s="175">
        <f>IF(SUM(L33:L40)=0,"",IFERROR(L33/M33,""))</f>
        <v>0</v>
      </c>
      <c r="P33" s="171">
        <f>SUMIFS(صادرات!$N$4:$N$500,صادرات!$J$4:$J$500,$C33,صادرات!$I$4:$I$500,$A33)+SUMIFS(صادرات!$F$4:$F$500,صادرات!$B$4:$B$500,$C33,صادرات!$A$4:$A$500,$A33)</f>
        <v>0</v>
      </c>
      <c r="Q33" s="159">
        <v>0</v>
      </c>
      <c r="R33" s="159">
        <f t="shared" si="16"/>
        <v>0</v>
      </c>
      <c r="S33" s="175" t="str">
        <f>IF(SUM(P33:P40)=0,"",IFERROR(P33/Q33,""))</f>
        <v/>
      </c>
      <c r="T33" s="171">
        <f t="shared" si="4"/>
        <v>18</v>
      </c>
      <c r="U33" s="159">
        <f t="shared" si="5"/>
        <v>297.71460608427071</v>
      </c>
      <c r="V33" s="159">
        <f t="shared" si="17"/>
        <v>-279.71460608427071</v>
      </c>
      <c r="W33" s="175">
        <f t="shared" ref="W33" si="94">IF(SUM(T33:T40)=0,"",IFERROR(T33/U33,""))</f>
        <v>6.0460587529605259E-2</v>
      </c>
      <c r="X33" s="171">
        <f t="shared" si="6"/>
        <v>16</v>
      </c>
      <c r="Y33" s="159">
        <f t="shared" si="7"/>
        <v>417.39559463458016</v>
      </c>
      <c r="Z33" s="159">
        <f t="shared" si="18"/>
        <v>-401.39559463458016</v>
      </c>
      <c r="AA33" s="175">
        <f t="shared" ref="AA33" si="95">IF(SUM(X33:X40)=0,"",IFERROR(X33/Y33,""))</f>
        <v>3.8332939316256122E-2</v>
      </c>
      <c r="AB33" s="171">
        <f t="shared" si="8"/>
        <v>0</v>
      </c>
      <c r="AC33" s="159">
        <f t="shared" si="9"/>
        <v>142.92047659727831</v>
      </c>
      <c r="AD33" s="159">
        <f t="shared" si="19"/>
        <v>-142.92047659727831</v>
      </c>
      <c r="AE33" s="175">
        <f t="shared" ref="AE33" si="96">IF(SUM(AB33:AB40)=0,"",IFERROR(AB33/AC33,""))</f>
        <v>0</v>
      </c>
      <c r="AF33" s="171">
        <f t="shared" si="10"/>
        <v>0</v>
      </c>
      <c r="AG33" s="159">
        <f t="shared" si="11"/>
        <v>0</v>
      </c>
      <c r="AH33" s="159">
        <f t="shared" si="20"/>
        <v>0</v>
      </c>
      <c r="AI33" s="187" t="str">
        <f t="shared" ref="AI33" si="97">IF(SUM(AF33:AF40)=0,"",IFERROR(AF33/AG33,""))</f>
        <v/>
      </c>
      <c r="AJ33" s="157">
        <f t="shared" si="89"/>
        <v>5</v>
      </c>
    </row>
    <row r="34" spans="1:36" ht="24.95" customHeight="1" x14ac:dyDescent="0.25">
      <c r="A34" s="182" t="str">
        <f t="shared" si="30"/>
        <v>شهید کاوه</v>
      </c>
      <c r="B34" s="216"/>
      <c r="C34" s="167" t="str">
        <f t="shared" si="31"/>
        <v>شهریور</v>
      </c>
      <c r="D34" s="171">
        <f>SUMIFS(صادرات!$K$4:$K$500,صادرات!$J$4:$J$500,$C34,صادرات!$I$4:$I$500,$A34)+SUMIFS(صادرات!$C$4:$C$500,صادرات!$B$4:$B$500,$C34,صادرات!$A$4:$A$500,$A34)</f>
        <v>25</v>
      </c>
      <c r="E34" s="159">
        <v>39.893738970037695</v>
      </c>
      <c r="F34" s="159">
        <f t="shared" si="13"/>
        <v>-14.893738970037695</v>
      </c>
      <c r="G34" s="175">
        <f>IF(SUM(D34:D40)=0,"",IFERROR(D34/E34,""))</f>
        <v>0.62666475104718367</v>
      </c>
      <c r="H34" s="171">
        <f>SUMIFS(صادرات!$L$4:$L$500,صادرات!$J$4:$J$500,$C34,صادرات!$I$4:$I$500,$A34)+SUMIFS(صادرات!$D$4:$D$500,صادرات!$B$4:$B$500,$C34,صادرات!$A$4:$A$500,$A34)</f>
        <v>3</v>
      </c>
      <c r="I34" s="159">
        <v>58.683234429175492</v>
      </c>
      <c r="J34" s="159">
        <f t="shared" si="14"/>
        <v>-55.683234429175492</v>
      </c>
      <c r="K34" s="175">
        <f>IF(SUM(H34:H40)=0,"",IFERROR(H34/I34,""))</f>
        <v>5.1121926546511084E-2</v>
      </c>
      <c r="L34" s="171">
        <f>SUMIFS(صادرات!$M$4:$M$500,صادرات!$J$4:$J$500,$C34,صادرات!$I$4:$I$500,$A34)+SUMIFS(صادرات!$E$4:$E$500,صادرات!$B$4:$B$500,$C34,صادرات!$A$4:$A$500,$A34)</f>
        <v>18</v>
      </c>
      <c r="M34" s="159">
        <v>51.62912156458102</v>
      </c>
      <c r="N34" s="159">
        <f t="shared" si="15"/>
        <v>-33.62912156458102</v>
      </c>
      <c r="O34" s="175">
        <f>IF(SUM(L34:L40)=0,"",IFERROR(L34/M34,""))</f>
        <v>0.34864044660307547</v>
      </c>
      <c r="P34" s="171">
        <f>SUMIFS(صادرات!$N$4:$N$500,صادرات!$J$4:$J$500,$C34,صادرات!$I$4:$I$500,$A34)+SUMIFS(صادرات!$F$4:$F$500,صادرات!$B$4:$B$500,$C34,صادرات!$A$4:$A$500,$A34)</f>
        <v>0</v>
      </c>
      <c r="Q34" s="159">
        <v>0</v>
      </c>
      <c r="R34" s="159">
        <f t="shared" si="16"/>
        <v>0</v>
      </c>
      <c r="S34" s="175" t="str">
        <f>IF(SUM(P34:P40)=0,"",IFERROR(P34/Q34,""))</f>
        <v/>
      </c>
      <c r="T34" s="171">
        <f t="shared" si="4"/>
        <v>43</v>
      </c>
      <c r="U34" s="159">
        <f t="shared" si="5"/>
        <v>337.60834505430842</v>
      </c>
      <c r="V34" s="159">
        <f t="shared" si="17"/>
        <v>-294.60834505430842</v>
      </c>
      <c r="W34" s="175">
        <f t="shared" ref="W34" si="98">IF(SUM(T34:T40)=0,"",IFERROR(T34/U34,""))</f>
        <v>0.12736651990365619</v>
      </c>
      <c r="X34" s="171">
        <f t="shared" si="6"/>
        <v>19</v>
      </c>
      <c r="Y34" s="159">
        <f t="shared" si="7"/>
        <v>476.07882906375568</v>
      </c>
      <c r="Z34" s="159">
        <f t="shared" si="18"/>
        <v>-457.07882906375568</v>
      </c>
      <c r="AA34" s="175">
        <f t="shared" ref="AA34" si="99">IF(SUM(X34:X40)=0,"",IFERROR(X34/Y34,""))</f>
        <v>3.9909357106605453E-2</v>
      </c>
      <c r="AB34" s="171">
        <f t="shared" si="8"/>
        <v>18</v>
      </c>
      <c r="AC34" s="159">
        <f t="shared" si="9"/>
        <v>194.54959816185934</v>
      </c>
      <c r="AD34" s="159">
        <f t="shared" si="19"/>
        <v>-176.54959816185934</v>
      </c>
      <c r="AE34" s="175">
        <f t="shared" ref="AE34" si="100">IF(SUM(AB34:AB40)=0,"",IFERROR(AB34/AC34,""))</f>
        <v>9.2521393876252314E-2</v>
      </c>
      <c r="AF34" s="171">
        <f t="shared" si="10"/>
        <v>0</v>
      </c>
      <c r="AG34" s="159">
        <f t="shared" si="11"/>
        <v>0</v>
      </c>
      <c r="AH34" s="159">
        <f t="shared" si="20"/>
        <v>0</v>
      </c>
      <c r="AI34" s="187" t="str">
        <f t="shared" ref="AI34" si="101">IF(SUM(AF34:AF40)=0,"",IFERROR(AF34/AG34,""))</f>
        <v/>
      </c>
      <c r="AJ34" s="157">
        <f t="shared" si="89"/>
        <v>6</v>
      </c>
    </row>
    <row r="35" spans="1:36" ht="24.95" customHeight="1" x14ac:dyDescent="0.25">
      <c r="A35" s="182" t="str">
        <f t="shared" si="30"/>
        <v>شهید کاوه</v>
      </c>
      <c r="B35" s="216"/>
      <c r="C35" s="167" t="str">
        <f t="shared" si="31"/>
        <v>مهر</v>
      </c>
      <c r="D35" s="171">
        <f>SUMIFS(صادرات!$K$4:$K$500,صادرات!$J$4:$J$500,$C35,صادرات!$I$4:$I$500,$A35)+SUMIFS(صادرات!$C$4:$C$500,صادرات!$B$4:$B$500,$C35,صادرات!$A$4:$A$500,$A35)</f>
        <v>0</v>
      </c>
      <c r="E35" s="159">
        <v>19.063884981897221</v>
      </c>
      <c r="F35" s="159">
        <f t="shared" si="13"/>
        <v>-19.063884981897221</v>
      </c>
      <c r="G35" s="175">
        <f>IF(SUM(D35:D40)=0,"",IFERROR(D35/E35,""))</f>
        <v>0</v>
      </c>
      <c r="H35" s="171">
        <f>SUMIFS(صادرات!$L$4:$L$500,صادرات!$J$4:$J$500,$C35,صادرات!$I$4:$I$500,$A35)+SUMIFS(صادرات!$D$4:$D$500,صادرات!$B$4:$B$500,$C35,صادرات!$A$4:$A$500,$A35)</f>
        <v>31</v>
      </c>
      <c r="I35" s="159">
        <v>35.907056978748145</v>
      </c>
      <c r="J35" s="159">
        <f t="shared" si="14"/>
        <v>-4.9070569787481446</v>
      </c>
      <c r="K35" s="175">
        <f>IF(SUM(H35:H40)=0,"",IFERROR(H35/I35,""))</f>
        <v>0.86334003976843821</v>
      </c>
      <c r="L35" s="171">
        <f>SUMIFS(صادرات!$M$4:$M$500,صادرات!$J$4:$J$500,$C35,صادرات!$I$4:$I$500,$A35)+SUMIFS(صادرات!$E$4:$E$500,صادرات!$B$4:$B$500,$C35,صادرات!$A$4:$A$500,$A35)</f>
        <v>0</v>
      </c>
      <c r="M35" s="159">
        <v>45.750133946046901</v>
      </c>
      <c r="N35" s="159">
        <f t="shared" si="15"/>
        <v>-45.750133946046901</v>
      </c>
      <c r="O35" s="175" t="str">
        <f>IF(SUM(L35:L40)=0,"",IFERROR(L35/M35,""))</f>
        <v/>
      </c>
      <c r="P35" s="171">
        <f>SUMIFS(صادرات!$N$4:$N$500,صادرات!$J$4:$J$500,$C35,صادرات!$I$4:$I$500,$A35)+SUMIFS(صادرات!$F$4:$F$500,صادرات!$B$4:$B$500,$C35,صادرات!$A$4:$A$500,$A35)</f>
        <v>0</v>
      </c>
      <c r="Q35" s="159">
        <v>0</v>
      </c>
      <c r="R35" s="159">
        <f t="shared" si="16"/>
        <v>0</v>
      </c>
      <c r="S35" s="175" t="str">
        <f>IF(SUM(P35:P40)=0,"",IFERROR(P35/Q35,""))</f>
        <v/>
      </c>
      <c r="T35" s="171">
        <f t="shared" si="4"/>
        <v>43</v>
      </c>
      <c r="U35" s="159">
        <f t="shared" si="5"/>
        <v>356.67223003620563</v>
      </c>
      <c r="V35" s="159">
        <f t="shared" si="17"/>
        <v>-313.67223003620563</v>
      </c>
      <c r="W35" s="175">
        <f t="shared" ref="W35" si="102">IF(SUM(T35:T40)=0,"",IFERROR(T35/U35,""))</f>
        <v>0.12055886715832935</v>
      </c>
      <c r="X35" s="171">
        <f t="shared" si="6"/>
        <v>50</v>
      </c>
      <c r="Y35" s="159">
        <f t="shared" si="7"/>
        <v>511.98588604250381</v>
      </c>
      <c r="Z35" s="159">
        <f t="shared" si="18"/>
        <v>-461.98588604250381</v>
      </c>
      <c r="AA35" s="175">
        <f t="shared" ref="AA35" si="103">IF(SUM(X35:X40)=0,"",IFERROR(X35/Y35,""))</f>
        <v>9.7658942097964635E-2</v>
      </c>
      <c r="AB35" s="171">
        <f t="shared" si="8"/>
        <v>18</v>
      </c>
      <c r="AC35" s="159">
        <f t="shared" si="9"/>
        <v>240.29973210790624</v>
      </c>
      <c r="AD35" s="159">
        <f t="shared" si="19"/>
        <v>-222.29973210790624</v>
      </c>
      <c r="AE35" s="175">
        <f t="shared" ref="AE35" si="104">IF(SUM(AB35:AB40)=0,"",IFERROR(AB35/AC35,""))</f>
        <v>7.4906450548671968E-2</v>
      </c>
      <c r="AF35" s="171">
        <f t="shared" si="10"/>
        <v>0</v>
      </c>
      <c r="AG35" s="159">
        <f t="shared" si="11"/>
        <v>0</v>
      </c>
      <c r="AH35" s="159">
        <f t="shared" si="20"/>
        <v>0</v>
      </c>
      <c r="AI35" s="187" t="str">
        <f t="shared" ref="AI35" si="105">IF(SUM(AF35:AF40)=0,"",IFERROR(AF35/AG35,""))</f>
        <v/>
      </c>
      <c r="AJ35" s="157">
        <f t="shared" si="89"/>
        <v>7</v>
      </c>
    </row>
    <row r="36" spans="1:36" ht="24.95" customHeight="1" x14ac:dyDescent="0.25">
      <c r="A36" s="182" t="str">
        <f t="shared" si="30"/>
        <v>شهید کاوه</v>
      </c>
      <c r="B36" s="216"/>
      <c r="C36" s="167" t="str">
        <f t="shared" si="31"/>
        <v>آبان</v>
      </c>
      <c r="D36" s="171">
        <f>SUMIFS(صادرات!$K$4:$K$500,صادرات!$J$4:$J$500,$C36,صادرات!$I$4:$I$500,$A36)+SUMIFS(صادرات!$C$4:$C$500,صادرات!$B$4:$B$500,$C36,صادرات!$A$4:$A$500,$A36)</f>
        <v>14</v>
      </c>
      <c r="E36" s="159">
        <v>19.063884981897221</v>
      </c>
      <c r="F36" s="159">
        <f t="shared" si="13"/>
        <v>-5.0638849818972211</v>
      </c>
      <c r="G36" s="175">
        <f>IF(SUM(D36:D40)=0,"",IFERROR(D36/E36,""))</f>
        <v>0.73437287380270022</v>
      </c>
      <c r="H36" s="171">
        <f>SUMIFS(صادرات!$L$4:$L$500,صادرات!$J$4:$J$500,$C36,صادرات!$I$4:$I$500,$A36)+SUMIFS(صادرات!$D$4:$D$500,صادرات!$B$4:$B$500,$C36,صادرات!$A$4:$A$500,$A36)</f>
        <v>0</v>
      </c>
      <c r="I36" s="159">
        <v>35.907056978748145</v>
      </c>
      <c r="J36" s="159">
        <f t="shared" si="14"/>
        <v>-35.907056978748145</v>
      </c>
      <c r="K36" s="175">
        <f>IF(SUM(H36:H40)=0,"",IFERROR(H36/I36,""))</f>
        <v>0</v>
      </c>
      <c r="L36" s="171">
        <f>SUMIFS(صادرات!$M$4:$M$500,صادرات!$J$4:$J$500,$C36,صادرات!$I$4:$I$500,$A36)+SUMIFS(صادرات!$E$4:$E$500,صادرات!$B$4:$B$500,$C36,صادرات!$A$4:$A$500,$A36)</f>
        <v>0</v>
      </c>
      <c r="M36" s="159">
        <v>45.750133946046901</v>
      </c>
      <c r="N36" s="159">
        <f t="shared" si="15"/>
        <v>-45.750133946046901</v>
      </c>
      <c r="O36" s="175" t="str">
        <f>IF(SUM(L36:L40)=0,"",IFERROR(L36/M36,""))</f>
        <v/>
      </c>
      <c r="P36" s="171">
        <f>SUMIFS(صادرات!$N$4:$N$500,صادرات!$J$4:$J$500,$C36,صادرات!$I$4:$I$500,$A36)+SUMIFS(صادرات!$F$4:$F$500,صادرات!$B$4:$B$500,$C36,صادرات!$A$4:$A$500,$A36)</f>
        <v>0</v>
      </c>
      <c r="Q36" s="159">
        <v>0</v>
      </c>
      <c r="R36" s="159">
        <f t="shared" si="16"/>
        <v>0</v>
      </c>
      <c r="S36" s="175" t="str">
        <f>IF(SUM(P36:P40)=0,"",IFERROR(P36/Q36,""))</f>
        <v/>
      </c>
      <c r="T36" s="171">
        <f t="shared" si="4"/>
        <v>57</v>
      </c>
      <c r="U36" s="159">
        <f t="shared" si="5"/>
        <v>375.73611501810285</v>
      </c>
      <c r="V36" s="159">
        <f t="shared" si="17"/>
        <v>-318.73611501810285</v>
      </c>
      <c r="W36" s="175">
        <f t="shared" ref="W36" si="106">IF(SUM(T36:T40)=0,"",IFERROR(T36/U36,""))</f>
        <v>0.15170221259474553</v>
      </c>
      <c r="X36" s="171">
        <f t="shared" si="6"/>
        <v>50</v>
      </c>
      <c r="Y36" s="159">
        <f t="shared" si="7"/>
        <v>547.89294302125199</v>
      </c>
      <c r="Z36" s="159">
        <f t="shared" si="18"/>
        <v>-497.89294302125199</v>
      </c>
      <c r="AA36" s="175">
        <f t="shared" ref="AA36" si="107">IF(SUM(X36:X40)=0,"",IFERROR(X36/Y36,""))</f>
        <v>9.1258704162686347E-2</v>
      </c>
      <c r="AB36" s="171">
        <f t="shared" si="8"/>
        <v>18</v>
      </c>
      <c r="AC36" s="159">
        <f t="shared" si="9"/>
        <v>286.04986605395311</v>
      </c>
      <c r="AD36" s="159">
        <f t="shared" si="19"/>
        <v>-268.04986605395311</v>
      </c>
      <c r="AE36" s="175">
        <f t="shared" ref="AE36" si="108">IF(SUM(AB36:AB40)=0,"",IFERROR(AB36/AC36,""))</f>
        <v>6.2926091343125962E-2</v>
      </c>
      <c r="AF36" s="171">
        <f t="shared" si="10"/>
        <v>0</v>
      </c>
      <c r="AG36" s="159">
        <f t="shared" si="11"/>
        <v>0</v>
      </c>
      <c r="AH36" s="159">
        <f t="shared" si="20"/>
        <v>0</v>
      </c>
      <c r="AI36" s="187" t="str">
        <f t="shared" ref="AI36" si="109">IF(SUM(AF36:AF40)=0,"",IFERROR(AF36/AG36,""))</f>
        <v/>
      </c>
      <c r="AJ36" s="157">
        <f t="shared" si="89"/>
        <v>8</v>
      </c>
    </row>
    <row r="37" spans="1:36" ht="24.95" customHeight="1" x14ac:dyDescent="0.25">
      <c r="A37" s="182" t="str">
        <f t="shared" si="30"/>
        <v>شهید کاوه</v>
      </c>
      <c r="B37" s="216"/>
      <c r="C37" s="167" t="str">
        <f t="shared" si="31"/>
        <v>آذر</v>
      </c>
      <c r="D37" s="171">
        <f>SUMIFS(صادرات!$K$4:$K$500,صادرات!$J$4:$J$500,$C37,صادرات!$I$4:$I$500,$A37)+SUMIFS(صادرات!$C$4:$C$500,صادرات!$B$4:$B$500,$C37,صادرات!$A$4:$A$500,$A37)</f>
        <v>0</v>
      </c>
      <c r="E37" s="159">
        <v>19.063884981897221</v>
      </c>
      <c r="F37" s="159">
        <f t="shared" si="13"/>
        <v>-19.063884981897221</v>
      </c>
      <c r="G37" s="175" t="str">
        <f>IF(SUM(D37:D40)=0,"",IFERROR(D37/E37,""))</f>
        <v/>
      </c>
      <c r="H37" s="171">
        <f>SUMIFS(صادرات!$L$4:$L$500,صادرات!$J$4:$J$500,$C37,صادرات!$I$4:$I$500,$A37)+SUMIFS(صادرات!$D$4:$D$500,صادرات!$B$4:$B$500,$C37,صادرات!$A$4:$A$500,$A37)</f>
        <v>0</v>
      </c>
      <c r="I37" s="159">
        <v>35.907056978748145</v>
      </c>
      <c r="J37" s="159">
        <f t="shared" si="14"/>
        <v>-35.907056978748145</v>
      </c>
      <c r="K37" s="175">
        <f>IF(SUM(H37:H40)=0,"",IFERROR(H37/I37,""))</f>
        <v>0</v>
      </c>
      <c r="L37" s="171">
        <f>SUMIFS(صادرات!$M$4:$M$500,صادرات!$J$4:$J$500,$C37,صادرات!$I$4:$I$500,$A37)+SUMIFS(صادرات!$E$4:$E$500,صادرات!$B$4:$B$500,$C37,صادرات!$A$4:$A$500,$A37)</f>
        <v>0</v>
      </c>
      <c r="M37" s="159">
        <v>45.750133946046901</v>
      </c>
      <c r="N37" s="159">
        <f t="shared" si="15"/>
        <v>-45.750133946046901</v>
      </c>
      <c r="O37" s="175" t="str">
        <f>IF(SUM(L37:L40)=0,"",IFERROR(L37/M37,""))</f>
        <v/>
      </c>
      <c r="P37" s="171">
        <f>SUMIFS(صادرات!$N$4:$N$500,صادرات!$J$4:$J$500,$C37,صادرات!$I$4:$I$500,$A37)+SUMIFS(صادرات!$F$4:$F$500,صادرات!$B$4:$B$500,$C37,صادرات!$A$4:$A$500,$A37)</f>
        <v>0</v>
      </c>
      <c r="Q37" s="159">
        <v>0</v>
      </c>
      <c r="R37" s="159">
        <f t="shared" si="16"/>
        <v>0</v>
      </c>
      <c r="S37" s="175" t="str">
        <f>IF(SUM(P37:P40)=0,"",IFERROR(P37/Q37,""))</f>
        <v/>
      </c>
      <c r="T37" s="171">
        <f t="shared" ref="T37:T68" si="110">IF(OR($C$1="",$AJ37&gt;$C$1),"",IFERROR(SUMIFS(D$5:D$5012,$A$5:$A$5012,$A37,$AJ$5:$AJ$5012,"&lt;"&amp;$AJ37+1),""))</f>
        <v>57</v>
      </c>
      <c r="U37" s="159">
        <f t="shared" ref="U37:U68" si="111">IF($C$1="","",IFERROR(SUMIFS(E$5:E$5012,$A$5:$A$5012,$A37,$AJ$5:$AJ$5012,"&lt;"&amp;$AJ37+1),""))</f>
        <v>394.80000000000007</v>
      </c>
      <c r="V37" s="159">
        <f t="shared" si="17"/>
        <v>-337.80000000000007</v>
      </c>
      <c r="W37" s="175">
        <f t="shared" ref="W37" si="112">IF(SUM(T37:T40)=0,"",IFERROR(T37/U37,""))</f>
        <v>0.14437689969604861</v>
      </c>
      <c r="X37" s="171">
        <f t="shared" ref="X37:X68" si="113">IF(OR($C$1="",$AJ37&gt;$C$1),"",IFERROR(SUMIFS(H$5:H$5012,$A$5:$A$5012,$A37,$AJ$5:$AJ$5012,"&lt;"&amp;$AJ37+1),""))</f>
        <v>50</v>
      </c>
      <c r="Y37" s="159">
        <f t="shared" ref="Y37:Y68" si="114">IF($C$1="","",IFERROR(SUMIFS(I$5:I$5012,$A$5:$A$5012,$A37,$AJ$5:$AJ$5012,"&lt;"&amp;$AJ37+1),""))</f>
        <v>583.80000000000018</v>
      </c>
      <c r="Z37" s="159">
        <f t="shared" si="18"/>
        <v>-533.80000000000018</v>
      </c>
      <c r="AA37" s="175">
        <f t="shared" ref="AA37" si="115">IF(SUM(X37:X40)=0,"",IFERROR(X37/Y37,""))</f>
        <v>8.564576909900648E-2</v>
      </c>
      <c r="AB37" s="171">
        <f t="shared" ref="AB37:AB68" si="116">IF(OR($C$1="",$AJ37&gt;$C$1),"",IFERROR(SUMIFS(L$5:L$5012,$A$5:$A$5012,$A37,$AJ$5:$AJ$5012,"&lt;"&amp;$AJ37+1),""))</f>
        <v>18</v>
      </c>
      <c r="AC37" s="159">
        <f t="shared" ref="AC37:AC68" si="117">IF($C$1="","",IFERROR(SUMIFS(M$5:M$5012,$A$5:$A$5012,$A37,$AJ$5:$AJ$5012,"&lt;"&amp;$AJ37+1),""))</f>
        <v>331.8</v>
      </c>
      <c r="AD37" s="159">
        <f t="shared" si="19"/>
        <v>-313.8</v>
      </c>
      <c r="AE37" s="175">
        <f t="shared" ref="AE37" si="118">IF(SUM(AB37:AB40)=0,"",IFERROR(AB37/AC37,""))</f>
        <v>5.4249547920433995E-2</v>
      </c>
      <c r="AF37" s="171">
        <f t="shared" ref="AF37:AF68" si="119">IF(OR($C$1="",$AJ37&gt;$C$1),"",IFERROR(SUMIFS(P$5:P$5012,$A$5:$A$5012,$A37,$AJ$5:$AJ$5012,"&lt;"&amp;$AJ37+1),""))</f>
        <v>0</v>
      </c>
      <c r="AG37" s="159">
        <f t="shared" ref="AG37:AG68" si="120">IF($C$1="","",IFERROR(SUMIFS(Q$5:Q$5012,$A$5:$A$5012,$A37,$AJ$5:$AJ$5012,"&lt;"&amp;$AJ37+1),""))</f>
        <v>0</v>
      </c>
      <c r="AH37" s="159">
        <f t="shared" si="20"/>
        <v>0</v>
      </c>
      <c r="AI37" s="187" t="str">
        <f t="shared" ref="AI37" si="121">IF(SUM(AF37:AF40)=0,"",IFERROR(AF37/AG37,""))</f>
        <v/>
      </c>
      <c r="AJ37" s="157">
        <f t="shared" si="89"/>
        <v>9</v>
      </c>
    </row>
    <row r="38" spans="1:36" ht="24.95" customHeight="1" x14ac:dyDescent="0.25">
      <c r="A38" s="182" t="str">
        <f t="shared" si="30"/>
        <v>شهید کاوه</v>
      </c>
      <c r="B38" s="216"/>
      <c r="C38" s="167" t="str">
        <f t="shared" si="31"/>
        <v>دی</v>
      </c>
      <c r="D38" s="171">
        <f>SUMIFS(صادرات!$K$4:$K$500,صادرات!$J$4:$J$500,$C38,صادرات!$I$4:$I$500,$A38)+SUMIFS(صادرات!$C$4:$C$500,صادرات!$B$4:$B$500,$C38,صادرات!$A$4:$A$500,$A38)</f>
        <v>0</v>
      </c>
      <c r="E38" s="159">
        <v>33.586380716861839</v>
      </c>
      <c r="F38" s="159">
        <f t="shared" si="13"/>
        <v>-33.586380716861839</v>
      </c>
      <c r="G38" s="175" t="str">
        <f>IF(SUM(D38:D40)=0,"",IFERROR(D38/E38,""))</f>
        <v/>
      </c>
      <c r="H38" s="171">
        <f>SUMIFS(صادرات!$L$4:$L$500,صادرات!$J$4:$J$500,$C38,صادرات!$I$4:$I$500,$A38)+SUMIFS(صادرات!$D$4:$D$500,صادرات!$B$4:$B$500,$C38,صادرات!$A$4:$A$500,$A38)</f>
        <v>0</v>
      </c>
      <c r="I38" s="159">
        <v>64.187343844435162</v>
      </c>
      <c r="J38" s="159">
        <f t="shared" si="14"/>
        <v>-64.187343844435162</v>
      </c>
      <c r="K38" s="175">
        <f>IF(SUM(H38:H40)=0,"",IFERROR(H38/I38,""))</f>
        <v>0</v>
      </c>
      <c r="L38" s="171">
        <f>SUMIFS(صادرات!$M$4:$M$500,صادرات!$J$4:$J$500,$C38,صادرات!$I$4:$I$500,$A38)+SUMIFS(صادرات!$E$4:$E$500,صادرات!$B$4:$B$500,$C38,صادرات!$A$4:$A$500,$A38)</f>
        <v>0</v>
      </c>
      <c r="M38" s="159">
        <v>11.700209119634367</v>
      </c>
      <c r="N38" s="159">
        <f t="shared" si="15"/>
        <v>-11.700209119634367</v>
      </c>
      <c r="O38" s="175" t="str">
        <f>IF(SUM(L38:L40)=0,"",IFERROR(L38/M38,""))</f>
        <v/>
      </c>
      <c r="P38" s="171">
        <f>SUMIFS(صادرات!$N$4:$N$500,صادرات!$J$4:$J$500,$C38,صادرات!$I$4:$I$500,$A38)+SUMIFS(صادرات!$F$4:$F$500,صادرات!$B$4:$B$500,$C38,صادرات!$A$4:$A$500,$A38)</f>
        <v>0</v>
      </c>
      <c r="Q38" s="159">
        <v>0</v>
      </c>
      <c r="R38" s="159">
        <f t="shared" si="16"/>
        <v>0</v>
      </c>
      <c r="S38" s="175" t="str">
        <f>IF(SUM(P38:P40)=0,"",IFERROR(P38/Q38,""))</f>
        <v/>
      </c>
      <c r="T38" s="171">
        <f t="shared" si="110"/>
        <v>57</v>
      </c>
      <c r="U38" s="159">
        <f t="shared" si="111"/>
        <v>428.38638071686194</v>
      </c>
      <c r="V38" s="159">
        <f t="shared" si="17"/>
        <v>-371.38638071686194</v>
      </c>
      <c r="W38" s="175">
        <f t="shared" ref="W38" si="122">IF(SUM(T38:T40)=0,"",IFERROR(T38/U38,""))</f>
        <v>0.13305745132377034</v>
      </c>
      <c r="X38" s="171">
        <f t="shared" si="113"/>
        <v>50</v>
      </c>
      <c r="Y38" s="159">
        <f t="shared" si="114"/>
        <v>647.98734384443537</v>
      </c>
      <c r="Z38" s="159">
        <f t="shared" si="18"/>
        <v>-597.98734384443537</v>
      </c>
      <c r="AA38" s="175">
        <f t="shared" ref="AA38" si="123">IF(SUM(X38:X40)=0,"",IFERROR(X38/Y38,""))</f>
        <v>7.7162000886245211E-2</v>
      </c>
      <c r="AB38" s="171">
        <f t="shared" si="116"/>
        <v>18</v>
      </c>
      <c r="AC38" s="159">
        <f t="shared" si="117"/>
        <v>343.50020911963441</v>
      </c>
      <c r="AD38" s="159">
        <f t="shared" si="19"/>
        <v>-325.50020911963441</v>
      </c>
      <c r="AE38" s="175">
        <f t="shared" ref="AE38" si="124">IF(SUM(AB38:AB40)=0,"",IFERROR(AB38/AC38,""))</f>
        <v>5.2401714823209766E-2</v>
      </c>
      <c r="AF38" s="171">
        <f t="shared" si="119"/>
        <v>0</v>
      </c>
      <c r="AG38" s="159">
        <f t="shared" si="120"/>
        <v>0</v>
      </c>
      <c r="AH38" s="159">
        <f t="shared" si="20"/>
        <v>0</v>
      </c>
      <c r="AI38" s="187" t="str">
        <f t="shared" ref="AI38" si="125">IF(SUM(AF38:AF40)=0,"",IFERROR(AF38/AG38,""))</f>
        <v/>
      </c>
      <c r="AJ38" s="157">
        <f t="shared" si="89"/>
        <v>10</v>
      </c>
    </row>
    <row r="39" spans="1:36" ht="24.95" customHeight="1" x14ac:dyDescent="0.25">
      <c r="A39" s="182" t="str">
        <f t="shared" si="30"/>
        <v>شهید کاوه</v>
      </c>
      <c r="B39" s="216"/>
      <c r="C39" s="167" t="str">
        <f t="shared" si="31"/>
        <v>بهمن</v>
      </c>
      <c r="D39" s="171">
        <f>SUMIFS(صادرات!$K$4:$K$500,صادرات!$J$4:$J$500,$C39,صادرات!$I$4:$I$500,$A39)+SUMIFS(صادرات!$C$4:$C$500,صادرات!$B$4:$B$500,$C39,صادرات!$A$4:$A$500,$A39)</f>
        <v>0</v>
      </c>
      <c r="E39" s="159">
        <v>33.586380716861839</v>
      </c>
      <c r="F39" s="159">
        <f t="shared" si="13"/>
        <v>-33.586380716861839</v>
      </c>
      <c r="G39" s="175" t="str">
        <f>IF(SUM(D39:D40)=0,"",IFERROR(D39/E39,""))</f>
        <v/>
      </c>
      <c r="H39" s="171">
        <f>SUMIFS(صادرات!$L$4:$L$500,صادرات!$J$4:$J$500,$C39,صادرات!$I$4:$I$500,$A39)+SUMIFS(صادرات!$D$4:$D$500,صادرات!$B$4:$B$500,$C39,صادرات!$A$4:$A$500,$A39)</f>
        <v>0</v>
      </c>
      <c r="I39" s="159">
        <v>64.187343844435162</v>
      </c>
      <c r="J39" s="159">
        <f t="shared" si="14"/>
        <v>-64.187343844435162</v>
      </c>
      <c r="K39" s="175">
        <f>IF(SUM(H39:H40)=0,"",IFERROR(H39/I39,""))</f>
        <v>0</v>
      </c>
      <c r="L39" s="171">
        <f>SUMIFS(صادرات!$M$4:$M$500,صادرات!$J$4:$J$500,$C39,صادرات!$I$4:$I$500,$A39)+SUMIFS(صادرات!$E$4:$E$500,صادرات!$B$4:$B$500,$C39,صادرات!$A$4:$A$500,$A39)</f>
        <v>0</v>
      </c>
      <c r="M39" s="159">
        <v>11.700209119634367</v>
      </c>
      <c r="N39" s="159">
        <f t="shared" si="15"/>
        <v>-11.700209119634367</v>
      </c>
      <c r="O39" s="175" t="str">
        <f>IF(SUM(L39:L40)=0,"",IFERROR(L39/M39,""))</f>
        <v/>
      </c>
      <c r="P39" s="171">
        <f>SUMIFS(صادرات!$N$4:$N$500,صادرات!$J$4:$J$500,$C39,صادرات!$I$4:$I$500,$A39)+SUMIFS(صادرات!$F$4:$F$500,صادرات!$B$4:$B$500,$C39,صادرات!$A$4:$A$500,$A39)</f>
        <v>0</v>
      </c>
      <c r="Q39" s="159">
        <v>0</v>
      </c>
      <c r="R39" s="159">
        <f t="shared" si="16"/>
        <v>0</v>
      </c>
      <c r="S39" s="175" t="str">
        <f>IF(SUM(P39:P40)=0,"",IFERROR(P39/Q39,""))</f>
        <v/>
      </c>
      <c r="T39" s="171">
        <f t="shared" si="110"/>
        <v>57</v>
      </c>
      <c r="U39" s="159">
        <f t="shared" si="111"/>
        <v>461.9727614337238</v>
      </c>
      <c r="V39" s="159">
        <f t="shared" si="17"/>
        <v>-404.9727614337238</v>
      </c>
      <c r="W39" s="175">
        <f t="shared" ref="W39" si="126">IF(SUM(T39:T40)=0,"",IFERROR(T39/U39,""))</f>
        <v>0.12338389783653385</v>
      </c>
      <c r="X39" s="171">
        <f t="shared" si="113"/>
        <v>50</v>
      </c>
      <c r="Y39" s="159">
        <f t="shared" si="114"/>
        <v>712.17468768887056</v>
      </c>
      <c r="Z39" s="159">
        <f t="shared" si="18"/>
        <v>-662.17468768887056</v>
      </c>
      <c r="AA39" s="175">
        <f t="shared" ref="AA39" si="127">IF(SUM(X39:X40)=0,"",IFERROR(X39/Y39,""))</f>
        <v>7.0207493841516061E-2</v>
      </c>
      <c r="AB39" s="171">
        <f t="shared" si="116"/>
        <v>18</v>
      </c>
      <c r="AC39" s="159">
        <f t="shared" si="117"/>
        <v>355.2004182392688</v>
      </c>
      <c r="AD39" s="159">
        <f t="shared" si="19"/>
        <v>-337.2004182392688</v>
      </c>
      <c r="AE39" s="175">
        <f t="shared" ref="AE39" si="128">IF(SUM(AB39:AB40)=0,"",IFERROR(AB39/AC39,""))</f>
        <v>5.0675616006383491E-2</v>
      </c>
      <c r="AF39" s="171">
        <f t="shared" si="119"/>
        <v>0</v>
      </c>
      <c r="AG39" s="159">
        <f t="shared" si="120"/>
        <v>0</v>
      </c>
      <c r="AH39" s="159">
        <f t="shared" si="20"/>
        <v>0</v>
      </c>
      <c r="AI39" s="187" t="str">
        <f t="shared" ref="AI39" si="129">IF(SUM(AF39:AF40)=0,"",IFERROR(AF39/AG39,""))</f>
        <v/>
      </c>
      <c r="AJ39" s="157">
        <f t="shared" si="89"/>
        <v>11</v>
      </c>
    </row>
    <row r="40" spans="1:36" ht="24.95" customHeight="1" thickBot="1" x14ac:dyDescent="0.3">
      <c r="A40" s="182" t="str">
        <f t="shared" si="30"/>
        <v>شهید کاوه</v>
      </c>
      <c r="B40" s="217"/>
      <c r="C40" s="168" t="str">
        <f t="shared" si="31"/>
        <v>اسفند</v>
      </c>
      <c r="D40" s="172">
        <f>SUMIFS(صادرات!$K$4:$K$500,صادرات!$J$4:$J$500,$C40,صادرات!$I$4:$I$500,$A40)+SUMIFS(صادرات!$C$4:$C$500,صادرات!$B$4:$B$500,$C40,صادرات!$A$4:$A$500,$A40)</f>
        <v>0</v>
      </c>
      <c r="E40" s="173">
        <v>33.586380716861839</v>
      </c>
      <c r="F40" s="173">
        <f t="shared" si="13"/>
        <v>-33.586380716861839</v>
      </c>
      <c r="G40" s="176" t="str">
        <f>IF(SUM(D40)=0,"",IFERROR(D40/E40,""))</f>
        <v/>
      </c>
      <c r="H40" s="172">
        <f>SUMIFS(صادرات!$L$4:$L$500,صادرات!$J$4:$J$500,$C40,صادرات!$I$4:$I$500,$A40)+SUMIFS(صادرات!$D$4:$D$500,صادرات!$B$4:$B$500,$C40,صادرات!$A$4:$A$500,$A40)</f>
        <v>15</v>
      </c>
      <c r="I40" s="173">
        <v>64.187343844435162</v>
      </c>
      <c r="J40" s="173">
        <f t="shared" si="14"/>
        <v>-49.187343844435162</v>
      </c>
      <c r="K40" s="176">
        <f>IF(SUM(H40)=0,"",IFERROR(H40/I40,""))</f>
        <v>0.23369092879671249</v>
      </c>
      <c r="L40" s="172">
        <f>SUMIFS(صادرات!$M$4:$M$500,صادرات!$J$4:$J$500,$C40,صادرات!$I$4:$I$500,$A40)+SUMIFS(صادرات!$E$4:$E$500,صادرات!$B$4:$B$500,$C40,صادرات!$A$4:$A$500,$A40)</f>
        <v>0</v>
      </c>
      <c r="M40" s="173">
        <v>11.700209119634367</v>
      </c>
      <c r="N40" s="173">
        <f t="shared" si="15"/>
        <v>-11.700209119634367</v>
      </c>
      <c r="O40" s="176" t="str">
        <f>IF(SUM(L40)=0,"",IFERROR(L40/M40,""))</f>
        <v/>
      </c>
      <c r="P40" s="172">
        <f>SUMIFS(صادرات!$N$4:$N$500,صادرات!$J$4:$J$500,$C40,صادرات!$I$4:$I$500,$A40)+SUMIFS(صادرات!$F$4:$F$500,صادرات!$B$4:$B$500,$C40,صادرات!$A$4:$A$500,$A40)</f>
        <v>0</v>
      </c>
      <c r="Q40" s="173">
        <v>0</v>
      </c>
      <c r="R40" s="173">
        <f t="shared" si="16"/>
        <v>0</v>
      </c>
      <c r="S40" s="176" t="str">
        <f>IF(SUM(P40)=0,"",IFERROR(P40/Q40,""))</f>
        <v/>
      </c>
      <c r="T40" s="172">
        <f t="shared" si="110"/>
        <v>57</v>
      </c>
      <c r="U40" s="173">
        <f t="shared" si="111"/>
        <v>495.55914215058567</v>
      </c>
      <c r="V40" s="173">
        <f t="shared" si="17"/>
        <v>-438.55914215058567</v>
      </c>
      <c r="W40" s="176">
        <f t="shared" ref="W40" si="130">IF(SUM(T40)=0,"",IFERROR(T40/U40,""))</f>
        <v>0.11502158905319801</v>
      </c>
      <c r="X40" s="172">
        <f t="shared" si="113"/>
        <v>65</v>
      </c>
      <c r="Y40" s="173">
        <f t="shared" si="114"/>
        <v>776.36203153330575</v>
      </c>
      <c r="Z40" s="173">
        <f t="shared" si="18"/>
        <v>-711.36203153330575</v>
      </c>
      <c r="AA40" s="176">
        <f t="shared" ref="AA40" si="131">IF(SUM(X40)=0,"",IFERROR(X40/Y40,""))</f>
        <v>8.3723826462283032E-2</v>
      </c>
      <c r="AB40" s="172">
        <f t="shared" si="116"/>
        <v>18</v>
      </c>
      <c r="AC40" s="173">
        <f t="shared" si="117"/>
        <v>366.90062735890319</v>
      </c>
      <c r="AD40" s="173">
        <f t="shared" si="19"/>
        <v>-348.90062735890319</v>
      </c>
      <c r="AE40" s="176">
        <f t="shared" ref="AE40" si="132">IF(SUM(AB40)=0,"",IFERROR(AB40/AC40,""))</f>
        <v>4.9059605402070765E-2</v>
      </c>
      <c r="AF40" s="172">
        <f t="shared" si="119"/>
        <v>0</v>
      </c>
      <c r="AG40" s="173">
        <f t="shared" si="120"/>
        <v>0</v>
      </c>
      <c r="AH40" s="173">
        <f t="shared" si="20"/>
        <v>0</v>
      </c>
      <c r="AI40" s="188" t="str">
        <f t="shared" ref="AI40" si="133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30"/>
        <v>مطهری</v>
      </c>
      <c r="B41" s="215" t="str">
        <f>واردات!J18</f>
        <v>مطهری</v>
      </c>
      <c r="C41" s="166" t="str">
        <f>C29</f>
        <v>فروردین</v>
      </c>
      <c r="D41" s="170">
        <f>SUMIFS(صادرات!$K$4:$K$500,صادرات!$J$4:$J$500,$C41,صادرات!$I$4:$I$500,$A41)+SUMIFS(صادرات!$C$4:$C$500,صادرات!$B$4:$B$500,$C41,صادرات!$A$4:$A$500,$A41)</f>
        <v>1360</v>
      </c>
      <c r="E41" s="160">
        <v>2746.2006717731583</v>
      </c>
      <c r="F41" s="160">
        <f t="shared" si="13"/>
        <v>-1386.2006717731583</v>
      </c>
      <c r="G41" s="185">
        <f>IF(SUM(D41:D52)=0,"",IFERROR(D41/E41,""))</f>
        <v>0.49522965090598403</v>
      </c>
      <c r="H41" s="170">
        <f>SUMIFS(صادرات!$L$4:$L$500,صادرات!$J$4:$J$500,$C41,صادرات!$I$4:$I$500,$A41)+SUMIFS(صادرات!$D$4:$D$500,صادرات!$B$4:$B$500,$C41,صادرات!$A$4:$A$500,$A41)</f>
        <v>2370</v>
      </c>
      <c r="I41" s="160">
        <v>2572.4328671720064</v>
      </c>
      <c r="J41" s="160">
        <f t="shared" si="14"/>
        <v>-202.43286717200635</v>
      </c>
      <c r="K41" s="185">
        <f>IF(SUM(H41:H52)=0,"",IFERROR(H41/I41,""))</f>
        <v>0.92130684156801723</v>
      </c>
      <c r="L41" s="170">
        <f>SUMIFS(صادرات!$M$4:$M$500,صادرات!$J$4:$J$500,$C41,صادرات!$I$4:$I$500,$A41)+SUMIFS(صادرات!$E$4:$E$500,صادرات!$B$4:$B$500,$C41,صادرات!$A$4:$A$500,$A41)</f>
        <v>0</v>
      </c>
      <c r="M41" s="160">
        <v>0</v>
      </c>
      <c r="N41" s="160">
        <f t="shared" si="15"/>
        <v>0</v>
      </c>
      <c r="O41" s="185" t="str">
        <f>IF(SUM(L41:L52)=0,"",IFERROR(L41/M41,""))</f>
        <v/>
      </c>
      <c r="P41" s="170">
        <f>SUMIFS(صادرات!$N$4:$N$500,صادرات!$J$4:$J$500,$C41,صادرات!$I$4:$I$500,$A41)+SUMIFS(صادرات!$F$4:$F$500,صادرات!$B$4:$B$500,$C41,صادرات!$A$4:$A$500,$A41)</f>
        <v>34498</v>
      </c>
      <c r="Q41" s="160">
        <v>65746.118221527155</v>
      </c>
      <c r="R41" s="160">
        <f t="shared" si="16"/>
        <v>-31248.118221527155</v>
      </c>
      <c r="S41" s="185">
        <f>IF(SUM(P41:P52)=0,"",IFERROR(P41/Q41,""))</f>
        <v>0.52471538903272275</v>
      </c>
      <c r="T41" s="183">
        <f t="shared" si="110"/>
        <v>1360</v>
      </c>
      <c r="U41" s="160">
        <f t="shared" si="111"/>
        <v>2746.2006717731583</v>
      </c>
      <c r="V41" s="160">
        <f t="shared" si="17"/>
        <v>-1386.2006717731583</v>
      </c>
      <c r="W41" s="185">
        <f t="shared" ref="W41" si="134">IF(SUM(T41:T52)=0,"",IFERROR(T41/U41,""))</f>
        <v>0.49522965090598403</v>
      </c>
      <c r="X41" s="183">
        <f t="shared" si="113"/>
        <v>2370</v>
      </c>
      <c r="Y41" s="160">
        <f t="shared" si="114"/>
        <v>2572.4328671720064</v>
      </c>
      <c r="Z41" s="160">
        <f t="shared" si="18"/>
        <v>-202.43286717200635</v>
      </c>
      <c r="AA41" s="185">
        <f t="shared" ref="AA41" si="135">IF(SUM(X41:X52)=0,"",IFERROR(X41/Y41,""))</f>
        <v>0.92130684156801723</v>
      </c>
      <c r="AB41" s="183">
        <f t="shared" si="116"/>
        <v>0</v>
      </c>
      <c r="AC41" s="160">
        <f t="shared" si="117"/>
        <v>0</v>
      </c>
      <c r="AD41" s="160">
        <f t="shared" si="19"/>
        <v>0</v>
      </c>
      <c r="AE41" s="185" t="str">
        <f t="shared" ref="AE41" si="136">IF(SUM(AB41:AB52)=0,"",IFERROR(AB41/AC41,""))</f>
        <v/>
      </c>
      <c r="AF41" s="183">
        <f t="shared" si="119"/>
        <v>34498</v>
      </c>
      <c r="AG41" s="160">
        <f t="shared" si="120"/>
        <v>65746.118221527155</v>
      </c>
      <c r="AH41" s="160">
        <f t="shared" si="20"/>
        <v>-31248.118221527155</v>
      </c>
      <c r="AI41" s="186">
        <f t="shared" ref="AI41" si="137">IF(SUM(AF41:AF52)=0,"",IFERROR(AF41/AG41,""))</f>
        <v>0.52471538903272275</v>
      </c>
      <c r="AJ41" s="157">
        <v>1</v>
      </c>
    </row>
    <row r="42" spans="1:36" ht="24.95" customHeight="1" x14ac:dyDescent="0.25">
      <c r="A42" s="182" t="str">
        <f t="shared" si="30"/>
        <v>مطهری</v>
      </c>
      <c r="B42" s="216"/>
      <c r="C42" s="167" t="str">
        <f t="shared" si="31"/>
        <v>اردیبهشت</v>
      </c>
      <c r="D42" s="171">
        <f>SUMIFS(صادرات!$K$4:$K$500,صادرات!$J$4:$J$500,$C42,صادرات!$I$4:$I$500,$A42)+SUMIFS(صادرات!$C$4:$C$500,صادرات!$B$4:$B$500,$C42,صادرات!$A$4:$A$500,$A42)</f>
        <v>2211</v>
      </c>
      <c r="E42" s="159">
        <v>2746.2006717731583</v>
      </c>
      <c r="F42" s="159">
        <f t="shared" si="13"/>
        <v>-535.20067177315832</v>
      </c>
      <c r="G42" s="175">
        <f>IF(SUM(D42:D52)=0,"",IFERROR(D42/E42,""))</f>
        <v>0.80511232217141959</v>
      </c>
      <c r="H42" s="171">
        <f>SUMIFS(صادرات!$L$4:$L$500,صادرات!$J$4:$J$500,$C42,صادرات!$I$4:$I$500,$A42)+SUMIFS(صادرات!$D$4:$D$500,صادرات!$B$4:$B$500,$C42,صادرات!$A$4:$A$500,$A42)</f>
        <v>2901</v>
      </c>
      <c r="I42" s="159">
        <v>2572.4328671720064</v>
      </c>
      <c r="J42" s="159">
        <f t="shared" si="14"/>
        <v>328.56713282799365</v>
      </c>
      <c r="K42" s="175">
        <f>IF(SUM(H42:H52)=0,"",IFERROR(H42/I42,""))</f>
        <v>1.1277262225269273</v>
      </c>
      <c r="L42" s="171">
        <f>SUMIFS(صادرات!$M$4:$M$500,صادرات!$J$4:$J$500,$C42,صادرات!$I$4:$I$500,$A42)+SUMIFS(صادرات!$E$4:$E$500,صادرات!$B$4:$B$500,$C42,صادرات!$A$4:$A$500,$A42)</f>
        <v>0</v>
      </c>
      <c r="M42" s="159">
        <v>0</v>
      </c>
      <c r="N42" s="159">
        <f t="shared" si="15"/>
        <v>0</v>
      </c>
      <c r="O42" s="175" t="str">
        <f>IF(SUM(L42:L52)=0,"",IFERROR(L42/M42,""))</f>
        <v/>
      </c>
      <c r="P42" s="171">
        <f>SUMIFS(صادرات!$N$4:$N$500,صادرات!$J$4:$J$500,$C42,صادرات!$I$4:$I$500,$A42)+SUMIFS(صادرات!$F$4:$F$500,صادرات!$B$4:$B$500,$C42,صادرات!$A$4:$A$500,$A42)</f>
        <v>50468</v>
      </c>
      <c r="Q42" s="159">
        <v>65746.118221527155</v>
      </c>
      <c r="R42" s="159">
        <f t="shared" si="16"/>
        <v>-15278.118221527155</v>
      </c>
      <c r="S42" s="175">
        <f>IF(SUM(P42:P52)=0,"",IFERROR(P42/Q42,""))</f>
        <v>0.76761946355450894</v>
      </c>
      <c r="T42" s="171">
        <f t="shared" si="110"/>
        <v>3571</v>
      </c>
      <c r="U42" s="159">
        <f t="shared" si="111"/>
        <v>5492.4013435463166</v>
      </c>
      <c r="V42" s="159">
        <f t="shared" si="17"/>
        <v>-1921.4013435463166</v>
      </c>
      <c r="W42" s="175">
        <f t="shared" ref="W42" si="138">IF(SUM(T42:T52)=0,"",IFERROR(T42/U42,""))</f>
        <v>0.65017098653870187</v>
      </c>
      <c r="X42" s="171">
        <f t="shared" si="113"/>
        <v>5271</v>
      </c>
      <c r="Y42" s="159">
        <f t="shared" si="114"/>
        <v>5144.8657343440127</v>
      </c>
      <c r="Z42" s="159">
        <f t="shared" si="18"/>
        <v>126.13426565598729</v>
      </c>
      <c r="AA42" s="175">
        <f t="shared" ref="AA42" si="139">IF(SUM(X42:X52)=0,"",IFERROR(X42/Y42,""))</f>
        <v>1.0245165320474723</v>
      </c>
      <c r="AB42" s="171">
        <f t="shared" si="116"/>
        <v>0</v>
      </c>
      <c r="AC42" s="159">
        <f t="shared" si="117"/>
        <v>0</v>
      </c>
      <c r="AD42" s="159">
        <f t="shared" si="19"/>
        <v>0</v>
      </c>
      <c r="AE42" s="175" t="str">
        <f t="shared" ref="AE42" si="140">IF(SUM(AB42:AB52)=0,"",IFERROR(AB42/AC42,""))</f>
        <v/>
      </c>
      <c r="AF42" s="171">
        <f t="shared" si="119"/>
        <v>84966</v>
      </c>
      <c r="AG42" s="159">
        <f t="shared" si="120"/>
        <v>131492.23644305431</v>
      </c>
      <c r="AH42" s="159">
        <f t="shared" si="20"/>
        <v>-46526.236443054309</v>
      </c>
      <c r="AI42" s="187">
        <f t="shared" ref="AI42" si="141">IF(SUM(AF42:AF52)=0,"",IFERROR(AF42/AG42,""))</f>
        <v>0.64616742629361579</v>
      </c>
      <c r="AJ42" s="157">
        <f>AJ41+1</f>
        <v>2</v>
      </c>
    </row>
    <row r="43" spans="1:36" ht="24.95" customHeight="1" x14ac:dyDescent="0.25">
      <c r="A43" s="182" t="str">
        <f t="shared" si="30"/>
        <v>مطهری</v>
      </c>
      <c r="B43" s="216"/>
      <c r="C43" s="167" t="str">
        <f t="shared" si="31"/>
        <v>خرداد</v>
      </c>
      <c r="D43" s="171">
        <f>SUMIFS(صادرات!$K$4:$K$500,صادرات!$J$4:$J$500,$C43,صادرات!$I$4:$I$500,$A43)+SUMIFS(صادرات!$C$4:$C$500,صادرات!$B$4:$B$500,$C43,صادرات!$A$4:$A$500,$A43)</f>
        <v>1744</v>
      </c>
      <c r="E43" s="159">
        <v>2746.2006717731583</v>
      </c>
      <c r="F43" s="159">
        <f t="shared" si="13"/>
        <v>-1002.2006717731583</v>
      </c>
      <c r="G43" s="175">
        <f>IF(SUM(D43:D52)=0,"",IFERROR(D43/E43,""))</f>
        <v>0.63505919939708544</v>
      </c>
      <c r="H43" s="171">
        <f>SUMIFS(صادرات!$L$4:$L$500,صادرات!$J$4:$J$500,$C43,صادرات!$I$4:$I$500,$A43)+SUMIFS(صادرات!$D$4:$D$500,صادرات!$B$4:$B$500,$C43,صادرات!$A$4:$A$500,$A43)</f>
        <v>2021</v>
      </c>
      <c r="I43" s="159">
        <v>2572.4328671720064</v>
      </c>
      <c r="J43" s="159">
        <f t="shared" si="14"/>
        <v>-551.43286717200635</v>
      </c>
      <c r="K43" s="175">
        <f>IF(SUM(H43:H52)=0,"",IFERROR(H43/I43,""))</f>
        <v>0.78563760624850754</v>
      </c>
      <c r="L43" s="171">
        <f>SUMIFS(صادرات!$M$4:$M$500,صادرات!$J$4:$J$500,$C43,صادرات!$I$4:$I$500,$A43)+SUMIFS(صادرات!$E$4:$E$500,صادرات!$B$4:$B$500,$C43,صادرات!$A$4:$A$500,$A43)</f>
        <v>0</v>
      </c>
      <c r="M43" s="159">
        <v>0</v>
      </c>
      <c r="N43" s="159">
        <f t="shared" si="15"/>
        <v>0</v>
      </c>
      <c r="O43" s="175" t="str">
        <f>IF(SUM(L43:L52)=0,"",IFERROR(L43/M43,""))</f>
        <v/>
      </c>
      <c r="P43" s="171">
        <f>SUMIFS(صادرات!$N$4:$N$500,صادرات!$J$4:$J$500,$C43,صادرات!$I$4:$I$500,$A43)+SUMIFS(صادرات!$F$4:$F$500,صادرات!$B$4:$B$500,$C43,صادرات!$A$4:$A$500,$A43)</f>
        <v>42125</v>
      </c>
      <c r="Q43" s="159">
        <v>65746.118221527155</v>
      </c>
      <c r="R43" s="159">
        <f t="shared" si="16"/>
        <v>-23621.118221527155</v>
      </c>
      <c r="S43" s="175">
        <f>IF(SUM(P43:P52)=0,"",IFERROR(P43/Q43,""))</f>
        <v>0.64072223789794902</v>
      </c>
      <c r="T43" s="171">
        <f t="shared" si="110"/>
        <v>5315</v>
      </c>
      <c r="U43" s="159">
        <f t="shared" si="111"/>
        <v>8238.602015319475</v>
      </c>
      <c r="V43" s="159">
        <f t="shared" si="17"/>
        <v>-2923.602015319475</v>
      </c>
      <c r="W43" s="175">
        <f t="shared" ref="W43" si="142">IF(SUM(T43:T52)=0,"",IFERROR(T43/U43,""))</f>
        <v>0.64513372415816306</v>
      </c>
      <c r="X43" s="171">
        <f t="shared" si="113"/>
        <v>7292</v>
      </c>
      <c r="Y43" s="159">
        <f t="shared" si="114"/>
        <v>7717.2986015160186</v>
      </c>
      <c r="Z43" s="159">
        <f t="shared" si="18"/>
        <v>-425.29860151601861</v>
      </c>
      <c r="AA43" s="175">
        <f t="shared" ref="AA43" si="143">IF(SUM(X43:X52)=0,"",IFERROR(X43/Y43,""))</f>
        <v>0.94489022344781748</v>
      </c>
      <c r="AB43" s="171">
        <f t="shared" si="116"/>
        <v>0</v>
      </c>
      <c r="AC43" s="159">
        <f t="shared" si="117"/>
        <v>0</v>
      </c>
      <c r="AD43" s="159">
        <f t="shared" si="19"/>
        <v>0</v>
      </c>
      <c r="AE43" s="175" t="str">
        <f t="shared" ref="AE43" si="144">IF(SUM(AB43:AB52)=0,"",IFERROR(AB43/AC43,""))</f>
        <v/>
      </c>
      <c r="AF43" s="171">
        <f t="shared" si="119"/>
        <v>127091</v>
      </c>
      <c r="AG43" s="159">
        <f t="shared" si="120"/>
        <v>197238.35466458148</v>
      </c>
      <c r="AH43" s="159">
        <f t="shared" si="20"/>
        <v>-70147.354664581479</v>
      </c>
      <c r="AI43" s="187">
        <f t="shared" ref="AI43" si="145">IF(SUM(AF43:AF52)=0,"",IFERROR(AF43/AG43,""))</f>
        <v>0.6443523634950602</v>
      </c>
      <c r="AJ43" s="157">
        <f t="shared" ref="AJ43:AJ51" si="146">AJ42+1</f>
        <v>3</v>
      </c>
    </row>
    <row r="44" spans="1:36" ht="24.95" customHeight="1" x14ac:dyDescent="0.25">
      <c r="A44" s="182" t="str">
        <f t="shared" si="30"/>
        <v>مطهری</v>
      </c>
      <c r="B44" s="216"/>
      <c r="C44" s="167" t="str">
        <f t="shared" si="31"/>
        <v>تیر</v>
      </c>
      <c r="D44" s="171">
        <f>SUMIFS(صادرات!$K$4:$K$500,صادرات!$J$4:$J$500,$C44,صادرات!$I$4:$I$500,$A44)+SUMIFS(صادرات!$C$4:$C$500,صادرات!$B$4:$B$500,$C44,صادرات!$A$4:$A$500,$A44)</f>
        <v>2331</v>
      </c>
      <c r="E44" s="159">
        <v>2366.4517439578217</v>
      </c>
      <c r="F44" s="159">
        <f t="shared" si="13"/>
        <v>-35.451743957821691</v>
      </c>
      <c r="G44" s="175">
        <f>IF(SUM(D44:D52)=0,"",IFERROR(D44/E44,""))</f>
        <v>0.9850190294189014</v>
      </c>
      <c r="H44" s="171">
        <f>SUMIFS(صادرات!$L$4:$L$500,صادرات!$J$4:$J$500,$C44,صادرات!$I$4:$I$500,$A44)+SUMIFS(صادرات!$D$4:$D$500,صادرات!$B$4:$B$500,$C44,صادرات!$A$4:$A$500,$A44)</f>
        <v>2334</v>
      </c>
      <c r="I44" s="159">
        <v>2129.3759040396276</v>
      </c>
      <c r="J44" s="159">
        <f t="shared" si="14"/>
        <v>204.62409596037241</v>
      </c>
      <c r="K44" s="175">
        <f>IF(SUM(H44:H52)=0,"",IFERROR(H44/I44,""))</f>
        <v>1.0960958070259841</v>
      </c>
      <c r="L44" s="171">
        <f>SUMIFS(صادرات!$M$4:$M$500,صادرات!$J$4:$J$500,$C44,صادرات!$I$4:$I$500,$A44)+SUMIFS(صادرات!$E$4:$E$500,صادرات!$B$4:$B$500,$C44,صادرات!$A$4:$A$500,$A44)</f>
        <v>0</v>
      </c>
      <c r="M44" s="159">
        <v>0</v>
      </c>
      <c r="N44" s="159">
        <f t="shared" si="15"/>
        <v>0</v>
      </c>
      <c r="O44" s="175" t="str">
        <f>IF(SUM(L44:L52)=0,"",IFERROR(L44/M44,""))</f>
        <v/>
      </c>
      <c r="P44" s="171">
        <f>SUMIFS(صادرات!$N$4:$N$500,صادرات!$J$4:$J$500,$C44,صادرات!$I$4:$I$500,$A44)+SUMIFS(صادرات!$F$4:$F$500,صادرات!$B$4:$B$500,$C44,صادرات!$A$4:$A$500,$A44)</f>
        <v>80132</v>
      </c>
      <c r="Q44" s="159">
        <v>49396.244286733076</v>
      </c>
      <c r="R44" s="159">
        <f t="shared" si="16"/>
        <v>30735.755713266924</v>
      </c>
      <c r="S44" s="175">
        <f>IF(SUM(P44:P52)=0,"",IFERROR(P44/Q44,""))</f>
        <v>1.6222285956570586</v>
      </c>
      <c r="T44" s="171">
        <f t="shared" si="110"/>
        <v>7646</v>
      </c>
      <c r="U44" s="159">
        <f t="shared" si="111"/>
        <v>10605.053759277296</v>
      </c>
      <c r="V44" s="159">
        <f t="shared" si="17"/>
        <v>-2959.0537592772962</v>
      </c>
      <c r="W44" s="175">
        <f t="shared" ref="W44" si="147">IF(SUM(T44:T52)=0,"",IFERROR(T44/U44,""))</f>
        <v>0.72097701469087627</v>
      </c>
      <c r="X44" s="171">
        <f t="shared" si="113"/>
        <v>9626</v>
      </c>
      <c r="Y44" s="159">
        <f t="shared" si="114"/>
        <v>9846.6745055556457</v>
      </c>
      <c r="Z44" s="159">
        <f t="shared" si="18"/>
        <v>-220.67450555564574</v>
      </c>
      <c r="AA44" s="175">
        <f t="shared" ref="AA44" si="148">IF(SUM(X44:X52)=0,"",IFERROR(X44/Y44,""))</f>
        <v>0.97758893061498708</v>
      </c>
      <c r="AB44" s="171">
        <f t="shared" si="116"/>
        <v>0</v>
      </c>
      <c r="AC44" s="159">
        <f t="shared" si="117"/>
        <v>0</v>
      </c>
      <c r="AD44" s="159">
        <f t="shared" si="19"/>
        <v>0</v>
      </c>
      <c r="AE44" s="175" t="str">
        <f t="shared" ref="AE44" si="149">IF(SUM(AB44:AB52)=0,"",IFERROR(AB44/AC44,""))</f>
        <v/>
      </c>
      <c r="AF44" s="171">
        <f t="shared" si="119"/>
        <v>207223</v>
      </c>
      <c r="AG44" s="159">
        <f t="shared" si="120"/>
        <v>246634.59895131455</v>
      </c>
      <c r="AH44" s="159">
        <f t="shared" si="20"/>
        <v>-39411.598951314547</v>
      </c>
      <c r="AI44" s="187">
        <f t="shared" ref="AI44" si="150">IF(SUM(AF44:AF52)=0,"",IFERROR(AF44/AG44,""))</f>
        <v>0.84020247313681096</v>
      </c>
      <c r="AJ44" s="157">
        <f t="shared" si="146"/>
        <v>4</v>
      </c>
    </row>
    <row r="45" spans="1:36" ht="24.95" customHeight="1" x14ac:dyDescent="0.25">
      <c r="A45" s="182" t="str">
        <f t="shared" si="30"/>
        <v>مطهری</v>
      </c>
      <c r="B45" s="216"/>
      <c r="C45" s="167" t="str">
        <f t="shared" si="31"/>
        <v>مرداد</v>
      </c>
      <c r="D45" s="171">
        <f>SUMIFS(صادرات!$K$4:$K$500,صادرات!$J$4:$J$500,$C45,صادرات!$I$4:$I$500,$A45)+SUMIFS(صادرات!$C$4:$C$500,صادرات!$B$4:$B$500,$C45,صادرات!$A$4:$A$500,$A45)</f>
        <v>4352</v>
      </c>
      <c r="E45" s="159">
        <v>2366.4517439578217</v>
      </c>
      <c r="F45" s="159">
        <f t="shared" si="13"/>
        <v>1985.5482560421783</v>
      </c>
      <c r="G45" s="175">
        <f>IF(SUM(D45:D52)=0,"",IFERROR(D45/E45,""))</f>
        <v>1.8390402471175713</v>
      </c>
      <c r="H45" s="171">
        <f>SUMIFS(صادرات!$L$4:$L$500,صادرات!$J$4:$J$500,$C45,صادرات!$I$4:$I$500,$A45)+SUMIFS(صادرات!$D$4:$D$500,صادرات!$B$4:$B$500,$C45,صادرات!$A$4:$A$500,$A45)</f>
        <v>3259</v>
      </c>
      <c r="I45" s="159">
        <v>2129.3759040396276</v>
      </c>
      <c r="J45" s="159">
        <f t="shared" si="14"/>
        <v>1129.6240959603724</v>
      </c>
      <c r="K45" s="175">
        <f>IF(SUM(H45:H52)=0,"",IFERROR(H45/I45,""))</f>
        <v>1.5304953877882099</v>
      </c>
      <c r="L45" s="171">
        <f>SUMIFS(صادرات!$M$4:$M$500,صادرات!$J$4:$J$500,$C45,صادرات!$I$4:$I$500,$A45)+SUMIFS(صادرات!$E$4:$E$500,صادرات!$B$4:$B$500,$C45,صادرات!$A$4:$A$500,$A45)</f>
        <v>0</v>
      </c>
      <c r="M45" s="159">
        <v>0</v>
      </c>
      <c r="N45" s="159">
        <f t="shared" si="15"/>
        <v>0</v>
      </c>
      <c r="O45" s="175" t="str">
        <f>IF(SUM(L45:L52)=0,"",IFERROR(L45/M45,""))</f>
        <v/>
      </c>
      <c r="P45" s="171">
        <f>SUMIFS(صادرات!$N$4:$N$500,صادرات!$J$4:$J$500,$C45,صادرات!$I$4:$I$500,$A45)+SUMIFS(صادرات!$F$4:$F$500,صادرات!$B$4:$B$500,$C45,صادرات!$A$4:$A$500,$A45)</f>
        <v>72070</v>
      </c>
      <c r="Q45" s="159">
        <v>49396.244286733076</v>
      </c>
      <c r="R45" s="159">
        <f t="shared" si="16"/>
        <v>22673.755713266924</v>
      </c>
      <c r="S45" s="175">
        <f>IF(SUM(P45:P52)=0,"",IFERROR(P45/Q45,""))</f>
        <v>1.4590178067314457</v>
      </c>
      <c r="T45" s="171">
        <f t="shared" si="110"/>
        <v>11998</v>
      </c>
      <c r="U45" s="159">
        <f t="shared" si="111"/>
        <v>12971.505503235117</v>
      </c>
      <c r="V45" s="159">
        <f t="shared" si="17"/>
        <v>-973.50550323511743</v>
      </c>
      <c r="W45" s="175">
        <f t="shared" ref="W45" si="151">IF(SUM(T45:T52)=0,"",IFERROR(T45/U45,""))</f>
        <v>0.92495046137918813</v>
      </c>
      <c r="X45" s="171">
        <f t="shared" si="113"/>
        <v>12885</v>
      </c>
      <c r="Y45" s="159">
        <f t="shared" si="114"/>
        <v>11976.050409595273</v>
      </c>
      <c r="Z45" s="159">
        <f t="shared" si="18"/>
        <v>908.94959040472713</v>
      </c>
      <c r="AA45" s="175">
        <f t="shared" ref="AA45" si="152">IF(SUM(X45:X52)=0,"",IFERROR(X45/Y45,""))</f>
        <v>1.0758972749209934</v>
      </c>
      <c r="AB45" s="171">
        <f t="shared" si="116"/>
        <v>0</v>
      </c>
      <c r="AC45" s="159">
        <f t="shared" si="117"/>
        <v>0</v>
      </c>
      <c r="AD45" s="159">
        <f t="shared" si="19"/>
        <v>0</v>
      </c>
      <c r="AE45" s="175" t="str">
        <f t="shared" ref="AE45" si="153">IF(SUM(AB45:AB52)=0,"",IFERROR(AB45/AC45,""))</f>
        <v/>
      </c>
      <c r="AF45" s="171">
        <f t="shared" si="119"/>
        <v>279293</v>
      </c>
      <c r="AG45" s="159">
        <f t="shared" si="120"/>
        <v>296030.84323804762</v>
      </c>
      <c r="AH45" s="159">
        <f t="shared" si="20"/>
        <v>-16737.843238047615</v>
      </c>
      <c r="AI45" s="187">
        <f t="shared" ref="AI45" si="154">IF(SUM(AF45:AF52)=0,"",IFERROR(AF45/AG45,""))</f>
        <v>0.94345912387045361</v>
      </c>
      <c r="AJ45" s="157">
        <f t="shared" si="146"/>
        <v>5</v>
      </c>
    </row>
    <row r="46" spans="1:36" ht="24.95" customHeight="1" x14ac:dyDescent="0.25">
      <c r="A46" s="182" t="str">
        <f t="shared" si="30"/>
        <v>مطهری</v>
      </c>
      <c r="B46" s="216"/>
      <c r="C46" s="167" t="str">
        <f t="shared" si="31"/>
        <v>شهریور</v>
      </c>
      <c r="D46" s="171">
        <f>SUMIFS(صادرات!$K$4:$K$500,صادرات!$J$4:$J$500,$C46,صادرات!$I$4:$I$500,$A46)+SUMIFS(صادرات!$C$4:$C$500,صادرات!$B$4:$B$500,$C46,صادرات!$A$4:$A$500,$A46)</f>
        <v>4871</v>
      </c>
      <c r="E46" s="159">
        <v>2366.4517439578217</v>
      </c>
      <c r="F46" s="159">
        <f t="shared" si="13"/>
        <v>2504.5482560421783</v>
      </c>
      <c r="G46" s="175">
        <f>IF(SUM(D46:D52)=0,"",IFERROR(D46/E46,""))</f>
        <v>2.0583559383524102</v>
      </c>
      <c r="H46" s="171">
        <f>SUMIFS(صادرات!$L$4:$L$500,صادرات!$J$4:$J$500,$C46,صادرات!$I$4:$I$500,$A46)+SUMIFS(صادرات!$D$4:$D$500,صادرات!$B$4:$B$500,$C46,صادرات!$A$4:$A$500,$A46)</f>
        <v>4805</v>
      </c>
      <c r="I46" s="159">
        <v>2129.3759040396276</v>
      </c>
      <c r="J46" s="159">
        <f t="shared" si="14"/>
        <v>2675.6240959603724</v>
      </c>
      <c r="K46" s="175">
        <f>IF(SUM(H46:H52)=0,"",IFERROR(H46/I46,""))</f>
        <v>2.2565297141216165</v>
      </c>
      <c r="L46" s="171">
        <f>SUMIFS(صادرات!$M$4:$M$500,صادرات!$J$4:$J$500,$C46,صادرات!$I$4:$I$500,$A46)+SUMIFS(صادرات!$E$4:$E$500,صادرات!$B$4:$B$500,$C46,صادرات!$A$4:$A$500,$A46)</f>
        <v>0</v>
      </c>
      <c r="M46" s="159">
        <v>0</v>
      </c>
      <c r="N46" s="159">
        <f t="shared" si="15"/>
        <v>0</v>
      </c>
      <c r="O46" s="175" t="str">
        <f>IF(SUM(L46:L52)=0,"",IFERROR(L46/M46,""))</f>
        <v/>
      </c>
      <c r="P46" s="171">
        <f>SUMIFS(صادرات!$N$4:$N$500,صادرات!$J$4:$J$500,$C46,صادرات!$I$4:$I$500,$A46)+SUMIFS(صادرات!$F$4:$F$500,صادرات!$B$4:$B$500,$C46,صادرات!$A$4:$A$500,$A46)</f>
        <v>72358</v>
      </c>
      <c r="Q46" s="159">
        <v>49396.244286733076</v>
      </c>
      <c r="R46" s="159">
        <f t="shared" si="16"/>
        <v>22961.755713266924</v>
      </c>
      <c r="S46" s="175">
        <f>IF(SUM(P46:P52)=0,"",IFERROR(P46/Q46,""))</f>
        <v>1.4648482095112245</v>
      </c>
      <c r="T46" s="171">
        <f t="shared" si="110"/>
        <v>16869</v>
      </c>
      <c r="U46" s="159">
        <f t="shared" si="111"/>
        <v>15337.957247192939</v>
      </c>
      <c r="V46" s="159">
        <f t="shared" si="17"/>
        <v>1531.0427528070613</v>
      </c>
      <c r="W46" s="175">
        <f t="shared" ref="W46" si="155">IF(SUM(T46:T52)=0,"",IFERROR(T46/U46,""))</f>
        <v>1.0998205124797349</v>
      </c>
      <c r="X46" s="171">
        <f t="shared" si="113"/>
        <v>17690</v>
      </c>
      <c r="Y46" s="159">
        <f t="shared" si="114"/>
        <v>14105.4263136349</v>
      </c>
      <c r="Z46" s="159">
        <f t="shared" si="18"/>
        <v>3584.5736863651</v>
      </c>
      <c r="AA46" s="175">
        <f t="shared" ref="AA46" si="156">IF(SUM(X46:X52)=0,"",IFERROR(X46/Y46,""))</f>
        <v>1.2541272845401419</v>
      </c>
      <c r="AB46" s="171">
        <f t="shared" si="116"/>
        <v>0</v>
      </c>
      <c r="AC46" s="159">
        <f t="shared" si="117"/>
        <v>0</v>
      </c>
      <c r="AD46" s="159">
        <f t="shared" si="19"/>
        <v>0</v>
      </c>
      <c r="AE46" s="175" t="str">
        <f t="shared" ref="AE46" si="157">IF(SUM(AB46:AB52)=0,"",IFERROR(AB46/AC46,""))</f>
        <v/>
      </c>
      <c r="AF46" s="171">
        <f t="shared" si="119"/>
        <v>351651</v>
      </c>
      <c r="AG46" s="159">
        <f t="shared" si="120"/>
        <v>345427.08752478071</v>
      </c>
      <c r="AH46" s="159">
        <f t="shared" si="20"/>
        <v>6223.9124752192874</v>
      </c>
      <c r="AI46" s="187">
        <f t="shared" ref="AI46" si="158">IF(SUM(AF46:AF52)=0,"",IFERROR(AF46/AG46,""))</f>
        <v>1.0180180208790741</v>
      </c>
      <c r="AJ46" s="157">
        <f t="shared" si="146"/>
        <v>6</v>
      </c>
    </row>
    <row r="47" spans="1:36" ht="24.95" customHeight="1" x14ac:dyDescent="0.25">
      <c r="A47" s="182" t="str">
        <f t="shared" si="30"/>
        <v>مطهری</v>
      </c>
      <c r="B47" s="216"/>
      <c r="C47" s="167" t="str">
        <f t="shared" si="31"/>
        <v>مهر</v>
      </c>
      <c r="D47" s="171">
        <f>SUMIFS(صادرات!$K$4:$K$500,صادرات!$J$4:$J$500,$C47,صادرات!$I$4:$I$500,$A47)+SUMIFS(صادرات!$C$4:$C$500,صادرات!$B$4:$B$500,$C47,صادرات!$A$4:$A$500,$A47)</f>
        <v>3832</v>
      </c>
      <c r="E47" s="159">
        <v>2606.0475842690189</v>
      </c>
      <c r="F47" s="159">
        <f t="shared" si="13"/>
        <v>1225.9524157309811</v>
      </c>
      <c r="G47" s="175">
        <f>IF(SUM(D47:D52)=0,"",IFERROR(D47/E47,""))</f>
        <v>1.4704259519784837</v>
      </c>
      <c r="H47" s="171">
        <f>SUMIFS(صادرات!$L$4:$L$500,صادرات!$J$4:$J$500,$C47,صادرات!$I$4:$I$500,$A47)+SUMIFS(صادرات!$D$4:$D$500,صادرات!$B$4:$B$500,$C47,صادرات!$A$4:$A$500,$A47)</f>
        <v>3516</v>
      </c>
      <c r="I47" s="159">
        <v>2349.5578954550319</v>
      </c>
      <c r="J47" s="159">
        <f t="shared" si="14"/>
        <v>1166.4421045449681</v>
      </c>
      <c r="K47" s="175">
        <f>IF(SUM(H47:H52)=0,"",IFERROR(H47/I47,""))</f>
        <v>1.4964517396235799</v>
      </c>
      <c r="L47" s="171">
        <f>SUMIFS(صادرات!$M$4:$M$500,صادرات!$J$4:$J$500,$C47,صادرات!$I$4:$I$500,$A47)+SUMIFS(صادرات!$E$4:$E$500,صادرات!$B$4:$B$500,$C47,صادرات!$A$4:$A$500,$A47)</f>
        <v>0</v>
      </c>
      <c r="M47" s="159">
        <v>0</v>
      </c>
      <c r="N47" s="159">
        <f t="shared" si="15"/>
        <v>0</v>
      </c>
      <c r="O47" s="175" t="str">
        <f>IF(SUM(L47:L52)=0,"",IFERROR(L47/M47,""))</f>
        <v/>
      </c>
      <c r="P47" s="171">
        <f>SUMIFS(صادرات!$N$4:$N$500,صادرات!$J$4:$J$500,$C47,صادرات!$I$4:$I$500,$A47)+SUMIFS(صادرات!$F$4:$F$500,صادرات!$B$4:$B$500,$C47,صادرات!$A$4:$A$500,$A47)</f>
        <v>73749</v>
      </c>
      <c r="Q47" s="159">
        <v>64405.870825073151</v>
      </c>
      <c r="R47" s="159">
        <f t="shared" si="16"/>
        <v>9343.1291749268494</v>
      </c>
      <c r="S47" s="175">
        <f>IF(SUM(P47:P52)=0,"",IFERROR(P47/Q47,""))</f>
        <v>1.1450664210457282</v>
      </c>
      <c r="T47" s="171">
        <f t="shared" si="110"/>
        <v>20701</v>
      </c>
      <c r="U47" s="159">
        <f t="shared" si="111"/>
        <v>17944.004831461956</v>
      </c>
      <c r="V47" s="159">
        <f t="shared" si="17"/>
        <v>2756.9951685380438</v>
      </c>
      <c r="W47" s="175">
        <f t="shared" ref="W47" si="159">IF(SUM(T47:T52)=0,"",IFERROR(T47/U47,""))</f>
        <v>1.1536443616925522</v>
      </c>
      <c r="X47" s="171">
        <f t="shared" si="113"/>
        <v>21206</v>
      </c>
      <c r="Y47" s="159">
        <f t="shared" si="114"/>
        <v>16454.984209089933</v>
      </c>
      <c r="Z47" s="159">
        <f t="shared" si="18"/>
        <v>4751.0157909100672</v>
      </c>
      <c r="AA47" s="175">
        <f t="shared" ref="AA47" si="160">IF(SUM(X47:X52)=0,"",IFERROR(X47/Y47,""))</f>
        <v>1.2887280674681869</v>
      </c>
      <c r="AB47" s="171">
        <f t="shared" si="116"/>
        <v>0</v>
      </c>
      <c r="AC47" s="159">
        <f t="shared" si="117"/>
        <v>0</v>
      </c>
      <c r="AD47" s="159">
        <f t="shared" si="19"/>
        <v>0</v>
      </c>
      <c r="AE47" s="175" t="str">
        <f t="shared" ref="AE47" si="161">IF(SUM(AB47:AB52)=0,"",IFERROR(AB47/AC47,""))</f>
        <v/>
      </c>
      <c r="AF47" s="171">
        <f t="shared" si="119"/>
        <v>425400</v>
      </c>
      <c r="AG47" s="159">
        <f t="shared" si="120"/>
        <v>409832.95834985387</v>
      </c>
      <c r="AH47" s="159">
        <f t="shared" si="20"/>
        <v>15567.04165014613</v>
      </c>
      <c r="AI47" s="187">
        <f t="shared" ref="AI47" si="162">IF(SUM(AF47:AF52)=0,"",IFERROR(AF47/AG47,""))</f>
        <v>1.0379838696058634</v>
      </c>
      <c r="AJ47" s="157">
        <f t="shared" si="146"/>
        <v>7</v>
      </c>
    </row>
    <row r="48" spans="1:36" ht="24.95" customHeight="1" x14ac:dyDescent="0.25">
      <c r="A48" s="182" t="str">
        <f t="shared" si="30"/>
        <v>مطهری</v>
      </c>
      <c r="B48" s="216"/>
      <c r="C48" s="167" t="str">
        <f t="shared" si="31"/>
        <v>آبان</v>
      </c>
      <c r="D48" s="171">
        <f>SUMIFS(صادرات!$K$4:$K$500,صادرات!$J$4:$J$500,$C48,صادرات!$I$4:$I$500,$A48)+SUMIFS(صادرات!$C$4:$C$500,صادرات!$B$4:$B$500,$C48,صادرات!$A$4:$A$500,$A48)</f>
        <v>2496</v>
      </c>
      <c r="E48" s="159">
        <v>2606.0475842690189</v>
      </c>
      <c r="F48" s="159">
        <f t="shared" si="13"/>
        <v>-110.0475842690189</v>
      </c>
      <c r="G48" s="175">
        <f>IF(SUM(D48:D52)=0,"",IFERROR(D48/E48,""))</f>
        <v>0.95777222759350089</v>
      </c>
      <c r="H48" s="171">
        <f>SUMIFS(صادرات!$L$4:$L$500,صادرات!$J$4:$J$500,$C48,صادرات!$I$4:$I$500,$A48)+SUMIFS(صادرات!$D$4:$D$500,صادرات!$B$4:$B$500,$C48,صادرات!$A$4:$A$500,$A48)</f>
        <v>3698</v>
      </c>
      <c r="I48" s="159">
        <v>2349.5578954550319</v>
      </c>
      <c r="J48" s="159">
        <f t="shared" si="14"/>
        <v>1348.4421045449681</v>
      </c>
      <c r="K48" s="175">
        <f>IF(SUM(H48:H52)=0,"",IFERROR(H48/I48,""))</f>
        <v>1.5739131209124002</v>
      </c>
      <c r="L48" s="171">
        <f>SUMIFS(صادرات!$M$4:$M$500,صادرات!$J$4:$J$500,$C48,صادرات!$I$4:$I$500,$A48)+SUMIFS(صادرات!$E$4:$E$500,صادرات!$B$4:$B$500,$C48,صادرات!$A$4:$A$500,$A48)</f>
        <v>0</v>
      </c>
      <c r="M48" s="159">
        <v>0</v>
      </c>
      <c r="N48" s="159">
        <f t="shared" si="15"/>
        <v>0</v>
      </c>
      <c r="O48" s="175" t="str">
        <f>IF(SUM(L48:L52)=0,"",IFERROR(L48/M48,""))</f>
        <v/>
      </c>
      <c r="P48" s="171">
        <f>SUMIFS(صادرات!$N$4:$N$500,صادرات!$J$4:$J$500,$C48,صادرات!$I$4:$I$500,$A48)+SUMIFS(صادرات!$F$4:$F$500,صادرات!$B$4:$B$500,$C48,صادرات!$A$4:$A$500,$A48)</f>
        <v>69673</v>
      </c>
      <c r="Q48" s="159">
        <v>64405.870825073151</v>
      </c>
      <c r="R48" s="159">
        <f t="shared" si="16"/>
        <v>5267.1291749268494</v>
      </c>
      <c r="S48" s="175">
        <f>IF(SUM(P48:P52)=0,"",IFERROR(P48/Q48,""))</f>
        <v>1.0817802648648662</v>
      </c>
      <c r="T48" s="171">
        <f t="shared" si="110"/>
        <v>23197</v>
      </c>
      <c r="U48" s="159">
        <f t="shared" si="111"/>
        <v>20550.052415730974</v>
      </c>
      <c r="V48" s="159">
        <f t="shared" si="17"/>
        <v>2646.9475842690263</v>
      </c>
      <c r="W48" s="175">
        <f t="shared" ref="W48" si="163">IF(SUM(T48:T52)=0,"",IFERROR(T48/U48,""))</f>
        <v>1.1288049067087926</v>
      </c>
      <c r="X48" s="171">
        <f t="shared" si="113"/>
        <v>24904</v>
      </c>
      <c r="Y48" s="159">
        <f t="shared" si="114"/>
        <v>18804.542104544966</v>
      </c>
      <c r="Z48" s="159">
        <f t="shared" si="18"/>
        <v>6099.4578954550343</v>
      </c>
      <c r="AA48" s="175">
        <f t="shared" ref="AA48" si="164">IF(SUM(X48:X52)=0,"",IFERROR(X48/Y48,""))</f>
        <v>1.3243608837452534</v>
      </c>
      <c r="AB48" s="171">
        <f t="shared" si="116"/>
        <v>0</v>
      </c>
      <c r="AC48" s="159">
        <f t="shared" si="117"/>
        <v>0</v>
      </c>
      <c r="AD48" s="159">
        <f t="shared" si="19"/>
        <v>0</v>
      </c>
      <c r="AE48" s="175" t="str">
        <f t="shared" ref="AE48" si="165">IF(SUM(AB48:AB52)=0,"",IFERROR(AB48/AC48,""))</f>
        <v/>
      </c>
      <c r="AF48" s="171">
        <f t="shared" si="119"/>
        <v>495073</v>
      </c>
      <c r="AG48" s="159">
        <f t="shared" si="120"/>
        <v>474238.82917492703</v>
      </c>
      <c r="AH48" s="159">
        <f t="shared" si="20"/>
        <v>20834.170825072972</v>
      </c>
      <c r="AI48" s="187">
        <f t="shared" ref="AI48" si="166">IF(SUM(AF48:AF52)=0,"",IFERROR(AF48/AG48,""))</f>
        <v>1.0439318114489273</v>
      </c>
      <c r="AJ48" s="157">
        <f t="shared" si="146"/>
        <v>8</v>
      </c>
    </row>
    <row r="49" spans="1:36" ht="24.95" customHeight="1" x14ac:dyDescent="0.25">
      <c r="A49" s="182" t="str">
        <f t="shared" si="30"/>
        <v>مطهری</v>
      </c>
      <c r="B49" s="216"/>
      <c r="C49" s="167" t="str">
        <f t="shared" si="31"/>
        <v>آذر</v>
      </c>
      <c r="D49" s="171">
        <f>SUMIFS(صادرات!$K$4:$K$500,صادرات!$J$4:$J$500,$C49,صادرات!$I$4:$I$500,$A49)+SUMIFS(صادرات!$C$4:$C$500,صادرات!$B$4:$B$500,$C49,صادرات!$A$4:$A$500,$A49)</f>
        <v>2884</v>
      </c>
      <c r="E49" s="159">
        <v>2606.0475842690189</v>
      </c>
      <c r="F49" s="159">
        <f t="shared" si="13"/>
        <v>277.9524157309811</v>
      </c>
      <c r="G49" s="175">
        <f>IF(SUM(D49:D52)=0,"",IFERROR(D49/E49,""))</f>
        <v>1.1066566924597983</v>
      </c>
      <c r="H49" s="171">
        <f>SUMIFS(صادرات!$L$4:$L$500,صادرات!$J$4:$J$500,$C49,صادرات!$I$4:$I$500,$A49)+SUMIFS(صادرات!$D$4:$D$500,صادرات!$B$4:$B$500,$C49,صادرات!$A$4:$A$500,$A49)</f>
        <v>1685</v>
      </c>
      <c r="I49" s="159">
        <v>2349.5578954550319</v>
      </c>
      <c r="J49" s="159">
        <f t="shared" si="14"/>
        <v>-664.55789545503194</v>
      </c>
      <c r="K49" s="175">
        <f>IF(SUM(H49:H52)=0,"",IFERROR(H49/I49,""))</f>
        <v>0.71715619489924121</v>
      </c>
      <c r="L49" s="171">
        <f>SUMIFS(صادرات!$M$4:$M$500,صادرات!$J$4:$J$500,$C49,صادرات!$I$4:$I$500,$A49)+SUMIFS(صادرات!$E$4:$E$500,صادرات!$B$4:$B$500,$C49,صادرات!$A$4:$A$500,$A49)</f>
        <v>0</v>
      </c>
      <c r="M49" s="159">
        <v>0</v>
      </c>
      <c r="N49" s="159">
        <f t="shared" si="15"/>
        <v>0</v>
      </c>
      <c r="O49" s="175" t="str">
        <f>IF(SUM(L49:L52)=0,"",IFERROR(L49/M49,""))</f>
        <v/>
      </c>
      <c r="P49" s="171">
        <f>SUMIFS(صادرات!$N$4:$N$500,صادرات!$J$4:$J$500,$C49,صادرات!$I$4:$I$500,$A49)+SUMIFS(صادرات!$F$4:$F$500,صادرات!$B$4:$B$500,$C49,صادرات!$A$4:$A$500,$A49)</f>
        <v>47213</v>
      </c>
      <c r="Q49" s="159">
        <v>64405.870825073151</v>
      </c>
      <c r="R49" s="159">
        <f t="shared" si="16"/>
        <v>-17192.870825073151</v>
      </c>
      <c r="S49" s="175">
        <f>IF(SUM(P49:P52)=0,"",IFERROR(P49/Q49,""))</f>
        <v>0.73305429140506273</v>
      </c>
      <c r="T49" s="171">
        <f t="shared" si="110"/>
        <v>26081</v>
      </c>
      <c r="U49" s="159">
        <f t="shared" si="111"/>
        <v>23156.099999999991</v>
      </c>
      <c r="V49" s="159">
        <f t="shared" si="17"/>
        <v>2924.9000000000087</v>
      </c>
      <c r="W49" s="175">
        <f t="shared" ref="W49" si="167">IF(SUM(T49:T52)=0,"",IFERROR(T49/U49,""))</f>
        <v>1.1263122892024136</v>
      </c>
      <c r="X49" s="171">
        <f t="shared" si="113"/>
        <v>26589</v>
      </c>
      <c r="Y49" s="159">
        <f t="shared" si="114"/>
        <v>21154.1</v>
      </c>
      <c r="Z49" s="159">
        <f t="shared" si="18"/>
        <v>5434.9000000000015</v>
      </c>
      <c r="AA49" s="175">
        <f t="shared" ref="AA49" si="168">IF(SUM(X49:X52)=0,"",IFERROR(X49/Y49,""))</f>
        <v>1.2569194624209965</v>
      </c>
      <c r="AB49" s="171">
        <f t="shared" si="116"/>
        <v>0</v>
      </c>
      <c r="AC49" s="159">
        <f t="shared" si="117"/>
        <v>0</v>
      </c>
      <c r="AD49" s="159">
        <f t="shared" si="19"/>
        <v>0</v>
      </c>
      <c r="AE49" s="175" t="str">
        <f t="shared" ref="AE49" si="169">IF(SUM(AB49:AB52)=0,"",IFERROR(AB49/AC49,""))</f>
        <v/>
      </c>
      <c r="AF49" s="171">
        <f t="shared" si="119"/>
        <v>542286</v>
      </c>
      <c r="AG49" s="159">
        <f t="shared" si="120"/>
        <v>538644.70000000019</v>
      </c>
      <c r="AH49" s="159">
        <f t="shared" si="20"/>
        <v>3641.2999999998137</v>
      </c>
      <c r="AI49" s="187">
        <f t="shared" ref="AI49" si="170">IF(SUM(AF49:AF52)=0,"",IFERROR(AF49/AG49,""))</f>
        <v>1.0067601147843834</v>
      </c>
      <c r="AJ49" s="157">
        <f t="shared" si="146"/>
        <v>9</v>
      </c>
    </row>
    <row r="50" spans="1:36" ht="24.95" customHeight="1" x14ac:dyDescent="0.25">
      <c r="A50" s="182" t="str">
        <f t="shared" si="30"/>
        <v>مطهری</v>
      </c>
      <c r="B50" s="216"/>
      <c r="C50" s="167" t="str">
        <f t="shared" si="31"/>
        <v>دی</v>
      </c>
      <c r="D50" s="171">
        <f>SUMIFS(صادرات!$K$4:$K$500,صادرات!$J$4:$J$500,$C50,صادرات!$I$4:$I$500,$A50)+SUMIFS(صادرات!$C$4:$C$500,صادرات!$B$4:$B$500,$C50,صادرات!$A$4:$A$500,$A50)</f>
        <v>1750</v>
      </c>
      <c r="E50" s="159">
        <v>3092.8524549681765</v>
      </c>
      <c r="F50" s="159">
        <f t="shared" si="13"/>
        <v>-1342.8524549681765</v>
      </c>
      <c r="G50" s="175">
        <f>IF(SUM(D50:D52)=0,"",IFERROR(D50/E50,""))</f>
        <v>0.56582071905463927</v>
      </c>
      <c r="H50" s="171">
        <f>SUMIFS(صادرات!$L$4:$L$500,صادرات!$J$4:$J$500,$C50,صادرات!$I$4:$I$500,$A50)+SUMIFS(صادرات!$D$4:$D$500,صادرات!$B$4:$B$500,$C50,صادرات!$A$4:$A$500,$A50)</f>
        <v>2075</v>
      </c>
      <c r="I50" s="159">
        <v>2104.3447164932359</v>
      </c>
      <c r="J50" s="159">
        <f t="shared" si="14"/>
        <v>-29.344716493235865</v>
      </c>
      <c r="K50" s="175">
        <f>IF(SUM(H50:H52)=0,"",IFERROR(H50/I50,""))</f>
        <v>0.98605517610150062</v>
      </c>
      <c r="L50" s="171">
        <f>SUMIFS(صادرات!$M$4:$M$500,صادرات!$J$4:$J$500,$C50,صادرات!$I$4:$I$500,$A50)+SUMIFS(صادرات!$E$4:$E$500,صادرات!$B$4:$B$500,$C50,صادرات!$A$4:$A$500,$A50)</f>
        <v>0</v>
      </c>
      <c r="M50" s="159">
        <v>0</v>
      </c>
      <c r="N50" s="159">
        <f t="shared" si="15"/>
        <v>0</v>
      </c>
      <c r="O50" s="175" t="str">
        <f>IF(SUM(L50:L52)=0,"",IFERROR(L50/M50,""))</f>
        <v/>
      </c>
      <c r="P50" s="171">
        <f>SUMIFS(صادرات!$N$4:$N$500,صادرات!$J$4:$J$500,$C50,صادرات!$I$4:$I$500,$A50)+SUMIFS(صادرات!$F$4:$F$500,صادرات!$B$4:$B$500,$C50,صادرات!$A$4:$A$500,$A50)</f>
        <v>39588</v>
      </c>
      <c r="Q50" s="159">
        <v>103983.47739468205</v>
      </c>
      <c r="R50" s="159">
        <f t="shared" si="16"/>
        <v>-64395.47739468205</v>
      </c>
      <c r="S50" s="175">
        <f>IF(SUM(P50:P52)=0,"",IFERROR(P50/Q50,""))</f>
        <v>0.38071433069831745</v>
      </c>
      <c r="T50" s="171">
        <f t="shared" si="110"/>
        <v>27831</v>
      </c>
      <c r="U50" s="159">
        <f t="shared" si="111"/>
        <v>26248.952454968166</v>
      </c>
      <c r="V50" s="159">
        <f t="shared" si="17"/>
        <v>1582.0475450318336</v>
      </c>
      <c r="W50" s="175">
        <f t="shared" ref="W50" si="171">IF(SUM(T50:T52)=0,"",IFERROR(T50/U50,""))</f>
        <v>1.0602708831046093</v>
      </c>
      <c r="X50" s="171">
        <f t="shared" si="113"/>
        <v>28664</v>
      </c>
      <c r="Y50" s="159">
        <f t="shared" si="114"/>
        <v>23258.444716493235</v>
      </c>
      <c r="Z50" s="159">
        <f t="shared" si="18"/>
        <v>5405.5552835067647</v>
      </c>
      <c r="AA50" s="175">
        <f t="shared" ref="AA50" si="172">IF(SUM(X50:X52)=0,"",IFERROR(X50/Y50,""))</f>
        <v>1.2324125860261641</v>
      </c>
      <c r="AB50" s="171">
        <f t="shared" si="116"/>
        <v>0</v>
      </c>
      <c r="AC50" s="159">
        <f t="shared" si="117"/>
        <v>0</v>
      </c>
      <c r="AD50" s="159">
        <f t="shared" si="19"/>
        <v>0</v>
      </c>
      <c r="AE50" s="175" t="str">
        <f t="shared" ref="AE50" si="173">IF(SUM(AB50:AB52)=0,"",IFERROR(AB50/AC50,""))</f>
        <v/>
      </c>
      <c r="AF50" s="171">
        <f t="shared" si="119"/>
        <v>581874</v>
      </c>
      <c r="AG50" s="159">
        <f t="shared" si="120"/>
        <v>642628.17739468219</v>
      </c>
      <c r="AH50" s="159">
        <f t="shared" si="20"/>
        <v>-60754.177394682192</v>
      </c>
      <c r="AI50" s="187">
        <f t="shared" ref="AI50" si="174">IF(SUM(AF50:AF52)=0,"",IFERROR(AF50/AG50,""))</f>
        <v>0.90545982960008164</v>
      </c>
      <c r="AJ50" s="157">
        <f t="shared" si="146"/>
        <v>10</v>
      </c>
    </row>
    <row r="51" spans="1:36" ht="24.95" customHeight="1" x14ac:dyDescent="0.25">
      <c r="A51" s="182" t="str">
        <f t="shared" si="30"/>
        <v>مطهری</v>
      </c>
      <c r="B51" s="216"/>
      <c r="C51" s="167" t="str">
        <f t="shared" si="31"/>
        <v>بهمن</v>
      </c>
      <c r="D51" s="171">
        <f>SUMIFS(صادرات!$K$4:$K$500,صادرات!$J$4:$J$500,$C51,صادرات!$I$4:$I$500,$A51)+SUMIFS(صادرات!$C$4:$C$500,صادرات!$B$4:$B$500,$C51,صادرات!$A$4:$A$500,$A51)</f>
        <v>1445</v>
      </c>
      <c r="E51" s="159">
        <v>3092.8524549681765</v>
      </c>
      <c r="F51" s="159">
        <f t="shared" si="13"/>
        <v>-1647.8524549681765</v>
      </c>
      <c r="G51" s="175">
        <f>IF(SUM(D51:D52)=0,"",IFERROR(D51/E51,""))</f>
        <v>0.46720625087654499</v>
      </c>
      <c r="H51" s="171">
        <f>SUMIFS(صادرات!$L$4:$L$500,صادرات!$J$4:$J$500,$C51,صادرات!$I$4:$I$500,$A51)+SUMIFS(صادرات!$D$4:$D$500,صادرات!$B$4:$B$500,$C51,صادرات!$A$4:$A$500,$A51)</f>
        <v>2150</v>
      </c>
      <c r="I51" s="159">
        <v>2104.3447164932359</v>
      </c>
      <c r="J51" s="159">
        <f t="shared" si="14"/>
        <v>45.655283506764135</v>
      </c>
      <c r="K51" s="175">
        <f>IF(SUM(H51:H52)=0,"",IFERROR(H51/I51,""))</f>
        <v>1.0216957246352898</v>
      </c>
      <c r="L51" s="171">
        <f>SUMIFS(صادرات!$M$4:$M$500,صادرات!$J$4:$J$500,$C51,صادرات!$I$4:$I$500,$A51)+SUMIFS(صادرات!$E$4:$E$500,صادرات!$B$4:$B$500,$C51,صادرات!$A$4:$A$500,$A51)</f>
        <v>0</v>
      </c>
      <c r="M51" s="159">
        <v>0</v>
      </c>
      <c r="N51" s="159">
        <f t="shared" si="15"/>
        <v>0</v>
      </c>
      <c r="O51" s="175" t="str">
        <f>IF(SUM(L51:L52)=0,"",IFERROR(L51/M51,""))</f>
        <v/>
      </c>
      <c r="P51" s="171">
        <f>SUMIFS(صادرات!$N$4:$N$500,صادرات!$J$4:$J$500,$C51,صادرات!$I$4:$I$500,$A51)+SUMIFS(صادرات!$F$4:$F$500,صادرات!$B$4:$B$500,$C51,صادرات!$A$4:$A$500,$A51)</f>
        <v>64157</v>
      </c>
      <c r="Q51" s="159">
        <v>103983.47739468205</v>
      </c>
      <c r="R51" s="159">
        <f t="shared" si="16"/>
        <v>-39826.47739468205</v>
      </c>
      <c r="S51" s="175">
        <f>IF(SUM(P51:P52)=0,"",IFERROR(P51/Q51,""))</f>
        <v>0.61699225307193983</v>
      </c>
      <c r="T51" s="171">
        <f t="shared" si="110"/>
        <v>29276</v>
      </c>
      <c r="U51" s="159">
        <f t="shared" si="111"/>
        <v>29341.804909936342</v>
      </c>
      <c r="V51" s="159">
        <f t="shared" si="17"/>
        <v>-65.804909936341573</v>
      </c>
      <c r="W51" s="175">
        <f t="shared" ref="W51" si="175">IF(SUM(T51:T52)=0,"",IFERROR(T51/U51,""))</f>
        <v>0.9977572984982237</v>
      </c>
      <c r="X51" s="171">
        <f t="shared" si="113"/>
        <v>30814</v>
      </c>
      <c r="Y51" s="159">
        <f t="shared" si="114"/>
        <v>25362.789432986472</v>
      </c>
      <c r="Z51" s="159">
        <f t="shared" si="18"/>
        <v>5451.2105670135279</v>
      </c>
      <c r="AA51" s="175">
        <f t="shared" ref="AA51" si="176">IF(SUM(X51:X52)=0,"",IFERROR(X51/Y51,""))</f>
        <v>1.2149294572435223</v>
      </c>
      <c r="AB51" s="171">
        <f t="shared" si="116"/>
        <v>0</v>
      </c>
      <c r="AC51" s="159">
        <f t="shared" si="117"/>
        <v>0</v>
      </c>
      <c r="AD51" s="159">
        <f t="shared" si="19"/>
        <v>0</v>
      </c>
      <c r="AE51" s="175" t="str">
        <f t="shared" ref="AE51" si="177">IF(SUM(AB51:AB52)=0,"",IFERROR(AB51/AC51,""))</f>
        <v/>
      </c>
      <c r="AF51" s="171">
        <f t="shared" si="119"/>
        <v>646031</v>
      </c>
      <c r="AG51" s="159">
        <f t="shared" si="120"/>
        <v>746611.6547893642</v>
      </c>
      <c r="AH51" s="159">
        <f t="shared" si="20"/>
        <v>-100580.6547893642</v>
      </c>
      <c r="AI51" s="187">
        <f t="shared" ref="AI51" si="178">IF(SUM(AF51:AF52)=0,"",IFERROR(AF51/AG51,""))</f>
        <v>0.86528384047562146</v>
      </c>
      <c r="AJ51" s="157">
        <f t="shared" si="146"/>
        <v>11</v>
      </c>
    </row>
    <row r="52" spans="1:36" ht="24.95" customHeight="1" thickBot="1" x14ac:dyDescent="0.3">
      <c r="A52" s="182" t="str">
        <f t="shared" si="30"/>
        <v>مطهری</v>
      </c>
      <c r="B52" s="217"/>
      <c r="C52" s="168" t="str">
        <f t="shared" si="31"/>
        <v>اسفند</v>
      </c>
      <c r="D52" s="172">
        <f>SUMIFS(صادرات!$K$4:$K$500,صادرات!$J$4:$J$500,$C52,صادرات!$I$4:$I$500,$A52)+SUMIFS(صادرات!$C$4:$C$500,صادرات!$B$4:$B$500,$C52,صادرات!$A$4:$A$500,$A52)</f>
        <v>2232</v>
      </c>
      <c r="E52" s="173">
        <v>3092.8524549681765</v>
      </c>
      <c r="F52" s="173">
        <f t="shared" si="13"/>
        <v>-860.85245496817652</v>
      </c>
      <c r="G52" s="176">
        <f>IF(SUM(D52)=0,"",IFERROR(D52/E52,""))</f>
        <v>0.72166391138854569</v>
      </c>
      <c r="H52" s="172">
        <f>SUMIFS(صادرات!$L$4:$L$500,صادرات!$J$4:$J$500,$C52,صادرات!$I$4:$I$500,$A52)+SUMIFS(صادرات!$D$4:$D$500,صادرات!$B$4:$B$500,$C52,صادرات!$A$4:$A$500,$A52)</f>
        <v>1807</v>
      </c>
      <c r="I52" s="173">
        <v>2104.3447164932359</v>
      </c>
      <c r="J52" s="173">
        <f t="shared" si="14"/>
        <v>-297.34471649323586</v>
      </c>
      <c r="K52" s="176">
        <f>IF(SUM(H52)=0,"",IFERROR(H52/I52,""))</f>
        <v>0.85869961600742728</v>
      </c>
      <c r="L52" s="172">
        <f>SUMIFS(صادرات!$M$4:$M$500,صادرات!$J$4:$J$500,$C52,صادرات!$I$4:$I$500,$A52)+SUMIFS(صادرات!$E$4:$E$500,صادرات!$B$4:$B$500,$C52,صادرات!$A$4:$A$500,$A52)</f>
        <v>0</v>
      </c>
      <c r="M52" s="173">
        <v>0</v>
      </c>
      <c r="N52" s="173">
        <f t="shared" si="15"/>
        <v>0</v>
      </c>
      <c r="O52" s="176" t="str">
        <f>IF(SUM(L52)=0,"",IFERROR(L52/M52,""))</f>
        <v/>
      </c>
      <c r="P52" s="172">
        <f>SUMIFS(صادرات!$N$4:$N$500,صادرات!$J$4:$J$500,$C52,صادرات!$I$4:$I$500,$A52)+SUMIFS(صادرات!$F$4:$F$500,صادرات!$B$4:$B$500,$C52,صادرات!$A$4:$A$500,$A52)</f>
        <v>47203</v>
      </c>
      <c r="Q52" s="173">
        <v>103983.47739468205</v>
      </c>
      <c r="R52" s="173">
        <f t="shared" si="16"/>
        <v>-56780.47739468205</v>
      </c>
      <c r="S52" s="176">
        <f>IF(SUM(P52)=0,"",IFERROR(P52/Q52,""))</f>
        <v>0.45394711912581287</v>
      </c>
      <c r="T52" s="172">
        <f t="shared" si="110"/>
        <v>31508</v>
      </c>
      <c r="U52" s="173">
        <f t="shared" si="111"/>
        <v>32434.657364904517</v>
      </c>
      <c r="V52" s="173">
        <f t="shared" si="17"/>
        <v>-926.65736490451673</v>
      </c>
      <c r="W52" s="176">
        <f t="shared" ref="W52" si="179">IF(SUM(T52)=0,"",IFERROR(T52/U52,""))</f>
        <v>0.97143002454198291</v>
      </c>
      <c r="X52" s="172">
        <f t="shared" si="113"/>
        <v>32621</v>
      </c>
      <c r="Y52" s="173">
        <f t="shared" si="114"/>
        <v>27467.134149479709</v>
      </c>
      <c r="Z52" s="173">
        <f t="shared" si="18"/>
        <v>5153.8658505202911</v>
      </c>
      <c r="AA52" s="176">
        <f t="shared" ref="AA52" si="180">IF(SUM(X52)=0,"",IFERROR(X52/Y52,""))</f>
        <v>1.1876375533928034</v>
      </c>
      <c r="AB52" s="172">
        <f t="shared" si="116"/>
        <v>0</v>
      </c>
      <c r="AC52" s="173">
        <f t="shared" si="117"/>
        <v>0</v>
      </c>
      <c r="AD52" s="173">
        <f t="shared" si="19"/>
        <v>0</v>
      </c>
      <c r="AE52" s="176" t="str">
        <f t="shared" ref="AE52" si="181">IF(SUM(AB52)=0,"",IFERROR(AB52/AC52,""))</f>
        <v/>
      </c>
      <c r="AF52" s="172">
        <f t="shared" si="119"/>
        <v>693234</v>
      </c>
      <c r="AG52" s="173">
        <f t="shared" si="120"/>
        <v>850595.1321840462</v>
      </c>
      <c r="AH52" s="173">
        <f t="shared" si="20"/>
        <v>-157361.1321840462</v>
      </c>
      <c r="AI52" s="188">
        <f t="shared" ref="AI52" si="182">IF(SUM(AF52)=0,"",IFERROR(AF52/AG52,""))</f>
        <v>0.81499878587360941</v>
      </c>
      <c r="AJ52" s="157">
        <f>AJ51+1</f>
        <v>12</v>
      </c>
    </row>
    <row r="53" spans="1:36" ht="24.95" customHeight="1" x14ac:dyDescent="0.25">
      <c r="A53" s="182" t="str">
        <f t="shared" si="30"/>
        <v>سرخس</v>
      </c>
      <c r="B53" s="215" t="str">
        <f>واردات!B34</f>
        <v>سرخس</v>
      </c>
      <c r="C53" s="166" t="str">
        <f>C41</f>
        <v>فروردین</v>
      </c>
      <c r="D53" s="170">
        <f>SUMIFS(صادرات!$K$4:$K$500,صادرات!$J$4:$J$500,$C53,صادرات!$I$4:$I$500,$A53)+SUMIFS(صادرات!$C$4:$C$500,صادرات!$B$4:$B$500,$C53,صادرات!$A$4:$A$500,$A53)</f>
        <v>351</v>
      </c>
      <c r="E53" s="160">
        <v>11.910532225579701</v>
      </c>
      <c r="F53" s="160">
        <f t="shared" si="13"/>
        <v>339.08946777442031</v>
      </c>
      <c r="G53" s="185">
        <f>IF(SUM(D53:D64)=0,"",IFERROR(D53/E53,""))</f>
        <v>29.469715823964062</v>
      </c>
      <c r="H53" s="170">
        <f>SUMIFS(صادرات!$L$4:$L$500,صادرات!$J$4:$J$500,$C53,صادرات!$I$4:$I$500,$A53)+SUMIFS(صادرات!$D$4:$D$500,صادرات!$B$4:$B$500,$C53,صادرات!$A$4:$A$500,$A53)</f>
        <v>116</v>
      </c>
      <c r="I53" s="160">
        <v>50.444417129053086</v>
      </c>
      <c r="J53" s="160">
        <f t="shared" si="14"/>
        <v>65.555582870946921</v>
      </c>
      <c r="K53" s="185">
        <f>IF(SUM(H53:H64)=0,"",IFERROR(H53/I53,""))</f>
        <v>2.2995607165652165</v>
      </c>
      <c r="L53" s="170">
        <f>SUMIFS(صادرات!$M$4:$M$500,صادرات!$J$4:$J$500,$C53,صادرات!$I$4:$I$500,$A53)+SUMIFS(صادرات!$E$4:$E$500,صادرات!$B$4:$B$500,$C53,صادرات!$A$4:$A$500,$A53)</f>
        <v>0</v>
      </c>
      <c r="M53" s="160">
        <v>0</v>
      </c>
      <c r="N53" s="160">
        <f t="shared" si="15"/>
        <v>0</v>
      </c>
      <c r="O53" s="185" t="str">
        <f>IF(SUM(L53:L64)=0,"",IFERROR(L53/M53,""))</f>
        <v/>
      </c>
      <c r="P53" s="170">
        <f>SUMIFS(صادرات!$N$4:$N$500,صادرات!$J$4:$J$500,$C53,صادرات!$I$4:$I$500,$A53)+SUMIFS(صادرات!$F$4:$F$500,صادرات!$B$4:$B$500,$C53,صادرات!$A$4:$A$500,$A53)</f>
        <v>1233</v>
      </c>
      <c r="Q53" s="160">
        <v>5192.7825384892485</v>
      </c>
      <c r="R53" s="160">
        <f t="shared" si="16"/>
        <v>-3959.7825384892485</v>
      </c>
      <c r="S53" s="185">
        <f>IF(SUM(P53:P64)=0,"",IFERROR(P53/Q53,""))</f>
        <v>0.23744495188483675</v>
      </c>
      <c r="T53" s="183">
        <f t="shared" si="110"/>
        <v>351</v>
      </c>
      <c r="U53" s="160">
        <f t="shared" si="111"/>
        <v>11.910532225579701</v>
      </c>
      <c r="V53" s="160">
        <f t="shared" si="17"/>
        <v>339.08946777442031</v>
      </c>
      <c r="W53" s="185">
        <f t="shared" ref="W53" si="183">IF(SUM(T53:T64)=0,"",IFERROR(T53/U53,""))</f>
        <v>29.469715823964062</v>
      </c>
      <c r="X53" s="183">
        <f t="shared" si="113"/>
        <v>116</v>
      </c>
      <c r="Y53" s="160">
        <f t="shared" si="114"/>
        <v>50.444417129053086</v>
      </c>
      <c r="Z53" s="160">
        <f t="shared" si="18"/>
        <v>65.555582870946921</v>
      </c>
      <c r="AA53" s="185">
        <f t="shared" ref="AA53" si="184">IF(SUM(X53:X64)=0,"",IFERROR(X53/Y53,""))</f>
        <v>2.2995607165652165</v>
      </c>
      <c r="AB53" s="183">
        <f t="shared" si="116"/>
        <v>0</v>
      </c>
      <c r="AC53" s="160">
        <f t="shared" si="117"/>
        <v>0</v>
      </c>
      <c r="AD53" s="160">
        <f t="shared" si="19"/>
        <v>0</v>
      </c>
      <c r="AE53" s="185" t="str">
        <f t="shared" ref="AE53" si="185">IF(SUM(AB53:AB64)=0,"",IFERROR(AB53/AC53,""))</f>
        <v/>
      </c>
      <c r="AF53" s="183">
        <f t="shared" si="119"/>
        <v>1233</v>
      </c>
      <c r="AG53" s="160">
        <f t="shared" si="120"/>
        <v>5192.7825384892485</v>
      </c>
      <c r="AH53" s="160">
        <f t="shared" si="20"/>
        <v>-3959.7825384892485</v>
      </c>
      <c r="AI53" s="186">
        <f t="shared" ref="AI53" si="186">IF(SUM(AF53:AF64)=0,"",IFERROR(AF53/AG53,""))</f>
        <v>0.23744495188483675</v>
      </c>
      <c r="AJ53" s="157">
        <v>1</v>
      </c>
    </row>
    <row r="54" spans="1:36" ht="24.95" customHeight="1" x14ac:dyDescent="0.25">
      <c r="A54" s="182" t="str">
        <f t="shared" si="30"/>
        <v>سرخس</v>
      </c>
      <c r="B54" s="216"/>
      <c r="C54" s="167" t="str">
        <f t="shared" si="31"/>
        <v>اردیبهشت</v>
      </c>
      <c r="D54" s="171">
        <f>SUMIFS(صادرات!$K$4:$K$500,صادرات!$J$4:$J$500,$C54,صادرات!$I$4:$I$500,$A54)+SUMIFS(صادرات!$C$4:$C$500,صادرات!$B$4:$B$500,$C54,صادرات!$A$4:$A$500,$A54)</f>
        <v>925</v>
      </c>
      <c r="E54" s="159">
        <v>11.910532225579701</v>
      </c>
      <c r="F54" s="159">
        <f t="shared" si="13"/>
        <v>913.08946777442031</v>
      </c>
      <c r="G54" s="175">
        <f>IF(SUM(D54:D64)=0,"",IFERROR(D54/E54,""))</f>
        <v>77.662356516144612</v>
      </c>
      <c r="H54" s="171">
        <f>SUMIFS(صادرات!$L$4:$L$500,صادرات!$J$4:$J$500,$C54,صادرات!$I$4:$I$500,$A54)+SUMIFS(صادرات!$D$4:$D$500,صادرات!$B$4:$B$500,$C54,صادرات!$A$4:$A$500,$A54)</f>
        <v>1209</v>
      </c>
      <c r="I54" s="159">
        <v>50.444417129053086</v>
      </c>
      <c r="J54" s="159">
        <f t="shared" si="14"/>
        <v>1158.5555828709469</v>
      </c>
      <c r="K54" s="175">
        <f>IF(SUM(H54:H64)=0,"",IFERROR(H54/I54,""))</f>
        <v>23.966973330408162</v>
      </c>
      <c r="L54" s="171">
        <f>SUMIFS(صادرات!$M$4:$M$500,صادرات!$J$4:$J$500,$C54,صادرات!$I$4:$I$500,$A54)+SUMIFS(صادرات!$E$4:$E$500,صادرات!$B$4:$B$500,$C54,صادرات!$A$4:$A$500,$A54)</f>
        <v>0</v>
      </c>
      <c r="M54" s="159">
        <v>0</v>
      </c>
      <c r="N54" s="159">
        <f t="shared" si="15"/>
        <v>0</v>
      </c>
      <c r="O54" s="175" t="str">
        <f>IF(SUM(L54:L64)=0,"",IFERROR(L54/M54,""))</f>
        <v/>
      </c>
      <c r="P54" s="171">
        <f>SUMIFS(صادرات!$N$4:$N$500,صادرات!$J$4:$J$500,$C54,صادرات!$I$4:$I$500,$A54)+SUMIFS(صادرات!$F$4:$F$500,صادرات!$B$4:$B$500,$C54,صادرات!$A$4:$A$500,$A54)</f>
        <v>3581</v>
      </c>
      <c r="Q54" s="159">
        <v>5192.7825384892485</v>
      </c>
      <c r="R54" s="159">
        <f t="shared" si="16"/>
        <v>-1611.7825384892485</v>
      </c>
      <c r="S54" s="175">
        <f>IF(SUM(P54:P64)=0,"",IFERROR(P54/Q54,""))</f>
        <v>0.68961100786666696</v>
      </c>
      <c r="T54" s="171">
        <f t="shared" si="110"/>
        <v>1276</v>
      </c>
      <c r="U54" s="159">
        <f t="shared" si="111"/>
        <v>23.821064451159401</v>
      </c>
      <c r="V54" s="159">
        <f t="shared" si="17"/>
        <v>1252.1789355488406</v>
      </c>
      <c r="W54" s="175">
        <f t="shared" ref="W54" si="187">IF(SUM(T54:T64)=0,"",IFERROR(T54/U54,""))</f>
        <v>53.566036170054332</v>
      </c>
      <c r="X54" s="171">
        <f t="shared" si="113"/>
        <v>1325</v>
      </c>
      <c r="Y54" s="159">
        <f t="shared" si="114"/>
        <v>100.88883425810617</v>
      </c>
      <c r="Z54" s="159">
        <f t="shared" si="18"/>
        <v>1224.1111657418937</v>
      </c>
      <c r="AA54" s="175">
        <f t="shared" ref="AA54" si="188">IF(SUM(X54:X64)=0,"",IFERROR(X54/Y54,""))</f>
        <v>13.13326702348669</v>
      </c>
      <c r="AB54" s="171">
        <f t="shared" si="116"/>
        <v>0</v>
      </c>
      <c r="AC54" s="159">
        <f t="shared" si="117"/>
        <v>0</v>
      </c>
      <c r="AD54" s="159">
        <f t="shared" si="19"/>
        <v>0</v>
      </c>
      <c r="AE54" s="175" t="str">
        <f t="shared" ref="AE54" si="189">IF(SUM(AB54:AB64)=0,"",IFERROR(AB54/AC54,""))</f>
        <v/>
      </c>
      <c r="AF54" s="171">
        <f t="shared" si="119"/>
        <v>4814</v>
      </c>
      <c r="AG54" s="159">
        <f t="shared" si="120"/>
        <v>10385.565076978497</v>
      </c>
      <c r="AH54" s="159">
        <f t="shared" si="20"/>
        <v>-5571.565076978497</v>
      </c>
      <c r="AI54" s="187">
        <f t="shared" ref="AI54" si="190">IF(SUM(AF54:AF64)=0,"",IFERROR(AF54/AG54,""))</f>
        <v>0.46352797987575184</v>
      </c>
      <c r="AJ54" s="157">
        <f>AJ53+1</f>
        <v>2</v>
      </c>
    </row>
    <row r="55" spans="1:36" ht="24.95" customHeight="1" x14ac:dyDescent="0.25">
      <c r="A55" s="182" t="str">
        <f t="shared" si="30"/>
        <v>سرخس</v>
      </c>
      <c r="B55" s="216"/>
      <c r="C55" s="167" t="str">
        <f t="shared" si="31"/>
        <v>خرداد</v>
      </c>
      <c r="D55" s="171">
        <f>SUMIFS(صادرات!$K$4:$K$500,صادرات!$J$4:$J$500,$C55,صادرات!$I$4:$I$500,$A55)+SUMIFS(صادرات!$C$4:$C$500,صادرات!$B$4:$B$500,$C55,صادرات!$A$4:$A$500,$A55)</f>
        <v>110</v>
      </c>
      <c r="E55" s="159">
        <v>11.910532225579701</v>
      </c>
      <c r="F55" s="159">
        <f t="shared" si="13"/>
        <v>98.089467774420299</v>
      </c>
      <c r="G55" s="175">
        <f>IF(SUM(D55:D64)=0,"",IFERROR(D55/E55,""))</f>
        <v>9.2355234775955743</v>
      </c>
      <c r="H55" s="171">
        <f>SUMIFS(صادرات!$L$4:$L$500,صادرات!$J$4:$J$500,$C55,صادرات!$I$4:$I$500,$A55)+SUMIFS(صادرات!$D$4:$D$500,صادرات!$B$4:$B$500,$C55,صادرات!$A$4:$A$500,$A55)</f>
        <v>133</v>
      </c>
      <c r="I55" s="159">
        <v>50.444417129053086</v>
      </c>
      <c r="J55" s="159">
        <f t="shared" si="14"/>
        <v>82.555582870946921</v>
      </c>
      <c r="K55" s="175">
        <f>IF(SUM(H55:H64)=0,"",IFERROR(H55/I55,""))</f>
        <v>2.6365653043377053</v>
      </c>
      <c r="L55" s="171">
        <f>SUMIFS(صادرات!$M$4:$M$500,صادرات!$J$4:$J$500,$C55,صادرات!$I$4:$I$500,$A55)+SUMIFS(صادرات!$E$4:$E$500,صادرات!$B$4:$B$500,$C55,صادرات!$A$4:$A$500,$A55)</f>
        <v>0</v>
      </c>
      <c r="M55" s="159">
        <v>0</v>
      </c>
      <c r="N55" s="159">
        <f t="shared" si="15"/>
        <v>0</v>
      </c>
      <c r="O55" s="175" t="str">
        <f>IF(SUM(L55:L64)=0,"",IFERROR(L55/M55,""))</f>
        <v/>
      </c>
      <c r="P55" s="171">
        <f>SUMIFS(صادرات!$N$4:$N$500,صادرات!$J$4:$J$500,$C55,صادرات!$I$4:$I$500,$A55)+SUMIFS(صادرات!$F$4:$F$500,صادرات!$B$4:$B$500,$C55,صادرات!$A$4:$A$500,$A55)</f>
        <v>3010</v>
      </c>
      <c r="Q55" s="159">
        <v>5192.7825384892485</v>
      </c>
      <c r="R55" s="159">
        <f t="shared" si="16"/>
        <v>-2182.7825384892485</v>
      </c>
      <c r="S55" s="175">
        <f>IF(SUM(P55:P64)=0,"",IFERROR(P55/Q55,""))</f>
        <v>0.57965069357125598</v>
      </c>
      <c r="T55" s="171">
        <f t="shared" si="110"/>
        <v>1386</v>
      </c>
      <c r="U55" s="159">
        <f t="shared" si="111"/>
        <v>35.731596676739102</v>
      </c>
      <c r="V55" s="159">
        <f t="shared" si="17"/>
        <v>1350.2684033232608</v>
      </c>
      <c r="W55" s="175">
        <f t="shared" ref="W55" si="191">IF(SUM(T55:T64)=0,"",IFERROR(T55/U55,""))</f>
        <v>38.789198605901412</v>
      </c>
      <c r="X55" s="171">
        <f t="shared" si="113"/>
        <v>1458</v>
      </c>
      <c r="Y55" s="159">
        <f t="shared" si="114"/>
        <v>151.33325138715927</v>
      </c>
      <c r="Z55" s="159">
        <f t="shared" si="18"/>
        <v>1306.6667486128408</v>
      </c>
      <c r="AA55" s="175">
        <f t="shared" ref="AA55" si="192">IF(SUM(X55:X64)=0,"",IFERROR(X55/Y55,""))</f>
        <v>9.6343664504370281</v>
      </c>
      <c r="AB55" s="171">
        <f t="shared" si="116"/>
        <v>0</v>
      </c>
      <c r="AC55" s="159">
        <f t="shared" si="117"/>
        <v>0</v>
      </c>
      <c r="AD55" s="159">
        <f t="shared" si="19"/>
        <v>0</v>
      </c>
      <c r="AE55" s="175" t="str">
        <f t="shared" ref="AE55" si="193">IF(SUM(AB55:AB64)=0,"",IFERROR(AB55/AC55,""))</f>
        <v/>
      </c>
      <c r="AF55" s="171">
        <f t="shared" si="119"/>
        <v>7824</v>
      </c>
      <c r="AG55" s="159">
        <f t="shared" si="120"/>
        <v>15578.347615467745</v>
      </c>
      <c r="AH55" s="159">
        <f t="shared" si="20"/>
        <v>-7754.3476154677446</v>
      </c>
      <c r="AI55" s="187">
        <f t="shared" ref="AI55" si="194">IF(SUM(AF55:AF64)=0,"",IFERROR(AF55/AG55,""))</f>
        <v>0.50223555110758655</v>
      </c>
      <c r="AJ55" s="157">
        <f t="shared" ref="AJ55:AJ63" si="195">AJ54+1</f>
        <v>3</v>
      </c>
    </row>
    <row r="56" spans="1:36" ht="24.95" customHeight="1" x14ac:dyDescent="0.25">
      <c r="A56" s="182" t="str">
        <f t="shared" si="30"/>
        <v>سرخس</v>
      </c>
      <c r="B56" s="216"/>
      <c r="C56" s="167" t="str">
        <f t="shared" si="31"/>
        <v>تیر</v>
      </c>
      <c r="D56" s="171">
        <f>SUMIFS(صادرات!$K$4:$K$500,صادرات!$J$4:$J$500,$C56,صادرات!$I$4:$I$500,$A56)+SUMIFS(صادرات!$C$4:$C$500,صادرات!$B$4:$B$500,$C56,صادرات!$A$4:$A$500,$A56)</f>
        <v>395</v>
      </c>
      <c r="E56" s="159">
        <v>413.87061744759177</v>
      </c>
      <c r="F56" s="159">
        <f t="shared" si="13"/>
        <v>-18.870617447591769</v>
      </c>
      <c r="G56" s="175">
        <f>IF(SUM(D56:D64)=0,"",IFERROR(D56/E56,""))</f>
        <v>0.95440454902556271</v>
      </c>
      <c r="H56" s="171">
        <f>SUMIFS(صادرات!$L$4:$L$500,صادرات!$J$4:$J$500,$C56,صادرات!$I$4:$I$500,$A56)+SUMIFS(صادرات!$D$4:$D$500,صادرات!$B$4:$B$500,$C56,صادرات!$A$4:$A$500,$A56)</f>
        <v>398</v>
      </c>
      <c r="I56" s="159">
        <v>349.85192692593768</v>
      </c>
      <c r="J56" s="159">
        <f t="shared" si="14"/>
        <v>48.148073074062324</v>
      </c>
      <c r="K56" s="175">
        <f>IF(SUM(H56:H64)=0,"",IFERROR(H56/I56,""))</f>
        <v>1.1376241471559911</v>
      </c>
      <c r="L56" s="171">
        <f>SUMIFS(صادرات!$M$4:$M$500,صادرات!$J$4:$J$500,$C56,صادرات!$I$4:$I$500,$A56)+SUMIFS(صادرات!$E$4:$E$500,صادرات!$B$4:$B$500,$C56,صادرات!$A$4:$A$500,$A56)</f>
        <v>0</v>
      </c>
      <c r="M56" s="159">
        <v>0</v>
      </c>
      <c r="N56" s="159">
        <f t="shared" si="15"/>
        <v>0</v>
      </c>
      <c r="O56" s="175" t="str">
        <f>IF(SUM(L56:L64)=0,"",IFERROR(L56/M56,""))</f>
        <v/>
      </c>
      <c r="P56" s="171">
        <f>SUMIFS(صادرات!$N$4:$N$500,صادرات!$J$4:$J$500,$C56,صادرات!$I$4:$I$500,$A56)+SUMIFS(صادرات!$F$4:$F$500,صادرات!$B$4:$B$500,$C56,صادرات!$A$4:$A$500,$A56)</f>
        <v>3659</v>
      </c>
      <c r="Q56" s="159">
        <v>1703.1065961901484</v>
      </c>
      <c r="R56" s="159">
        <f t="shared" si="16"/>
        <v>1955.8934038098516</v>
      </c>
      <c r="S56" s="175">
        <f>IF(SUM(P56:P64)=0,"",IFERROR(P56/Q56,""))</f>
        <v>2.1484268854252502</v>
      </c>
      <c r="T56" s="171">
        <f t="shared" si="110"/>
        <v>1781</v>
      </c>
      <c r="U56" s="159">
        <f t="shared" si="111"/>
        <v>449.60221412433089</v>
      </c>
      <c r="V56" s="159">
        <f t="shared" si="17"/>
        <v>1331.3977858756691</v>
      </c>
      <c r="W56" s="175">
        <f t="shared" ref="W56" si="196">IF(SUM(T56:T64)=0,"",IFERROR(T56/U56,""))</f>
        <v>3.9612794244547263</v>
      </c>
      <c r="X56" s="171">
        <f t="shared" si="113"/>
        <v>1856</v>
      </c>
      <c r="Y56" s="159">
        <f t="shared" si="114"/>
        <v>501.18517831309691</v>
      </c>
      <c r="Z56" s="159">
        <f t="shared" si="18"/>
        <v>1354.8148216869031</v>
      </c>
      <c r="AA56" s="175">
        <f t="shared" ref="AA56" si="197">IF(SUM(X56:X64)=0,"",IFERROR(X56/Y56,""))</f>
        <v>3.7032220430918903</v>
      </c>
      <c r="AB56" s="171">
        <f t="shared" si="116"/>
        <v>0</v>
      </c>
      <c r="AC56" s="159">
        <f t="shared" si="117"/>
        <v>0</v>
      </c>
      <c r="AD56" s="159">
        <f t="shared" si="19"/>
        <v>0</v>
      </c>
      <c r="AE56" s="175" t="str">
        <f t="shared" ref="AE56" si="198">IF(SUM(AB56:AB64)=0,"",IFERROR(AB56/AC56,""))</f>
        <v/>
      </c>
      <c r="AF56" s="171">
        <f t="shared" si="119"/>
        <v>11483</v>
      </c>
      <c r="AG56" s="159">
        <f t="shared" si="120"/>
        <v>17281.454211657892</v>
      </c>
      <c r="AH56" s="159">
        <f t="shared" si="20"/>
        <v>-5798.4542116578923</v>
      </c>
      <c r="AI56" s="187">
        <f t="shared" ref="AI56" si="199">IF(SUM(AF56:AF64)=0,"",IFERROR(AF56/AG56,""))</f>
        <v>0.66446954401867908</v>
      </c>
      <c r="AJ56" s="157">
        <f t="shared" si="195"/>
        <v>4</v>
      </c>
    </row>
    <row r="57" spans="1:36" ht="24.95" customHeight="1" x14ac:dyDescent="0.25">
      <c r="A57" s="182" t="str">
        <f t="shared" si="30"/>
        <v>سرخس</v>
      </c>
      <c r="B57" s="216"/>
      <c r="C57" s="167" t="str">
        <f t="shared" si="31"/>
        <v>مرداد</v>
      </c>
      <c r="D57" s="171">
        <f>SUMIFS(صادرات!$K$4:$K$500,صادرات!$J$4:$J$500,$C57,صادرات!$I$4:$I$500,$A57)+SUMIFS(صادرات!$C$4:$C$500,صادرات!$B$4:$B$500,$C57,صادرات!$A$4:$A$500,$A57)</f>
        <v>2529</v>
      </c>
      <c r="E57" s="159">
        <v>413.87061744759177</v>
      </c>
      <c r="F57" s="159">
        <f t="shared" si="13"/>
        <v>2115.1293825524081</v>
      </c>
      <c r="G57" s="175">
        <f>IF(SUM(D57:D64)=0,"",IFERROR(D57/E57,""))</f>
        <v>6.1106053278117676</v>
      </c>
      <c r="H57" s="171">
        <f>SUMIFS(صادرات!$L$4:$L$500,صادرات!$J$4:$J$500,$C57,صادرات!$I$4:$I$500,$A57)+SUMIFS(صادرات!$D$4:$D$500,صادرات!$B$4:$B$500,$C57,صادرات!$A$4:$A$500,$A57)</f>
        <v>1075</v>
      </c>
      <c r="I57" s="159">
        <v>349.85192692593768</v>
      </c>
      <c r="J57" s="159">
        <f t="shared" si="14"/>
        <v>725.14807307406227</v>
      </c>
      <c r="K57" s="175">
        <f>IF(SUM(H57:H64)=0,"",IFERROR(H57/I57,""))</f>
        <v>3.0727285381725893</v>
      </c>
      <c r="L57" s="171">
        <f>SUMIFS(صادرات!$M$4:$M$500,صادرات!$J$4:$J$500,$C57,صادرات!$I$4:$I$500,$A57)+SUMIFS(صادرات!$E$4:$E$500,صادرات!$B$4:$B$500,$C57,صادرات!$A$4:$A$500,$A57)</f>
        <v>0</v>
      </c>
      <c r="M57" s="159">
        <v>0</v>
      </c>
      <c r="N57" s="159">
        <f t="shared" si="15"/>
        <v>0</v>
      </c>
      <c r="O57" s="175" t="str">
        <f>IF(SUM(L57:L64)=0,"",IFERROR(L57/M57,""))</f>
        <v/>
      </c>
      <c r="P57" s="171">
        <f>SUMIFS(صادرات!$N$4:$N$500,صادرات!$J$4:$J$500,$C57,صادرات!$I$4:$I$500,$A57)+SUMIFS(صادرات!$F$4:$F$500,صادرات!$B$4:$B$500,$C57,صادرات!$A$4:$A$500,$A57)</f>
        <v>6655</v>
      </c>
      <c r="Q57" s="159">
        <v>1703.1065961901484</v>
      </c>
      <c r="R57" s="159">
        <f t="shared" si="16"/>
        <v>4951.8934038098514</v>
      </c>
      <c r="S57" s="175">
        <f>IF(SUM(P57:P64)=0,"",IFERROR(P57/Q57,""))</f>
        <v>3.9075651605643729</v>
      </c>
      <c r="T57" s="171">
        <f t="shared" si="110"/>
        <v>4310</v>
      </c>
      <c r="U57" s="159">
        <f t="shared" si="111"/>
        <v>863.4728315719226</v>
      </c>
      <c r="V57" s="159">
        <f t="shared" si="17"/>
        <v>3446.5271684280774</v>
      </c>
      <c r="W57" s="175">
        <f t="shared" ref="W57" si="200">IF(SUM(T57:T64)=0,"",IFERROR(T57/U57,""))</f>
        <v>4.991471465470191</v>
      </c>
      <c r="X57" s="171">
        <f t="shared" si="113"/>
        <v>2931</v>
      </c>
      <c r="Y57" s="159">
        <f t="shared" si="114"/>
        <v>851.03710523903464</v>
      </c>
      <c r="Z57" s="159">
        <f t="shared" si="18"/>
        <v>2079.9628947609654</v>
      </c>
      <c r="AA57" s="175">
        <f t="shared" ref="AA57" si="201">IF(SUM(X57:X64)=0,"",IFERROR(X57/Y57,""))</f>
        <v>3.4440331472700674</v>
      </c>
      <c r="AB57" s="171">
        <f t="shared" si="116"/>
        <v>0</v>
      </c>
      <c r="AC57" s="159">
        <f t="shared" si="117"/>
        <v>0</v>
      </c>
      <c r="AD57" s="159">
        <f t="shared" si="19"/>
        <v>0</v>
      </c>
      <c r="AE57" s="175" t="str">
        <f t="shared" ref="AE57" si="202">IF(SUM(AB57:AB64)=0,"",IFERROR(AB57/AC57,""))</f>
        <v/>
      </c>
      <c r="AF57" s="171">
        <f t="shared" si="119"/>
        <v>18138</v>
      </c>
      <c r="AG57" s="159">
        <f t="shared" si="120"/>
        <v>18984.56080784804</v>
      </c>
      <c r="AH57" s="159">
        <f t="shared" si="20"/>
        <v>-846.56080784803999</v>
      </c>
      <c r="AI57" s="187">
        <f t="shared" ref="AI57" si="203">IF(SUM(AF57:AF64)=0,"",IFERROR(AF57/AG57,""))</f>
        <v>0.95540793298214832</v>
      </c>
      <c r="AJ57" s="157">
        <f t="shared" si="195"/>
        <v>5</v>
      </c>
    </row>
    <row r="58" spans="1:36" ht="24.95" customHeight="1" x14ac:dyDescent="0.25">
      <c r="A58" s="182" t="str">
        <f t="shared" si="30"/>
        <v>سرخس</v>
      </c>
      <c r="B58" s="216"/>
      <c r="C58" s="167" t="str">
        <f t="shared" si="31"/>
        <v>شهریور</v>
      </c>
      <c r="D58" s="171">
        <f>SUMIFS(صادرات!$K$4:$K$500,صادرات!$J$4:$J$500,$C58,صادرات!$I$4:$I$500,$A58)+SUMIFS(صادرات!$C$4:$C$500,صادرات!$B$4:$B$500,$C58,صادرات!$A$4:$A$500,$A58)</f>
        <v>971</v>
      </c>
      <c r="E58" s="159">
        <v>413.87061744759177</v>
      </c>
      <c r="F58" s="159">
        <f t="shared" si="13"/>
        <v>557.12938255240829</v>
      </c>
      <c r="G58" s="175">
        <f>IF(SUM(D58:D64)=0,"",IFERROR(D58/E58,""))</f>
        <v>2.3461438407691682</v>
      </c>
      <c r="H58" s="171">
        <f>SUMIFS(صادرات!$L$4:$L$500,صادرات!$J$4:$J$500,$C58,صادرات!$I$4:$I$500,$A58)+SUMIFS(صادرات!$D$4:$D$500,صادرات!$B$4:$B$500,$C58,صادرات!$A$4:$A$500,$A58)</f>
        <v>2215</v>
      </c>
      <c r="I58" s="159">
        <v>349.85192692593768</v>
      </c>
      <c r="J58" s="159">
        <f t="shared" si="14"/>
        <v>1865.1480730740623</v>
      </c>
      <c r="K58" s="175">
        <f>IF(SUM(H58:H64)=0,"",IFERROR(H58/I58,""))</f>
        <v>6.3312499646998006</v>
      </c>
      <c r="L58" s="171">
        <f>SUMIFS(صادرات!$M$4:$M$500,صادرات!$J$4:$J$500,$C58,صادرات!$I$4:$I$500,$A58)+SUMIFS(صادرات!$E$4:$E$500,صادرات!$B$4:$B$500,$C58,صادرات!$A$4:$A$500,$A58)</f>
        <v>0</v>
      </c>
      <c r="M58" s="159">
        <v>0</v>
      </c>
      <c r="N58" s="159">
        <f t="shared" si="15"/>
        <v>0</v>
      </c>
      <c r="O58" s="175" t="str">
        <f>IF(SUM(L58:L64)=0,"",IFERROR(L58/M58,""))</f>
        <v/>
      </c>
      <c r="P58" s="171">
        <f>SUMIFS(صادرات!$N$4:$N$500,صادرات!$J$4:$J$500,$C58,صادرات!$I$4:$I$500,$A58)+SUMIFS(صادرات!$F$4:$F$500,صادرات!$B$4:$B$500,$C58,صادرات!$A$4:$A$500,$A58)</f>
        <v>8961</v>
      </c>
      <c r="Q58" s="159">
        <v>1703.1065961901484</v>
      </c>
      <c r="R58" s="159">
        <f t="shared" si="16"/>
        <v>7257.8934038098514</v>
      </c>
      <c r="S58" s="175">
        <f>IF(SUM(P58:P64)=0,"",IFERROR(P58/Q58,""))</f>
        <v>5.2615614430980235</v>
      </c>
      <c r="T58" s="171">
        <f t="shared" si="110"/>
        <v>5281</v>
      </c>
      <c r="U58" s="159">
        <f t="shared" si="111"/>
        <v>1277.3434490195143</v>
      </c>
      <c r="V58" s="159">
        <f t="shared" si="17"/>
        <v>4003.6565509804859</v>
      </c>
      <c r="W58" s="175">
        <f t="shared" ref="W58" si="204">IF(SUM(T58:T64)=0,"",IFERROR(T58/U58,""))</f>
        <v>4.1343618304487197</v>
      </c>
      <c r="X58" s="171">
        <f t="shared" si="113"/>
        <v>5146</v>
      </c>
      <c r="Y58" s="159">
        <f t="shared" si="114"/>
        <v>1200.8890321649724</v>
      </c>
      <c r="Z58" s="159">
        <f t="shared" si="18"/>
        <v>3945.1109678350276</v>
      </c>
      <c r="AA58" s="175">
        <f t="shared" ref="AA58" si="205">IF(SUM(X58:X64)=0,"",IFERROR(X58/Y58,""))</f>
        <v>4.2851586301215105</v>
      </c>
      <c r="AB58" s="171">
        <f t="shared" si="116"/>
        <v>0</v>
      </c>
      <c r="AC58" s="159">
        <f t="shared" si="117"/>
        <v>0</v>
      </c>
      <c r="AD58" s="159">
        <f t="shared" si="19"/>
        <v>0</v>
      </c>
      <c r="AE58" s="175" t="str">
        <f t="shared" ref="AE58" si="206">IF(SUM(AB58:AB64)=0,"",IFERROR(AB58/AC58,""))</f>
        <v/>
      </c>
      <c r="AF58" s="171">
        <f t="shared" si="119"/>
        <v>27099</v>
      </c>
      <c r="AG58" s="159">
        <f t="shared" si="120"/>
        <v>20687.667404038188</v>
      </c>
      <c r="AH58" s="159">
        <f t="shared" si="20"/>
        <v>6411.3325959618123</v>
      </c>
      <c r="AI58" s="187">
        <f t="shared" ref="AI58" si="207">IF(SUM(AF58:AF64)=0,"",IFERROR(AF58/AG58,""))</f>
        <v>1.3099108503025496</v>
      </c>
      <c r="AJ58" s="157">
        <f t="shared" si="195"/>
        <v>6</v>
      </c>
    </row>
    <row r="59" spans="1:36" ht="24.95" customHeight="1" x14ac:dyDescent="0.25">
      <c r="A59" s="182" t="str">
        <f t="shared" si="30"/>
        <v>سرخس</v>
      </c>
      <c r="B59" s="216"/>
      <c r="C59" s="167" t="str">
        <f t="shared" si="31"/>
        <v>مهر</v>
      </c>
      <c r="D59" s="171">
        <f>SUMIFS(صادرات!$K$4:$K$500,صادرات!$J$4:$J$500,$C59,صادرات!$I$4:$I$500,$A59)+SUMIFS(صادرات!$C$4:$C$500,صادرات!$B$4:$B$500,$C59,صادرات!$A$4:$A$500,$A59)</f>
        <v>1072</v>
      </c>
      <c r="E59" s="159">
        <v>369.51885032682861</v>
      </c>
      <c r="F59" s="159">
        <f t="shared" si="13"/>
        <v>702.48114967317133</v>
      </c>
      <c r="G59" s="175">
        <f>IF(SUM(D59:D64)=0,"",IFERROR(D59/E59,""))</f>
        <v>2.9010698616642894</v>
      </c>
      <c r="H59" s="171">
        <f>SUMIFS(صادرات!$L$4:$L$500,صادرات!$J$4:$J$500,$C59,صادرات!$I$4:$I$500,$A59)+SUMIFS(صادرات!$D$4:$D$500,صادرات!$B$4:$B$500,$C59,صادرات!$A$4:$A$500,$A59)</f>
        <v>757</v>
      </c>
      <c r="I59" s="159">
        <v>349.90365594500935</v>
      </c>
      <c r="J59" s="159">
        <f t="shared" si="14"/>
        <v>407.09634405499065</v>
      </c>
      <c r="K59" s="175">
        <f>IF(SUM(H59:H64)=0,"",IFERROR(H59/I59,""))</f>
        <v>2.1634526737239055</v>
      </c>
      <c r="L59" s="171">
        <f>SUMIFS(صادرات!$M$4:$M$500,صادرات!$J$4:$J$500,$C59,صادرات!$I$4:$I$500,$A59)+SUMIFS(صادرات!$E$4:$E$500,صادرات!$B$4:$B$500,$C59,صادرات!$A$4:$A$500,$A59)</f>
        <v>0</v>
      </c>
      <c r="M59" s="159">
        <v>0</v>
      </c>
      <c r="N59" s="159">
        <f t="shared" si="15"/>
        <v>0</v>
      </c>
      <c r="O59" s="175" t="str">
        <f>IF(SUM(L59:L64)=0,"",IFERROR(L59/M59,""))</f>
        <v/>
      </c>
      <c r="P59" s="171">
        <f>SUMIFS(صادرات!$N$4:$N$500,صادرات!$J$4:$J$500,$C59,صادرات!$I$4:$I$500,$A59)+SUMIFS(صادرات!$F$4:$F$500,صادرات!$B$4:$B$500,$C59,صادرات!$A$4:$A$500,$A59)</f>
        <v>8208</v>
      </c>
      <c r="Q59" s="159">
        <v>1763.6775319872704</v>
      </c>
      <c r="R59" s="159">
        <f t="shared" si="16"/>
        <v>6444.3224680127296</v>
      </c>
      <c r="S59" s="175">
        <f>IF(SUM(P59:P64)=0,"",IFERROR(P59/Q59,""))</f>
        <v>4.6539119828506399</v>
      </c>
      <c r="T59" s="171">
        <f t="shared" si="110"/>
        <v>6353</v>
      </c>
      <c r="U59" s="159">
        <f t="shared" si="111"/>
        <v>1646.862299346343</v>
      </c>
      <c r="V59" s="159">
        <f t="shared" si="17"/>
        <v>4706.1377006536568</v>
      </c>
      <c r="W59" s="175">
        <f t="shared" ref="W59" si="208">IF(SUM(T59:T64)=0,"",IFERROR(T59/U59,""))</f>
        <v>3.8576388581617134</v>
      </c>
      <c r="X59" s="171">
        <f t="shared" si="113"/>
        <v>5903</v>
      </c>
      <c r="Y59" s="159">
        <f t="shared" si="114"/>
        <v>1550.7926881099818</v>
      </c>
      <c r="Z59" s="159">
        <f t="shared" si="18"/>
        <v>4352.207311890018</v>
      </c>
      <c r="AA59" s="175">
        <f t="shared" ref="AA59" si="209">IF(SUM(X59:X64)=0,"",IFERROR(X59/Y59,""))</f>
        <v>3.8064404386599486</v>
      </c>
      <c r="AB59" s="171">
        <f t="shared" si="116"/>
        <v>0</v>
      </c>
      <c r="AC59" s="159">
        <f t="shared" si="117"/>
        <v>0</v>
      </c>
      <c r="AD59" s="159">
        <f t="shared" si="19"/>
        <v>0</v>
      </c>
      <c r="AE59" s="175" t="str">
        <f t="shared" ref="AE59" si="210">IF(SUM(AB59:AB64)=0,"",IFERROR(AB59/AC59,""))</f>
        <v/>
      </c>
      <c r="AF59" s="171">
        <f t="shared" si="119"/>
        <v>35307</v>
      </c>
      <c r="AG59" s="159">
        <f t="shared" si="120"/>
        <v>22451.34493602546</v>
      </c>
      <c r="AH59" s="159">
        <f t="shared" si="20"/>
        <v>12855.65506397454</v>
      </c>
      <c r="AI59" s="187">
        <f t="shared" ref="AI59" si="211">IF(SUM(AF59:AF64)=0,"",IFERROR(AF59/AG59,""))</f>
        <v>1.5726006660450145</v>
      </c>
      <c r="AJ59" s="157">
        <f t="shared" si="195"/>
        <v>7</v>
      </c>
    </row>
    <row r="60" spans="1:36" ht="24.95" customHeight="1" x14ac:dyDescent="0.25">
      <c r="A60" s="182" t="str">
        <f t="shared" si="30"/>
        <v>سرخس</v>
      </c>
      <c r="B60" s="216"/>
      <c r="C60" s="167" t="str">
        <f t="shared" si="31"/>
        <v>آبان</v>
      </c>
      <c r="D60" s="171">
        <f>SUMIFS(صادرات!$K$4:$K$500,صادرات!$J$4:$J$500,$C60,صادرات!$I$4:$I$500,$A60)+SUMIFS(صادرات!$C$4:$C$500,صادرات!$B$4:$B$500,$C60,صادرات!$A$4:$A$500,$A60)</f>
        <v>2056</v>
      </c>
      <c r="E60" s="159">
        <v>369.51885032682861</v>
      </c>
      <c r="F60" s="159">
        <f t="shared" si="13"/>
        <v>1686.4811496731713</v>
      </c>
      <c r="G60" s="175">
        <f>IF(SUM(D60:D64)=0,"",IFERROR(D60/E60,""))</f>
        <v>5.5639921973710624</v>
      </c>
      <c r="H60" s="171">
        <f>SUMIFS(صادرات!$L$4:$L$500,صادرات!$J$4:$J$500,$C60,صادرات!$I$4:$I$500,$A60)+SUMIFS(صادرات!$D$4:$D$500,صادرات!$B$4:$B$500,$C60,صادرات!$A$4:$A$500,$A60)</f>
        <v>1833</v>
      </c>
      <c r="I60" s="159">
        <v>349.90365594500935</v>
      </c>
      <c r="J60" s="159">
        <f t="shared" si="14"/>
        <v>1483.0963440549906</v>
      </c>
      <c r="K60" s="175">
        <f>IF(SUM(H60:H64)=0,"",IFERROR(H60/I60,""))</f>
        <v>5.2385848757409761</v>
      </c>
      <c r="L60" s="171">
        <f>SUMIFS(صادرات!$M$4:$M$500,صادرات!$J$4:$J$500,$C60,صادرات!$I$4:$I$500,$A60)+SUMIFS(صادرات!$E$4:$E$500,صادرات!$B$4:$B$500,$C60,صادرات!$A$4:$A$500,$A60)</f>
        <v>0</v>
      </c>
      <c r="M60" s="159">
        <v>0</v>
      </c>
      <c r="N60" s="159">
        <f t="shared" si="15"/>
        <v>0</v>
      </c>
      <c r="O60" s="175" t="str">
        <f>IF(SUM(L60:L64)=0,"",IFERROR(L60/M60,""))</f>
        <v/>
      </c>
      <c r="P60" s="171">
        <f>SUMIFS(صادرات!$N$4:$N$500,صادرات!$J$4:$J$500,$C60,صادرات!$I$4:$I$500,$A60)+SUMIFS(صادرات!$F$4:$F$500,صادرات!$B$4:$B$500,$C60,صادرات!$A$4:$A$500,$A60)</f>
        <v>7564</v>
      </c>
      <c r="Q60" s="159">
        <v>1763.6775319872704</v>
      </c>
      <c r="R60" s="159">
        <f t="shared" si="16"/>
        <v>5800.3224680127296</v>
      </c>
      <c r="S60" s="175">
        <f>IF(SUM(P60:P64)=0,"",IFERROR(P60/Q60,""))</f>
        <v>4.2887658672371147</v>
      </c>
      <c r="T60" s="171">
        <f t="shared" si="110"/>
        <v>8409</v>
      </c>
      <c r="U60" s="159">
        <f t="shared" si="111"/>
        <v>2016.3811496731716</v>
      </c>
      <c r="V60" s="159">
        <f t="shared" si="17"/>
        <v>6392.6188503268286</v>
      </c>
      <c r="W60" s="175">
        <f t="shared" ref="W60" si="212">IF(SUM(T60:T64)=0,"",IFERROR(T60/U60,""))</f>
        <v>4.1703424976785692</v>
      </c>
      <c r="X60" s="171">
        <f t="shared" si="113"/>
        <v>7736</v>
      </c>
      <c r="Y60" s="159">
        <f t="shared" si="114"/>
        <v>1900.6963440549912</v>
      </c>
      <c r="Z60" s="159">
        <f t="shared" si="18"/>
        <v>5835.3036559450084</v>
      </c>
      <c r="AA60" s="175">
        <f t="shared" ref="AA60" si="213">IF(SUM(X60:X64)=0,"",IFERROR(X60/Y60,""))</f>
        <v>4.0700872731179309</v>
      </c>
      <c r="AB60" s="171">
        <f t="shared" si="116"/>
        <v>0</v>
      </c>
      <c r="AC60" s="159">
        <f t="shared" si="117"/>
        <v>0</v>
      </c>
      <c r="AD60" s="159">
        <f t="shared" si="19"/>
        <v>0</v>
      </c>
      <c r="AE60" s="175" t="str">
        <f t="shared" ref="AE60" si="214">IF(SUM(AB60:AB64)=0,"",IFERROR(AB60/AC60,""))</f>
        <v/>
      </c>
      <c r="AF60" s="171">
        <f t="shared" si="119"/>
        <v>42871</v>
      </c>
      <c r="AG60" s="159">
        <f t="shared" si="120"/>
        <v>24215.022468012728</v>
      </c>
      <c r="AH60" s="159">
        <f t="shared" si="20"/>
        <v>18655.977531987272</v>
      </c>
      <c r="AI60" s="187">
        <f t="shared" ref="AI60" si="215">IF(SUM(AF60:AF64)=0,"",IFERROR(AF60/AG60,""))</f>
        <v>1.7704299079891923</v>
      </c>
      <c r="AJ60" s="157">
        <f t="shared" si="195"/>
        <v>8</v>
      </c>
    </row>
    <row r="61" spans="1:36" ht="24.95" customHeight="1" x14ac:dyDescent="0.25">
      <c r="A61" s="182" t="str">
        <f t="shared" si="30"/>
        <v>سرخس</v>
      </c>
      <c r="B61" s="216"/>
      <c r="C61" s="167" t="str">
        <f t="shared" si="31"/>
        <v>آذر</v>
      </c>
      <c r="D61" s="171">
        <f>SUMIFS(صادرات!$K$4:$K$500,صادرات!$J$4:$J$500,$C61,صادرات!$I$4:$I$500,$A61)+SUMIFS(صادرات!$C$4:$C$500,صادرات!$B$4:$B$500,$C61,صادرات!$A$4:$A$500,$A61)</f>
        <v>606</v>
      </c>
      <c r="E61" s="159">
        <v>369.51885032682861</v>
      </c>
      <c r="F61" s="159">
        <f t="shared" si="13"/>
        <v>236.48114967317139</v>
      </c>
      <c r="G61" s="175">
        <f>IF(SUM(D61:D64)=0,"",IFERROR(D61/E61,""))</f>
        <v>1.6399704628438054</v>
      </c>
      <c r="H61" s="171">
        <f>SUMIFS(صادرات!$L$4:$L$500,صادرات!$J$4:$J$500,$C61,صادرات!$I$4:$I$500,$A61)+SUMIFS(صادرات!$D$4:$D$500,صادرات!$B$4:$B$500,$C61,صادرات!$A$4:$A$500,$A61)</f>
        <v>1589</v>
      </c>
      <c r="I61" s="159">
        <v>349.90365594500935</v>
      </c>
      <c r="J61" s="159">
        <f t="shared" si="14"/>
        <v>1239.0963440549906</v>
      </c>
      <c r="K61" s="175">
        <f>IF(SUM(H61:H64)=0,"",IFERROR(H61/I61,""))</f>
        <v>4.5412500641311571</v>
      </c>
      <c r="L61" s="171">
        <f>SUMIFS(صادرات!$M$4:$M$500,صادرات!$J$4:$J$500,$C61,صادرات!$I$4:$I$500,$A61)+SUMIFS(صادرات!$E$4:$E$500,صادرات!$B$4:$B$500,$C61,صادرات!$A$4:$A$500,$A61)</f>
        <v>0</v>
      </c>
      <c r="M61" s="159">
        <v>0</v>
      </c>
      <c r="N61" s="159">
        <f t="shared" si="15"/>
        <v>0</v>
      </c>
      <c r="O61" s="175" t="str">
        <f>IF(SUM(L61:L64)=0,"",IFERROR(L61/M61,""))</f>
        <v/>
      </c>
      <c r="P61" s="171">
        <f>SUMIFS(صادرات!$N$4:$N$500,صادرات!$J$4:$J$500,$C61,صادرات!$I$4:$I$500,$A61)+SUMIFS(صادرات!$F$4:$F$500,صادرات!$B$4:$B$500,$C61,صادرات!$A$4:$A$500,$A61)</f>
        <v>7090</v>
      </c>
      <c r="Q61" s="159">
        <v>1763.6775319872704</v>
      </c>
      <c r="R61" s="159">
        <f t="shared" si="16"/>
        <v>5326.3224680127296</v>
      </c>
      <c r="S61" s="175">
        <f>IF(SUM(P61:P64)=0,"",IFERROR(P61/Q61,""))</f>
        <v>4.0200092541923773</v>
      </c>
      <c r="T61" s="171">
        <f t="shared" si="110"/>
        <v>9015</v>
      </c>
      <c r="U61" s="159">
        <f t="shared" si="111"/>
        <v>2385.9</v>
      </c>
      <c r="V61" s="159">
        <f t="shared" si="17"/>
        <v>6629.1</v>
      </c>
      <c r="W61" s="175">
        <f t="shared" ref="W61" si="216">IF(SUM(T61:T64)=0,"",IFERROR(T61/U61,""))</f>
        <v>3.7784483842575129</v>
      </c>
      <c r="X61" s="171">
        <f t="shared" si="113"/>
        <v>9325</v>
      </c>
      <c r="Y61" s="159">
        <f t="shared" si="114"/>
        <v>2250.6000000000004</v>
      </c>
      <c r="Z61" s="159">
        <f t="shared" si="18"/>
        <v>7074.4</v>
      </c>
      <c r="AA61" s="175">
        <f t="shared" ref="AA61" si="217">IF(SUM(X61:X64)=0,"",IFERROR(X61/Y61,""))</f>
        <v>4.1433395538967384</v>
      </c>
      <c r="AB61" s="171">
        <f t="shared" si="116"/>
        <v>0</v>
      </c>
      <c r="AC61" s="159">
        <f t="shared" si="117"/>
        <v>0</v>
      </c>
      <c r="AD61" s="159">
        <f t="shared" si="19"/>
        <v>0</v>
      </c>
      <c r="AE61" s="175" t="str">
        <f t="shared" ref="AE61" si="218">IF(SUM(AB61:AB64)=0,"",IFERROR(AB61/AC61,""))</f>
        <v/>
      </c>
      <c r="AF61" s="171">
        <f t="shared" si="119"/>
        <v>49961</v>
      </c>
      <c r="AG61" s="159">
        <f t="shared" si="120"/>
        <v>25978.699999999997</v>
      </c>
      <c r="AH61" s="159">
        <f t="shared" si="20"/>
        <v>23982.300000000003</v>
      </c>
      <c r="AI61" s="187">
        <f t="shared" ref="AI61" si="219">IF(SUM(AF61:AF64)=0,"",IFERROR(AF61/AG61,""))</f>
        <v>1.923152428720452</v>
      </c>
      <c r="AJ61" s="157">
        <f t="shared" si="195"/>
        <v>9</v>
      </c>
    </row>
    <row r="62" spans="1:36" ht="24.95" customHeight="1" x14ac:dyDescent="0.25">
      <c r="A62" s="182" t="str">
        <f t="shared" si="30"/>
        <v>سرخس</v>
      </c>
      <c r="B62" s="216"/>
      <c r="C62" s="167" t="str">
        <f t="shared" si="31"/>
        <v>دی</v>
      </c>
      <c r="D62" s="171">
        <f>SUMIFS(صادرات!$K$4:$K$500,صادرات!$J$4:$J$500,$C62,صادرات!$I$4:$I$500,$A62)+SUMIFS(صادرات!$C$4:$C$500,صادرات!$B$4:$B$500,$C62,صادرات!$A$4:$A$500,$A62)</f>
        <v>619</v>
      </c>
      <c r="E62" s="159">
        <v>12.752623906705544</v>
      </c>
      <c r="F62" s="159">
        <f t="shared" si="13"/>
        <v>606.24737609329441</v>
      </c>
      <c r="G62" s="175">
        <f>IF(SUM(D62:D64)=0,"",IFERROR(D62/E62,""))</f>
        <v>48.539030440199795</v>
      </c>
      <c r="H62" s="171">
        <f>SUMIFS(صادرات!$L$4:$L$500,صادرات!$J$4:$J$500,$C62,صادرات!$I$4:$I$500,$A62)+SUMIFS(صادرات!$D$4:$D$500,صادرات!$B$4:$B$500,$C62,صادرات!$A$4:$A$500,$A62)</f>
        <v>399</v>
      </c>
      <c r="I62" s="159">
        <v>7.4453987547060398</v>
      </c>
      <c r="J62" s="159">
        <f t="shared" si="14"/>
        <v>391.55460124529395</v>
      </c>
      <c r="K62" s="175">
        <f>IF(SUM(H62:H64)=0,"",IFERROR(H62/I62,""))</f>
        <v>53.590145154791429</v>
      </c>
      <c r="L62" s="171">
        <f>SUMIFS(صادرات!$M$4:$M$500,صادرات!$J$4:$J$500,$C62,صادرات!$I$4:$I$500,$A62)+SUMIFS(صادرات!$E$4:$E$500,صادرات!$B$4:$B$500,$C62,صادرات!$A$4:$A$500,$A62)</f>
        <v>0</v>
      </c>
      <c r="M62" s="159">
        <v>0</v>
      </c>
      <c r="N62" s="159">
        <f t="shared" si="15"/>
        <v>0</v>
      </c>
      <c r="O62" s="175" t="str">
        <f>IF(SUM(L62:L64)=0,"",IFERROR(L62/M62,""))</f>
        <v/>
      </c>
      <c r="P62" s="171">
        <f>SUMIFS(صادرات!$N$4:$N$500,صادرات!$J$4:$J$500,$C62,صادرات!$I$4:$I$500,$A62)+SUMIFS(صادرات!$F$4:$F$500,صادرات!$B$4:$B$500,$C62,صادرات!$A$4:$A$500,$A62)</f>
        <v>5629</v>
      </c>
      <c r="Q62" s="159">
        <v>2111.1039325467</v>
      </c>
      <c r="R62" s="159">
        <f t="shared" si="16"/>
        <v>3517.8960674533</v>
      </c>
      <c r="S62" s="175">
        <f>IF(SUM(P62:P64)=0,"",IFERROR(P62/Q62,""))</f>
        <v>2.666377487729624</v>
      </c>
      <c r="T62" s="171">
        <f t="shared" si="110"/>
        <v>9634</v>
      </c>
      <c r="U62" s="159">
        <f t="shared" si="111"/>
        <v>2398.6526239067057</v>
      </c>
      <c r="V62" s="159">
        <f t="shared" si="17"/>
        <v>7235.3473760932939</v>
      </c>
      <c r="W62" s="175">
        <f t="shared" ref="W62" si="220">IF(SUM(T62:T64)=0,"",IFERROR(T62/U62,""))</f>
        <v>4.0164215126361329</v>
      </c>
      <c r="X62" s="171">
        <f t="shared" si="113"/>
        <v>9724</v>
      </c>
      <c r="Y62" s="159">
        <f t="shared" si="114"/>
        <v>2258.0453987547062</v>
      </c>
      <c r="Z62" s="159">
        <f t="shared" si="18"/>
        <v>7465.9546012452938</v>
      </c>
      <c r="AA62" s="175">
        <f t="shared" ref="AA62" si="221">IF(SUM(X62:X64)=0,"",IFERROR(X62/Y62,""))</f>
        <v>4.3063793160946666</v>
      </c>
      <c r="AB62" s="171">
        <f t="shared" si="116"/>
        <v>0</v>
      </c>
      <c r="AC62" s="159">
        <f t="shared" si="117"/>
        <v>0</v>
      </c>
      <c r="AD62" s="159">
        <f t="shared" si="19"/>
        <v>0</v>
      </c>
      <c r="AE62" s="175" t="str">
        <f t="shared" ref="AE62" si="222">IF(SUM(AB62:AB64)=0,"",IFERROR(AB62/AC62,""))</f>
        <v/>
      </c>
      <c r="AF62" s="171">
        <f t="shared" si="119"/>
        <v>55590</v>
      </c>
      <c r="AG62" s="159">
        <f t="shared" si="120"/>
        <v>28089.803932546696</v>
      </c>
      <c r="AH62" s="159">
        <f t="shared" si="20"/>
        <v>27500.196067453304</v>
      </c>
      <c r="AI62" s="187">
        <f t="shared" ref="AI62" si="223">IF(SUM(AF62:AF64)=0,"",IFERROR(AF62/AG62,""))</f>
        <v>1.9790098974521415</v>
      </c>
      <c r="AJ62" s="157">
        <f t="shared" si="195"/>
        <v>10</v>
      </c>
    </row>
    <row r="63" spans="1:36" ht="24.95" customHeight="1" x14ac:dyDescent="0.25">
      <c r="A63" s="182" t="str">
        <f t="shared" si="30"/>
        <v>سرخس</v>
      </c>
      <c r="B63" s="216"/>
      <c r="C63" s="167" t="str">
        <f t="shared" si="31"/>
        <v>بهمن</v>
      </c>
      <c r="D63" s="171">
        <f>SUMIFS(صادرات!$K$4:$K$500,صادرات!$J$4:$J$500,$C63,صادرات!$I$4:$I$500,$A63)+SUMIFS(صادرات!$C$4:$C$500,صادرات!$B$4:$B$500,$C63,صادرات!$A$4:$A$500,$A63)</f>
        <v>926</v>
      </c>
      <c r="E63" s="159">
        <v>12.752623906705544</v>
      </c>
      <c r="F63" s="159">
        <f t="shared" si="13"/>
        <v>913.24737609329441</v>
      </c>
      <c r="G63" s="175">
        <f>IF(SUM(D63:D64)=0,"",IFERROR(D63/E63,""))</f>
        <v>72.612507572899844</v>
      </c>
      <c r="H63" s="171">
        <f>SUMIFS(صادرات!$L$4:$L$500,صادرات!$J$4:$J$500,$C63,صادرات!$I$4:$I$500,$A63)+SUMIFS(صادرات!$D$4:$D$500,صادرات!$B$4:$B$500,$C63,صادرات!$A$4:$A$500,$A63)</f>
        <v>784</v>
      </c>
      <c r="I63" s="159">
        <v>7.4453987547060398</v>
      </c>
      <c r="J63" s="159">
        <f t="shared" si="14"/>
        <v>776.55460124529395</v>
      </c>
      <c r="K63" s="175">
        <f>IF(SUM(H63:H64)=0,"",IFERROR(H63/I63,""))</f>
        <v>105.2999343392393</v>
      </c>
      <c r="L63" s="171">
        <f>SUMIFS(صادرات!$M$4:$M$500,صادرات!$J$4:$J$500,$C63,صادرات!$I$4:$I$500,$A63)+SUMIFS(صادرات!$E$4:$E$500,صادرات!$B$4:$B$500,$C63,صادرات!$A$4:$A$500,$A63)</f>
        <v>0</v>
      </c>
      <c r="M63" s="159">
        <v>0</v>
      </c>
      <c r="N63" s="159">
        <f t="shared" si="15"/>
        <v>0</v>
      </c>
      <c r="O63" s="175" t="str">
        <f>IF(SUM(L63:L64)=0,"",IFERROR(L63/M63,""))</f>
        <v/>
      </c>
      <c r="P63" s="171">
        <f>SUMIFS(صادرات!$N$4:$N$500,صادرات!$J$4:$J$500,$C63,صادرات!$I$4:$I$500,$A63)+SUMIFS(صادرات!$F$4:$F$500,صادرات!$B$4:$B$500,$C63,صادرات!$A$4:$A$500,$A63)</f>
        <v>5767</v>
      </c>
      <c r="Q63" s="159">
        <v>2111.1039325467</v>
      </c>
      <c r="R63" s="159">
        <f t="shared" si="16"/>
        <v>3655.8960674533</v>
      </c>
      <c r="S63" s="175">
        <f>IF(SUM(P63:P64)=0,"",IFERROR(P63/Q63,""))</f>
        <v>2.7317461310600004</v>
      </c>
      <c r="T63" s="171">
        <f t="shared" si="110"/>
        <v>10560</v>
      </c>
      <c r="U63" s="159">
        <f t="shared" si="111"/>
        <v>2411.4052478134113</v>
      </c>
      <c r="V63" s="159">
        <f t="shared" si="17"/>
        <v>8148.5947521865892</v>
      </c>
      <c r="W63" s="175">
        <f t="shared" ref="W63" si="224">IF(SUM(T63:T64)=0,"",IFERROR(T63/U63,""))</f>
        <v>4.3791892754548352</v>
      </c>
      <c r="X63" s="171">
        <f t="shared" si="113"/>
        <v>10508</v>
      </c>
      <c r="Y63" s="159">
        <f t="shared" si="114"/>
        <v>2265.490797509412</v>
      </c>
      <c r="Z63" s="159">
        <f t="shared" si="18"/>
        <v>8242.509202490588</v>
      </c>
      <c r="AA63" s="175">
        <f t="shared" ref="AA63" si="225">IF(SUM(X63:X64)=0,"",IFERROR(X63/Y63,""))</f>
        <v>4.6382885384271111</v>
      </c>
      <c r="AB63" s="171">
        <f t="shared" si="116"/>
        <v>0</v>
      </c>
      <c r="AC63" s="159">
        <f t="shared" si="117"/>
        <v>0</v>
      </c>
      <c r="AD63" s="159">
        <f t="shared" si="19"/>
        <v>0</v>
      </c>
      <c r="AE63" s="175" t="str">
        <f t="shared" ref="AE63" si="226">IF(SUM(AB63:AB64)=0,"",IFERROR(AB63/AC63,""))</f>
        <v/>
      </c>
      <c r="AF63" s="171">
        <f t="shared" si="119"/>
        <v>61357</v>
      </c>
      <c r="AG63" s="159">
        <f t="shared" si="120"/>
        <v>30200.907865093395</v>
      </c>
      <c r="AH63" s="159">
        <f t="shared" si="20"/>
        <v>31156.092134906605</v>
      </c>
      <c r="AI63" s="187">
        <f t="shared" ref="AI63" si="227">IF(SUM(AF63:AF64)=0,"",IFERROR(AF63/AG63,""))</f>
        <v>2.0316276674224492</v>
      </c>
      <c r="AJ63" s="157">
        <f t="shared" si="195"/>
        <v>11</v>
      </c>
    </row>
    <row r="64" spans="1:36" ht="24.95" customHeight="1" thickBot="1" x14ac:dyDescent="0.3">
      <c r="A64" s="182" t="str">
        <f t="shared" si="30"/>
        <v>سرخس</v>
      </c>
      <c r="B64" s="217"/>
      <c r="C64" s="168" t="str">
        <f t="shared" si="31"/>
        <v>اسفند</v>
      </c>
      <c r="D64" s="172">
        <f>SUMIFS(صادرات!$K$4:$K$500,صادرات!$J$4:$J$500,$C64,صادرات!$I$4:$I$500,$A64)+SUMIFS(صادرات!$C$4:$C$500,صادرات!$B$4:$B$500,$C64,صادرات!$A$4:$A$500,$A64)</f>
        <v>417</v>
      </c>
      <c r="E64" s="173">
        <v>12.752623906705544</v>
      </c>
      <c r="F64" s="173">
        <f t="shared" si="13"/>
        <v>404.24737609329446</v>
      </c>
      <c r="G64" s="176">
        <f>IF(SUM(D64)=0,"",IFERROR(D64/E64,""))</f>
        <v>32.699152978292915</v>
      </c>
      <c r="H64" s="172">
        <f>SUMIFS(صادرات!$L$4:$L$500,صادرات!$J$4:$J$500,$C64,صادرات!$I$4:$I$500,$A64)+SUMIFS(صادرات!$D$4:$D$500,صادرات!$B$4:$B$500,$C64,صادرات!$A$4:$A$500,$A64)</f>
        <v>847</v>
      </c>
      <c r="I64" s="173">
        <v>7.4453987547060398</v>
      </c>
      <c r="J64" s="173">
        <f t="shared" si="14"/>
        <v>839.55460124529395</v>
      </c>
      <c r="K64" s="176">
        <f>IF(SUM(H64)=0,"",IFERROR(H64/I64,""))</f>
        <v>113.7615362057853</v>
      </c>
      <c r="L64" s="172">
        <f>SUMIFS(صادرات!$M$4:$M$500,صادرات!$J$4:$J$500,$C64,صادرات!$I$4:$I$500,$A64)+SUMIFS(صادرات!$E$4:$E$500,صادرات!$B$4:$B$500,$C64,صادرات!$A$4:$A$500,$A64)</f>
        <v>0</v>
      </c>
      <c r="M64" s="173">
        <v>0</v>
      </c>
      <c r="N64" s="173">
        <f t="shared" si="15"/>
        <v>0</v>
      </c>
      <c r="O64" s="176" t="str">
        <f>IF(SUM(L64)=0,"",IFERROR(L64/M64,""))</f>
        <v/>
      </c>
      <c r="P64" s="172">
        <f>SUMIFS(صادرات!$N$4:$N$500,صادرات!$J$4:$J$500,$C64,صادرات!$I$4:$I$500,$A64)+SUMIFS(صادرات!$F$4:$F$500,صادرات!$B$4:$B$500,$C64,صادرات!$A$4:$A$500,$A64)</f>
        <v>3260</v>
      </c>
      <c r="Q64" s="173">
        <v>2111.1039325467</v>
      </c>
      <c r="R64" s="173">
        <f t="shared" si="16"/>
        <v>1148.8960674533</v>
      </c>
      <c r="S64" s="176">
        <f>IF(SUM(P64)=0,"",IFERROR(P64/Q64,""))</f>
        <v>1.5442157772248313</v>
      </c>
      <c r="T64" s="172">
        <f t="shared" si="110"/>
        <v>10977</v>
      </c>
      <c r="U64" s="173">
        <f t="shared" si="111"/>
        <v>2424.1578717201169</v>
      </c>
      <c r="V64" s="173">
        <f t="shared" si="17"/>
        <v>8552.8421282798827</v>
      </c>
      <c r="W64" s="176">
        <f t="shared" ref="W64" si="228">IF(SUM(T64)=0,"",IFERROR(T64/U64,""))</f>
        <v>4.5281704331455188</v>
      </c>
      <c r="X64" s="172">
        <f t="shared" si="113"/>
        <v>11355</v>
      </c>
      <c r="Y64" s="173">
        <f t="shared" si="114"/>
        <v>2272.9361962641178</v>
      </c>
      <c r="Z64" s="173">
        <f t="shared" si="18"/>
        <v>9082.0638037358822</v>
      </c>
      <c r="AA64" s="176">
        <f t="shared" ref="AA64" si="229">IF(SUM(X64)=0,"",IFERROR(X64/Y64,""))</f>
        <v>4.9957407597553765</v>
      </c>
      <c r="AB64" s="172">
        <f t="shared" si="116"/>
        <v>0</v>
      </c>
      <c r="AC64" s="173">
        <f t="shared" si="117"/>
        <v>0</v>
      </c>
      <c r="AD64" s="173">
        <f t="shared" si="19"/>
        <v>0</v>
      </c>
      <c r="AE64" s="176" t="str">
        <f t="shared" ref="AE64" si="230">IF(SUM(AB64)=0,"",IFERROR(AB64/AC64,""))</f>
        <v/>
      </c>
      <c r="AF64" s="172">
        <f t="shared" si="119"/>
        <v>64617</v>
      </c>
      <c r="AG64" s="173">
        <f t="shared" si="120"/>
        <v>32312.011797640094</v>
      </c>
      <c r="AH64" s="173">
        <f t="shared" si="20"/>
        <v>32304.988202359906</v>
      </c>
      <c r="AI64" s="188">
        <f t="shared" ref="AI64" si="231">IF(SUM(AF64)=0,"",IFERROR(AF64/AG64,""))</f>
        <v>1.9997826320649987</v>
      </c>
      <c r="AJ64" s="157">
        <f>AJ63+1</f>
        <v>12</v>
      </c>
    </row>
    <row r="65" spans="1:36" ht="24.95" customHeight="1" x14ac:dyDescent="0.25">
      <c r="A65" s="182" t="str">
        <f t="shared" si="30"/>
        <v>لطف آباد</v>
      </c>
      <c r="B65" s="215" t="str">
        <f>واردات!J34</f>
        <v>لطف آباد</v>
      </c>
      <c r="C65" s="166" t="str">
        <f>C53</f>
        <v>فروردین</v>
      </c>
      <c r="D65" s="170">
        <f>SUMIFS(صادرات!$K$4:$K$500,صادرات!$J$4:$J$500,$C65,صادرات!$I$4:$I$500,$A65)+SUMIFS(صادرات!$C$4:$C$500,صادرات!$B$4:$B$500,$C65,صادرات!$A$4:$A$500,$A65)</f>
        <v>0</v>
      </c>
      <c r="E65" s="160">
        <v>125.24117688371003</v>
      </c>
      <c r="F65" s="160">
        <f t="shared" si="13"/>
        <v>-125.24117688371003</v>
      </c>
      <c r="G65" s="185">
        <f>IF(SUM(D65:D76)=0,"",IFERROR(D65/E65,""))</f>
        <v>0</v>
      </c>
      <c r="H65" s="170">
        <f>SUMIFS(صادرات!$L$4:$L$500,صادرات!$J$4:$J$500,$C65,صادرات!$I$4:$I$500,$A65)+SUMIFS(صادرات!$D$4:$D$500,صادرات!$B$4:$B$500,$C65,صادرات!$A$4:$A$500,$A65)</f>
        <v>0</v>
      </c>
      <c r="I65" s="160">
        <v>346.04665661875907</v>
      </c>
      <c r="J65" s="160">
        <f t="shared" si="14"/>
        <v>-346.04665661875907</v>
      </c>
      <c r="K65" s="185">
        <f>IF(SUM(H65:H76)=0,"",IFERROR(H65/I65,""))</f>
        <v>0</v>
      </c>
      <c r="L65" s="170">
        <f>SUMIFS(صادرات!$M$4:$M$500,صادرات!$J$4:$J$500,$C65,صادرات!$I$4:$I$500,$A65)+SUMIFS(صادرات!$E$4:$E$500,صادرات!$B$4:$B$500,$C65,صادرات!$A$4:$A$500,$A65)</f>
        <v>0</v>
      </c>
      <c r="M65" s="160">
        <v>0</v>
      </c>
      <c r="N65" s="160">
        <f t="shared" si="15"/>
        <v>0</v>
      </c>
      <c r="O65" s="185" t="str">
        <f>IF(SUM(L65:L76)=0,"",IFERROR(L65/M65,""))</f>
        <v/>
      </c>
      <c r="P65" s="170">
        <f>SUMIFS(صادرات!$N$4:$N$500,صادرات!$J$4:$J$500,$C65,صادرات!$I$4:$I$500,$A65)+SUMIFS(صادرات!$F$4:$F$500,صادرات!$B$4:$B$500,$C65,صادرات!$A$4:$A$500,$A65)</f>
        <v>0</v>
      </c>
      <c r="Q65" s="160">
        <v>0</v>
      </c>
      <c r="R65" s="160">
        <f t="shared" si="16"/>
        <v>0</v>
      </c>
      <c r="S65" s="185" t="str">
        <f>IF(SUM(P65:P76)=0,"",IFERROR(P65/Q65,""))</f>
        <v/>
      </c>
      <c r="T65" s="183">
        <f t="shared" si="110"/>
        <v>0</v>
      </c>
      <c r="U65" s="160">
        <f t="shared" si="111"/>
        <v>125.24117688371003</v>
      </c>
      <c r="V65" s="160">
        <f t="shared" si="17"/>
        <v>-125.24117688371003</v>
      </c>
      <c r="W65" s="185">
        <f t="shared" ref="W65" si="232">IF(SUM(T65:T76)=0,"",IFERROR(T65/U65,""))</f>
        <v>0</v>
      </c>
      <c r="X65" s="183">
        <f t="shared" si="113"/>
        <v>0</v>
      </c>
      <c r="Y65" s="160">
        <f t="shared" si="114"/>
        <v>346.04665661875907</v>
      </c>
      <c r="Z65" s="160">
        <f t="shared" si="18"/>
        <v>-346.04665661875907</v>
      </c>
      <c r="AA65" s="185">
        <f t="shared" ref="AA65" si="233">IF(SUM(X65:X76)=0,"",IFERROR(X65/Y65,""))</f>
        <v>0</v>
      </c>
      <c r="AB65" s="183">
        <f t="shared" si="116"/>
        <v>0</v>
      </c>
      <c r="AC65" s="160">
        <f t="shared" si="117"/>
        <v>0</v>
      </c>
      <c r="AD65" s="160">
        <f t="shared" si="19"/>
        <v>0</v>
      </c>
      <c r="AE65" s="185" t="str">
        <f t="shared" ref="AE65" si="234">IF(SUM(AB65:AB76)=0,"",IFERROR(AB65/AC65,""))</f>
        <v/>
      </c>
      <c r="AF65" s="183">
        <f t="shared" si="119"/>
        <v>0</v>
      </c>
      <c r="AG65" s="160">
        <f t="shared" si="120"/>
        <v>0</v>
      </c>
      <c r="AH65" s="160">
        <f t="shared" si="20"/>
        <v>0</v>
      </c>
      <c r="AI65" s="186" t="str">
        <f t="shared" ref="AI65" si="235">IF(SUM(AF65:AF76)=0,"",IFERROR(AF65/AG65,""))</f>
        <v/>
      </c>
      <c r="AJ65" s="157">
        <v>1</v>
      </c>
    </row>
    <row r="66" spans="1:36" ht="24.95" customHeight="1" x14ac:dyDescent="0.25">
      <c r="A66" s="182" t="str">
        <f t="shared" si="30"/>
        <v>لطف آباد</v>
      </c>
      <c r="B66" s="216"/>
      <c r="C66" s="167" t="str">
        <f t="shared" si="31"/>
        <v>اردیبهشت</v>
      </c>
      <c r="D66" s="171">
        <f>SUMIFS(صادرات!$K$4:$K$500,صادرات!$J$4:$J$500,$C66,صادرات!$I$4:$I$500,$A66)+SUMIFS(صادرات!$C$4:$C$500,صادرات!$B$4:$B$500,$C66,صادرات!$A$4:$A$500,$A66)</f>
        <v>15</v>
      </c>
      <c r="E66" s="159">
        <v>125.24117688371003</v>
      </c>
      <c r="F66" s="159">
        <f t="shared" si="13"/>
        <v>-110.24117688371003</v>
      </c>
      <c r="G66" s="175">
        <f>IF(SUM(D66:D76)=0,"",IFERROR(D66/E66,""))</f>
        <v>0.11976891604849677</v>
      </c>
      <c r="H66" s="171">
        <f>SUMIFS(صادرات!$L$4:$L$500,صادرات!$J$4:$J$500,$C66,صادرات!$I$4:$I$500,$A66)+SUMIFS(صادرات!$D$4:$D$500,صادرات!$B$4:$B$500,$C66,صادرات!$A$4:$A$500,$A66)</f>
        <v>46</v>
      </c>
      <c r="I66" s="159">
        <v>346.04665661875907</v>
      </c>
      <c r="J66" s="159">
        <f t="shared" si="14"/>
        <v>-300.04665661875907</v>
      </c>
      <c r="K66" s="175">
        <f>IF(SUM(H66:H76)=0,"",IFERROR(H66/I66,""))</f>
        <v>0.13293005183020271</v>
      </c>
      <c r="L66" s="171">
        <f>SUMIFS(صادرات!$M$4:$M$500,صادرات!$J$4:$J$500,$C66,صادرات!$I$4:$I$500,$A66)+SUMIFS(صادرات!$E$4:$E$500,صادرات!$B$4:$B$500,$C66,صادرات!$A$4:$A$500,$A66)</f>
        <v>0</v>
      </c>
      <c r="M66" s="159">
        <v>0</v>
      </c>
      <c r="N66" s="159">
        <f t="shared" si="15"/>
        <v>0</v>
      </c>
      <c r="O66" s="175" t="str">
        <f>IF(SUM(L66:L76)=0,"",IFERROR(L66/M66,""))</f>
        <v/>
      </c>
      <c r="P66" s="171">
        <f>SUMIFS(صادرات!$N$4:$N$500,صادرات!$J$4:$J$500,$C66,صادرات!$I$4:$I$500,$A66)+SUMIFS(صادرات!$F$4:$F$500,صادرات!$B$4:$B$500,$C66,صادرات!$A$4:$A$500,$A66)</f>
        <v>0</v>
      </c>
      <c r="Q66" s="159">
        <v>0</v>
      </c>
      <c r="R66" s="159">
        <f t="shared" si="16"/>
        <v>0</v>
      </c>
      <c r="S66" s="175" t="str">
        <f>IF(SUM(P66:P76)=0,"",IFERROR(P66/Q66,""))</f>
        <v/>
      </c>
      <c r="T66" s="171">
        <f t="shared" si="110"/>
        <v>15</v>
      </c>
      <c r="U66" s="159">
        <f t="shared" si="111"/>
        <v>250.48235376742005</v>
      </c>
      <c r="V66" s="159">
        <f t="shared" si="17"/>
        <v>-235.48235376742005</v>
      </c>
      <c r="W66" s="175">
        <f t="shared" ref="W66" si="236">IF(SUM(T66:T76)=0,"",IFERROR(T66/U66,""))</f>
        <v>5.9884458024248383E-2</v>
      </c>
      <c r="X66" s="171">
        <f t="shared" si="113"/>
        <v>46</v>
      </c>
      <c r="Y66" s="159">
        <f t="shared" si="114"/>
        <v>692.09331323751815</v>
      </c>
      <c r="Z66" s="159">
        <f t="shared" si="18"/>
        <v>-646.09331323751815</v>
      </c>
      <c r="AA66" s="175">
        <f t="shared" ref="AA66" si="237">IF(SUM(X66:X76)=0,"",IFERROR(X66/Y66,""))</f>
        <v>6.6465025915101353E-2</v>
      </c>
      <c r="AB66" s="171">
        <f t="shared" si="116"/>
        <v>0</v>
      </c>
      <c r="AC66" s="159">
        <f t="shared" si="117"/>
        <v>0</v>
      </c>
      <c r="AD66" s="159">
        <f t="shared" si="19"/>
        <v>0</v>
      </c>
      <c r="AE66" s="175" t="str">
        <f t="shared" ref="AE66" si="238">IF(SUM(AB66:AB76)=0,"",IFERROR(AB66/AC66,""))</f>
        <v/>
      </c>
      <c r="AF66" s="171">
        <f t="shared" si="119"/>
        <v>0</v>
      </c>
      <c r="AG66" s="159">
        <f t="shared" si="120"/>
        <v>0</v>
      </c>
      <c r="AH66" s="159">
        <f t="shared" si="20"/>
        <v>0</v>
      </c>
      <c r="AI66" s="187" t="str">
        <f t="shared" ref="AI66" si="239">IF(SUM(AF66:AF76)=0,"",IFERROR(AF66/AG66,""))</f>
        <v/>
      </c>
      <c r="AJ66" s="157">
        <f>AJ65+1</f>
        <v>2</v>
      </c>
    </row>
    <row r="67" spans="1:36" ht="24.95" customHeight="1" x14ac:dyDescent="0.25">
      <c r="A67" s="182" t="str">
        <f t="shared" si="30"/>
        <v>لطف آباد</v>
      </c>
      <c r="B67" s="216"/>
      <c r="C67" s="167" t="str">
        <f t="shared" si="31"/>
        <v>خرداد</v>
      </c>
      <c r="D67" s="171">
        <f>SUMIFS(صادرات!$K$4:$K$500,صادرات!$J$4:$J$500,$C67,صادرات!$I$4:$I$500,$A67)+SUMIFS(صادرات!$C$4:$C$500,صادرات!$B$4:$B$500,$C67,صادرات!$A$4:$A$500,$A67)</f>
        <v>0</v>
      </c>
      <c r="E67" s="159">
        <v>125.24117688371003</v>
      </c>
      <c r="F67" s="159">
        <f t="shared" si="13"/>
        <v>-125.24117688371003</v>
      </c>
      <c r="G67" s="175">
        <f>IF(SUM(D67:D76)=0,"",IFERROR(D67/E67,""))</f>
        <v>0</v>
      </c>
      <c r="H67" s="171">
        <f>SUMIFS(صادرات!$L$4:$L$500,صادرات!$J$4:$J$500,$C67,صادرات!$I$4:$I$500,$A67)+SUMIFS(صادرات!$D$4:$D$500,صادرات!$B$4:$B$500,$C67,صادرات!$A$4:$A$500,$A67)</f>
        <v>26</v>
      </c>
      <c r="I67" s="159">
        <v>346.04665661875907</v>
      </c>
      <c r="J67" s="159">
        <f t="shared" si="14"/>
        <v>-320.04665661875907</v>
      </c>
      <c r="K67" s="175">
        <f>IF(SUM(H67:H76)=0,"",IFERROR(H67/I67,""))</f>
        <v>7.5134377121418919E-2</v>
      </c>
      <c r="L67" s="171">
        <f>SUMIFS(صادرات!$M$4:$M$500,صادرات!$J$4:$J$500,$C67,صادرات!$I$4:$I$500,$A67)+SUMIFS(صادرات!$E$4:$E$500,صادرات!$B$4:$B$500,$C67,صادرات!$A$4:$A$500,$A67)</f>
        <v>0</v>
      </c>
      <c r="M67" s="159">
        <v>0</v>
      </c>
      <c r="N67" s="159">
        <f t="shared" si="15"/>
        <v>0</v>
      </c>
      <c r="O67" s="175" t="str">
        <f>IF(SUM(L67:L76)=0,"",IFERROR(L67/M67,""))</f>
        <v/>
      </c>
      <c r="P67" s="171">
        <f>SUMIFS(صادرات!$N$4:$N$500,صادرات!$J$4:$J$500,$C67,صادرات!$I$4:$I$500,$A67)+SUMIFS(صادرات!$F$4:$F$500,صادرات!$B$4:$B$500,$C67,صادرات!$A$4:$A$500,$A67)</f>
        <v>0</v>
      </c>
      <c r="Q67" s="159">
        <v>0</v>
      </c>
      <c r="R67" s="159">
        <f t="shared" si="16"/>
        <v>0</v>
      </c>
      <c r="S67" s="175" t="str">
        <f>IF(SUM(P67:P76)=0,"",IFERROR(P67/Q67,""))</f>
        <v/>
      </c>
      <c r="T67" s="171">
        <f t="shared" si="110"/>
        <v>15</v>
      </c>
      <c r="U67" s="159">
        <f t="shared" si="111"/>
        <v>375.72353065113009</v>
      </c>
      <c r="V67" s="159">
        <f t="shared" si="17"/>
        <v>-360.72353065113009</v>
      </c>
      <c r="W67" s="175">
        <f t="shared" ref="W67" si="240">IF(SUM(T67:T76)=0,"",IFERROR(T67/U67,""))</f>
        <v>3.9922972016165591E-2</v>
      </c>
      <c r="X67" s="171">
        <f t="shared" si="113"/>
        <v>72</v>
      </c>
      <c r="Y67" s="159">
        <f t="shared" si="114"/>
        <v>1038.1399698562773</v>
      </c>
      <c r="Z67" s="159">
        <f t="shared" si="18"/>
        <v>-966.13996985627728</v>
      </c>
      <c r="AA67" s="175">
        <f t="shared" ref="AA67" si="241">IF(SUM(X67:X76)=0,"",IFERROR(X67/Y67,""))</f>
        <v>6.9354809650540541E-2</v>
      </c>
      <c r="AB67" s="171">
        <f t="shared" si="116"/>
        <v>0</v>
      </c>
      <c r="AC67" s="159">
        <f t="shared" si="117"/>
        <v>0</v>
      </c>
      <c r="AD67" s="159">
        <f t="shared" si="19"/>
        <v>0</v>
      </c>
      <c r="AE67" s="175" t="str">
        <f t="shared" ref="AE67" si="242">IF(SUM(AB67:AB76)=0,"",IFERROR(AB67/AC67,""))</f>
        <v/>
      </c>
      <c r="AF67" s="171">
        <f t="shared" si="119"/>
        <v>0</v>
      </c>
      <c r="AG67" s="159">
        <f t="shared" si="120"/>
        <v>0</v>
      </c>
      <c r="AH67" s="159">
        <f t="shared" si="20"/>
        <v>0</v>
      </c>
      <c r="AI67" s="187" t="str">
        <f t="shared" ref="AI67" si="243">IF(SUM(AF67:AF76)=0,"",IFERROR(AF67/AG67,""))</f>
        <v/>
      </c>
      <c r="AJ67" s="157">
        <f t="shared" ref="AJ67:AJ75" si="244">AJ66+1</f>
        <v>3</v>
      </c>
    </row>
    <row r="68" spans="1:36" ht="24.95" customHeight="1" x14ac:dyDescent="0.25">
      <c r="A68" s="182" t="str">
        <f t="shared" si="30"/>
        <v>لطف آباد</v>
      </c>
      <c r="B68" s="216"/>
      <c r="C68" s="167" t="str">
        <f t="shared" si="31"/>
        <v>تیر</v>
      </c>
      <c r="D68" s="171">
        <f>SUMIFS(صادرات!$K$4:$K$500,صادرات!$J$4:$J$500,$C68,صادرات!$I$4:$I$500,$A68)+SUMIFS(صادرات!$C$4:$C$500,صادرات!$B$4:$B$500,$C68,صادرات!$A$4:$A$500,$A68)</f>
        <v>63</v>
      </c>
      <c r="E68" s="159">
        <v>139.48866702816835</v>
      </c>
      <c r="F68" s="159">
        <f t="shared" si="13"/>
        <v>-76.488667028168351</v>
      </c>
      <c r="G68" s="175">
        <f>IF(SUM(D68:D76)=0,"",IFERROR(D68/E68,""))</f>
        <v>0.45164959521247539</v>
      </c>
      <c r="H68" s="171">
        <f>SUMIFS(صادرات!$L$4:$L$500,صادرات!$J$4:$J$500,$C68,صادرات!$I$4:$I$500,$A68)+SUMIFS(صادرات!$D$4:$D$500,صادرات!$B$4:$B$500,$C68,صادرات!$A$4:$A$500,$A68)</f>
        <v>41</v>
      </c>
      <c r="I68" s="159">
        <v>200.58475137133814</v>
      </c>
      <c r="J68" s="159">
        <f t="shared" si="14"/>
        <v>-159.58475137133814</v>
      </c>
      <c r="K68" s="175">
        <f>IF(SUM(H68:H76)=0,"",IFERROR(H68/I68,""))</f>
        <v>0.20440237714828882</v>
      </c>
      <c r="L68" s="171">
        <f>SUMIFS(صادرات!$M$4:$M$500,صادرات!$J$4:$J$500,$C68,صادرات!$I$4:$I$500,$A68)+SUMIFS(صادرات!$E$4:$E$500,صادرات!$B$4:$B$500,$C68,صادرات!$A$4:$A$500,$A68)</f>
        <v>0</v>
      </c>
      <c r="M68" s="159">
        <v>0</v>
      </c>
      <c r="N68" s="159">
        <f t="shared" si="15"/>
        <v>0</v>
      </c>
      <c r="O68" s="175" t="str">
        <f>IF(SUM(L68:L76)=0,"",IFERROR(L68/M68,""))</f>
        <v/>
      </c>
      <c r="P68" s="171">
        <f>SUMIFS(صادرات!$N$4:$N$500,صادرات!$J$4:$J$500,$C68,صادرات!$I$4:$I$500,$A68)+SUMIFS(صادرات!$F$4:$F$500,صادرات!$B$4:$B$500,$C68,صادرات!$A$4:$A$500,$A68)</f>
        <v>0</v>
      </c>
      <c r="Q68" s="159">
        <v>0</v>
      </c>
      <c r="R68" s="159">
        <f t="shared" si="16"/>
        <v>0</v>
      </c>
      <c r="S68" s="175" t="str">
        <f>IF(SUM(P68:P76)=0,"",IFERROR(P68/Q68,""))</f>
        <v/>
      </c>
      <c r="T68" s="171">
        <f t="shared" si="110"/>
        <v>78</v>
      </c>
      <c r="U68" s="159">
        <f t="shared" si="111"/>
        <v>515.21219767929847</v>
      </c>
      <c r="V68" s="159">
        <f t="shared" si="17"/>
        <v>-437.21219767929847</v>
      </c>
      <c r="W68" s="175">
        <f t="shared" ref="W68" si="245">IF(SUM(T68:T76)=0,"",IFERROR(T68/U68,""))</f>
        <v>0.1513939311828022</v>
      </c>
      <c r="X68" s="171">
        <f t="shared" si="113"/>
        <v>113</v>
      </c>
      <c r="Y68" s="159">
        <f t="shared" si="114"/>
        <v>1238.7247212276154</v>
      </c>
      <c r="Z68" s="159">
        <f t="shared" si="18"/>
        <v>-1125.7247212276154</v>
      </c>
      <c r="AA68" s="175">
        <f t="shared" ref="AA68" si="246">IF(SUM(X68:X76)=0,"",IFERROR(X68/Y68,""))</f>
        <v>9.1222850455437279E-2</v>
      </c>
      <c r="AB68" s="171">
        <f t="shared" si="116"/>
        <v>0</v>
      </c>
      <c r="AC68" s="159">
        <f t="shared" si="117"/>
        <v>0</v>
      </c>
      <c r="AD68" s="159">
        <f t="shared" si="19"/>
        <v>0</v>
      </c>
      <c r="AE68" s="175" t="str">
        <f t="shared" ref="AE68" si="247">IF(SUM(AB68:AB76)=0,"",IFERROR(AB68/AC68,""))</f>
        <v/>
      </c>
      <c r="AF68" s="171">
        <f t="shared" si="119"/>
        <v>0</v>
      </c>
      <c r="AG68" s="159">
        <f t="shared" si="120"/>
        <v>0</v>
      </c>
      <c r="AH68" s="159">
        <f t="shared" si="20"/>
        <v>0</v>
      </c>
      <c r="AI68" s="187" t="str">
        <f t="shared" ref="AI68" si="248">IF(SUM(AF68:AF76)=0,"",IFERROR(AF68/AG68,""))</f>
        <v/>
      </c>
      <c r="AJ68" s="157">
        <f t="shared" si="244"/>
        <v>4</v>
      </c>
    </row>
    <row r="69" spans="1:36" ht="24.95" customHeight="1" x14ac:dyDescent="0.25">
      <c r="A69" s="182" t="str">
        <f t="shared" si="30"/>
        <v>لطف آباد</v>
      </c>
      <c r="B69" s="216"/>
      <c r="C69" s="167" t="str">
        <f t="shared" si="31"/>
        <v>مرداد</v>
      </c>
      <c r="D69" s="171">
        <f>SUMIFS(صادرات!$K$4:$K$500,صادرات!$J$4:$J$500,$C69,صادرات!$I$4:$I$500,$A69)+SUMIFS(صادرات!$C$4:$C$500,صادرات!$B$4:$B$500,$C69,صادرات!$A$4:$A$500,$A69)</f>
        <v>343</v>
      </c>
      <c r="E69" s="159">
        <v>139.48866702816835</v>
      </c>
      <c r="F69" s="159">
        <f t="shared" si="13"/>
        <v>203.51133297183165</v>
      </c>
      <c r="G69" s="175">
        <f>IF(SUM(D69:D76)=0,"",IFERROR(D69/E69,""))</f>
        <v>2.458981129490144</v>
      </c>
      <c r="H69" s="171">
        <f>SUMIFS(صادرات!$L$4:$L$500,صادرات!$J$4:$J$500,$C69,صادرات!$I$4:$I$500,$A69)+SUMIFS(صادرات!$D$4:$D$500,صادرات!$B$4:$B$500,$C69,صادرات!$A$4:$A$500,$A69)</f>
        <v>348</v>
      </c>
      <c r="I69" s="159">
        <v>200.58475137133814</v>
      </c>
      <c r="J69" s="159">
        <f t="shared" si="14"/>
        <v>147.41524862866186</v>
      </c>
      <c r="K69" s="175">
        <f>IF(SUM(H69:H76)=0,"",IFERROR(H69/I69,""))</f>
        <v>1.7349274938440122</v>
      </c>
      <c r="L69" s="171">
        <f>SUMIFS(صادرات!$M$4:$M$500,صادرات!$J$4:$J$500,$C69,صادرات!$I$4:$I$500,$A69)+SUMIFS(صادرات!$E$4:$E$500,صادرات!$B$4:$B$500,$C69,صادرات!$A$4:$A$500,$A69)</f>
        <v>0</v>
      </c>
      <c r="M69" s="159">
        <v>0</v>
      </c>
      <c r="N69" s="159">
        <f t="shared" si="15"/>
        <v>0</v>
      </c>
      <c r="O69" s="175" t="str">
        <f>IF(SUM(L69:L76)=0,"",IFERROR(L69/M69,""))</f>
        <v/>
      </c>
      <c r="P69" s="171">
        <f>SUMIFS(صادرات!$N$4:$N$500,صادرات!$J$4:$J$500,$C69,صادرات!$I$4:$I$500,$A69)+SUMIFS(صادرات!$F$4:$F$500,صادرات!$B$4:$B$500,$C69,صادرات!$A$4:$A$500,$A69)</f>
        <v>0</v>
      </c>
      <c r="Q69" s="159">
        <v>0</v>
      </c>
      <c r="R69" s="159">
        <f t="shared" si="16"/>
        <v>0</v>
      </c>
      <c r="S69" s="175" t="str">
        <f>IF(SUM(P69:P76)=0,"",IFERROR(P69/Q69,""))</f>
        <v/>
      </c>
      <c r="T69" s="171">
        <f t="shared" ref="T69:T100" si="249">IF(OR($C$1="",$AJ69&gt;$C$1),"",IFERROR(SUMIFS(D$5:D$5012,$A$5:$A$5012,$A69,$AJ$5:$AJ$5012,"&lt;"&amp;$AJ69+1),""))</f>
        <v>421</v>
      </c>
      <c r="U69" s="159">
        <f t="shared" ref="U69:U100" si="250">IF($C$1="","",IFERROR(SUMIFS(E$5:E$5012,$A$5:$A$5012,$A69,$AJ$5:$AJ$5012,"&lt;"&amp;$AJ69+1),""))</f>
        <v>654.70086470746685</v>
      </c>
      <c r="V69" s="159">
        <f t="shared" si="17"/>
        <v>-233.70086470746685</v>
      </c>
      <c r="W69" s="175">
        <f t="shared" ref="W69" si="251">IF(SUM(T69:T76)=0,"",IFERROR(T69/U69,""))</f>
        <v>0.64304176562850734</v>
      </c>
      <c r="X69" s="171">
        <f t="shared" ref="X69:X100" si="252">IF(OR($C$1="",$AJ69&gt;$C$1),"",IFERROR(SUMIFS(H$5:H$5012,$A$5:$A$5012,$A69,$AJ$5:$AJ$5012,"&lt;"&amp;$AJ69+1),""))</f>
        <v>461</v>
      </c>
      <c r="Y69" s="159">
        <f t="shared" ref="Y69:Y100" si="253">IF($C$1="","",IFERROR(SUMIFS(I$5:I$5012,$A$5:$A$5012,$A69,$AJ$5:$AJ$5012,"&lt;"&amp;$AJ69+1),""))</f>
        <v>1439.3094725989536</v>
      </c>
      <c r="Z69" s="159">
        <f t="shared" si="18"/>
        <v>-978.30947259895356</v>
      </c>
      <c r="AA69" s="175">
        <f t="shared" ref="AA69" si="254">IF(SUM(X69:X76)=0,"",IFERROR(X69/Y69,""))</f>
        <v>0.32029247967608709</v>
      </c>
      <c r="AB69" s="171">
        <f t="shared" ref="AB69:AB100" si="255">IF(OR($C$1="",$AJ69&gt;$C$1),"",IFERROR(SUMIFS(L$5:L$5012,$A$5:$A$5012,$A69,$AJ$5:$AJ$5012,"&lt;"&amp;$AJ69+1),""))</f>
        <v>0</v>
      </c>
      <c r="AC69" s="159">
        <f t="shared" ref="AC69:AC100" si="256">IF($C$1="","",IFERROR(SUMIFS(M$5:M$5012,$A$5:$A$5012,$A69,$AJ$5:$AJ$5012,"&lt;"&amp;$AJ69+1),""))</f>
        <v>0</v>
      </c>
      <c r="AD69" s="159">
        <f t="shared" si="19"/>
        <v>0</v>
      </c>
      <c r="AE69" s="175" t="str">
        <f t="shared" ref="AE69" si="257">IF(SUM(AB69:AB76)=0,"",IFERROR(AB69/AC69,""))</f>
        <v/>
      </c>
      <c r="AF69" s="171">
        <f t="shared" ref="AF69:AF100" si="258">IF(OR($C$1="",$AJ69&gt;$C$1),"",IFERROR(SUMIFS(P$5:P$5012,$A$5:$A$5012,$A69,$AJ$5:$AJ$5012,"&lt;"&amp;$AJ69+1),""))</f>
        <v>0</v>
      </c>
      <c r="AG69" s="159">
        <f t="shared" ref="AG69:AG100" si="259">IF($C$1="","",IFERROR(SUMIFS(Q$5:Q$5012,$A$5:$A$5012,$A69,$AJ$5:$AJ$5012,"&lt;"&amp;$AJ69+1),""))</f>
        <v>0</v>
      </c>
      <c r="AH69" s="159">
        <f t="shared" si="20"/>
        <v>0</v>
      </c>
      <c r="AI69" s="187" t="str">
        <f t="shared" ref="AI69" si="260">IF(SUM(AF69:AF76)=0,"",IFERROR(AF69/AG69,""))</f>
        <v/>
      </c>
      <c r="AJ69" s="157">
        <f t="shared" si="244"/>
        <v>5</v>
      </c>
    </row>
    <row r="70" spans="1:36" ht="24.95" customHeight="1" x14ac:dyDescent="0.25">
      <c r="A70" s="182" t="str">
        <f t="shared" si="30"/>
        <v>لطف آباد</v>
      </c>
      <c r="B70" s="216"/>
      <c r="C70" s="167" t="str">
        <f t="shared" si="31"/>
        <v>شهریور</v>
      </c>
      <c r="D70" s="171">
        <f>SUMIFS(صادرات!$K$4:$K$500,صادرات!$J$4:$J$500,$C70,صادرات!$I$4:$I$500,$A70)+SUMIFS(صادرات!$C$4:$C$500,صادرات!$B$4:$B$500,$C70,صادرات!$A$4:$A$500,$A70)</f>
        <v>674</v>
      </c>
      <c r="E70" s="159">
        <v>139.48866702816835</v>
      </c>
      <c r="F70" s="159">
        <f t="shared" ref="F70:F133" si="261">IFERROR(SUM(D70,-E70),"")</f>
        <v>534.51133297183162</v>
      </c>
      <c r="G70" s="175">
        <f>IF(SUM(D70:D76)=0,"",IFERROR(D70/E70,""))</f>
        <v>4.8319337646541021</v>
      </c>
      <c r="H70" s="171">
        <f>SUMIFS(صادرات!$L$4:$L$500,صادرات!$J$4:$J$500,$C70,صادرات!$I$4:$I$500,$A70)+SUMIFS(صادرات!$D$4:$D$500,صادرات!$B$4:$B$500,$C70,صادرات!$A$4:$A$500,$A70)</f>
        <v>535</v>
      </c>
      <c r="I70" s="159">
        <v>200.58475137133814</v>
      </c>
      <c r="J70" s="159">
        <f t="shared" ref="J70:J133" si="262">IFERROR(SUM(H70,-I70),"")</f>
        <v>334.41524862866186</v>
      </c>
      <c r="K70" s="175">
        <f>IF(SUM(H70:H76)=0,"",IFERROR(H70/I70,""))</f>
        <v>2.6672017505935246</v>
      </c>
      <c r="L70" s="171">
        <f>SUMIFS(صادرات!$M$4:$M$500,صادرات!$J$4:$J$500,$C70,صادرات!$I$4:$I$500,$A70)+SUMIFS(صادرات!$E$4:$E$500,صادرات!$B$4:$B$500,$C70,صادرات!$A$4:$A$500,$A70)</f>
        <v>0</v>
      </c>
      <c r="M70" s="159">
        <v>0</v>
      </c>
      <c r="N70" s="159">
        <f t="shared" ref="N70:N133" si="263">IFERROR(SUM(L70,-M70),"")</f>
        <v>0</v>
      </c>
      <c r="O70" s="175" t="str">
        <f>IF(SUM(L70:L76)=0,"",IFERROR(L70/M70,""))</f>
        <v/>
      </c>
      <c r="P70" s="171">
        <f>SUMIFS(صادرات!$N$4:$N$500,صادرات!$J$4:$J$500,$C70,صادرات!$I$4:$I$500,$A70)+SUMIFS(صادرات!$F$4:$F$500,صادرات!$B$4:$B$500,$C70,صادرات!$A$4:$A$500,$A70)</f>
        <v>0</v>
      </c>
      <c r="Q70" s="159">
        <v>0</v>
      </c>
      <c r="R70" s="159">
        <f t="shared" ref="R70:R133" si="264">IFERROR(SUM(P70,-Q70),"")</f>
        <v>0</v>
      </c>
      <c r="S70" s="175" t="str">
        <f>IF(SUM(P70:P76)=0,"",IFERROR(P70/Q70,""))</f>
        <v/>
      </c>
      <c r="T70" s="171">
        <f t="shared" si="249"/>
        <v>1095</v>
      </c>
      <c r="U70" s="159">
        <f t="shared" si="250"/>
        <v>794.18953173563523</v>
      </c>
      <c r="V70" s="159">
        <f t="shared" ref="V70:V133" si="265">IFERROR(SUM(T70,-U70),"")</f>
        <v>300.81046826436477</v>
      </c>
      <c r="W70" s="175">
        <f t="shared" ref="W70" si="266">IF(SUM(T70:T76)=0,"",IFERROR(T70/U70,""))</f>
        <v>1.3787640811721209</v>
      </c>
      <c r="X70" s="171">
        <f t="shared" si="252"/>
        <v>996</v>
      </c>
      <c r="Y70" s="159">
        <f t="shared" si="253"/>
        <v>1639.8942239702917</v>
      </c>
      <c r="Z70" s="159">
        <f t="shared" ref="Z70:Z133" si="267">IFERROR(SUM(X70,-Y70),"")</f>
        <v>-643.8942239702917</v>
      </c>
      <c r="AA70" s="175">
        <f t="shared" ref="AA70" si="268">IF(SUM(X70:X76)=0,"",IFERROR(X70/Y70,""))</f>
        <v>0.60735624617825568</v>
      </c>
      <c r="AB70" s="171">
        <f t="shared" si="255"/>
        <v>0</v>
      </c>
      <c r="AC70" s="159">
        <f t="shared" si="256"/>
        <v>0</v>
      </c>
      <c r="AD70" s="159">
        <f t="shared" ref="AD70:AD133" si="269">IFERROR(SUM(AB70,-AC70),"")</f>
        <v>0</v>
      </c>
      <c r="AE70" s="175" t="str">
        <f t="shared" ref="AE70" si="270">IF(SUM(AB70:AB76)=0,"",IFERROR(AB70/AC70,""))</f>
        <v/>
      </c>
      <c r="AF70" s="171">
        <f t="shared" si="258"/>
        <v>0</v>
      </c>
      <c r="AG70" s="159">
        <f t="shared" si="259"/>
        <v>0</v>
      </c>
      <c r="AH70" s="159">
        <f t="shared" ref="AH70:AH133" si="271">IFERROR(SUM(AF70,-AG70),"")</f>
        <v>0</v>
      </c>
      <c r="AI70" s="187" t="str">
        <f t="shared" ref="AI70" si="272">IF(SUM(AF70:AF76)=0,"",IFERROR(AF70/AG70,""))</f>
        <v/>
      </c>
      <c r="AJ70" s="157">
        <f t="shared" si="244"/>
        <v>6</v>
      </c>
    </row>
    <row r="71" spans="1:36" ht="24.95" customHeight="1" x14ac:dyDescent="0.25">
      <c r="A71" s="182" t="str">
        <f t="shared" si="30"/>
        <v>لطف آباد</v>
      </c>
      <c r="B71" s="216"/>
      <c r="C71" s="167" t="str">
        <f t="shared" si="31"/>
        <v>مهر</v>
      </c>
      <c r="D71" s="171">
        <f>SUMIFS(صادرات!$K$4:$K$500,صادرات!$J$4:$J$500,$C71,صادرات!$I$4:$I$500,$A71)+SUMIFS(صادرات!$C$4:$C$500,صادرات!$B$4:$B$500,$C71,صادرات!$A$4:$A$500,$A71)</f>
        <v>775</v>
      </c>
      <c r="E71" s="159">
        <v>79.020156088121638</v>
      </c>
      <c r="F71" s="159">
        <f t="shared" si="261"/>
        <v>695.97984391187833</v>
      </c>
      <c r="G71" s="175">
        <f>IF(SUM(D71:D76)=0,"",IFERROR(D71/E71,""))</f>
        <v>9.8076242615331726</v>
      </c>
      <c r="H71" s="171">
        <f>SUMIFS(صادرات!$L$4:$L$500,صادرات!$J$4:$J$500,$C71,صادرات!$I$4:$I$500,$A71)+SUMIFS(صادرات!$D$4:$D$500,صادرات!$B$4:$B$500,$C71,صادرات!$A$4:$A$500,$A71)</f>
        <v>629</v>
      </c>
      <c r="I71" s="159">
        <v>227.11859200990276</v>
      </c>
      <c r="J71" s="159">
        <f t="shared" si="262"/>
        <v>401.88140799009727</v>
      </c>
      <c r="K71" s="175">
        <f>IF(SUM(H71:H76)=0,"",IFERROR(H71/I71,""))</f>
        <v>2.7694782467327665</v>
      </c>
      <c r="L71" s="171">
        <f>SUMIFS(صادرات!$M$4:$M$500,صادرات!$J$4:$J$500,$C71,صادرات!$I$4:$I$500,$A71)+SUMIFS(صادرات!$E$4:$E$500,صادرات!$B$4:$B$500,$C71,صادرات!$A$4:$A$500,$A71)</f>
        <v>0</v>
      </c>
      <c r="M71" s="159">
        <v>0</v>
      </c>
      <c r="N71" s="159">
        <f t="shared" si="263"/>
        <v>0</v>
      </c>
      <c r="O71" s="175" t="str">
        <f>IF(SUM(L71:L76)=0,"",IFERROR(L71/M71,""))</f>
        <v/>
      </c>
      <c r="P71" s="171">
        <f>SUMIFS(صادرات!$N$4:$N$500,صادرات!$J$4:$J$500,$C71,صادرات!$I$4:$I$500,$A71)+SUMIFS(صادرات!$F$4:$F$500,صادرات!$B$4:$B$500,$C71,صادرات!$A$4:$A$500,$A71)</f>
        <v>0</v>
      </c>
      <c r="Q71" s="159">
        <v>0</v>
      </c>
      <c r="R71" s="159">
        <f t="shared" si="264"/>
        <v>0</v>
      </c>
      <c r="S71" s="175" t="str">
        <f>IF(SUM(P71:P76)=0,"",IFERROR(P71/Q71,""))</f>
        <v/>
      </c>
      <c r="T71" s="171">
        <f t="shared" si="249"/>
        <v>1870</v>
      </c>
      <c r="U71" s="159">
        <f t="shared" si="250"/>
        <v>873.20968782375689</v>
      </c>
      <c r="V71" s="159">
        <f t="shared" si="265"/>
        <v>996.79031217624311</v>
      </c>
      <c r="W71" s="175">
        <f t="shared" ref="W71" si="273">IF(SUM(T71:T76)=0,"",IFERROR(T71/U71,""))</f>
        <v>2.1415245685838391</v>
      </c>
      <c r="X71" s="171">
        <f t="shared" si="252"/>
        <v>1625</v>
      </c>
      <c r="Y71" s="159">
        <f t="shared" si="253"/>
        <v>1867.0128159801945</v>
      </c>
      <c r="Z71" s="159">
        <f t="shared" si="267"/>
        <v>-242.01281598019455</v>
      </c>
      <c r="AA71" s="175">
        <f t="shared" ref="AA71" si="274">IF(SUM(X71:X76)=0,"",IFERROR(X71/Y71,""))</f>
        <v>0.87037431456883907</v>
      </c>
      <c r="AB71" s="171">
        <f t="shared" si="255"/>
        <v>0</v>
      </c>
      <c r="AC71" s="159">
        <f t="shared" si="256"/>
        <v>0</v>
      </c>
      <c r="AD71" s="159">
        <f t="shared" si="269"/>
        <v>0</v>
      </c>
      <c r="AE71" s="175" t="str">
        <f t="shared" ref="AE71" si="275">IF(SUM(AB71:AB76)=0,"",IFERROR(AB71/AC71,""))</f>
        <v/>
      </c>
      <c r="AF71" s="171">
        <f t="shared" si="258"/>
        <v>0</v>
      </c>
      <c r="AG71" s="159">
        <f t="shared" si="259"/>
        <v>0</v>
      </c>
      <c r="AH71" s="159">
        <f t="shared" si="271"/>
        <v>0</v>
      </c>
      <c r="AI71" s="187" t="str">
        <f t="shared" ref="AI71" si="276">IF(SUM(AF71:AF76)=0,"",IFERROR(AF71/AG71,""))</f>
        <v/>
      </c>
      <c r="AJ71" s="157">
        <f t="shared" si="244"/>
        <v>7</v>
      </c>
    </row>
    <row r="72" spans="1:36" ht="24.95" customHeight="1" x14ac:dyDescent="0.25">
      <c r="A72" s="182" t="str">
        <f t="shared" si="30"/>
        <v>لطف آباد</v>
      </c>
      <c r="B72" s="216"/>
      <c r="C72" s="167" t="str">
        <f t="shared" si="31"/>
        <v>آبان</v>
      </c>
      <c r="D72" s="171">
        <f>SUMIFS(صادرات!$K$4:$K$500,صادرات!$J$4:$J$500,$C72,صادرات!$I$4:$I$500,$A72)+SUMIFS(صادرات!$C$4:$C$500,صادرات!$B$4:$B$500,$C72,صادرات!$A$4:$A$500,$A72)</f>
        <v>370</v>
      </c>
      <c r="E72" s="159">
        <v>79.020156088121638</v>
      </c>
      <c r="F72" s="159">
        <f t="shared" si="261"/>
        <v>290.97984391187833</v>
      </c>
      <c r="G72" s="175">
        <f>IF(SUM(D72:D76)=0,"",IFERROR(D72/E72,""))</f>
        <v>4.6823496474416437</v>
      </c>
      <c r="H72" s="171">
        <f>SUMIFS(صادرات!$L$4:$L$500,صادرات!$J$4:$J$500,$C72,صادرات!$I$4:$I$500,$A72)+SUMIFS(صادرات!$D$4:$D$500,صادرات!$B$4:$B$500,$C72,صادرات!$A$4:$A$500,$A72)</f>
        <v>654</v>
      </c>
      <c r="I72" s="159">
        <v>227.11859200990276</v>
      </c>
      <c r="J72" s="159">
        <f t="shared" si="262"/>
        <v>426.88140799009727</v>
      </c>
      <c r="K72" s="175">
        <f>IF(SUM(H72:H76)=0,"",IFERROR(H72/I72,""))</f>
        <v>2.8795528988286634</v>
      </c>
      <c r="L72" s="171">
        <f>SUMIFS(صادرات!$M$4:$M$500,صادرات!$J$4:$J$500,$C72,صادرات!$I$4:$I$500,$A72)+SUMIFS(صادرات!$E$4:$E$500,صادرات!$B$4:$B$500,$C72,صادرات!$A$4:$A$500,$A72)</f>
        <v>0</v>
      </c>
      <c r="M72" s="159">
        <v>0</v>
      </c>
      <c r="N72" s="159">
        <f t="shared" si="263"/>
        <v>0</v>
      </c>
      <c r="O72" s="175" t="str">
        <f>IF(SUM(L72:L76)=0,"",IFERROR(L72/M72,""))</f>
        <v/>
      </c>
      <c r="P72" s="171">
        <f>SUMIFS(صادرات!$N$4:$N$500,صادرات!$J$4:$J$500,$C72,صادرات!$I$4:$I$500,$A72)+SUMIFS(صادرات!$F$4:$F$500,صادرات!$B$4:$B$500,$C72,صادرات!$A$4:$A$500,$A72)</f>
        <v>0</v>
      </c>
      <c r="Q72" s="159">
        <v>0</v>
      </c>
      <c r="R72" s="159">
        <f t="shared" si="264"/>
        <v>0</v>
      </c>
      <c r="S72" s="175" t="str">
        <f>IF(SUM(P72:P76)=0,"",IFERROR(P72/Q72,""))</f>
        <v/>
      </c>
      <c r="T72" s="171">
        <f t="shared" si="249"/>
        <v>2240</v>
      </c>
      <c r="U72" s="159">
        <f t="shared" si="250"/>
        <v>952.22984391187856</v>
      </c>
      <c r="V72" s="159">
        <f t="shared" si="265"/>
        <v>1287.7701560881214</v>
      </c>
      <c r="W72" s="175">
        <f t="shared" ref="W72" si="277">IF(SUM(T72:T76)=0,"",IFERROR(T72/U72,""))</f>
        <v>2.3523732366944117</v>
      </c>
      <c r="X72" s="171">
        <f t="shared" si="252"/>
        <v>2279</v>
      </c>
      <c r="Y72" s="159">
        <f t="shared" si="253"/>
        <v>2094.1314079900972</v>
      </c>
      <c r="Z72" s="159">
        <f t="shared" si="267"/>
        <v>184.86859200990284</v>
      </c>
      <c r="AA72" s="175">
        <f t="shared" ref="AA72" si="278">IF(SUM(X72:X76)=0,"",IFERROR(X72/Y72,""))</f>
        <v>1.0882793655185832</v>
      </c>
      <c r="AB72" s="171">
        <f t="shared" si="255"/>
        <v>0</v>
      </c>
      <c r="AC72" s="159">
        <f t="shared" si="256"/>
        <v>0</v>
      </c>
      <c r="AD72" s="159">
        <f t="shared" si="269"/>
        <v>0</v>
      </c>
      <c r="AE72" s="175" t="str">
        <f t="shared" ref="AE72" si="279">IF(SUM(AB72:AB76)=0,"",IFERROR(AB72/AC72,""))</f>
        <v/>
      </c>
      <c r="AF72" s="171">
        <f t="shared" si="258"/>
        <v>0</v>
      </c>
      <c r="AG72" s="159">
        <f t="shared" si="259"/>
        <v>0</v>
      </c>
      <c r="AH72" s="159">
        <f t="shared" si="271"/>
        <v>0</v>
      </c>
      <c r="AI72" s="187" t="str">
        <f t="shared" ref="AI72" si="280">IF(SUM(AF72:AF76)=0,"",IFERROR(AF72/AG72,""))</f>
        <v/>
      </c>
      <c r="AJ72" s="157">
        <f t="shared" si="244"/>
        <v>8</v>
      </c>
    </row>
    <row r="73" spans="1:36" ht="24.95" customHeight="1" x14ac:dyDescent="0.25">
      <c r="A73" s="182" t="str">
        <f t="shared" si="30"/>
        <v>لطف آباد</v>
      </c>
      <c r="B73" s="216"/>
      <c r="C73" s="167" t="str">
        <f t="shared" si="31"/>
        <v>آذر</v>
      </c>
      <c r="D73" s="171">
        <f>SUMIFS(صادرات!$K$4:$K$500,صادرات!$J$4:$J$500,$C73,صادرات!$I$4:$I$500,$A73)+SUMIFS(صادرات!$C$4:$C$500,صادرات!$B$4:$B$500,$C73,صادرات!$A$4:$A$500,$A73)</f>
        <v>240</v>
      </c>
      <c r="E73" s="159">
        <v>79.020156088121638</v>
      </c>
      <c r="F73" s="159">
        <f t="shared" si="261"/>
        <v>160.97984391187836</v>
      </c>
      <c r="G73" s="175">
        <f>IF(SUM(D73:D76)=0,"",IFERROR(D73/E73,""))</f>
        <v>3.0371997713134986</v>
      </c>
      <c r="H73" s="171">
        <f>SUMIFS(صادرات!$L$4:$L$500,صادرات!$J$4:$J$500,$C73,صادرات!$I$4:$I$500,$A73)+SUMIFS(صادرات!$D$4:$D$500,صادرات!$B$4:$B$500,$C73,صادرات!$A$4:$A$500,$A73)</f>
        <v>361</v>
      </c>
      <c r="I73" s="159">
        <v>227.11859200990276</v>
      </c>
      <c r="J73" s="159">
        <f t="shared" si="262"/>
        <v>133.88140799009724</v>
      </c>
      <c r="K73" s="175">
        <f>IF(SUM(H73:H76)=0,"",IFERROR(H73/I73,""))</f>
        <v>1.5894779762647515</v>
      </c>
      <c r="L73" s="171">
        <f>SUMIFS(صادرات!$M$4:$M$500,صادرات!$J$4:$J$500,$C73,صادرات!$I$4:$I$500,$A73)+SUMIFS(صادرات!$E$4:$E$500,صادرات!$B$4:$B$500,$C73,صادرات!$A$4:$A$500,$A73)</f>
        <v>0</v>
      </c>
      <c r="M73" s="159">
        <v>0</v>
      </c>
      <c r="N73" s="159">
        <f t="shared" si="263"/>
        <v>0</v>
      </c>
      <c r="O73" s="175" t="str">
        <f>IF(SUM(L73:L76)=0,"",IFERROR(L73/M73,""))</f>
        <v/>
      </c>
      <c r="P73" s="171">
        <f>SUMIFS(صادرات!$N$4:$N$500,صادرات!$J$4:$J$500,$C73,صادرات!$I$4:$I$500,$A73)+SUMIFS(صادرات!$F$4:$F$500,صادرات!$B$4:$B$500,$C73,صادرات!$A$4:$A$500,$A73)</f>
        <v>0</v>
      </c>
      <c r="Q73" s="159">
        <v>0</v>
      </c>
      <c r="R73" s="159">
        <f t="shared" si="264"/>
        <v>0</v>
      </c>
      <c r="S73" s="175" t="str">
        <f>IF(SUM(P73:P76)=0,"",IFERROR(P73/Q73,""))</f>
        <v/>
      </c>
      <c r="T73" s="171">
        <f t="shared" si="249"/>
        <v>2480</v>
      </c>
      <c r="U73" s="159">
        <f t="shared" si="250"/>
        <v>1031.2500000000002</v>
      </c>
      <c r="V73" s="159">
        <f t="shared" si="265"/>
        <v>1448.7499999999998</v>
      </c>
      <c r="W73" s="175">
        <f t="shared" ref="W73" si="281">IF(SUM(T73:T76)=0,"",IFERROR(T73/U73,""))</f>
        <v>2.4048484848484843</v>
      </c>
      <c r="X73" s="171">
        <f t="shared" si="252"/>
        <v>2640</v>
      </c>
      <c r="Y73" s="159">
        <f t="shared" si="253"/>
        <v>2321.25</v>
      </c>
      <c r="Z73" s="159">
        <f t="shared" si="267"/>
        <v>318.75</v>
      </c>
      <c r="AA73" s="175">
        <f t="shared" ref="AA73" si="282">IF(SUM(X73:X76)=0,"",IFERROR(X73/Y73,""))</f>
        <v>1.137318255250404</v>
      </c>
      <c r="AB73" s="171">
        <f t="shared" si="255"/>
        <v>0</v>
      </c>
      <c r="AC73" s="159">
        <f t="shared" si="256"/>
        <v>0</v>
      </c>
      <c r="AD73" s="159">
        <f t="shared" si="269"/>
        <v>0</v>
      </c>
      <c r="AE73" s="175" t="str">
        <f t="shared" ref="AE73" si="283">IF(SUM(AB73:AB76)=0,"",IFERROR(AB73/AC73,""))</f>
        <v/>
      </c>
      <c r="AF73" s="171">
        <f t="shared" si="258"/>
        <v>0</v>
      </c>
      <c r="AG73" s="159">
        <f t="shared" si="259"/>
        <v>0</v>
      </c>
      <c r="AH73" s="159">
        <f t="shared" si="271"/>
        <v>0</v>
      </c>
      <c r="AI73" s="187" t="str">
        <f t="shared" ref="AI73" si="284">IF(SUM(AF73:AF76)=0,"",IFERROR(AF73/AG73,""))</f>
        <v/>
      </c>
      <c r="AJ73" s="157">
        <f t="shared" si="244"/>
        <v>9</v>
      </c>
    </row>
    <row r="74" spans="1:36" ht="24.95" customHeight="1" x14ac:dyDescent="0.25">
      <c r="A74" s="182" t="str">
        <f t="shared" si="30"/>
        <v>لطف آباد</v>
      </c>
      <c r="B74" s="216"/>
      <c r="C74" s="167" t="str">
        <f t="shared" si="31"/>
        <v>دی</v>
      </c>
      <c r="D74" s="171">
        <f>SUMIFS(صادرات!$K$4:$K$500,صادرات!$J$4:$J$500,$C74,صادرات!$I$4:$I$500,$A74)+SUMIFS(صادرات!$C$4:$C$500,صادرات!$B$4:$B$500,$C74,صادرات!$A$4:$A$500,$A74)</f>
        <v>31</v>
      </c>
      <c r="E74" s="159">
        <v>170.16161487536181</v>
      </c>
      <c r="F74" s="159">
        <f t="shared" si="261"/>
        <v>-139.16161487536181</v>
      </c>
      <c r="G74" s="175">
        <f>IF(SUM(D74:D76)=0,"",IFERROR(D74/E74,""))</f>
        <v>0.18217974731085243</v>
      </c>
      <c r="H74" s="171">
        <f>SUMIFS(صادرات!$L$4:$L$500,صادرات!$J$4:$J$500,$C74,صادرات!$I$4:$I$500,$A74)+SUMIFS(صادرات!$D$4:$D$500,صادرات!$B$4:$B$500,$C74,صادرات!$A$4:$A$500,$A74)</f>
        <v>146</v>
      </c>
      <c r="I74" s="159">
        <v>331.70623579388916</v>
      </c>
      <c r="J74" s="159">
        <f t="shared" si="262"/>
        <v>-185.70623579388916</v>
      </c>
      <c r="K74" s="175">
        <f>IF(SUM(H74:H76)=0,"",IFERROR(H74/I74,""))</f>
        <v>0.44014849359274444</v>
      </c>
      <c r="L74" s="171">
        <f>SUMIFS(صادرات!$M$4:$M$500,صادرات!$J$4:$J$500,$C74,صادرات!$I$4:$I$500,$A74)+SUMIFS(صادرات!$E$4:$E$500,صادرات!$B$4:$B$500,$C74,صادرات!$A$4:$A$500,$A74)</f>
        <v>0</v>
      </c>
      <c r="M74" s="159">
        <v>0</v>
      </c>
      <c r="N74" s="159">
        <f t="shared" si="263"/>
        <v>0</v>
      </c>
      <c r="O74" s="175" t="str">
        <f>IF(SUM(L74:L76)=0,"",IFERROR(L74/M74,""))</f>
        <v/>
      </c>
      <c r="P74" s="171">
        <f>SUMIFS(صادرات!$N$4:$N$500,صادرات!$J$4:$J$500,$C74,صادرات!$I$4:$I$500,$A74)+SUMIFS(صادرات!$F$4:$F$500,صادرات!$B$4:$B$500,$C74,صادرات!$A$4:$A$500,$A74)</f>
        <v>0</v>
      </c>
      <c r="Q74" s="159">
        <v>0</v>
      </c>
      <c r="R74" s="159">
        <f t="shared" si="264"/>
        <v>0</v>
      </c>
      <c r="S74" s="175" t="str">
        <f>IF(SUM(P74:P76)=0,"",IFERROR(P74/Q74,""))</f>
        <v/>
      </c>
      <c r="T74" s="171">
        <f t="shared" si="249"/>
        <v>2511</v>
      </c>
      <c r="U74" s="159">
        <f t="shared" si="250"/>
        <v>1201.4116148753619</v>
      </c>
      <c r="V74" s="159">
        <f t="shared" si="265"/>
        <v>1309.5883851246381</v>
      </c>
      <c r="W74" s="175">
        <f t="shared" ref="W74" si="285">IF(SUM(T74:T76)=0,"",IFERROR(T74/U74,""))</f>
        <v>2.0900413887379461</v>
      </c>
      <c r="X74" s="171">
        <f t="shared" si="252"/>
        <v>2786</v>
      </c>
      <c r="Y74" s="159">
        <f t="shared" si="253"/>
        <v>2652.9562357938894</v>
      </c>
      <c r="Z74" s="159">
        <f t="shared" si="267"/>
        <v>133.04376420611061</v>
      </c>
      <c r="AA74" s="175">
        <f t="shared" ref="AA74" si="286">IF(SUM(X74:X76)=0,"",IFERROR(X74/Y74,""))</f>
        <v>1.0501492495093112</v>
      </c>
      <c r="AB74" s="171">
        <f t="shared" si="255"/>
        <v>0</v>
      </c>
      <c r="AC74" s="159">
        <f t="shared" si="256"/>
        <v>0</v>
      </c>
      <c r="AD74" s="159">
        <f t="shared" si="269"/>
        <v>0</v>
      </c>
      <c r="AE74" s="175" t="str">
        <f t="shared" ref="AE74" si="287">IF(SUM(AB74:AB76)=0,"",IFERROR(AB74/AC74,""))</f>
        <v/>
      </c>
      <c r="AF74" s="171">
        <f t="shared" si="258"/>
        <v>0</v>
      </c>
      <c r="AG74" s="159">
        <f t="shared" si="259"/>
        <v>0</v>
      </c>
      <c r="AH74" s="159">
        <f t="shared" si="271"/>
        <v>0</v>
      </c>
      <c r="AI74" s="187" t="str">
        <f t="shared" ref="AI74" si="288">IF(SUM(AF74:AF76)=0,"",IFERROR(AF74/AG74,""))</f>
        <v/>
      </c>
      <c r="AJ74" s="157">
        <f t="shared" si="244"/>
        <v>10</v>
      </c>
    </row>
    <row r="75" spans="1:36" ht="24.95" customHeight="1" x14ac:dyDescent="0.25">
      <c r="A75" s="182" t="str">
        <f t="shared" si="30"/>
        <v>لطف آباد</v>
      </c>
      <c r="B75" s="216"/>
      <c r="C75" s="167" t="str">
        <f t="shared" si="31"/>
        <v>بهمن</v>
      </c>
      <c r="D75" s="171">
        <f>SUMIFS(صادرات!$K$4:$K$500,صادرات!$J$4:$J$500,$C75,صادرات!$I$4:$I$500,$A75)+SUMIFS(صادرات!$C$4:$C$500,صادرات!$B$4:$B$500,$C75,صادرات!$A$4:$A$500,$A75)</f>
        <v>297</v>
      </c>
      <c r="E75" s="159">
        <v>170.16161487536181</v>
      </c>
      <c r="F75" s="159">
        <f t="shared" si="261"/>
        <v>126.83838512463819</v>
      </c>
      <c r="G75" s="175">
        <f>IF(SUM(D75:D76)=0,"",IFERROR(D75/E75,""))</f>
        <v>1.7453995145588119</v>
      </c>
      <c r="H75" s="171">
        <f>SUMIFS(صادرات!$L$4:$L$500,صادرات!$J$4:$J$500,$C75,صادرات!$I$4:$I$500,$A75)+SUMIFS(صادرات!$D$4:$D$500,صادرات!$B$4:$B$500,$C75,صادرات!$A$4:$A$500,$A75)</f>
        <v>319</v>
      </c>
      <c r="I75" s="159">
        <v>331.70623579388916</v>
      </c>
      <c r="J75" s="159">
        <f t="shared" si="262"/>
        <v>-12.706235793889164</v>
      </c>
      <c r="K75" s="175">
        <f>IF(SUM(H75:H76)=0,"",IFERROR(H75/I75,""))</f>
        <v>0.96169431134305117</v>
      </c>
      <c r="L75" s="171">
        <f>SUMIFS(صادرات!$M$4:$M$500,صادرات!$J$4:$J$500,$C75,صادرات!$I$4:$I$500,$A75)+SUMIFS(صادرات!$E$4:$E$500,صادرات!$B$4:$B$500,$C75,صادرات!$A$4:$A$500,$A75)</f>
        <v>0</v>
      </c>
      <c r="M75" s="159">
        <v>0</v>
      </c>
      <c r="N75" s="159">
        <f t="shared" si="263"/>
        <v>0</v>
      </c>
      <c r="O75" s="175" t="str">
        <f>IF(SUM(L75:L76)=0,"",IFERROR(L75/M75,""))</f>
        <v/>
      </c>
      <c r="P75" s="171">
        <f>SUMIFS(صادرات!$N$4:$N$500,صادرات!$J$4:$J$500,$C75,صادرات!$I$4:$I$500,$A75)+SUMIFS(صادرات!$F$4:$F$500,صادرات!$B$4:$B$500,$C75,صادرات!$A$4:$A$500,$A75)</f>
        <v>0</v>
      </c>
      <c r="Q75" s="159">
        <v>0</v>
      </c>
      <c r="R75" s="159">
        <f t="shared" si="264"/>
        <v>0</v>
      </c>
      <c r="S75" s="175" t="str">
        <f>IF(SUM(P75:P76)=0,"",IFERROR(P75/Q75,""))</f>
        <v/>
      </c>
      <c r="T75" s="171">
        <f t="shared" si="249"/>
        <v>2808</v>
      </c>
      <c r="U75" s="159">
        <f t="shared" si="250"/>
        <v>1371.5732297507238</v>
      </c>
      <c r="V75" s="159">
        <f t="shared" si="265"/>
        <v>1436.4267702492762</v>
      </c>
      <c r="W75" s="175">
        <f t="shared" ref="W75" si="289">IF(SUM(T75:T76)=0,"",IFERROR(T75/U75,""))</f>
        <v>2.047284052423755</v>
      </c>
      <c r="X75" s="171">
        <f t="shared" si="252"/>
        <v>3105</v>
      </c>
      <c r="Y75" s="159">
        <f t="shared" si="253"/>
        <v>2984.6624715877788</v>
      </c>
      <c r="Z75" s="159">
        <f t="shared" si="267"/>
        <v>120.33752841222122</v>
      </c>
      <c r="AA75" s="175">
        <f t="shared" ref="AA75" si="290">IF(SUM(X75:X76)=0,"",IFERROR(X75/Y75,""))</f>
        <v>1.0403186388939329</v>
      </c>
      <c r="AB75" s="171">
        <f t="shared" si="255"/>
        <v>0</v>
      </c>
      <c r="AC75" s="159">
        <f t="shared" si="256"/>
        <v>0</v>
      </c>
      <c r="AD75" s="159">
        <f t="shared" si="269"/>
        <v>0</v>
      </c>
      <c r="AE75" s="175" t="str">
        <f t="shared" ref="AE75" si="291">IF(SUM(AB75:AB76)=0,"",IFERROR(AB75/AC75,""))</f>
        <v/>
      </c>
      <c r="AF75" s="171">
        <f t="shared" si="258"/>
        <v>0</v>
      </c>
      <c r="AG75" s="159">
        <f t="shared" si="259"/>
        <v>0</v>
      </c>
      <c r="AH75" s="159">
        <f t="shared" si="271"/>
        <v>0</v>
      </c>
      <c r="AI75" s="187" t="str">
        <f t="shared" ref="AI75" si="292">IF(SUM(AF75:AF76)=0,"",IFERROR(AF75/AG75,""))</f>
        <v/>
      </c>
      <c r="AJ75" s="157">
        <f t="shared" si="244"/>
        <v>11</v>
      </c>
    </row>
    <row r="76" spans="1:36" ht="24.95" customHeight="1" thickBot="1" x14ac:dyDescent="0.3">
      <c r="A76" s="182" t="str">
        <f t="shared" si="30"/>
        <v>لطف آباد</v>
      </c>
      <c r="B76" s="217"/>
      <c r="C76" s="168" t="str">
        <f t="shared" si="31"/>
        <v>اسفند</v>
      </c>
      <c r="D76" s="172">
        <f>SUMIFS(صادرات!$K$4:$K$500,صادرات!$J$4:$J$500,$C76,صادرات!$I$4:$I$500,$A76)+SUMIFS(صادرات!$C$4:$C$500,صادرات!$B$4:$B$500,$C76,صادرات!$A$4:$A$500,$A76)</f>
        <v>428</v>
      </c>
      <c r="E76" s="173">
        <v>170.16161487536181</v>
      </c>
      <c r="F76" s="173">
        <f t="shared" si="261"/>
        <v>257.83838512463819</v>
      </c>
      <c r="G76" s="176">
        <f>IF(SUM(D76)=0,"",IFERROR(D76/E76,""))</f>
        <v>2.5152558660982205</v>
      </c>
      <c r="H76" s="172">
        <f>SUMIFS(صادرات!$L$4:$L$500,صادرات!$J$4:$J$500,$C76,صادرات!$I$4:$I$500,$A76)+SUMIFS(صادرات!$D$4:$D$500,صادرات!$B$4:$B$500,$C76,صادرات!$A$4:$A$500,$A76)</f>
        <v>389</v>
      </c>
      <c r="I76" s="173">
        <v>331.70623579388916</v>
      </c>
      <c r="J76" s="173">
        <f t="shared" si="262"/>
        <v>57.293764206110836</v>
      </c>
      <c r="K76" s="176">
        <f>IF(SUM(H76)=0,"",IFERROR(H76/I76,""))</f>
        <v>1.1727244110108055</v>
      </c>
      <c r="L76" s="172">
        <f>SUMIFS(صادرات!$M$4:$M$500,صادرات!$J$4:$J$500,$C76,صادرات!$I$4:$I$500,$A76)+SUMIFS(صادرات!$E$4:$E$500,صادرات!$B$4:$B$500,$C76,صادرات!$A$4:$A$500,$A76)</f>
        <v>0</v>
      </c>
      <c r="M76" s="173">
        <v>0</v>
      </c>
      <c r="N76" s="173">
        <f t="shared" si="263"/>
        <v>0</v>
      </c>
      <c r="O76" s="176" t="str">
        <f>IF(SUM(L76)=0,"",IFERROR(L76/M76,""))</f>
        <v/>
      </c>
      <c r="P76" s="172">
        <f>SUMIFS(صادرات!$N$4:$N$500,صادرات!$J$4:$J$500,$C76,صادرات!$I$4:$I$500,$A76)+SUMIFS(صادرات!$F$4:$F$500,صادرات!$B$4:$B$500,$C76,صادرات!$A$4:$A$500,$A76)</f>
        <v>0</v>
      </c>
      <c r="Q76" s="173">
        <v>0</v>
      </c>
      <c r="R76" s="173">
        <f t="shared" si="264"/>
        <v>0</v>
      </c>
      <c r="S76" s="176" t="str">
        <f>IF(SUM(P76)=0,"",IFERROR(P76/Q76,""))</f>
        <v/>
      </c>
      <c r="T76" s="172">
        <f t="shared" si="249"/>
        <v>3236</v>
      </c>
      <c r="U76" s="173">
        <f t="shared" si="250"/>
        <v>1541.7348446260858</v>
      </c>
      <c r="V76" s="173">
        <f t="shared" si="265"/>
        <v>1694.2651553739142</v>
      </c>
      <c r="W76" s="176">
        <f t="shared" ref="W76" si="293">IF(SUM(T76)=0,"",IFERROR(T76/U76,""))</f>
        <v>2.0989342047236543</v>
      </c>
      <c r="X76" s="172">
        <f t="shared" si="252"/>
        <v>3494</v>
      </c>
      <c r="Y76" s="173">
        <f t="shared" si="253"/>
        <v>3316.3687073816682</v>
      </c>
      <c r="Z76" s="173">
        <f t="shared" si="267"/>
        <v>177.63129261833183</v>
      </c>
      <c r="AA76" s="176">
        <f t="shared" ref="AA76" si="294">IF(SUM(X76)=0,"",IFERROR(X76/Y76,""))</f>
        <v>1.0535619855002718</v>
      </c>
      <c r="AB76" s="172">
        <f t="shared" si="255"/>
        <v>0</v>
      </c>
      <c r="AC76" s="173">
        <f t="shared" si="256"/>
        <v>0</v>
      </c>
      <c r="AD76" s="173">
        <f t="shared" si="269"/>
        <v>0</v>
      </c>
      <c r="AE76" s="176" t="str">
        <f t="shared" ref="AE76" si="295">IF(SUM(AB76)=0,"",IFERROR(AB76/AC76,""))</f>
        <v/>
      </c>
      <c r="AF76" s="172">
        <f t="shared" si="258"/>
        <v>0</v>
      </c>
      <c r="AG76" s="173">
        <f t="shared" si="259"/>
        <v>0</v>
      </c>
      <c r="AH76" s="173">
        <f t="shared" si="271"/>
        <v>0</v>
      </c>
      <c r="AI76" s="188" t="str">
        <f t="shared" ref="AI76" si="296">IF(SUM(AF76)=0,"",IFERROR(AF76/AG76,""))</f>
        <v/>
      </c>
      <c r="AJ76" s="157">
        <f>AJ75+1</f>
        <v>12</v>
      </c>
    </row>
    <row r="77" spans="1:36" ht="24.95" customHeight="1" x14ac:dyDescent="0.25">
      <c r="A77" s="182" t="str">
        <f t="shared" si="30"/>
        <v>نیشابور</v>
      </c>
      <c r="B77" s="215" t="str">
        <f>واردات!B50</f>
        <v>نیشابور</v>
      </c>
      <c r="C77" s="166" t="str">
        <f>C65</f>
        <v>فروردین</v>
      </c>
      <c r="D77" s="170">
        <f>SUMIFS(صادرات!$K$4:$K$500,صادرات!$J$4:$J$500,$C77,صادرات!$I$4:$I$500,$A77)+SUMIFS(صادرات!$C$4:$C$500,صادرات!$B$4:$B$500,$C77,صادرات!$A$4:$A$500,$A77)</f>
        <v>0</v>
      </c>
      <c r="E77" s="160">
        <v>0</v>
      </c>
      <c r="F77" s="160">
        <f t="shared" si="261"/>
        <v>0</v>
      </c>
      <c r="G77" s="185" t="str">
        <f>IF(SUM(D77:D88)=0,"",IFERROR(D77/E77,""))</f>
        <v/>
      </c>
      <c r="H77" s="170">
        <f>SUMIFS(صادرات!$L$4:$L$500,صادرات!$J$4:$J$500,$C77,صادرات!$I$4:$I$500,$A77)+SUMIFS(صادرات!$D$4:$D$500,صادرات!$B$4:$B$500,$C77,صادرات!$A$4:$A$500,$A77)</f>
        <v>0</v>
      </c>
      <c r="I77" s="160">
        <v>0</v>
      </c>
      <c r="J77" s="160">
        <f t="shared" si="262"/>
        <v>0</v>
      </c>
      <c r="K77" s="185" t="str">
        <f>IF(SUM(H77:H88)=0,"",IFERROR(H77/I77,""))</f>
        <v/>
      </c>
      <c r="L77" s="170">
        <f>SUMIFS(صادرات!$M$4:$M$500,صادرات!$J$4:$J$500,$C77,صادرات!$I$4:$I$500,$A77)+SUMIFS(صادرات!$E$4:$E$500,صادرات!$B$4:$B$500,$C77,صادرات!$A$4:$A$500,$A77)</f>
        <v>0</v>
      </c>
      <c r="M77" s="160">
        <v>0</v>
      </c>
      <c r="N77" s="160">
        <f t="shared" si="263"/>
        <v>0</v>
      </c>
      <c r="O77" s="185" t="str">
        <f>IF(SUM(L77:L88)=0,"",IFERROR(L77/M77,""))</f>
        <v/>
      </c>
      <c r="P77" s="170">
        <f>SUMIFS(صادرات!$N$4:$N$500,صادرات!$J$4:$J$500,$C77,صادرات!$I$4:$I$500,$A77)+SUMIFS(صادرات!$F$4:$F$500,صادرات!$B$4:$B$500,$C77,صادرات!$A$4:$A$500,$A77)</f>
        <v>0</v>
      </c>
      <c r="Q77" s="160">
        <v>0</v>
      </c>
      <c r="R77" s="160">
        <f t="shared" si="264"/>
        <v>0</v>
      </c>
      <c r="S77" s="185" t="str">
        <f>IF(SUM(P77:P88)=0,"",IFERROR(P77/Q77,""))</f>
        <v/>
      </c>
      <c r="T77" s="183">
        <f t="shared" si="249"/>
        <v>0</v>
      </c>
      <c r="U77" s="160">
        <f t="shared" si="250"/>
        <v>0</v>
      </c>
      <c r="V77" s="160">
        <f t="shared" si="265"/>
        <v>0</v>
      </c>
      <c r="W77" s="185" t="str">
        <f t="shared" ref="W77" si="297">IF(SUM(T77:T88)=0,"",IFERROR(T77/U77,""))</f>
        <v/>
      </c>
      <c r="X77" s="183">
        <f t="shared" si="252"/>
        <v>0</v>
      </c>
      <c r="Y77" s="160">
        <f t="shared" si="253"/>
        <v>0</v>
      </c>
      <c r="Z77" s="160">
        <f t="shared" si="267"/>
        <v>0</v>
      </c>
      <c r="AA77" s="185" t="str">
        <f t="shared" ref="AA77" si="298">IF(SUM(X77:X88)=0,"",IFERROR(X77/Y77,""))</f>
        <v/>
      </c>
      <c r="AB77" s="183">
        <f t="shared" si="255"/>
        <v>0</v>
      </c>
      <c r="AC77" s="160">
        <f t="shared" si="256"/>
        <v>0</v>
      </c>
      <c r="AD77" s="160">
        <f t="shared" si="269"/>
        <v>0</v>
      </c>
      <c r="AE77" s="185" t="str">
        <f t="shared" ref="AE77" si="299">IF(SUM(AB77:AB88)=0,"",IFERROR(AB77/AC77,""))</f>
        <v/>
      </c>
      <c r="AF77" s="183">
        <f t="shared" si="258"/>
        <v>0</v>
      </c>
      <c r="AG77" s="160">
        <f t="shared" si="259"/>
        <v>0</v>
      </c>
      <c r="AH77" s="160">
        <f t="shared" si="271"/>
        <v>0</v>
      </c>
      <c r="AI77" s="186" t="str">
        <f t="shared" ref="AI77" si="300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30"/>
        <v>نیشابور</v>
      </c>
      <c r="B78" s="216"/>
      <c r="C78" s="167" t="str">
        <f t="shared" si="31"/>
        <v>اردیبهشت</v>
      </c>
      <c r="D78" s="171">
        <f>SUMIFS(صادرات!$K$4:$K$500,صادرات!$J$4:$J$500,$C78,صادرات!$I$4:$I$500,$A78)+SUMIFS(صادرات!$C$4:$C$500,صادرات!$B$4:$B$500,$C78,صادرات!$A$4:$A$500,$A78)</f>
        <v>0</v>
      </c>
      <c r="E78" s="159">
        <v>0</v>
      </c>
      <c r="F78" s="159">
        <f t="shared" si="261"/>
        <v>0</v>
      </c>
      <c r="G78" s="175" t="str">
        <f>IF(SUM(D78:D88)=0,"",IFERROR(D78/E78,""))</f>
        <v/>
      </c>
      <c r="H78" s="171">
        <f>SUMIFS(صادرات!$L$4:$L$500,صادرات!$J$4:$J$500,$C78,صادرات!$I$4:$I$500,$A78)+SUMIFS(صادرات!$D$4:$D$500,صادرات!$B$4:$B$500,$C78,صادرات!$A$4:$A$500,$A78)</f>
        <v>0</v>
      </c>
      <c r="I78" s="159">
        <v>0</v>
      </c>
      <c r="J78" s="159">
        <f t="shared" si="262"/>
        <v>0</v>
      </c>
      <c r="K78" s="175" t="str">
        <f>IF(SUM(H78:H88)=0,"",IFERROR(H78/I78,""))</f>
        <v/>
      </c>
      <c r="L78" s="171">
        <f>SUMIFS(صادرات!$M$4:$M$500,صادرات!$J$4:$J$500,$C78,صادرات!$I$4:$I$500,$A78)+SUMIFS(صادرات!$E$4:$E$500,صادرات!$B$4:$B$500,$C78,صادرات!$A$4:$A$500,$A78)</f>
        <v>0</v>
      </c>
      <c r="M78" s="159">
        <v>0</v>
      </c>
      <c r="N78" s="159">
        <f t="shared" si="263"/>
        <v>0</v>
      </c>
      <c r="O78" s="175" t="str">
        <f>IF(SUM(L78:L88)=0,"",IFERROR(L78/M78,""))</f>
        <v/>
      </c>
      <c r="P78" s="171">
        <f>SUMIFS(صادرات!$N$4:$N$500,صادرات!$J$4:$J$500,$C78,صادرات!$I$4:$I$500,$A78)+SUMIFS(صادرات!$F$4:$F$500,صادرات!$B$4:$B$500,$C78,صادرات!$A$4:$A$500,$A78)</f>
        <v>0</v>
      </c>
      <c r="Q78" s="159">
        <v>0</v>
      </c>
      <c r="R78" s="159">
        <f t="shared" si="264"/>
        <v>0</v>
      </c>
      <c r="S78" s="175" t="str">
        <f>IF(SUM(P78:P88)=0,"",IFERROR(P78/Q78,""))</f>
        <v/>
      </c>
      <c r="T78" s="171">
        <f t="shared" si="249"/>
        <v>0</v>
      </c>
      <c r="U78" s="159">
        <f t="shared" si="250"/>
        <v>0</v>
      </c>
      <c r="V78" s="159">
        <f t="shared" si="265"/>
        <v>0</v>
      </c>
      <c r="W78" s="175" t="str">
        <f t="shared" ref="W78" si="301">IF(SUM(T78:T88)=0,"",IFERROR(T78/U78,""))</f>
        <v/>
      </c>
      <c r="X78" s="171">
        <f t="shared" si="252"/>
        <v>0</v>
      </c>
      <c r="Y78" s="159">
        <f t="shared" si="253"/>
        <v>0</v>
      </c>
      <c r="Z78" s="159">
        <f t="shared" si="267"/>
        <v>0</v>
      </c>
      <c r="AA78" s="175" t="str">
        <f t="shared" ref="AA78" si="302">IF(SUM(X78:X88)=0,"",IFERROR(X78/Y78,""))</f>
        <v/>
      </c>
      <c r="AB78" s="171">
        <f t="shared" si="255"/>
        <v>0</v>
      </c>
      <c r="AC78" s="159">
        <f t="shared" si="256"/>
        <v>0</v>
      </c>
      <c r="AD78" s="159">
        <f t="shared" si="269"/>
        <v>0</v>
      </c>
      <c r="AE78" s="175" t="str">
        <f t="shared" ref="AE78" si="303">IF(SUM(AB78:AB88)=0,"",IFERROR(AB78/AC78,""))</f>
        <v/>
      </c>
      <c r="AF78" s="171">
        <f t="shared" si="258"/>
        <v>0</v>
      </c>
      <c r="AG78" s="159">
        <f t="shared" si="259"/>
        <v>0</v>
      </c>
      <c r="AH78" s="159">
        <f t="shared" si="271"/>
        <v>0</v>
      </c>
      <c r="AI78" s="187" t="str">
        <f t="shared" ref="AI78" si="304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30"/>
        <v>نیشابور</v>
      </c>
      <c r="B79" s="216"/>
      <c r="C79" s="167" t="str">
        <f t="shared" si="31"/>
        <v>خرداد</v>
      </c>
      <c r="D79" s="171">
        <f>SUMIFS(صادرات!$K$4:$K$500,صادرات!$J$4:$J$500,$C79,صادرات!$I$4:$I$500,$A79)+SUMIFS(صادرات!$C$4:$C$500,صادرات!$B$4:$B$500,$C79,صادرات!$A$4:$A$500,$A79)</f>
        <v>0</v>
      </c>
      <c r="E79" s="159">
        <v>0</v>
      </c>
      <c r="F79" s="159">
        <f t="shared" si="261"/>
        <v>0</v>
      </c>
      <c r="G79" s="175" t="str">
        <f>IF(SUM(D79:D88)=0,"",IFERROR(D79/E79,""))</f>
        <v/>
      </c>
      <c r="H79" s="171">
        <f>SUMIFS(صادرات!$L$4:$L$500,صادرات!$J$4:$J$500,$C79,صادرات!$I$4:$I$500,$A79)+SUMIFS(صادرات!$D$4:$D$500,صادرات!$B$4:$B$500,$C79,صادرات!$A$4:$A$500,$A79)</f>
        <v>0</v>
      </c>
      <c r="I79" s="159">
        <v>0</v>
      </c>
      <c r="J79" s="159">
        <f t="shared" si="262"/>
        <v>0</v>
      </c>
      <c r="K79" s="175" t="str">
        <f>IF(SUM(H79:H88)=0,"",IFERROR(H79/I79,""))</f>
        <v/>
      </c>
      <c r="L79" s="171">
        <f>SUMIFS(صادرات!$M$4:$M$500,صادرات!$J$4:$J$500,$C79,صادرات!$I$4:$I$500,$A79)+SUMIFS(صادرات!$E$4:$E$500,صادرات!$B$4:$B$500,$C79,صادرات!$A$4:$A$500,$A79)</f>
        <v>0</v>
      </c>
      <c r="M79" s="159">
        <v>0</v>
      </c>
      <c r="N79" s="159">
        <f t="shared" si="263"/>
        <v>0</v>
      </c>
      <c r="O79" s="175" t="str">
        <f>IF(SUM(L79:L88)=0,"",IFERROR(L79/M79,""))</f>
        <v/>
      </c>
      <c r="P79" s="171">
        <f>SUMIFS(صادرات!$N$4:$N$500,صادرات!$J$4:$J$500,$C79,صادرات!$I$4:$I$500,$A79)+SUMIFS(صادرات!$F$4:$F$500,صادرات!$B$4:$B$500,$C79,صادرات!$A$4:$A$500,$A79)</f>
        <v>0</v>
      </c>
      <c r="Q79" s="159">
        <v>0</v>
      </c>
      <c r="R79" s="159">
        <f t="shared" si="264"/>
        <v>0</v>
      </c>
      <c r="S79" s="175" t="str">
        <f>IF(SUM(P79:P88)=0,"",IFERROR(P79/Q79,""))</f>
        <v/>
      </c>
      <c r="T79" s="171">
        <f t="shared" si="249"/>
        <v>0</v>
      </c>
      <c r="U79" s="159">
        <f t="shared" si="250"/>
        <v>0</v>
      </c>
      <c r="V79" s="159">
        <f t="shared" si="265"/>
        <v>0</v>
      </c>
      <c r="W79" s="175" t="str">
        <f t="shared" ref="W79" si="305">IF(SUM(T79:T88)=0,"",IFERROR(T79/U79,""))</f>
        <v/>
      </c>
      <c r="X79" s="171">
        <f t="shared" si="252"/>
        <v>0</v>
      </c>
      <c r="Y79" s="159">
        <f t="shared" si="253"/>
        <v>0</v>
      </c>
      <c r="Z79" s="159">
        <f t="shared" si="267"/>
        <v>0</v>
      </c>
      <c r="AA79" s="175" t="str">
        <f t="shared" ref="AA79" si="306">IF(SUM(X79:X88)=0,"",IFERROR(X79/Y79,""))</f>
        <v/>
      </c>
      <c r="AB79" s="171">
        <f t="shared" si="255"/>
        <v>0</v>
      </c>
      <c r="AC79" s="159">
        <f t="shared" si="256"/>
        <v>0</v>
      </c>
      <c r="AD79" s="159">
        <f t="shared" si="269"/>
        <v>0</v>
      </c>
      <c r="AE79" s="175" t="str">
        <f t="shared" ref="AE79" si="307">IF(SUM(AB79:AB88)=0,"",IFERROR(AB79/AC79,""))</f>
        <v/>
      </c>
      <c r="AF79" s="171">
        <f t="shared" si="258"/>
        <v>0</v>
      </c>
      <c r="AG79" s="159">
        <f t="shared" si="259"/>
        <v>0</v>
      </c>
      <c r="AH79" s="159">
        <f t="shared" si="271"/>
        <v>0</v>
      </c>
      <c r="AI79" s="187" t="str">
        <f t="shared" ref="AI79" si="308">IF(SUM(AF79:AF88)=0,"",IFERROR(AF79/AG79,""))</f>
        <v/>
      </c>
      <c r="AJ79" s="157">
        <f t="shared" ref="AJ79:AJ87" si="309">AJ78+1</f>
        <v>3</v>
      </c>
    </row>
    <row r="80" spans="1:36" ht="24.95" customHeight="1" x14ac:dyDescent="0.25">
      <c r="A80" s="182" t="str">
        <f t="shared" si="30"/>
        <v>نیشابور</v>
      </c>
      <c r="B80" s="216"/>
      <c r="C80" s="167" t="str">
        <f t="shared" si="31"/>
        <v>تیر</v>
      </c>
      <c r="D80" s="171">
        <f>SUMIFS(صادرات!$K$4:$K$500,صادرات!$J$4:$J$500,$C80,صادرات!$I$4:$I$500,$A80)+SUMIFS(صادرات!$C$4:$C$500,صادرات!$B$4:$B$500,$C80,صادرات!$A$4:$A$500,$A80)</f>
        <v>0</v>
      </c>
      <c r="E80" s="159">
        <v>0</v>
      </c>
      <c r="F80" s="159">
        <f t="shared" si="261"/>
        <v>0</v>
      </c>
      <c r="G80" s="175" t="str">
        <f>IF(SUM(D80:D88)=0,"",IFERROR(D80/E80,""))</f>
        <v/>
      </c>
      <c r="H80" s="171">
        <f>SUMIFS(صادرات!$L$4:$L$500,صادرات!$J$4:$J$500,$C80,صادرات!$I$4:$I$500,$A80)+SUMIFS(صادرات!$D$4:$D$500,صادرات!$B$4:$B$500,$C80,صادرات!$A$4:$A$500,$A80)</f>
        <v>0</v>
      </c>
      <c r="I80" s="159">
        <v>0</v>
      </c>
      <c r="J80" s="159">
        <f t="shared" si="262"/>
        <v>0</v>
      </c>
      <c r="K80" s="175" t="str">
        <f>IF(SUM(H80:H88)=0,"",IFERROR(H80/I80,""))</f>
        <v/>
      </c>
      <c r="L80" s="171">
        <f>SUMIFS(صادرات!$M$4:$M$500,صادرات!$J$4:$J$500,$C80,صادرات!$I$4:$I$500,$A80)+SUMIFS(صادرات!$E$4:$E$500,صادرات!$B$4:$B$500,$C80,صادرات!$A$4:$A$500,$A80)</f>
        <v>0</v>
      </c>
      <c r="M80" s="159">
        <v>0</v>
      </c>
      <c r="N80" s="159">
        <f t="shared" si="263"/>
        <v>0</v>
      </c>
      <c r="O80" s="175" t="str">
        <f>IF(SUM(L80:L88)=0,"",IFERROR(L80/M80,""))</f>
        <v/>
      </c>
      <c r="P80" s="171">
        <f>SUMIFS(صادرات!$N$4:$N$500,صادرات!$J$4:$J$500,$C80,صادرات!$I$4:$I$500,$A80)+SUMIFS(صادرات!$F$4:$F$500,صادرات!$B$4:$B$500,$C80,صادرات!$A$4:$A$500,$A80)</f>
        <v>0</v>
      </c>
      <c r="Q80" s="159">
        <v>0</v>
      </c>
      <c r="R80" s="159">
        <f t="shared" si="264"/>
        <v>0</v>
      </c>
      <c r="S80" s="175" t="str">
        <f>IF(SUM(P80:P88)=0,"",IFERROR(P80/Q80,""))</f>
        <v/>
      </c>
      <c r="T80" s="171">
        <f t="shared" si="249"/>
        <v>0</v>
      </c>
      <c r="U80" s="159">
        <f t="shared" si="250"/>
        <v>0</v>
      </c>
      <c r="V80" s="159">
        <f t="shared" si="265"/>
        <v>0</v>
      </c>
      <c r="W80" s="175" t="str">
        <f t="shared" ref="W80" si="310">IF(SUM(T80:T88)=0,"",IFERROR(T80/U80,""))</f>
        <v/>
      </c>
      <c r="X80" s="171">
        <f t="shared" si="252"/>
        <v>0</v>
      </c>
      <c r="Y80" s="159">
        <f t="shared" si="253"/>
        <v>0</v>
      </c>
      <c r="Z80" s="159">
        <f t="shared" si="267"/>
        <v>0</v>
      </c>
      <c r="AA80" s="175" t="str">
        <f t="shared" ref="AA80" si="311">IF(SUM(X80:X88)=0,"",IFERROR(X80/Y80,""))</f>
        <v/>
      </c>
      <c r="AB80" s="171">
        <f t="shared" si="255"/>
        <v>0</v>
      </c>
      <c r="AC80" s="159">
        <f t="shared" si="256"/>
        <v>0</v>
      </c>
      <c r="AD80" s="159">
        <f t="shared" si="269"/>
        <v>0</v>
      </c>
      <c r="AE80" s="175" t="str">
        <f t="shared" ref="AE80" si="312">IF(SUM(AB80:AB88)=0,"",IFERROR(AB80/AC80,""))</f>
        <v/>
      </c>
      <c r="AF80" s="171">
        <f t="shared" si="258"/>
        <v>0</v>
      </c>
      <c r="AG80" s="159">
        <f t="shared" si="259"/>
        <v>0</v>
      </c>
      <c r="AH80" s="159">
        <f t="shared" si="271"/>
        <v>0</v>
      </c>
      <c r="AI80" s="187" t="str">
        <f t="shared" ref="AI80" si="313">IF(SUM(AF80:AF88)=0,"",IFERROR(AF80/AG80,""))</f>
        <v/>
      </c>
      <c r="AJ80" s="157">
        <f t="shared" si="309"/>
        <v>4</v>
      </c>
    </row>
    <row r="81" spans="1:36" ht="24.95" customHeight="1" x14ac:dyDescent="0.25">
      <c r="A81" s="182" t="str">
        <f t="shared" si="30"/>
        <v>نیشابور</v>
      </c>
      <c r="B81" s="216"/>
      <c r="C81" s="167" t="str">
        <f t="shared" si="31"/>
        <v>مرداد</v>
      </c>
      <c r="D81" s="171">
        <f>SUMIFS(صادرات!$K$4:$K$500,صادرات!$J$4:$J$500,$C81,صادرات!$I$4:$I$500,$A81)+SUMIFS(صادرات!$C$4:$C$500,صادرات!$B$4:$B$500,$C81,صادرات!$A$4:$A$500,$A81)</f>
        <v>0</v>
      </c>
      <c r="E81" s="159">
        <v>0</v>
      </c>
      <c r="F81" s="159">
        <f t="shared" si="261"/>
        <v>0</v>
      </c>
      <c r="G81" s="175" t="str">
        <f>IF(SUM(D81:D88)=0,"",IFERROR(D81/E81,""))</f>
        <v/>
      </c>
      <c r="H81" s="171">
        <f>SUMIFS(صادرات!$L$4:$L$500,صادرات!$J$4:$J$500,$C81,صادرات!$I$4:$I$500,$A81)+SUMIFS(صادرات!$D$4:$D$500,صادرات!$B$4:$B$500,$C81,صادرات!$A$4:$A$500,$A81)</f>
        <v>0</v>
      </c>
      <c r="I81" s="159">
        <v>0</v>
      </c>
      <c r="J81" s="159">
        <f t="shared" si="262"/>
        <v>0</v>
      </c>
      <c r="K81" s="175" t="str">
        <f>IF(SUM(H81:H88)=0,"",IFERROR(H81/I81,""))</f>
        <v/>
      </c>
      <c r="L81" s="171">
        <f>SUMIFS(صادرات!$M$4:$M$500,صادرات!$J$4:$J$500,$C81,صادرات!$I$4:$I$500,$A81)+SUMIFS(صادرات!$E$4:$E$500,صادرات!$B$4:$B$500,$C81,صادرات!$A$4:$A$500,$A81)</f>
        <v>0</v>
      </c>
      <c r="M81" s="159">
        <v>0</v>
      </c>
      <c r="N81" s="159">
        <f t="shared" si="263"/>
        <v>0</v>
      </c>
      <c r="O81" s="175" t="str">
        <f>IF(SUM(L81:L88)=0,"",IFERROR(L81/M81,""))</f>
        <v/>
      </c>
      <c r="P81" s="171">
        <f>SUMIFS(صادرات!$N$4:$N$500,صادرات!$J$4:$J$500,$C81,صادرات!$I$4:$I$500,$A81)+SUMIFS(صادرات!$F$4:$F$500,صادرات!$B$4:$B$500,$C81,صادرات!$A$4:$A$500,$A81)</f>
        <v>0</v>
      </c>
      <c r="Q81" s="159">
        <v>0</v>
      </c>
      <c r="R81" s="159">
        <f t="shared" si="264"/>
        <v>0</v>
      </c>
      <c r="S81" s="175" t="str">
        <f>IF(SUM(P81:P88)=0,"",IFERROR(P81/Q81,""))</f>
        <v/>
      </c>
      <c r="T81" s="171">
        <f t="shared" si="249"/>
        <v>0</v>
      </c>
      <c r="U81" s="159">
        <f t="shared" si="250"/>
        <v>0</v>
      </c>
      <c r="V81" s="159">
        <f t="shared" si="265"/>
        <v>0</v>
      </c>
      <c r="W81" s="175" t="str">
        <f t="shared" ref="W81" si="314">IF(SUM(T81:T88)=0,"",IFERROR(T81/U81,""))</f>
        <v/>
      </c>
      <c r="X81" s="171">
        <f t="shared" si="252"/>
        <v>0</v>
      </c>
      <c r="Y81" s="159">
        <f t="shared" si="253"/>
        <v>0</v>
      </c>
      <c r="Z81" s="159">
        <f t="shared" si="267"/>
        <v>0</v>
      </c>
      <c r="AA81" s="175" t="str">
        <f t="shared" ref="AA81" si="315">IF(SUM(X81:X88)=0,"",IFERROR(X81/Y81,""))</f>
        <v/>
      </c>
      <c r="AB81" s="171">
        <f t="shared" si="255"/>
        <v>0</v>
      </c>
      <c r="AC81" s="159">
        <f t="shared" si="256"/>
        <v>0</v>
      </c>
      <c r="AD81" s="159">
        <f t="shared" si="269"/>
        <v>0</v>
      </c>
      <c r="AE81" s="175" t="str">
        <f t="shared" ref="AE81" si="316">IF(SUM(AB81:AB88)=0,"",IFERROR(AB81/AC81,""))</f>
        <v/>
      </c>
      <c r="AF81" s="171">
        <f t="shared" si="258"/>
        <v>0</v>
      </c>
      <c r="AG81" s="159">
        <f t="shared" si="259"/>
        <v>0</v>
      </c>
      <c r="AH81" s="159">
        <f t="shared" si="271"/>
        <v>0</v>
      </c>
      <c r="AI81" s="187" t="str">
        <f t="shared" ref="AI81" si="317">IF(SUM(AF81:AF88)=0,"",IFERROR(AF81/AG81,""))</f>
        <v/>
      </c>
      <c r="AJ81" s="157">
        <f t="shared" si="309"/>
        <v>5</v>
      </c>
    </row>
    <row r="82" spans="1:36" ht="24.95" customHeight="1" x14ac:dyDescent="0.25">
      <c r="A82" s="182" t="str">
        <f t="shared" ref="A82:A136" si="318">IF(B82="",A81,B82)</f>
        <v>نیشابور</v>
      </c>
      <c r="B82" s="216"/>
      <c r="C82" s="167" t="str">
        <f t="shared" ref="C82:C88" si="319">C70</f>
        <v>شهریور</v>
      </c>
      <c r="D82" s="171">
        <f>SUMIFS(صادرات!$K$4:$K$500,صادرات!$J$4:$J$500,$C82,صادرات!$I$4:$I$500,$A82)+SUMIFS(صادرات!$C$4:$C$500,صادرات!$B$4:$B$500,$C82,صادرات!$A$4:$A$500,$A82)</f>
        <v>0</v>
      </c>
      <c r="E82" s="159">
        <v>0</v>
      </c>
      <c r="F82" s="159">
        <f t="shared" si="261"/>
        <v>0</v>
      </c>
      <c r="G82" s="175" t="str">
        <f>IF(SUM(D82:D88)=0,"",IFERROR(D82/E82,""))</f>
        <v/>
      </c>
      <c r="H82" s="171">
        <f>SUMIFS(صادرات!$L$4:$L$500,صادرات!$J$4:$J$500,$C82,صادرات!$I$4:$I$500,$A82)+SUMIFS(صادرات!$D$4:$D$500,صادرات!$B$4:$B$500,$C82,صادرات!$A$4:$A$500,$A82)</f>
        <v>0</v>
      </c>
      <c r="I82" s="159">
        <v>0</v>
      </c>
      <c r="J82" s="159">
        <f t="shared" si="262"/>
        <v>0</v>
      </c>
      <c r="K82" s="175" t="str">
        <f>IF(SUM(H82:H88)=0,"",IFERROR(H82/I82,""))</f>
        <v/>
      </c>
      <c r="L82" s="171">
        <f>SUMIFS(صادرات!$M$4:$M$500,صادرات!$J$4:$J$500,$C82,صادرات!$I$4:$I$500,$A82)+SUMIFS(صادرات!$E$4:$E$500,صادرات!$B$4:$B$500,$C82,صادرات!$A$4:$A$500,$A82)</f>
        <v>0</v>
      </c>
      <c r="M82" s="159">
        <v>0</v>
      </c>
      <c r="N82" s="159">
        <f t="shared" si="263"/>
        <v>0</v>
      </c>
      <c r="O82" s="175" t="str">
        <f>IF(SUM(L82:L88)=0,"",IFERROR(L82/M82,""))</f>
        <v/>
      </c>
      <c r="P82" s="171">
        <f>SUMIFS(صادرات!$N$4:$N$500,صادرات!$J$4:$J$500,$C82,صادرات!$I$4:$I$500,$A82)+SUMIFS(صادرات!$F$4:$F$500,صادرات!$B$4:$B$500,$C82,صادرات!$A$4:$A$500,$A82)</f>
        <v>0</v>
      </c>
      <c r="Q82" s="159">
        <v>0</v>
      </c>
      <c r="R82" s="159">
        <f t="shared" si="264"/>
        <v>0</v>
      </c>
      <c r="S82" s="175" t="str">
        <f>IF(SUM(P82:P88)=0,"",IFERROR(P82/Q82,""))</f>
        <v/>
      </c>
      <c r="T82" s="171">
        <f t="shared" si="249"/>
        <v>0</v>
      </c>
      <c r="U82" s="159">
        <f t="shared" si="250"/>
        <v>0</v>
      </c>
      <c r="V82" s="159">
        <f t="shared" si="265"/>
        <v>0</v>
      </c>
      <c r="W82" s="175" t="str">
        <f t="shared" ref="W82" si="320">IF(SUM(T82:T88)=0,"",IFERROR(T82/U82,""))</f>
        <v/>
      </c>
      <c r="X82" s="171">
        <f t="shared" si="252"/>
        <v>0</v>
      </c>
      <c r="Y82" s="159">
        <f t="shared" si="253"/>
        <v>0</v>
      </c>
      <c r="Z82" s="159">
        <f t="shared" si="267"/>
        <v>0</v>
      </c>
      <c r="AA82" s="175" t="str">
        <f t="shared" ref="AA82" si="321">IF(SUM(X82:X88)=0,"",IFERROR(X82/Y82,""))</f>
        <v/>
      </c>
      <c r="AB82" s="171">
        <f t="shared" si="255"/>
        <v>0</v>
      </c>
      <c r="AC82" s="159">
        <f t="shared" si="256"/>
        <v>0</v>
      </c>
      <c r="AD82" s="159">
        <f t="shared" si="269"/>
        <v>0</v>
      </c>
      <c r="AE82" s="175" t="str">
        <f t="shared" ref="AE82" si="322">IF(SUM(AB82:AB88)=0,"",IFERROR(AB82/AC82,""))</f>
        <v/>
      </c>
      <c r="AF82" s="171">
        <f t="shared" si="258"/>
        <v>0</v>
      </c>
      <c r="AG82" s="159">
        <f t="shared" si="259"/>
        <v>0</v>
      </c>
      <c r="AH82" s="159">
        <f t="shared" si="271"/>
        <v>0</v>
      </c>
      <c r="AI82" s="187" t="str">
        <f t="shared" ref="AI82" si="323">IF(SUM(AF82:AF88)=0,"",IFERROR(AF82/AG82,""))</f>
        <v/>
      </c>
      <c r="AJ82" s="157">
        <f t="shared" si="309"/>
        <v>6</v>
      </c>
    </row>
    <row r="83" spans="1:36" ht="24.95" customHeight="1" x14ac:dyDescent="0.25">
      <c r="A83" s="182" t="str">
        <f t="shared" si="318"/>
        <v>نیشابور</v>
      </c>
      <c r="B83" s="216"/>
      <c r="C83" s="167" t="str">
        <f t="shared" si="319"/>
        <v>مهر</v>
      </c>
      <c r="D83" s="171">
        <f>SUMIFS(صادرات!$K$4:$K$500,صادرات!$J$4:$J$500,$C83,صادرات!$I$4:$I$500,$A83)+SUMIFS(صادرات!$C$4:$C$500,صادرات!$B$4:$B$500,$C83,صادرات!$A$4:$A$500,$A83)</f>
        <v>0</v>
      </c>
      <c r="E83" s="159">
        <v>0</v>
      </c>
      <c r="F83" s="159">
        <f t="shared" si="261"/>
        <v>0</v>
      </c>
      <c r="G83" s="175" t="str">
        <f>IF(SUM(D83:D88)=0,"",IFERROR(D83/E83,""))</f>
        <v/>
      </c>
      <c r="H83" s="171">
        <f>SUMIFS(صادرات!$L$4:$L$500,صادرات!$J$4:$J$500,$C83,صادرات!$I$4:$I$500,$A83)+SUMIFS(صادرات!$D$4:$D$500,صادرات!$B$4:$B$500,$C83,صادرات!$A$4:$A$500,$A83)</f>
        <v>0</v>
      </c>
      <c r="I83" s="159">
        <v>0</v>
      </c>
      <c r="J83" s="159">
        <f t="shared" si="262"/>
        <v>0</v>
      </c>
      <c r="K83" s="175" t="str">
        <f>IF(SUM(H83:H88)=0,"",IFERROR(H83/I83,""))</f>
        <v/>
      </c>
      <c r="L83" s="171">
        <f>SUMIFS(صادرات!$M$4:$M$500,صادرات!$J$4:$J$500,$C83,صادرات!$I$4:$I$500,$A83)+SUMIFS(صادرات!$E$4:$E$500,صادرات!$B$4:$B$500,$C83,صادرات!$A$4:$A$500,$A83)</f>
        <v>0</v>
      </c>
      <c r="M83" s="159">
        <v>0</v>
      </c>
      <c r="N83" s="159">
        <f t="shared" si="263"/>
        <v>0</v>
      </c>
      <c r="O83" s="175" t="str">
        <f>IF(SUM(L83:L88)=0,"",IFERROR(L83/M83,""))</f>
        <v/>
      </c>
      <c r="P83" s="171">
        <f>SUMIFS(صادرات!$N$4:$N$500,صادرات!$J$4:$J$500,$C83,صادرات!$I$4:$I$500,$A83)+SUMIFS(صادرات!$F$4:$F$500,صادرات!$B$4:$B$500,$C83,صادرات!$A$4:$A$500,$A83)</f>
        <v>0</v>
      </c>
      <c r="Q83" s="159">
        <v>0</v>
      </c>
      <c r="R83" s="159">
        <f t="shared" si="264"/>
        <v>0</v>
      </c>
      <c r="S83" s="175" t="str">
        <f>IF(SUM(P83:P88)=0,"",IFERROR(P83/Q83,""))</f>
        <v/>
      </c>
      <c r="T83" s="171">
        <f t="shared" si="249"/>
        <v>0</v>
      </c>
      <c r="U83" s="159">
        <f t="shared" si="250"/>
        <v>0</v>
      </c>
      <c r="V83" s="159">
        <f t="shared" si="265"/>
        <v>0</v>
      </c>
      <c r="W83" s="175" t="str">
        <f t="shared" ref="W83" si="324">IF(SUM(T83:T88)=0,"",IFERROR(T83/U83,""))</f>
        <v/>
      </c>
      <c r="X83" s="171">
        <f t="shared" si="252"/>
        <v>0</v>
      </c>
      <c r="Y83" s="159">
        <f t="shared" si="253"/>
        <v>0</v>
      </c>
      <c r="Z83" s="159">
        <f t="shared" si="267"/>
        <v>0</v>
      </c>
      <c r="AA83" s="175" t="str">
        <f t="shared" ref="AA83" si="325">IF(SUM(X83:X88)=0,"",IFERROR(X83/Y83,""))</f>
        <v/>
      </c>
      <c r="AB83" s="171">
        <f t="shared" si="255"/>
        <v>0</v>
      </c>
      <c r="AC83" s="159">
        <f t="shared" si="256"/>
        <v>0</v>
      </c>
      <c r="AD83" s="159">
        <f t="shared" si="269"/>
        <v>0</v>
      </c>
      <c r="AE83" s="175" t="str">
        <f t="shared" ref="AE83" si="326">IF(SUM(AB83:AB88)=0,"",IFERROR(AB83/AC83,""))</f>
        <v/>
      </c>
      <c r="AF83" s="171">
        <f t="shared" si="258"/>
        <v>0</v>
      </c>
      <c r="AG83" s="159">
        <f t="shared" si="259"/>
        <v>0</v>
      </c>
      <c r="AH83" s="159">
        <f t="shared" si="271"/>
        <v>0</v>
      </c>
      <c r="AI83" s="187" t="str">
        <f t="shared" ref="AI83" si="327">IF(SUM(AF83:AF88)=0,"",IFERROR(AF83/AG83,""))</f>
        <v/>
      </c>
      <c r="AJ83" s="157">
        <f t="shared" si="309"/>
        <v>7</v>
      </c>
    </row>
    <row r="84" spans="1:36" ht="24.95" customHeight="1" x14ac:dyDescent="0.25">
      <c r="A84" s="182" t="str">
        <f t="shared" si="318"/>
        <v>نیشابور</v>
      </c>
      <c r="B84" s="216"/>
      <c r="C84" s="167" t="str">
        <f t="shared" si="319"/>
        <v>آبان</v>
      </c>
      <c r="D84" s="171">
        <f>SUMIFS(صادرات!$K$4:$K$500,صادرات!$J$4:$J$500,$C84,صادرات!$I$4:$I$500,$A84)+SUMIFS(صادرات!$C$4:$C$500,صادرات!$B$4:$B$500,$C84,صادرات!$A$4:$A$500,$A84)</f>
        <v>0</v>
      </c>
      <c r="E84" s="159">
        <v>0</v>
      </c>
      <c r="F84" s="159">
        <f t="shared" si="261"/>
        <v>0</v>
      </c>
      <c r="G84" s="175" t="str">
        <f>IF(SUM(D84:D88)=0,"",IFERROR(D84/E84,""))</f>
        <v/>
      </c>
      <c r="H84" s="171">
        <f>SUMIFS(صادرات!$L$4:$L$500,صادرات!$J$4:$J$500,$C84,صادرات!$I$4:$I$500,$A84)+SUMIFS(صادرات!$D$4:$D$500,صادرات!$B$4:$B$500,$C84,صادرات!$A$4:$A$500,$A84)</f>
        <v>0</v>
      </c>
      <c r="I84" s="159">
        <v>0</v>
      </c>
      <c r="J84" s="159">
        <f t="shared" si="262"/>
        <v>0</v>
      </c>
      <c r="K84" s="175" t="str">
        <f>IF(SUM(H84:H88)=0,"",IFERROR(H84/I84,""))</f>
        <v/>
      </c>
      <c r="L84" s="171">
        <f>SUMIFS(صادرات!$M$4:$M$500,صادرات!$J$4:$J$500,$C84,صادرات!$I$4:$I$500,$A84)+SUMIFS(صادرات!$E$4:$E$500,صادرات!$B$4:$B$500,$C84,صادرات!$A$4:$A$500,$A84)</f>
        <v>0</v>
      </c>
      <c r="M84" s="159">
        <v>0</v>
      </c>
      <c r="N84" s="159">
        <f t="shared" si="263"/>
        <v>0</v>
      </c>
      <c r="O84" s="175" t="str">
        <f>IF(SUM(L84:L88)=0,"",IFERROR(L84/M84,""))</f>
        <v/>
      </c>
      <c r="P84" s="171">
        <f>SUMIFS(صادرات!$N$4:$N$500,صادرات!$J$4:$J$500,$C84,صادرات!$I$4:$I$500,$A84)+SUMIFS(صادرات!$F$4:$F$500,صادرات!$B$4:$B$500,$C84,صادرات!$A$4:$A$500,$A84)</f>
        <v>0</v>
      </c>
      <c r="Q84" s="159">
        <v>0</v>
      </c>
      <c r="R84" s="159">
        <f t="shared" si="264"/>
        <v>0</v>
      </c>
      <c r="S84" s="175" t="str">
        <f>IF(SUM(P84:P88)=0,"",IFERROR(P84/Q84,""))</f>
        <v/>
      </c>
      <c r="T84" s="171">
        <f t="shared" si="249"/>
        <v>0</v>
      </c>
      <c r="U84" s="159">
        <f t="shared" si="250"/>
        <v>0</v>
      </c>
      <c r="V84" s="159">
        <f t="shared" si="265"/>
        <v>0</v>
      </c>
      <c r="W84" s="175" t="str">
        <f t="shared" ref="W84" si="328">IF(SUM(T84:T88)=0,"",IFERROR(T84/U84,""))</f>
        <v/>
      </c>
      <c r="X84" s="171">
        <f t="shared" si="252"/>
        <v>0</v>
      </c>
      <c r="Y84" s="159">
        <f t="shared" si="253"/>
        <v>0</v>
      </c>
      <c r="Z84" s="159">
        <f t="shared" si="267"/>
        <v>0</v>
      </c>
      <c r="AA84" s="175" t="str">
        <f t="shared" ref="AA84" si="329">IF(SUM(X84:X88)=0,"",IFERROR(X84/Y84,""))</f>
        <v/>
      </c>
      <c r="AB84" s="171">
        <f t="shared" si="255"/>
        <v>0</v>
      </c>
      <c r="AC84" s="159">
        <f t="shared" si="256"/>
        <v>0</v>
      </c>
      <c r="AD84" s="159">
        <f t="shared" si="269"/>
        <v>0</v>
      </c>
      <c r="AE84" s="175" t="str">
        <f t="shared" ref="AE84" si="330">IF(SUM(AB84:AB88)=0,"",IFERROR(AB84/AC84,""))</f>
        <v/>
      </c>
      <c r="AF84" s="171">
        <f t="shared" si="258"/>
        <v>0</v>
      </c>
      <c r="AG84" s="159">
        <f t="shared" si="259"/>
        <v>0</v>
      </c>
      <c r="AH84" s="159">
        <f t="shared" si="271"/>
        <v>0</v>
      </c>
      <c r="AI84" s="187" t="str">
        <f t="shared" ref="AI84" si="331">IF(SUM(AF84:AF88)=0,"",IFERROR(AF84/AG84,""))</f>
        <v/>
      </c>
      <c r="AJ84" s="157">
        <f t="shared" si="309"/>
        <v>8</v>
      </c>
    </row>
    <row r="85" spans="1:36" ht="24.95" customHeight="1" x14ac:dyDescent="0.25">
      <c r="A85" s="182" t="str">
        <f t="shared" si="318"/>
        <v>نیشابور</v>
      </c>
      <c r="B85" s="216"/>
      <c r="C85" s="167" t="str">
        <f t="shared" si="319"/>
        <v>آذر</v>
      </c>
      <c r="D85" s="171">
        <f>SUMIFS(صادرات!$K$4:$K$500,صادرات!$J$4:$J$500,$C85,صادرات!$I$4:$I$500,$A85)+SUMIFS(صادرات!$C$4:$C$500,صادرات!$B$4:$B$500,$C85,صادرات!$A$4:$A$500,$A85)</f>
        <v>0</v>
      </c>
      <c r="E85" s="159">
        <v>0</v>
      </c>
      <c r="F85" s="159">
        <f t="shared" si="261"/>
        <v>0</v>
      </c>
      <c r="G85" s="175" t="str">
        <f>IF(SUM(D85:D88)=0,"",IFERROR(D85/E85,""))</f>
        <v/>
      </c>
      <c r="H85" s="171">
        <f>SUMIFS(صادرات!$L$4:$L$500,صادرات!$J$4:$J$500,$C85,صادرات!$I$4:$I$500,$A85)+SUMIFS(صادرات!$D$4:$D$500,صادرات!$B$4:$B$500,$C85,صادرات!$A$4:$A$500,$A85)</f>
        <v>0</v>
      </c>
      <c r="I85" s="159">
        <v>0</v>
      </c>
      <c r="J85" s="159">
        <f t="shared" si="262"/>
        <v>0</v>
      </c>
      <c r="K85" s="175" t="str">
        <f>IF(SUM(H85:H88)=0,"",IFERROR(H85/I85,""))</f>
        <v/>
      </c>
      <c r="L85" s="171">
        <f>SUMIFS(صادرات!$M$4:$M$500,صادرات!$J$4:$J$500,$C85,صادرات!$I$4:$I$500,$A85)+SUMIFS(صادرات!$E$4:$E$500,صادرات!$B$4:$B$500,$C85,صادرات!$A$4:$A$500,$A85)</f>
        <v>0</v>
      </c>
      <c r="M85" s="159">
        <v>0</v>
      </c>
      <c r="N85" s="159">
        <f t="shared" si="263"/>
        <v>0</v>
      </c>
      <c r="O85" s="175" t="str">
        <f>IF(SUM(L85:L88)=0,"",IFERROR(L85/M85,""))</f>
        <v/>
      </c>
      <c r="P85" s="171">
        <f>SUMIFS(صادرات!$N$4:$N$500,صادرات!$J$4:$J$500,$C85,صادرات!$I$4:$I$500,$A85)+SUMIFS(صادرات!$F$4:$F$500,صادرات!$B$4:$B$500,$C85,صادرات!$A$4:$A$500,$A85)</f>
        <v>0</v>
      </c>
      <c r="Q85" s="159">
        <v>0</v>
      </c>
      <c r="R85" s="159">
        <f t="shared" si="264"/>
        <v>0</v>
      </c>
      <c r="S85" s="175" t="str">
        <f>IF(SUM(P85:P88)=0,"",IFERROR(P85/Q85,""))</f>
        <v/>
      </c>
      <c r="T85" s="171">
        <f t="shared" si="249"/>
        <v>0</v>
      </c>
      <c r="U85" s="159">
        <f t="shared" si="250"/>
        <v>0</v>
      </c>
      <c r="V85" s="159">
        <f t="shared" si="265"/>
        <v>0</v>
      </c>
      <c r="W85" s="175" t="str">
        <f t="shared" ref="W85" si="332">IF(SUM(T85:T88)=0,"",IFERROR(T85/U85,""))</f>
        <v/>
      </c>
      <c r="X85" s="171">
        <f t="shared" si="252"/>
        <v>0</v>
      </c>
      <c r="Y85" s="159">
        <f t="shared" si="253"/>
        <v>0</v>
      </c>
      <c r="Z85" s="159">
        <f t="shared" si="267"/>
        <v>0</v>
      </c>
      <c r="AA85" s="175" t="str">
        <f t="shared" ref="AA85" si="333">IF(SUM(X85:X88)=0,"",IFERROR(X85/Y85,""))</f>
        <v/>
      </c>
      <c r="AB85" s="171">
        <f t="shared" si="255"/>
        <v>0</v>
      </c>
      <c r="AC85" s="159">
        <f t="shared" si="256"/>
        <v>0</v>
      </c>
      <c r="AD85" s="159">
        <f t="shared" si="269"/>
        <v>0</v>
      </c>
      <c r="AE85" s="175" t="str">
        <f t="shared" ref="AE85" si="334">IF(SUM(AB85:AB88)=0,"",IFERROR(AB85/AC85,""))</f>
        <v/>
      </c>
      <c r="AF85" s="171">
        <f t="shared" si="258"/>
        <v>0</v>
      </c>
      <c r="AG85" s="159">
        <f t="shared" si="259"/>
        <v>0</v>
      </c>
      <c r="AH85" s="159">
        <f t="shared" si="271"/>
        <v>0</v>
      </c>
      <c r="AI85" s="187" t="str">
        <f t="shared" ref="AI85" si="335">IF(SUM(AF85:AF88)=0,"",IFERROR(AF85/AG85,""))</f>
        <v/>
      </c>
      <c r="AJ85" s="157">
        <f t="shared" si="309"/>
        <v>9</v>
      </c>
    </row>
    <row r="86" spans="1:36" ht="24.95" customHeight="1" x14ac:dyDescent="0.25">
      <c r="A86" s="182" t="str">
        <f t="shared" si="318"/>
        <v>نیشابور</v>
      </c>
      <c r="B86" s="216"/>
      <c r="C86" s="167" t="str">
        <f t="shared" si="319"/>
        <v>دی</v>
      </c>
      <c r="D86" s="171">
        <f>SUMIFS(صادرات!$K$4:$K$500,صادرات!$J$4:$J$500,$C86,صادرات!$I$4:$I$500,$A86)+SUMIFS(صادرات!$C$4:$C$500,صادرات!$B$4:$B$500,$C86,صادرات!$A$4:$A$500,$A86)</f>
        <v>0</v>
      </c>
      <c r="E86" s="159">
        <v>0</v>
      </c>
      <c r="F86" s="159">
        <f t="shared" si="261"/>
        <v>0</v>
      </c>
      <c r="G86" s="175" t="str">
        <f>IF(SUM(D86:D88)=0,"",IFERROR(D86/E86,""))</f>
        <v/>
      </c>
      <c r="H86" s="171">
        <f>SUMIFS(صادرات!$L$4:$L$500,صادرات!$J$4:$J$500,$C86,صادرات!$I$4:$I$500,$A86)+SUMIFS(صادرات!$D$4:$D$500,صادرات!$B$4:$B$500,$C86,صادرات!$A$4:$A$500,$A86)</f>
        <v>0</v>
      </c>
      <c r="I86" s="159">
        <v>0</v>
      </c>
      <c r="J86" s="159">
        <f t="shared" si="262"/>
        <v>0</v>
      </c>
      <c r="K86" s="175" t="str">
        <f>IF(SUM(H86:H88)=0,"",IFERROR(H86/I86,""))</f>
        <v/>
      </c>
      <c r="L86" s="171">
        <f>SUMIFS(صادرات!$M$4:$M$500,صادرات!$J$4:$J$500,$C86,صادرات!$I$4:$I$500,$A86)+SUMIFS(صادرات!$E$4:$E$500,صادرات!$B$4:$B$500,$C86,صادرات!$A$4:$A$500,$A86)</f>
        <v>0</v>
      </c>
      <c r="M86" s="159">
        <v>0</v>
      </c>
      <c r="N86" s="159">
        <f t="shared" si="263"/>
        <v>0</v>
      </c>
      <c r="O86" s="175" t="str">
        <f>IF(SUM(L86:L88)=0,"",IFERROR(L86/M86,""))</f>
        <v/>
      </c>
      <c r="P86" s="171">
        <f>SUMIFS(صادرات!$N$4:$N$500,صادرات!$J$4:$J$500,$C86,صادرات!$I$4:$I$500,$A86)+SUMIFS(صادرات!$F$4:$F$500,صادرات!$B$4:$B$500,$C86,صادرات!$A$4:$A$500,$A86)</f>
        <v>0</v>
      </c>
      <c r="Q86" s="159">
        <v>0</v>
      </c>
      <c r="R86" s="159">
        <f t="shared" si="264"/>
        <v>0</v>
      </c>
      <c r="S86" s="175" t="str">
        <f>IF(SUM(P86:P88)=0,"",IFERROR(P86/Q86,""))</f>
        <v/>
      </c>
      <c r="T86" s="171">
        <f t="shared" si="249"/>
        <v>0</v>
      </c>
      <c r="U86" s="159">
        <f t="shared" si="250"/>
        <v>0</v>
      </c>
      <c r="V86" s="159">
        <f t="shared" si="265"/>
        <v>0</v>
      </c>
      <c r="W86" s="175" t="str">
        <f t="shared" ref="W86" si="336">IF(SUM(T86:T88)=0,"",IFERROR(T86/U86,""))</f>
        <v/>
      </c>
      <c r="X86" s="171">
        <f t="shared" si="252"/>
        <v>0</v>
      </c>
      <c r="Y86" s="159">
        <f t="shared" si="253"/>
        <v>0</v>
      </c>
      <c r="Z86" s="159">
        <f t="shared" si="267"/>
        <v>0</v>
      </c>
      <c r="AA86" s="175" t="str">
        <f t="shared" ref="AA86" si="337">IF(SUM(X86:X88)=0,"",IFERROR(X86/Y86,""))</f>
        <v/>
      </c>
      <c r="AB86" s="171">
        <f t="shared" si="255"/>
        <v>0</v>
      </c>
      <c r="AC86" s="159">
        <f t="shared" si="256"/>
        <v>0</v>
      </c>
      <c r="AD86" s="159">
        <f t="shared" si="269"/>
        <v>0</v>
      </c>
      <c r="AE86" s="175" t="str">
        <f t="shared" ref="AE86" si="338">IF(SUM(AB86:AB88)=0,"",IFERROR(AB86/AC86,""))</f>
        <v/>
      </c>
      <c r="AF86" s="171">
        <f t="shared" si="258"/>
        <v>0</v>
      </c>
      <c r="AG86" s="159">
        <f t="shared" si="259"/>
        <v>0</v>
      </c>
      <c r="AH86" s="159">
        <f t="shared" si="271"/>
        <v>0</v>
      </c>
      <c r="AI86" s="187" t="str">
        <f t="shared" ref="AI86" si="339">IF(SUM(AF86:AF88)=0,"",IFERROR(AF86/AG86,""))</f>
        <v/>
      </c>
      <c r="AJ86" s="157">
        <f t="shared" si="309"/>
        <v>10</v>
      </c>
    </row>
    <row r="87" spans="1:36" ht="24.95" customHeight="1" x14ac:dyDescent="0.25">
      <c r="A87" s="182" t="str">
        <f t="shared" si="318"/>
        <v>نیشابور</v>
      </c>
      <c r="B87" s="216"/>
      <c r="C87" s="167" t="str">
        <f t="shared" si="319"/>
        <v>بهمن</v>
      </c>
      <c r="D87" s="171">
        <f>SUMIFS(صادرات!$K$4:$K$500,صادرات!$J$4:$J$500,$C87,صادرات!$I$4:$I$500,$A87)+SUMIFS(صادرات!$C$4:$C$500,صادرات!$B$4:$B$500,$C87,صادرات!$A$4:$A$500,$A87)</f>
        <v>0</v>
      </c>
      <c r="E87" s="159">
        <v>0</v>
      </c>
      <c r="F87" s="159">
        <f t="shared" si="261"/>
        <v>0</v>
      </c>
      <c r="G87" s="175" t="str">
        <f>IF(SUM(D87:D88)=0,"",IFERROR(D87/E87,""))</f>
        <v/>
      </c>
      <c r="H87" s="171">
        <f>SUMIFS(صادرات!$L$4:$L$500,صادرات!$J$4:$J$500,$C87,صادرات!$I$4:$I$500,$A87)+SUMIFS(صادرات!$D$4:$D$500,صادرات!$B$4:$B$500,$C87,صادرات!$A$4:$A$500,$A87)</f>
        <v>0</v>
      </c>
      <c r="I87" s="159">
        <v>0</v>
      </c>
      <c r="J87" s="159">
        <f t="shared" si="262"/>
        <v>0</v>
      </c>
      <c r="K87" s="175" t="str">
        <f>IF(SUM(H87:H88)=0,"",IFERROR(H87/I87,""))</f>
        <v/>
      </c>
      <c r="L87" s="171">
        <f>SUMIFS(صادرات!$M$4:$M$500,صادرات!$J$4:$J$500,$C87,صادرات!$I$4:$I$500,$A87)+SUMIFS(صادرات!$E$4:$E$500,صادرات!$B$4:$B$500,$C87,صادرات!$A$4:$A$500,$A87)</f>
        <v>0</v>
      </c>
      <c r="M87" s="159">
        <v>0</v>
      </c>
      <c r="N87" s="159">
        <f t="shared" si="263"/>
        <v>0</v>
      </c>
      <c r="O87" s="175" t="str">
        <f>IF(SUM(L87:L88)=0,"",IFERROR(L87/M87,""))</f>
        <v/>
      </c>
      <c r="P87" s="171">
        <f>SUMIFS(صادرات!$N$4:$N$500,صادرات!$J$4:$J$500,$C87,صادرات!$I$4:$I$500,$A87)+SUMIFS(صادرات!$F$4:$F$500,صادرات!$B$4:$B$500,$C87,صادرات!$A$4:$A$500,$A87)</f>
        <v>0</v>
      </c>
      <c r="Q87" s="159">
        <v>0</v>
      </c>
      <c r="R87" s="159">
        <f t="shared" si="264"/>
        <v>0</v>
      </c>
      <c r="S87" s="175" t="str">
        <f>IF(SUM(P87:P88)=0,"",IFERROR(P87/Q87,""))</f>
        <v/>
      </c>
      <c r="T87" s="171">
        <f t="shared" si="249"/>
        <v>0</v>
      </c>
      <c r="U87" s="159">
        <f t="shared" si="250"/>
        <v>0</v>
      </c>
      <c r="V87" s="159">
        <f t="shared" si="265"/>
        <v>0</v>
      </c>
      <c r="W87" s="175" t="str">
        <f t="shared" ref="W87" si="340">IF(SUM(T87:T88)=0,"",IFERROR(T87/U87,""))</f>
        <v/>
      </c>
      <c r="X87" s="171">
        <f t="shared" si="252"/>
        <v>0</v>
      </c>
      <c r="Y87" s="159">
        <f t="shared" si="253"/>
        <v>0</v>
      </c>
      <c r="Z87" s="159">
        <f t="shared" si="267"/>
        <v>0</v>
      </c>
      <c r="AA87" s="175" t="str">
        <f t="shared" ref="AA87" si="341">IF(SUM(X87:X88)=0,"",IFERROR(X87/Y87,""))</f>
        <v/>
      </c>
      <c r="AB87" s="171">
        <f t="shared" si="255"/>
        <v>0</v>
      </c>
      <c r="AC87" s="159">
        <f t="shared" si="256"/>
        <v>0</v>
      </c>
      <c r="AD87" s="159">
        <f t="shared" si="269"/>
        <v>0</v>
      </c>
      <c r="AE87" s="175" t="str">
        <f t="shared" ref="AE87" si="342">IF(SUM(AB87:AB88)=0,"",IFERROR(AB87/AC87,""))</f>
        <v/>
      </c>
      <c r="AF87" s="171">
        <f t="shared" si="258"/>
        <v>0</v>
      </c>
      <c r="AG87" s="159">
        <f t="shared" si="259"/>
        <v>0</v>
      </c>
      <c r="AH87" s="159">
        <f t="shared" si="271"/>
        <v>0</v>
      </c>
      <c r="AI87" s="187" t="str">
        <f t="shared" ref="AI87" si="343">IF(SUM(AF87:AF88)=0,"",IFERROR(AF87/AG87,""))</f>
        <v/>
      </c>
      <c r="AJ87" s="157">
        <f t="shared" si="309"/>
        <v>11</v>
      </c>
    </row>
    <row r="88" spans="1:36" ht="24.95" customHeight="1" thickBot="1" x14ac:dyDescent="0.3">
      <c r="A88" s="182" t="str">
        <f t="shared" si="318"/>
        <v>نیشابور</v>
      </c>
      <c r="B88" s="217"/>
      <c r="C88" s="168" t="str">
        <f t="shared" si="319"/>
        <v>اسفند</v>
      </c>
      <c r="D88" s="172">
        <f>SUMIFS(صادرات!$K$4:$K$500,صادرات!$J$4:$J$500,$C88,صادرات!$I$4:$I$500,$A88)+SUMIFS(صادرات!$C$4:$C$500,صادرات!$B$4:$B$500,$C88,صادرات!$A$4:$A$500,$A88)</f>
        <v>0</v>
      </c>
      <c r="E88" s="173">
        <v>0</v>
      </c>
      <c r="F88" s="173">
        <f t="shared" si="261"/>
        <v>0</v>
      </c>
      <c r="G88" s="176" t="str">
        <f>IF(SUM(D88)=0,"",IFERROR(D88/E88,""))</f>
        <v/>
      </c>
      <c r="H88" s="172">
        <f>SUMIFS(صادرات!$L$4:$L$500,صادرات!$J$4:$J$500,$C88,صادرات!$I$4:$I$500,$A88)+SUMIFS(صادرات!$D$4:$D$500,صادرات!$B$4:$B$500,$C88,صادرات!$A$4:$A$500,$A88)</f>
        <v>0</v>
      </c>
      <c r="I88" s="173">
        <v>0</v>
      </c>
      <c r="J88" s="173">
        <f t="shared" si="262"/>
        <v>0</v>
      </c>
      <c r="K88" s="176" t="str">
        <f>IF(SUM(H88)=0,"",IFERROR(H88/I88,""))</f>
        <v/>
      </c>
      <c r="L88" s="172">
        <f>SUMIFS(صادرات!$M$4:$M$500,صادرات!$J$4:$J$500,$C88,صادرات!$I$4:$I$500,$A88)+SUMIFS(صادرات!$E$4:$E$500,صادرات!$B$4:$B$500,$C88,صادرات!$A$4:$A$500,$A88)</f>
        <v>0</v>
      </c>
      <c r="M88" s="173">
        <v>0</v>
      </c>
      <c r="N88" s="173">
        <f t="shared" si="263"/>
        <v>0</v>
      </c>
      <c r="O88" s="176" t="str">
        <f>IF(SUM(L88)=0,"",IFERROR(L88/M88,""))</f>
        <v/>
      </c>
      <c r="P88" s="172">
        <f>SUMIFS(صادرات!$N$4:$N$500,صادرات!$J$4:$J$500,$C88,صادرات!$I$4:$I$500,$A88)+SUMIFS(صادرات!$F$4:$F$500,صادرات!$B$4:$B$500,$C88,صادرات!$A$4:$A$500,$A88)</f>
        <v>0</v>
      </c>
      <c r="Q88" s="173">
        <v>0</v>
      </c>
      <c r="R88" s="173">
        <f t="shared" si="264"/>
        <v>0</v>
      </c>
      <c r="S88" s="176" t="str">
        <f>IF(SUM(P88)=0,"",IFERROR(P88/Q88,""))</f>
        <v/>
      </c>
      <c r="T88" s="172">
        <f t="shared" si="249"/>
        <v>0</v>
      </c>
      <c r="U88" s="173">
        <f t="shared" si="250"/>
        <v>0</v>
      </c>
      <c r="V88" s="173">
        <f t="shared" si="265"/>
        <v>0</v>
      </c>
      <c r="W88" s="176" t="str">
        <f t="shared" ref="W88" si="344">IF(SUM(T88)=0,"",IFERROR(T88/U88,""))</f>
        <v/>
      </c>
      <c r="X88" s="172">
        <f t="shared" si="252"/>
        <v>0</v>
      </c>
      <c r="Y88" s="173">
        <f t="shared" si="253"/>
        <v>0</v>
      </c>
      <c r="Z88" s="173">
        <f t="shared" si="267"/>
        <v>0</v>
      </c>
      <c r="AA88" s="176" t="str">
        <f t="shared" ref="AA88" si="345">IF(SUM(X88)=0,"",IFERROR(X88/Y88,""))</f>
        <v/>
      </c>
      <c r="AB88" s="172">
        <f t="shared" si="255"/>
        <v>0</v>
      </c>
      <c r="AC88" s="173">
        <f t="shared" si="256"/>
        <v>0</v>
      </c>
      <c r="AD88" s="173">
        <f t="shared" si="269"/>
        <v>0</v>
      </c>
      <c r="AE88" s="176" t="str">
        <f t="shared" ref="AE88" si="346">IF(SUM(AB88)=0,"",IFERROR(AB88/AC88,""))</f>
        <v/>
      </c>
      <c r="AF88" s="172">
        <f t="shared" si="258"/>
        <v>0</v>
      </c>
      <c r="AG88" s="173">
        <f t="shared" si="259"/>
        <v>0</v>
      </c>
      <c r="AH88" s="173">
        <f t="shared" si="271"/>
        <v>0</v>
      </c>
      <c r="AI88" s="188" t="str">
        <f t="shared" ref="AI88" si="347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18"/>
        <v>دوغارون</v>
      </c>
      <c r="B89" s="215" t="str">
        <f>واردات!J50</f>
        <v>دوغارون</v>
      </c>
      <c r="C89" s="166" t="str">
        <f>C77</f>
        <v>فروردین</v>
      </c>
      <c r="D89" s="170">
        <f>SUMIFS(صادرات!$K$4:$K$500,صادرات!$J$4:$J$500,$C89,صادرات!$I$4:$I$500,$A89)+SUMIFS(صادرات!$C$4:$C$500,صادرات!$B$4:$B$500,$C89,صادرات!$A$4:$A$500,$A89)</f>
        <v>101</v>
      </c>
      <c r="E89" s="160">
        <v>45.015741715379249</v>
      </c>
      <c r="F89" s="160">
        <f t="shared" si="261"/>
        <v>55.984258284620751</v>
      </c>
      <c r="G89" s="185">
        <f>IF(SUM(D89:D100)=0,"",IFERROR(D89/E89,""))</f>
        <v>2.2436595766563632</v>
      </c>
      <c r="H89" s="170">
        <f>SUMIFS(صادرات!$L$4:$L$500,صادرات!$J$4:$J$500,$C89,صادرات!$I$4:$I$500,$A89)+SUMIFS(صادرات!$D$4:$D$500,صادرات!$B$4:$B$500,$C89,صادرات!$A$4:$A$500,$A89)</f>
        <v>70</v>
      </c>
      <c r="I89" s="160">
        <v>74.584477364185091</v>
      </c>
      <c r="J89" s="160">
        <f t="shared" si="262"/>
        <v>-4.5844773641850907</v>
      </c>
      <c r="K89" s="185">
        <f>IF(SUM(H89:H100)=0,"",IFERROR(H89/I89,""))</f>
        <v>0.93853308991092399</v>
      </c>
      <c r="L89" s="170">
        <f>SUMIFS(صادرات!$M$4:$M$500,صادرات!$J$4:$J$500,$C89,صادرات!$I$4:$I$500,$A89)+SUMIFS(صادرات!$E$4:$E$500,صادرات!$B$4:$B$500,$C89,صادرات!$A$4:$A$500,$A89)</f>
        <v>0</v>
      </c>
      <c r="M89" s="160">
        <v>0</v>
      </c>
      <c r="N89" s="160">
        <f t="shared" si="263"/>
        <v>0</v>
      </c>
      <c r="O89" s="185" t="str">
        <f>IF(SUM(L89:L100)=0,"",IFERROR(L89/M89,""))</f>
        <v/>
      </c>
      <c r="P89" s="170">
        <f>SUMIFS(صادرات!$N$4:$N$500,صادرات!$J$4:$J$500,$C89,صادرات!$I$4:$I$500,$A89)+SUMIFS(صادرات!$F$4:$F$500,صادرات!$B$4:$B$500,$C89,صادرات!$A$4:$A$500,$A89)</f>
        <v>0</v>
      </c>
      <c r="Q89" s="160">
        <v>0</v>
      </c>
      <c r="R89" s="160">
        <f t="shared" si="264"/>
        <v>0</v>
      </c>
      <c r="S89" s="185" t="str">
        <f>IF(SUM(P89:P100)=0,"",IFERROR(P89/Q89,""))</f>
        <v/>
      </c>
      <c r="T89" s="183">
        <f t="shared" si="249"/>
        <v>101</v>
      </c>
      <c r="U89" s="160">
        <f t="shared" si="250"/>
        <v>45.015741715379249</v>
      </c>
      <c r="V89" s="160">
        <f t="shared" si="265"/>
        <v>55.984258284620751</v>
      </c>
      <c r="W89" s="185">
        <f t="shared" ref="W89" si="348">IF(SUM(T89:T100)=0,"",IFERROR(T89/U89,""))</f>
        <v>2.2436595766563632</v>
      </c>
      <c r="X89" s="183">
        <f t="shared" si="252"/>
        <v>70</v>
      </c>
      <c r="Y89" s="160">
        <f t="shared" si="253"/>
        <v>74.584477364185091</v>
      </c>
      <c r="Z89" s="160">
        <f t="shared" si="267"/>
        <v>-4.5844773641850907</v>
      </c>
      <c r="AA89" s="185">
        <f t="shared" ref="AA89" si="349">IF(SUM(X89:X100)=0,"",IFERROR(X89/Y89,""))</f>
        <v>0.93853308991092399</v>
      </c>
      <c r="AB89" s="183">
        <f t="shared" si="255"/>
        <v>0</v>
      </c>
      <c r="AC89" s="160">
        <f t="shared" si="256"/>
        <v>0</v>
      </c>
      <c r="AD89" s="160">
        <f t="shared" si="269"/>
        <v>0</v>
      </c>
      <c r="AE89" s="185" t="str">
        <f t="shared" ref="AE89" si="350">IF(SUM(AB89:AB100)=0,"",IFERROR(AB89/AC89,""))</f>
        <v/>
      </c>
      <c r="AF89" s="183">
        <f t="shared" si="258"/>
        <v>0</v>
      </c>
      <c r="AG89" s="160">
        <f t="shared" si="259"/>
        <v>0</v>
      </c>
      <c r="AH89" s="160">
        <f t="shared" si="271"/>
        <v>0</v>
      </c>
      <c r="AI89" s="186" t="str">
        <f t="shared" ref="AI89" si="351">IF(SUM(AF89:AF100)=0,"",IFERROR(AF89/AG89,""))</f>
        <v/>
      </c>
      <c r="AJ89" s="157">
        <v>1</v>
      </c>
    </row>
    <row r="90" spans="1:36" ht="24.95" customHeight="1" x14ac:dyDescent="0.25">
      <c r="A90" s="182" t="str">
        <f t="shared" si="318"/>
        <v>دوغارون</v>
      </c>
      <c r="B90" s="216"/>
      <c r="C90" s="167" t="str">
        <f t="shared" ref="C90:C100" si="352">C78</f>
        <v>اردیبهشت</v>
      </c>
      <c r="D90" s="171">
        <f>SUMIFS(صادرات!$K$4:$K$500,صادرات!$J$4:$J$500,$C90,صادرات!$I$4:$I$500,$A90)+SUMIFS(صادرات!$C$4:$C$500,صادرات!$B$4:$B$500,$C90,صادرات!$A$4:$A$500,$A90)</f>
        <v>127</v>
      </c>
      <c r="E90" s="159">
        <v>45.015741715379249</v>
      </c>
      <c r="F90" s="159">
        <f t="shared" si="261"/>
        <v>81.984258284620751</v>
      </c>
      <c r="G90" s="175">
        <f>IF(SUM(D90:D100)=0,"",IFERROR(D90/E90,""))</f>
        <v>2.8212353092609717</v>
      </c>
      <c r="H90" s="171">
        <f>SUMIFS(صادرات!$L$4:$L$500,صادرات!$J$4:$J$500,$C90,صادرات!$I$4:$I$500,$A90)+SUMIFS(صادرات!$D$4:$D$500,صادرات!$B$4:$B$500,$C90,صادرات!$A$4:$A$500,$A90)</f>
        <v>114</v>
      </c>
      <c r="I90" s="159">
        <v>74.584477364185091</v>
      </c>
      <c r="J90" s="159">
        <f t="shared" si="262"/>
        <v>39.415522635814909</v>
      </c>
      <c r="K90" s="175">
        <f>IF(SUM(H90:H100)=0,"",IFERROR(H90/I90,""))</f>
        <v>1.5284681749977904</v>
      </c>
      <c r="L90" s="171">
        <f>SUMIFS(صادرات!$M$4:$M$500,صادرات!$J$4:$J$500,$C90,صادرات!$I$4:$I$500,$A90)+SUMIFS(صادرات!$E$4:$E$500,صادرات!$B$4:$B$500,$C90,صادرات!$A$4:$A$500,$A90)</f>
        <v>0</v>
      </c>
      <c r="M90" s="159">
        <v>0</v>
      </c>
      <c r="N90" s="159">
        <f t="shared" si="263"/>
        <v>0</v>
      </c>
      <c r="O90" s="175" t="str">
        <f>IF(SUM(L90:L100)=0,"",IFERROR(L90/M90,""))</f>
        <v/>
      </c>
      <c r="P90" s="171">
        <f>SUMIFS(صادرات!$N$4:$N$500,صادرات!$J$4:$J$500,$C90,صادرات!$I$4:$I$500,$A90)+SUMIFS(صادرات!$F$4:$F$500,صادرات!$B$4:$B$500,$C90,صادرات!$A$4:$A$500,$A90)</f>
        <v>0</v>
      </c>
      <c r="Q90" s="159">
        <v>0</v>
      </c>
      <c r="R90" s="159">
        <f t="shared" si="264"/>
        <v>0</v>
      </c>
      <c r="S90" s="175" t="str">
        <f>IF(SUM(P90:P100)=0,"",IFERROR(P90/Q90,""))</f>
        <v/>
      </c>
      <c r="T90" s="171">
        <f t="shared" si="249"/>
        <v>228</v>
      </c>
      <c r="U90" s="159">
        <f t="shared" si="250"/>
        <v>90.031483430758499</v>
      </c>
      <c r="V90" s="159">
        <f t="shared" si="265"/>
        <v>137.9685165692415</v>
      </c>
      <c r="W90" s="175">
        <f t="shared" ref="W90" si="353">IF(SUM(T90:T100)=0,"",IFERROR(T90/U90,""))</f>
        <v>2.5324474429586674</v>
      </c>
      <c r="X90" s="171">
        <f t="shared" si="252"/>
        <v>184</v>
      </c>
      <c r="Y90" s="159">
        <f t="shared" si="253"/>
        <v>149.16895472837018</v>
      </c>
      <c r="Z90" s="159">
        <f t="shared" si="267"/>
        <v>34.831045271629819</v>
      </c>
      <c r="AA90" s="175">
        <f t="shared" ref="AA90" si="354">IF(SUM(X90:X100)=0,"",IFERROR(X90/Y90,""))</f>
        <v>1.2335006324543571</v>
      </c>
      <c r="AB90" s="171">
        <f t="shared" si="255"/>
        <v>0</v>
      </c>
      <c r="AC90" s="159">
        <f t="shared" si="256"/>
        <v>0</v>
      </c>
      <c r="AD90" s="159">
        <f t="shared" si="269"/>
        <v>0</v>
      </c>
      <c r="AE90" s="175" t="str">
        <f t="shared" ref="AE90" si="355">IF(SUM(AB90:AB100)=0,"",IFERROR(AB90/AC90,""))</f>
        <v/>
      </c>
      <c r="AF90" s="171">
        <f t="shared" si="258"/>
        <v>0</v>
      </c>
      <c r="AG90" s="159">
        <f t="shared" si="259"/>
        <v>0</v>
      </c>
      <c r="AH90" s="159">
        <f t="shared" si="271"/>
        <v>0</v>
      </c>
      <c r="AI90" s="187" t="str">
        <f t="shared" ref="AI90" si="356">IF(SUM(AF90:AF100)=0,"",IFERROR(AF90/AG90,""))</f>
        <v/>
      </c>
      <c r="AJ90" s="157">
        <f>AJ89+1</f>
        <v>2</v>
      </c>
    </row>
    <row r="91" spans="1:36" ht="24.95" customHeight="1" x14ac:dyDescent="0.25">
      <c r="A91" s="182" t="str">
        <f t="shared" si="318"/>
        <v>دوغارون</v>
      </c>
      <c r="B91" s="216"/>
      <c r="C91" s="167" t="str">
        <f t="shared" si="352"/>
        <v>خرداد</v>
      </c>
      <c r="D91" s="171">
        <f>SUMIFS(صادرات!$K$4:$K$500,صادرات!$J$4:$J$500,$C91,صادرات!$I$4:$I$500,$A91)+SUMIFS(صادرات!$C$4:$C$500,صادرات!$B$4:$B$500,$C91,صادرات!$A$4:$A$500,$A91)</f>
        <v>71</v>
      </c>
      <c r="E91" s="159">
        <v>45.015741715379249</v>
      </c>
      <c r="F91" s="159">
        <f t="shared" si="261"/>
        <v>25.984258284620751</v>
      </c>
      <c r="G91" s="175">
        <f>IF(SUM(D91:D100)=0,"",IFERROR(D91/E91,""))</f>
        <v>1.5772260390356614</v>
      </c>
      <c r="H91" s="171">
        <f>SUMIFS(صادرات!$L$4:$L$500,صادرات!$J$4:$J$500,$C91,صادرات!$I$4:$I$500,$A91)+SUMIFS(صادرات!$D$4:$D$500,صادرات!$B$4:$B$500,$C91,صادرات!$A$4:$A$500,$A91)</f>
        <v>126</v>
      </c>
      <c r="I91" s="159">
        <v>74.584477364185091</v>
      </c>
      <c r="J91" s="159">
        <f t="shared" si="262"/>
        <v>51.415522635814909</v>
      </c>
      <c r="K91" s="175">
        <f>IF(SUM(H91:H100)=0,"",IFERROR(H91/I91,""))</f>
        <v>1.6893595618396631</v>
      </c>
      <c r="L91" s="171">
        <f>SUMIFS(صادرات!$M$4:$M$500,صادرات!$J$4:$J$500,$C91,صادرات!$I$4:$I$500,$A91)+SUMIFS(صادرات!$E$4:$E$500,صادرات!$B$4:$B$500,$C91,صادرات!$A$4:$A$500,$A91)</f>
        <v>0</v>
      </c>
      <c r="M91" s="159">
        <v>0</v>
      </c>
      <c r="N91" s="159">
        <f t="shared" si="263"/>
        <v>0</v>
      </c>
      <c r="O91" s="175" t="str">
        <f>IF(SUM(L91:L100)=0,"",IFERROR(L91/M91,""))</f>
        <v/>
      </c>
      <c r="P91" s="171">
        <f>SUMIFS(صادرات!$N$4:$N$500,صادرات!$J$4:$J$500,$C91,صادرات!$I$4:$I$500,$A91)+SUMIFS(صادرات!$F$4:$F$500,صادرات!$B$4:$B$500,$C91,صادرات!$A$4:$A$500,$A91)</f>
        <v>0</v>
      </c>
      <c r="Q91" s="159">
        <v>0</v>
      </c>
      <c r="R91" s="159">
        <f t="shared" si="264"/>
        <v>0</v>
      </c>
      <c r="S91" s="175" t="str">
        <f>IF(SUM(P91:P100)=0,"",IFERROR(P91/Q91,""))</f>
        <v/>
      </c>
      <c r="T91" s="171">
        <f t="shared" si="249"/>
        <v>299</v>
      </c>
      <c r="U91" s="159">
        <f t="shared" si="250"/>
        <v>135.04722514613775</v>
      </c>
      <c r="V91" s="159">
        <f t="shared" si="265"/>
        <v>163.95277485386225</v>
      </c>
      <c r="W91" s="175">
        <f t="shared" ref="W91" si="357">IF(SUM(T91:T100)=0,"",IFERROR(T91/U91,""))</f>
        <v>2.2140403083176654</v>
      </c>
      <c r="X91" s="171">
        <f t="shared" si="252"/>
        <v>310</v>
      </c>
      <c r="Y91" s="159">
        <f t="shared" si="253"/>
        <v>223.75343209255527</v>
      </c>
      <c r="Z91" s="159">
        <f t="shared" si="267"/>
        <v>86.246567907444728</v>
      </c>
      <c r="AA91" s="175">
        <f t="shared" ref="AA91" si="358">IF(SUM(X91:X100)=0,"",IFERROR(X91/Y91,""))</f>
        <v>1.3854536089161258</v>
      </c>
      <c r="AB91" s="171">
        <f t="shared" si="255"/>
        <v>0</v>
      </c>
      <c r="AC91" s="159">
        <f t="shared" si="256"/>
        <v>0</v>
      </c>
      <c r="AD91" s="159">
        <f t="shared" si="269"/>
        <v>0</v>
      </c>
      <c r="AE91" s="175" t="str">
        <f t="shared" ref="AE91" si="359">IF(SUM(AB91:AB100)=0,"",IFERROR(AB91/AC91,""))</f>
        <v/>
      </c>
      <c r="AF91" s="171">
        <f t="shared" si="258"/>
        <v>0</v>
      </c>
      <c r="AG91" s="159">
        <f t="shared" si="259"/>
        <v>0</v>
      </c>
      <c r="AH91" s="159">
        <f t="shared" si="271"/>
        <v>0</v>
      </c>
      <c r="AI91" s="187" t="str">
        <f t="shared" ref="AI91" si="360">IF(SUM(AF91:AF100)=0,"",IFERROR(AF91/AG91,""))</f>
        <v/>
      </c>
      <c r="AJ91" s="157">
        <f t="shared" ref="AJ91:AJ99" si="361">AJ90+1</f>
        <v>3</v>
      </c>
    </row>
    <row r="92" spans="1:36" ht="24.95" customHeight="1" x14ac:dyDescent="0.25">
      <c r="A92" s="182" t="str">
        <f t="shared" si="318"/>
        <v>دوغارون</v>
      </c>
      <c r="B92" s="216"/>
      <c r="C92" s="167" t="str">
        <f t="shared" si="352"/>
        <v>تیر</v>
      </c>
      <c r="D92" s="171">
        <f>SUMIFS(صادرات!$K$4:$K$500,صادرات!$J$4:$J$500,$C92,صادرات!$I$4:$I$500,$A92)+SUMIFS(صادرات!$C$4:$C$500,صادرات!$B$4:$B$500,$C92,صادرات!$A$4:$A$500,$A92)</f>
        <v>62</v>
      </c>
      <c r="E92" s="159">
        <v>23.884172782165923</v>
      </c>
      <c r="F92" s="159">
        <f t="shared" si="261"/>
        <v>38.115827217834081</v>
      </c>
      <c r="G92" s="175">
        <f>IF(SUM(D92:D100)=0,"",IFERROR(D92/E92,""))</f>
        <v>2.5958613080497721</v>
      </c>
      <c r="H92" s="171">
        <f>SUMIFS(صادرات!$L$4:$L$500,صادرات!$J$4:$J$500,$C92,صادرات!$I$4:$I$500,$A92)+SUMIFS(صادرات!$D$4:$D$500,صادرات!$B$4:$B$500,$C92,صادرات!$A$4:$A$500,$A92)</f>
        <v>73</v>
      </c>
      <c r="I92" s="159">
        <v>36.950519084101863</v>
      </c>
      <c r="J92" s="159">
        <f t="shared" si="262"/>
        <v>36.049480915898137</v>
      </c>
      <c r="K92" s="175">
        <f>IF(SUM(H92:H100)=0,"",IFERROR(H92/I92,""))</f>
        <v>1.9756150064860278</v>
      </c>
      <c r="L92" s="171">
        <f>SUMIFS(صادرات!$M$4:$M$500,صادرات!$J$4:$J$500,$C92,صادرات!$I$4:$I$500,$A92)+SUMIFS(صادرات!$E$4:$E$500,صادرات!$B$4:$B$500,$C92,صادرات!$A$4:$A$500,$A92)</f>
        <v>0</v>
      </c>
      <c r="M92" s="159">
        <v>0</v>
      </c>
      <c r="N92" s="159">
        <f t="shared" si="263"/>
        <v>0</v>
      </c>
      <c r="O92" s="175" t="str">
        <f>IF(SUM(L92:L100)=0,"",IFERROR(L92/M92,""))</f>
        <v/>
      </c>
      <c r="P92" s="171">
        <f>SUMIFS(صادرات!$N$4:$N$500,صادرات!$J$4:$J$500,$C92,صادرات!$I$4:$I$500,$A92)+SUMIFS(صادرات!$F$4:$F$500,صادرات!$B$4:$B$500,$C92,صادرات!$A$4:$A$500,$A92)</f>
        <v>0</v>
      </c>
      <c r="Q92" s="159">
        <v>0</v>
      </c>
      <c r="R92" s="159">
        <f t="shared" si="264"/>
        <v>0</v>
      </c>
      <c r="S92" s="175" t="str">
        <f>IF(SUM(P92:P100)=0,"",IFERROR(P92/Q92,""))</f>
        <v/>
      </c>
      <c r="T92" s="171">
        <f t="shared" si="249"/>
        <v>361</v>
      </c>
      <c r="U92" s="159">
        <f t="shared" si="250"/>
        <v>158.93139792830368</v>
      </c>
      <c r="V92" s="159">
        <f t="shared" si="265"/>
        <v>202.06860207169632</v>
      </c>
      <c r="W92" s="175">
        <f t="shared" ref="W92" si="362">IF(SUM(T92:T100)=0,"",IFERROR(T92/U92,""))</f>
        <v>2.2714202775895327</v>
      </c>
      <c r="X92" s="171">
        <f t="shared" si="252"/>
        <v>383</v>
      </c>
      <c r="Y92" s="159">
        <f t="shared" si="253"/>
        <v>260.70395117665714</v>
      </c>
      <c r="Z92" s="159">
        <f t="shared" si="267"/>
        <v>122.29604882334286</v>
      </c>
      <c r="AA92" s="175">
        <f t="shared" ref="AA92" si="363">IF(SUM(X92:X100)=0,"",IFERROR(X92/Y92,""))</f>
        <v>1.4690993299924062</v>
      </c>
      <c r="AB92" s="171">
        <f t="shared" si="255"/>
        <v>0</v>
      </c>
      <c r="AC92" s="159">
        <f t="shared" si="256"/>
        <v>0</v>
      </c>
      <c r="AD92" s="159">
        <f t="shared" si="269"/>
        <v>0</v>
      </c>
      <c r="AE92" s="175" t="str">
        <f t="shared" ref="AE92" si="364">IF(SUM(AB92:AB100)=0,"",IFERROR(AB92/AC92,""))</f>
        <v/>
      </c>
      <c r="AF92" s="171">
        <f t="shared" si="258"/>
        <v>0</v>
      </c>
      <c r="AG92" s="159">
        <f t="shared" si="259"/>
        <v>0</v>
      </c>
      <c r="AH92" s="159">
        <f t="shared" si="271"/>
        <v>0</v>
      </c>
      <c r="AI92" s="187" t="str">
        <f t="shared" ref="AI92" si="365">IF(SUM(AF92:AF100)=0,"",IFERROR(AF92/AG92,""))</f>
        <v/>
      </c>
      <c r="AJ92" s="157">
        <f t="shared" si="361"/>
        <v>4</v>
      </c>
    </row>
    <row r="93" spans="1:36" ht="24.95" customHeight="1" x14ac:dyDescent="0.25">
      <c r="A93" s="182" t="str">
        <f t="shared" si="318"/>
        <v>دوغارون</v>
      </c>
      <c r="B93" s="216"/>
      <c r="C93" s="167" t="str">
        <f t="shared" si="352"/>
        <v>مرداد</v>
      </c>
      <c r="D93" s="171">
        <f>SUMIFS(صادرات!$K$4:$K$500,صادرات!$J$4:$J$500,$C93,صادرات!$I$4:$I$500,$A93)+SUMIFS(صادرات!$C$4:$C$500,صادرات!$B$4:$B$500,$C93,صادرات!$A$4:$A$500,$A93)</f>
        <v>11</v>
      </c>
      <c r="E93" s="159">
        <v>23.884172782165923</v>
      </c>
      <c r="F93" s="159">
        <f t="shared" si="261"/>
        <v>-12.884172782165923</v>
      </c>
      <c r="G93" s="175">
        <f>IF(SUM(D93:D100)=0,"",IFERROR(D93/E93,""))</f>
        <v>0.46055603852495958</v>
      </c>
      <c r="H93" s="171">
        <f>SUMIFS(صادرات!$L$4:$L$500,صادرات!$J$4:$J$500,$C93,صادرات!$I$4:$I$500,$A93)+SUMIFS(صادرات!$D$4:$D$500,صادرات!$B$4:$B$500,$C93,صادرات!$A$4:$A$500,$A93)</f>
        <v>25</v>
      </c>
      <c r="I93" s="159">
        <v>36.950519084101863</v>
      </c>
      <c r="J93" s="159">
        <f t="shared" si="262"/>
        <v>-11.950519084101863</v>
      </c>
      <c r="K93" s="175">
        <f>IF(SUM(H93:H100)=0,"",IFERROR(H93/I93,""))</f>
        <v>0.67658048167329721</v>
      </c>
      <c r="L93" s="171">
        <f>SUMIFS(صادرات!$M$4:$M$500,صادرات!$J$4:$J$500,$C93,صادرات!$I$4:$I$500,$A93)+SUMIFS(صادرات!$E$4:$E$500,صادرات!$B$4:$B$500,$C93,صادرات!$A$4:$A$500,$A93)</f>
        <v>0</v>
      </c>
      <c r="M93" s="159">
        <v>0</v>
      </c>
      <c r="N93" s="159">
        <f t="shared" si="263"/>
        <v>0</v>
      </c>
      <c r="O93" s="175" t="str">
        <f>IF(SUM(L93:L100)=0,"",IFERROR(L93/M93,""))</f>
        <v/>
      </c>
      <c r="P93" s="171">
        <f>SUMIFS(صادرات!$N$4:$N$500,صادرات!$J$4:$J$500,$C93,صادرات!$I$4:$I$500,$A93)+SUMIFS(صادرات!$F$4:$F$500,صادرات!$B$4:$B$500,$C93,صادرات!$A$4:$A$500,$A93)</f>
        <v>0</v>
      </c>
      <c r="Q93" s="159">
        <v>0</v>
      </c>
      <c r="R93" s="159">
        <f t="shared" si="264"/>
        <v>0</v>
      </c>
      <c r="S93" s="175" t="str">
        <f>IF(SUM(P93:P100)=0,"",IFERROR(P93/Q93,""))</f>
        <v/>
      </c>
      <c r="T93" s="171">
        <f t="shared" si="249"/>
        <v>372</v>
      </c>
      <c r="U93" s="159">
        <f t="shared" si="250"/>
        <v>182.81557071046961</v>
      </c>
      <c r="V93" s="159">
        <f t="shared" si="265"/>
        <v>189.18442928953039</v>
      </c>
      <c r="W93" s="175">
        <f t="shared" ref="W93" si="366">IF(SUM(T93:T100)=0,"",IFERROR(T93/U93,""))</f>
        <v>2.0348376156052228</v>
      </c>
      <c r="X93" s="171">
        <f t="shared" si="252"/>
        <v>408</v>
      </c>
      <c r="Y93" s="159">
        <f t="shared" si="253"/>
        <v>297.65447026075901</v>
      </c>
      <c r="Z93" s="159">
        <f t="shared" si="267"/>
        <v>110.34552973924099</v>
      </c>
      <c r="AA93" s="175">
        <f t="shared" ref="AA93" si="367">IF(SUM(X93:X100)=0,"",IFERROR(X93/Y93,""))</f>
        <v>1.3707168571752786</v>
      </c>
      <c r="AB93" s="171">
        <f t="shared" si="255"/>
        <v>0</v>
      </c>
      <c r="AC93" s="159">
        <f t="shared" si="256"/>
        <v>0</v>
      </c>
      <c r="AD93" s="159">
        <f t="shared" si="269"/>
        <v>0</v>
      </c>
      <c r="AE93" s="175" t="str">
        <f t="shared" ref="AE93" si="368">IF(SUM(AB93:AB100)=0,"",IFERROR(AB93/AC93,""))</f>
        <v/>
      </c>
      <c r="AF93" s="171">
        <f t="shared" si="258"/>
        <v>0</v>
      </c>
      <c r="AG93" s="159">
        <f t="shared" si="259"/>
        <v>0</v>
      </c>
      <c r="AH93" s="159">
        <f t="shared" si="271"/>
        <v>0</v>
      </c>
      <c r="AI93" s="187" t="str">
        <f t="shared" ref="AI93" si="369">IF(SUM(AF93:AF100)=0,"",IFERROR(AF93/AG93,""))</f>
        <v/>
      </c>
      <c r="AJ93" s="157">
        <f t="shared" si="361"/>
        <v>5</v>
      </c>
    </row>
    <row r="94" spans="1:36" ht="24.95" customHeight="1" x14ac:dyDescent="0.25">
      <c r="A94" s="182" t="str">
        <f t="shared" si="318"/>
        <v>دوغارون</v>
      </c>
      <c r="B94" s="216"/>
      <c r="C94" s="167" t="str">
        <f t="shared" si="352"/>
        <v>شهریور</v>
      </c>
      <c r="D94" s="171">
        <f>SUMIFS(صادرات!$K$4:$K$500,صادرات!$J$4:$J$500,$C94,صادرات!$I$4:$I$500,$A94)+SUMIFS(صادرات!$C$4:$C$500,صادرات!$B$4:$B$500,$C94,صادرات!$A$4:$A$500,$A94)</f>
        <v>30</v>
      </c>
      <c r="E94" s="159">
        <v>23.884172782165923</v>
      </c>
      <c r="F94" s="159">
        <f t="shared" si="261"/>
        <v>6.1158272178340773</v>
      </c>
      <c r="G94" s="175">
        <f>IF(SUM(D94:D100)=0,"",IFERROR(D94/E94,""))</f>
        <v>1.2560619232498897</v>
      </c>
      <c r="H94" s="171">
        <f>SUMIFS(صادرات!$L$4:$L$500,صادرات!$J$4:$J$500,$C94,صادرات!$I$4:$I$500,$A94)+SUMIFS(صادرات!$D$4:$D$500,صادرات!$B$4:$B$500,$C94,صادرات!$A$4:$A$500,$A94)</f>
        <v>11</v>
      </c>
      <c r="I94" s="159">
        <v>36.950519084101863</v>
      </c>
      <c r="J94" s="159">
        <f t="shared" si="262"/>
        <v>-25.950519084101863</v>
      </c>
      <c r="K94" s="175">
        <f>IF(SUM(H94:H100)=0,"",IFERROR(H94/I94,""))</f>
        <v>0.29769541193625076</v>
      </c>
      <c r="L94" s="171">
        <f>SUMIFS(صادرات!$M$4:$M$500,صادرات!$J$4:$J$500,$C94,صادرات!$I$4:$I$500,$A94)+SUMIFS(صادرات!$E$4:$E$500,صادرات!$B$4:$B$500,$C94,صادرات!$A$4:$A$500,$A94)</f>
        <v>0</v>
      </c>
      <c r="M94" s="159">
        <v>0</v>
      </c>
      <c r="N94" s="159">
        <f t="shared" si="263"/>
        <v>0</v>
      </c>
      <c r="O94" s="175" t="str">
        <f>IF(SUM(L94:L100)=0,"",IFERROR(L94/M94,""))</f>
        <v/>
      </c>
      <c r="P94" s="171">
        <f>SUMIFS(صادرات!$N$4:$N$500,صادرات!$J$4:$J$500,$C94,صادرات!$I$4:$I$500,$A94)+SUMIFS(صادرات!$F$4:$F$500,صادرات!$B$4:$B$500,$C94,صادرات!$A$4:$A$500,$A94)</f>
        <v>0</v>
      </c>
      <c r="Q94" s="159">
        <v>0</v>
      </c>
      <c r="R94" s="159">
        <f t="shared" si="264"/>
        <v>0</v>
      </c>
      <c r="S94" s="175" t="str">
        <f>IF(SUM(P94:P100)=0,"",IFERROR(P94/Q94,""))</f>
        <v/>
      </c>
      <c r="T94" s="171">
        <f t="shared" si="249"/>
        <v>402</v>
      </c>
      <c r="U94" s="159">
        <f t="shared" si="250"/>
        <v>206.69974349263555</v>
      </c>
      <c r="V94" s="159">
        <f t="shared" si="265"/>
        <v>195.30025650736445</v>
      </c>
      <c r="W94" s="175">
        <f t="shared" ref="W94" si="370">IF(SUM(T94:T100)=0,"",IFERROR(T94/U94,""))</f>
        <v>1.9448500187148163</v>
      </c>
      <c r="X94" s="171">
        <f t="shared" si="252"/>
        <v>419</v>
      </c>
      <c r="Y94" s="159">
        <f t="shared" si="253"/>
        <v>334.60498934486088</v>
      </c>
      <c r="Z94" s="159">
        <f t="shared" si="267"/>
        <v>84.395010655139117</v>
      </c>
      <c r="AA94" s="175">
        <f t="shared" ref="AA94" si="371">IF(SUM(X94:X100)=0,"",IFERROR(X94/Y94,""))</f>
        <v>1.2522228100076456</v>
      </c>
      <c r="AB94" s="171">
        <f t="shared" si="255"/>
        <v>0</v>
      </c>
      <c r="AC94" s="159">
        <f t="shared" si="256"/>
        <v>0</v>
      </c>
      <c r="AD94" s="159">
        <f t="shared" si="269"/>
        <v>0</v>
      </c>
      <c r="AE94" s="175" t="str">
        <f t="shared" ref="AE94" si="372">IF(SUM(AB94:AB100)=0,"",IFERROR(AB94/AC94,""))</f>
        <v/>
      </c>
      <c r="AF94" s="171">
        <f t="shared" si="258"/>
        <v>0</v>
      </c>
      <c r="AG94" s="159">
        <f t="shared" si="259"/>
        <v>0</v>
      </c>
      <c r="AH94" s="159">
        <f t="shared" si="271"/>
        <v>0</v>
      </c>
      <c r="AI94" s="187" t="str">
        <f t="shared" ref="AI94" si="373">IF(SUM(AF94:AF100)=0,"",IFERROR(AF94/AG94,""))</f>
        <v/>
      </c>
      <c r="AJ94" s="157">
        <f t="shared" si="361"/>
        <v>6</v>
      </c>
    </row>
    <row r="95" spans="1:36" ht="24.95" customHeight="1" x14ac:dyDescent="0.25">
      <c r="A95" s="182" t="str">
        <f t="shared" si="318"/>
        <v>دوغارون</v>
      </c>
      <c r="B95" s="216"/>
      <c r="C95" s="167" t="str">
        <f t="shared" si="352"/>
        <v>مهر</v>
      </c>
      <c r="D95" s="171">
        <f>SUMIFS(صادرات!$K$4:$K$500,صادرات!$J$4:$J$500,$C95,صادرات!$I$4:$I$500,$A95)+SUMIFS(صادرات!$C$4:$C$500,صادرات!$B$4:$B$500,$C95,صادرات!$A$4:$A$500,$A95)</f>
        <v>32</v>
      </c>
      <c r="E95" s="159">
        <v>77.766752169121503</v>
      </c>
      <c r="F95" s="159">
        <f t="shared" si="261"/>
        <v>-45.766752169121503</v>
      </c>
      <c r="G95" s="175">
        <f>IF(SUM(D95:D100)=0,"",IFERROR(D95/E95,""))</f>
        <v>0.41148690291718387</v>
      </c>
      <c r="H95" s="171">
        <f>SUMIFS(صادرات!$L$4:$L$500,صادرات!$J$4:$J$500,$C95,صادرات!$I$4:$I$500,$A95)+SUMIFS(صادرات!$D$4:$D$500,صادرات!$B$4:$B$500,$C95,صادرات!$A$4:$A$500,$A95)</f>
        <v>7</v>
      </c>
      <c r="I95" s="159">
        <v>127.53167021837974</v>
      </c>
      <c r="J95" s="159">
        <f t="shared" si="262"/>
        <v>-120.53167021837974</v>
      </c>
      <c r="K95" s="175">
        <f>IF(SUM(H95:H100)=0,"",IFERROR(H95/I95,""))</f>
        <v>5.4888326860406525E-2</v>
      </c>
      <c r="L95" s="171">
        <f>SUMIFS(صادرات!$M$4:$M$500,صادرات!$J$4:$J$500,$C95,صادرات!$I$4:$I$500,$A95)+SUMIFS(صادرات!$E$4:$E$500,صادرات!$B$4:$B$500,$C95,صادرات!$A$4:$A$500,$A95)</f>
        <v>0</v>
      </c>
      <c r="M95" s="159">
        <v>0</v>
      </c>
      <c r="N95" s="159">
        <f t="shared" si="263"/>
        <v>0</v>
      </c>
      <c r="O95" s="175" t="str">
        <f>IF(SUM(L95:L100)=0,"",IFERROR(L95/M95,""))</f>
        <v/>
      </c>
      <c r="P95" s="171">
        <f>SUMIFS(صادرات!$N$4:$N$500,صادرات!$J$4:$J$500,$C95,صادرات!$I$4:$I$500,$A95)+SUMIFS(صادرات!$F$4:$F$500,صادرات!$B$4:$B$500,$C95,صادرات!$A$4:$A$500,$A95)</f>
        <v>0</v>
      </c>
      <c r="Q95" s="159">
        <v>0</v>
      </c>
      <c r="R95" s="159">
        <f t="shared" si="264"/>
        <v>0</v>
      </c>
      <c r="S95" s="175" t="str">
        <f>IF(SUM(P95:P100)=0,"",IFERROR(P95/Q95,""))</f>
        <v/>
      </c>
      <c r="T95" s="171">
        <f t="shared" si="249"/>
        <v>434</v>
      </c>
      <c r="U95" s="159">
        <f t="shared" si="250"/>
        <v>284.46649566175705</v>
      </c>
      <c r="V95" s="159">
        <f t="shared" si="265"/>
        <v>149.53350433824295</v>
      </c>
      <c r="W95" s="175">
        <f t="shared" ref="W95" si="374">IF(SUM(T95:T100)=0,"",IFERROR(T95/U95,""))</f>
        <v>1.5256629747920991</v>
      </c>
      <c r="X95" s="171">
        <f t="shared" si="252"/>
        <v>426</v>
      </c>
      <c r="Y95" s="159">
        <f t="shared" si="253"/>
        <v>462.13665956324064</v>
      </c>
      <c r="Z95" s="159">
        <f t="shared" si="267"/>
        <v>-36.136659563240642</v>
      </c>
      <c r="AA95" s="175">
        <f t="shared" ref="AA95" si="375">IF(SUM(X95:X100)=0,"",IFERROR(X95/Y95,""))</f>
        <v>0.92180525215767795</v>
      </c>
      <c r="AB95" s="171">
        <f t="shared" si="255"/>
        <v>0</v>
      </c>
      <c r="AC95" s="159">
        <f t="shared" si="256"/>
        <v>0</v>
      </c>
      <c r="AD95" s="159">
        <f t="shared" si="269"/>
        <v>0</v>
      </c>
      <c r="AE95" s="175" t="str">
        <f t="shared" ref="AE95" si="376">IF(SUM(AB95:AB100)=0,"",IFERROR(AB95/AC95,""))</f>
        <v/>
      </c>
      <c r="AF95" s="171">
        <f t="shared" si="258"/>
        <v>0</v>
      </c>
      <c r="AG95" s="159">
        <f t="shared" si="259"/>
        <v>0</v>
      </c>
      <c r="AH95" s="159">
        <f t="shared" si="271"/>
        <v>0</v>
      </c>
      <c r="AI95" s="187" t="str">
        <f t="shared" ref="AI95" si="377">IF(SUM(AF95:AF100)=0,"",IFERROR(AF95/AG95,""))</f>
        <v/>
      </c>
      <c r="AJ95" s="157">
        <f t="shared" si="361"/>
        <v>7</v>
      </c>
    </row>
    <row r="96" spans="1:36" ht="24.95" customHeight="1" x14ac:dyDescent="0.25">
      <c r="A96" s="182" t="str">
        <f t="shared" si="318"/>
        <v>دوغارون</v>
      </c>
      <c r="B96" s="216"/>
      <c r="C96" s="167" t="str">
        <f t="shared" si="352"/>
        <v>آبان</v>
      </c>
      <c r="D96" s="171">
        <f>SUMIFS(صادرات!$K$4:$K$500,صادرات!$J$4:$J$500,$C96,صادرات!$I$4:$I$500,$A96)+SUMIFS(صادرات!$C$4:$C$500,صادرات!$B$4:$B$500,$C96,صادرات!$A$4:$A$500,$A96)</f>
        <v>40</v>
      </c>
      <c r="E96" s="159">
        <v>77.766752169121503</v>
      </c>
      <c r="F96" s="159">
        <f t="shared" si="261"/>
        <v>-37.766752169121503</v>
      </c>
      <c r="G96" s="175">
        <f>IF(SUM(D96:D100)=0,"",IFERROR(D96/E96,""))</f>
        <v>0.51435862864647985</v>
      </c>
      <c r="H96" s="171">
        <f>SUMIFS(صادرات!$L$4:$L$500,صادرات!$J$4:$J$500,$C96,صادرات!$I$4:$I$500,$A96)+SUMIFS(صادرات!$D$4:$D$500,صادرات!$B$4:$B$500,$C96,صادرات!$A$4:$A$500,$A96)</f>
        <v>47</v>
      </c>
      <c r="I96" s="159">
        <v>127.53167021837974</v>
      </c>
      <c r="J96" s="159">
        <f t="shared" si="262"/>
        <v>-80.531670218379745</v>
      </c>
      <c r="K96" s="175">
        <f>IF(SUM(H96:H100)=0,"",IFERROR(H96/I96,""))</f>
        <v>0.36853590891987237</v>
      </c>
      <c r="L96" s="171">
        <f>SUMIFS(صادرات!$M$4:$M$500,صادرات!$J$4:$J$500,$C96,صادرات!$I$4:$I$500,$A96)+SUMIFS(صادرات!$E$4:$E$500,صادرات!$B$4:$B$500,$C96,صادرات!$A$4:$A$500,$A96)</f>
        <v>0</v>
      </c>
      <c r="M96" s="159">
        <v>0</v>
      </c>
      <c r="N96" s="159">
        <f t="shared" si="263"/>
        <v>0</v>
      </c>
      <c r="O96" s="175" t="str">
        <f>IF(SUM(L96:L100)=0,"",IFERROR(L96/M96,""))</f>
        <v/>
      </c>
      <c r="P96" s="171">
        <f>SUMIFS(صادرات!$N$4:$N$500,صادرات!$J$4:$J$500,$C96,صادرات!$I$4:$I$500,$A96)+SUMIFS(صادرات!$F$4:$F$500,صادرات!$B$4:$B$500,$C96,صادرات!$A$4:$A$500,$A96)</f>
        <v>0</v>
      </c>
      <c r="Q96" s="159">
        <v>0</v>
      </c>
      <c r="R96" s="159">
        <f t="shared" si="264"/>
        <v>0</v>
      </c>
      <c r="S96" s="175" t="str">
        <f>IF(SUM(P96:P100)=0,"",IFERROR(P96/Q96,""))</f>
        <v/>
      </c>
      <c r="T96" s="171">
        <f t="shared" si="249"/>
        <v>474</v>
      </c>
      <c r="U96" s="159">
        <f t="shared" si="250"/>
        <v>362.23324783087855</v>
      </c>
      <c r="V96" s="159">
        <f t="shared" si="265"/>
        <v>111.76675216912145</v>
      </c>
      <c r="W96" s="175">
        <f t="shared" ref="W96" si="378">IF(SUM(T96:T100)=0,"",IFERROR(T96/U96,""))</f>
        <v>1.3085491263941176</v>
      </c>
      <c r="X96" s="171">
        <f t="shared" si="252"/>
        <v>473</v>
      </c>
      <c r="Y96" s="159">
        <f t="shared" si="253"/>
        <v>589.6683297816204</v>
      </c>
      <c r="Z96" s="159">
        <f t="shared" si="267"/>
        <v>-116.6683297816204</v>
      </c>
      <c r="AA96" s="175">
        <f t="shared" ref="AA96" si="379">IF(SUM(X96:X100)=0,"",IFERROR(X96/Y96,""))</f>
        <v>0.80214584387662857</v>
      </c>
      <c r="AB96" s="171">
        <f t="shared" si="255"/>
        <v>0</v>
      </c>
      <c r="AC96" s="159">
        <f t="shared" si="256"/>
        <v>0</v>
      </c>
      <c r="AD96" s="159">
        <f t="shared" si="269"/>
        <v>0</v>
      </c>
      <c r="AE96" s="175" t="str">
        <f t="shared" ref="AE96" si="380">IF(SUM(AB96:AB100)=0,"",IFERROR(AB96/AC96,""))</f>
        <v/>
      </c>
      <c r="AF96" s="171">
        <f t="shared" si="258"/>
        <v>0</v>
      </c>
      <c r="AG96" s="159">
        <f t="shared" si="259"/>
        <v>0</v>
      </c>
      <c r="AH96" s="159">
        <f t="shared" si="271"/>
        <v>0</v>
      </c>
      <c r="AI96" s="187" t="str">
        <f t="shared" ref="AI96" si="381">IF(SUM(AF96:AF100)=0,"",IFERROR(AF96/AG96,""))</f>
        <v/>
      </c>
      <c r="AJ96" s="157">
        <f t="shared" si="361"/>
        <v>8</v>
      </c>
    </row>
    <row r="97" spans="1:36" ht="24.95" customHeight="1" x14ac:dyDescent="0.25">
      <c r="A97" s="182" t="str">
        <f t="shared" si="318"/>
        <v>دوغارون</v>
      </c>
      <c r="B97" s="216"/>
      <c r="C97" s="167" t="str">
        <f t="shared" si="352"/>
        <v>آذر</v>
      </c>
      <c r="D97" s="171">
        <f>SUMIFS(صادرات!$K$4:$K$500,صادرات!$J$4:$J$500,$C97,صادرات!$I$4:$I$500,$A97)+SUMIFS(صادرات!$C$4:$C$500,صادرات!$B$4:$B$500,$C97,صادرات!$A$4:$A$500,$A97)</f>
        <v>1</v>
      </c>
      <c r="E97" s="159">
        <v>77.766752169121503</v>
      </c>
      <c r="F97" s="159">
        <f t="shared" si="261"/>
        <v>-76.766752169121503</v>
      </c>
      <c r="G97" s="175">
        <f>IF(SUM(D97:D100)=0,"",IFERROR(D97/E97,""))</f>
        <v>1.2858965716161996E-2</v>
      </c>
      <c r="H97" s="171">
        <f>SUMIFS(صادرات!$L$4:$L$500,صادرات!$J$4:$J$500,$C97,صادرات!$I$4:$I$500,$A97)+SUMIFS(صادرات!$D$4:$D$500,صادرات!$B$4:$B$500,$C97,صادرات!$A$4:$A$500,$A97)</f>
        <v>37</v>
      </c>
      <c r="I97" s="159">
        <v>127.53167021837974</v>
      </c>
      <c r="J97" s="159">
        <f t="shared" si="262"/>
        <v>-90.531670218379745</v>
      </c>
      <c r="K97" s="175">
        <f>IF(SUM(H97:H100)=0,"",IFERROR(H97/I97,""))</f>
        <v>0.29012401340500593</v>
      </c>
      <c r="L97" s="171">
        <f>SUMIFS(صادرات!$M$4:$M$500,صادرات!$J$4:$J$500,$C97,صادرات!$I$4:$I$500,$A97)+SUMIFS(صادرات!$E$4:$E$500,صادرات!$B$4:$B$500,$C97,صادرات!$A$4:$A$500,$A97)</f>
        <v>0</v>
      </c>
      <c r="M97" s="159">
        <v>0</v>
      </c>
      <c r="N97" s="159">
        <f t="shared" si="263"/>
        <v>0</v>
      </c>
      <c r="O97" s="175" t="str">
        <f>IF(SUM(L97:L100)=0,"",IFERROR(L97/M97,""))</f>
        <v/>
      </c>
      <c r="P97" s="171">
        <f>SUMIFS(صادرات!$N$4:$N$500,صادرات!$J$4:$J$500,$C97,صادرات!$I$4:$I$500,$A97)+SUMIFS(صادرات!$F$4:$F$500,صادرات!$B$4:$B$500,$C97,صادرات!$A$4:$A$500,$A97)</f>
        <v>0</v>
      </c>
      <c r="Q97" s="159">
        <v>0</v>
      </c>
      <c r="R97" s="159">
        <f t="shared" si="264"/>
        <v>0</v>
      </c>
      <c r="S97" s="175" t="str">
        <f>IF(SUM(P97:P100)=0,"",IFERROR(P97/Q97,""))</f>
        <v/>
      </c>
      <c r="T97" s="171">
        <f t="shared" si="249"/>
        <v>475</v>
      </c>
      <c r="U97" s="159">
        <f t="shared" si="250"/>
        <v>440.00000000000006</v>
      </c>
      <c r="V97" s="159">
        <f t="shared" si="265"/>
        <v>34.999999999999943</v>
      </c>
      <c r="W97" s="175">
        <f t="shared" ref="W97" si="382">IF(SUM(T97:T100)=0,"",IFERROR(T97/U97,""))</f>
        <v>1.0795454545454544</v>
      </c>
      <c r="X97" s="171">
        <f t="shared" si="252"/>
        <v>510</v>
      </c>
      <c r="Y97" s="159">
        <f t="shared" si="253"/>
        <v>717.20000000000016</v>
      </c>
      <c r="Z97" s="159">
        <f t="shared" si="267"/>
        <v>-207.20000000000016</v>
      </c>
      <c r="AA97" s="175">
        <f t="shared" ref="AA97" si="383">IF(SUM(X97:X100)=0,"",IFERROR(X97/Y97,""))</f>
        <v>0.71109871723368645</v>
      </c>
      <c r="AB97" s="171">
        <f t="shared" si="255"/>
        <v>0</v>
      </c>
      <c r="AC97" s="159">
        <f t="shared" si="256"/>
        <v>0</v>
      </c>
      <c r="AD97" s="159">
        <f t="shared" si="269"/>
        <v>0</v>
      </c>
      <c r="AE97" s="175" t="str">
        <f t="shared" ref="AE97" si="384">IF(SUM(AB97:AB100)=0,"",IFERROR(AB97/AC97,""))</f>
        <v/>
      </c>
      <c r="AF97" s="171">
        <f t="shared" si="258"/>
        <v>0</v>
      </c>
      <c r="AG97" s="159">
        <f t="shared" si="259"/>
        <v>0</v>
      </c>
      <c r="AH97" s="159">
        <f t="shared" si="271"/>
        <v>0</v>
      </c>
      <c r="AI97" s="187" t="str">
        <f t="shared" ref="AI97" si="385">IF(SUM(AF97:AF100)=0,"",IFERROR(AF97/AG97,""))</f>
        <v/>
      </c>
      <c r="AJ97" s="157">
        <f t="shared" si="361"/>
        <v>9</v>
      </c>
    </row>
    <row r="98" spans="1:36" ht="24.95" customHeight="1" x14ac:dyDescent="0.25">
      <c r="A98" s="182" t="str">
        <f t="shared" si="318"/>
        <v>دوغارون</v>
      </c>
      <c r="B98" s="216"/>
      <c r="C98" s="167" t="str">
        <f t="shared" si="352"/>
        <v>دی</v>
      </c>
      <c r="D98" s="171">
        <f>SUMIFS(صادرات!$K$4:$K$500,صادرات!$J$4:$J$500,$C98,صادرات!$I$4:$I$500,$A98)+SUMIFS(صادرات!$C$4:$C$500,صادرات!$B$4:$B$500,$C98,صادرات!$A$4:$A$500,$A98)</f>
        <v>63</v>
      </c>
      <c r="E98" s="159">
        <v>52.051166453087127</v>
      </c>
      <c r="F98" s="159">
        <f t="shared" si="261"/>
        <v>10.948833546912873</v>
      </c>
      <c r="G98" s="175">
        <f>IF(SUM(D98:D100)=0,"",IFERROR(D98/E98,""))</f>
        <v>1.2103475155889327</v>
      </c>
      <c r="H98" s="171">
        <f>SUMIFS(صادرات!$L$4:$L$500,صادرات!$J$4:$J$500,$C98,صادرات!$I$4:$I$500,$A98)+SUMIFS(صادرات!$D$4:$D$500,صادرات!$B$4:$B$500,$C98,صادرات!$A$4:$A$500,$A98)</f>
        <v>50</v>
      </c>
      <c r="I98" s="159">
        <v>64.398131956589523</v>
      </c>
      <c r="J98" s="159">
        <f t="shared" si="262"/>
        <v>-14.398131956589523</v>
      </c>
      <c r="K98" s="175">
        <f>IF(SUM(H98:H100)=0,"",IFERROR(H98/I98,""))</f>
        <v>0.7764200370548755</v>
      </c>
      <c r="L98" s="171">
        <f>SUMIFS(صادرات!$M$4:$M$500,صادرات!$J$4:$J$500,$C98,صادرات!$I$4:$I$500,$A98)+SUMIFS(صادرات!$E$4:$E$500,صادرات!$B$4:$B$500,$C98,صادرات!$A$4:$A$500,$A98)</f>
        <v>0</v>
      </c>
      <c r="M98" s="159">
        <v>0</v>
      </c>
      <c r="N98" s="159">
        <f t="shared" si="263"/>
        <v>0</v>
      </c>
      <c r="O98" s="175" t="str">
        <f>IF(SUM(L98:L100)=0,"",IFERROR(L98/M98,""))</f>
        <v/>
      </c>
      <c r="P98" s="171">
        <f>SUMIFS(صادرات!$N$4:$N$500,صادرات!$J$4:$J$500,$C98,صادرات!$I$4:$I$500,$A98)+SUMIFS(صادرات!$F$4:$F$500,صادرات!$B$4:$B$500,$C98,صادرات!$A$4:$A$500,$A98)</f>
        <v>0</v>
      </c>
      <c r="Q98" s="159">
        <v>0</v>
      </c>
      <c r="R98" s="159">
        <f t="shared" si="264"/>
        <v>0</v>
      </c>
      <c r="S98" s="175" t="str">
        <f>IF(SUM(P98:P100)=0,"",IFERROR(P98/Q98,""))</f>
        <v/>
      </c>
      <c r="T98" s="171">
        <f t="shared" si="249"/>
        <v>538</v>
      </c>
      <c r="U98" s="159">
        <f t="shared" si="250"/>
        <v>492.05116645308721</v>
      </c>
      <c r="V98" s="159">
        <f t="shared" si="265"/>
        <v>45.948833546912795</v>
      </c>
      <c r="W98" s="175">
        <f t="shared" ref="W98" si="386">IF(SUM(T98:T100)=0,"",IFERROR(T98/U98,""))</f>
        <v>1.0933822266455162</v>
      </c>
      <c r="X98" s="171">
        <f t="shared" si="252"/>
        <v>560</v>
      </c>
      <c r="Y98" s="159">
        <f t="shared" si="253"/>
        <v>781.59813195658967</v>
      </c>
      <c r="Z98" s="159">
        <f t="shared" si="267"/>
        <v>-221.59813195658967</v>
      </c>
      <c r="AA98" s="175">
        <f t="shared" ref="AA98" si="387">IF(SUM(X98:X100)=0,"",IFERROR(X98/Y98,""))</f>
        <v>0.71648072980694211</v>
      </c>
      <c r="AB98" s="171">
        <f t="shared" si="255"/>
        <v>0</v>
      </c>
      <c r="AC98" s="159">
        <f t="shared" si="256"/>
        <v>0</v>
      </c>
      <c r="AD98" s="159">
        <f t="shared" si="269"/>
        <v>0</v>
      </c>
      <c r="AE98" s="175" t="str">
        <f t="shared" ref="AE98" si="388">IF(SUM(AB98:AB100)=0,"",IFERROR(AB98/AC98,""))</f>
        <v/>
      </c>
      <c r="AF98" s="171">
        <f t="shared" si="258"/>
        <v>0</v>
      </c>
      <c r="AG98" s="159">
        <f t="shared" si="259"/>
        <v>0</v>
      </c>
      <c r="AH98" s="159">
        <f t="shared" si="271"/>
        <v>0</v>
      </c>
      <c r="AI98" s="187" t="str">
        <f t="shared" ref="AI98" si="389">IF(SUM(AF98:AF100)=0,"",IFERROR(AF98/AG98,""))</f>
        <v/>
      </c>
      <c r="AJ98" s="157">
        <f t="shared" si="361"/>
        <v>10</v>
      </c>
    </row>
    <row r="99" spans="1:36" ht="24.95" customHeight="1" x14ac:dyDescent="0.25">
      <c r="A99" s="182" t="str">
        <f t="shared" si="318"/>
        <v>دوغارون</v>
      </c>
      <c r="B99" s="216"/>
      <c r="C99" s="167" t="str">
        <f t="shared" si="352"/>
        <v>بهمن</v>
      </c>
      <c r="D99" s="171">
        <f>SUMIFS(صادرات!$K$4:$K$500,صادرات!$J$4:$J$500,$C99,صادرات!$I$4:$I$500,$A99)+SUMIFS(صادرات!$C$4:$C$500,صادرات!$B$4:$B$500,$C99,صادرات!$A$4:$A$500,$A99)</f>
        <v>101</v>
      </c>
      <c r="E99" s="159">
        <v>52.051166453087127</v>
      </c>
      <c r="F99" s="159">
        <f t="shared" si="261"/>
        <v>48.948833546912873</v>
      </c>
      <c r="G99" s="175">
        <f>IF(SUM(D99:D100)=0,"",IFERROR(D99/E99,""))</f>
        <v>1.940398398007654</v>
      </c>
      <c r="H99" s="171">
        <f>SUMIFS(صادرات!$L$4:$L$500,صادرات!$J$4:$J$500,$C99,صادرات!$I$4:$I$500,$A99)+SUMIFS(صادرات!$D$4:$D$500,صادرات!$B$4:$B$500,$C99,صادرات!$A$4:$A$500,$A99)</f>
        <v>40</v>
      </c>
      <c r="I99" s="159">
        <v>64.398131956589523</v>
      </c>
      <c r="J99" s="159">
        <f t="shared" si="262"/>
        <v>-24.398131956589523</v>
      </c>
      <c r="K99" s="175">
        <f>IF(SUM(H99:H100)=0,"",IFERROR(H99/I99,""))</f>
        <v>0.62113602964390036</v>
      </c>
      <c r="L99" s="171">
        <f>SUMIFS(صادرات!$M$4:$M$500,صادرات!$J$4:$J$500,$C99,صادرات!$I$4:$I$500,$A99)+SUMIFS(صادرات!$E$4:$E$500,صادرات!$B$4:$B$500,$C99,صادرات!$A$4:$A$500,$A99)</f>
        <v>0</v>
      </c>
      <c r="M99" s="159">
        <v>0</v>
      </c>
      <c r="N99" s="159">
        <f t="shared" si="263"/>
        <v>0</v>
      </c>
      <c r="O99" s="175" t="str">
        <f>IF(SUM(L99:L100)=0,"",IFERROR(L99/M99,""))</f>
        <v/>
      </c>
      <c r="P99" s="171">
        <f>SUMIFS(صادرات!$N$4:$N$500,صادرات!$J$4:$J$500,$C99,صادرات!$I$4:$I$500,$A99)+SUMIFS(صادرات!$F$4:$F$500,صادرات!$B$4:$B$500,$C99,صادرات!$A$4:$A$500,$A99)</f>
        <v>0</v>
      </c>
      <c r="Q99" s="159">
        <v>0</v>
      </c>
      <c r="R99" s="159">
        <f t="shared" si="264"/>
        <v>0</v>
      </c>
      <c r="S99" s="175" t="str">
        <f>IF(SUM(P99:P100)=0,"",IFERROR(P99/Q99,""))</f>
        <v/>
      </c>
      <c r="T99" s="171">
        <f t="shared" si="249"/>
        <v>639</v>
      </c>
      <c r="U99" s="159">
        <f t="shared" si="250"/>
        <v>544.1023329061743</v>
      </c>
      <c r="V99" s="159">
        <f t="shared" si="265"/>
        <v>94.897667093825703</v>
      </c>
      <c r="W99" s="175">
        <f t="shared" ref="W99" si="390">IF(SUM(T99:T100)=0,"",IFERROR(T99/U99,""))</f>
        <v>1.1744114321049786</v>
      </c>
      <c r="X99" s="171">
        <f t="shared" si="252"/>
        <v>600</v>
      </c>
      <c r="Y99" s="159">
        <f t="shared" si="253"/>
        <v>845.99626391317918</v>
      </c>
      <c r="Z99" s="159">
        <f t="shared" si="267"/>
        <v>-245.99626391317918</v>
      </c>
      <c r="AA99" s="175">
        <f t="shared" ref="AA99" si="391">IF(SUM(X99:X100)=0,"",IFERROR(X99/Y99,""))</f>
        <v>0.70922299021119006</v>
      </c>
      <c r="AB99" s="171">
        <f t="shared" si="255"/>
        <v>0</v>
      </c>
      <c r="AC99" s="159">
        <f t="shared" si="256"/>
        <v>0</v>
      </c>
      <c r="AD99" s="159">
        <f t="shared" si="269"/>
        <v>0</v>
      </c>
      <c r="AE99" s="175" t="str">
        <f t="shared" ref="AE99" si="392">IF(SUM(AB99:AB100)=0,"",IFERROR(AB99/AC99,""))</f>
        <v/>
      </c>
      <c r="AF99" s="171">
        <f t="shared" si="258"/>
        <v>0</v>
      </c>
      <c r="AG99" s="159">
        <f t="shared" si="259"/>
        <v>0</v>
      </c>
      <c r="AH99" s="159">
        <f t="shared" si="271"/>
        <v>0</v>
      </c>
      <c r="AI99" s="187" t="str">
        <f t="shared" ref="AI99" si="393">IF(SUM(AF99:AF100)=0,"",IFERROR(AF99/AG99,""))</f>
        <v/>
      </c>
      <c r="AJ99" s="157">
        <f t="shared" si="361"/>
        <v>11</v>
      </c>
    </row>
    <row r="100" spans="1:36" ht="24.95" customHeight="1" thickBot="1" x14ac:dyDescent="0.3">
      <c r="A100" s="182" t="str">
        <f t="shared" si="318"/>
        <v>دوغارون</v>
      </c>
      <c r="B100" s="217"/>
      <c r="C100" s="168" t="str">
        <f t="shared" si="352"/>
        <v>اسفند</v>
      </c>
      <c r="D100" s="172">
        <f>SUMIFS(صادرات!$K$4:$K$500,صادرات!$J$4:$J$500,$C100,صادرات!$I$4:$I$500,$A100)+SUMIFS(صادرات!$C$4:$C$500,صادرات!$B$4:$B$500,$C100,صادرات!$A$4:$A$500,$A100)</f>
        <v>10</v>
      </c>
      <c r="E100" s="173">
        <v>52.051166453087127</v>
      </c>
      <c r="F100" s="173">
        <f t="shared" si="261"/>
        <v>-42.051166453087127</v>
      </c>
      <c r="G100" s="176">
        <f>IF(SUM(D100)=0,"",IFERROR(D100/E100,""))</f>
        <v>0.19211865326808455</v>
      </c>
      <c r="H100" s="172">
        <f>SUMIFS(صادرات!$L$4:$L$500,صادرات!$J$4:$J$500,$C100,صادرات!$I$4:$I$500,$A100)+SUMIFS(صادرات!$D$4:$D$500,صادرات!$B$4:$B$500,$C100,صادرات!$A$4:$A$500,$A100)</f>
        <v>6</v>
      </c>
      <c r="I100" s="173">
        <v>64.398131956589523</v>
      </c>
      <c r="J100" s="173">
        <f t="shared" si="262"/>
        <v>-58.398131956589523</v>
      </c>
      <c r="K100" s="176">
        <f>IF(SUM(H100)=0,"",IFERROR(H100/I100,""))</f>
        <v>9.3170404446585059E-2</v>
      </c>
      <c r="L100" s="172">
        <f>SUMIFS(صادرات!$M$4:$M$500,صادرات!$J$4:$J$500,$C100,صادرات!$I$4:$I$500,$A100)+SUMIFS(صادرات!$E$4:$E$500,صادرات!$B$4:$B$500,$C100,صادرات!$A$4:$A$500,$A100)</f>
        <v>0</v>
      </c>
      <c r="M100" s="173">
        <v>0</v>
      </c>
      <c r="N100" s="173">
        <f t="shared" si="263"/>
        <v>0</v>
      </c>
      <c r="O100" s="176" t="str">
        <f>IF(SUM(L100)=0,"",IFERROR(L100/M100,""))</f>
        <v/>
      </c>
      <c r="P100" s="172">
        <f>SUMIFS(صادرات!$N$4:$N$500,صادرات!$J$4:$J$500,$C100,صادرات!$I$4:$I$500,$A100)+SUMIFS(صادرات!$F$4:$F$500,صادرات!$B$4:$B$500,$C100,صادرات!$A$4:$A$500,$A100)</f>
        <v>0</v>
      </c>
      <c r="Q100" s="173">
        <v>0</v>
      </c>
      <c r="R100" s="173">
        <f t="shared" si="264"/>
        <v>0</v>
      </c>
      <c r="S100" s="176" t="str">
        <f>IF(SUM(P100)=0,"",IFERROR(P100/Q100,""))</f>
        <v/>
      </c>
      <c r="T100" s="172">
        <f t="shared" si="249"/>
        <v>649</v>
      </c>
      <c r="U100" s="173">
        <f t="shared" si="250"/>
        <v>596.15349935926145</v>
      </c>
      <c r="V100" s="173">
        <f t="shared" si="265"/>
        <v>52.846500640738554</v>
      </c>
      <c r="W100" s="176">
        <f t="shared" ref="W100" si="394">IF(SUM(T100)=0,"",IFERROR(T100/U100,""))</f>
        <v>1.0886457945772983</v>
      </c>
      <c r="X100" s="172">
        <f t="shared" si="252"/>
        <v>606</v>
      </c>
      <c r="Y100" s="173">
        <f t="shared" si="253"/>
        <v>910.39439586976869</v>
      </c>
      <c r="Z100" s="173">
        <f t="shared" si="267"/>
        <v>-304.39439586976869</v>
      </c>
      <c r="AA100" s="176">
        <f t="shared" ref="AA100" si="395">IF(SUM(X100)=0,"",IFERROR(X100/Y100,""))</f>
        <v>0.66564557377469613</v>
      </c>
      <c r="AB100" s="172">
        <f t="shared" si="255"/>
        <v>0</v>
      </c>
      <c r="AC100" s="173">
        <f t="shared" si="256"/>
        <v>0</v>
      </c>
      <c r="AD100" s="173">
        <f t="shared" si="269"/>
        <v>0</v>
      </c>
      <c r="AE100" s="176" t="str">
        <f t="shared" ref="AE100" si="396">IF(SUM(AB100)=0,"",IFERROR(AB100/AC100,""))</f>
        <v/>
      </c>
      <c r="AF100" s="172">
        <f t="shared" si="258"/>
        <v>0</v>
      </c>
      <c r="AG100" s="173">
        <f t="shared" si="259"/>
        <v>0</v>
      </c>
      <c r="AH100" s="173">
        <f t="shared" si="271"/>
        <v>0</v>
      </c>
      <c r="AI100" s="188" t="str">
        <f t="shared" ref="AI100" si="397">IF(SUM(AF100)=0,"",IFERROR(AF100/AG100,""))</f>
        <v/>
      </c>
      <c r="AJ100" s="157">
        <f>AJ99+1</f>
        <v>12</v>
      </c>
    </row>
    <row r="101" spans="1:36" ht="24.95" customHeight="1" x14ac:dyDescent="0.25">
      <c r="A101" s="182" t="str">
        <f t="shared" si="318"/>
        <v>بجنورد</v>
      </c>
      <c r="B101" s="215" t="str">
        <f>واردات!B66</f>
        <v>بجنورد</v>
      </c>
      <c r="C101" s="166" t="str">
        <f>C89</f>
        <v>فروردین</v>
      </c>
      <c r="D101" s="170">
        <f>SUMIFS(صادرات!$K$4:$K$500,صادرات!$J$4:$J$500,$C101,صادرات!$I$4:$I$500,$A101)+SUMIFS(صادرات!$C$4:$C$500,صادرات!$B$4:$B$500,$C101,صادرات!$A$4:$A$500,$A101)</f>
        <v>0</v>
      </c>
      <c r="E101" s="160">
        <v>0</v>
      </c>
      <c r="F101" s="160">
        <f t="shared" si="261"/>
        <v>0</v>
      </c>
      <c r="G101" s="185" t="str">
        <f>IF(SUM(D101:D112)=0,"",IFERROR(D101/E101,""))</f>
        <v/>
      </c>
      <c r="H101" s="170">
        <f>SUMIFS(صادرات!$L$4:$L$500,صادرات!$J$4:$J$500,$C101,صادرات!$I$4:$I$500,$A101)+SUMIFS(صادرات!$D$4:$D$500,صادرات!$B$4:$B$500,$C101,صادرات!$A$4:$A$500,$A101)</f>
        <v>0</v>
      </c>
      <c r="I101" s="160">
        <v>0</v>
      </c>
      <c r="J101" s="160">
        <f t="shared" si="262"/>
        <v>0</v>
      </c>
      <c r="K101" s="185" t="str">
        <f>IF(SUM(H101:H112)=0,"",IFERROR(H101/I101,""))</f>
        <v/>
      </c>
      <c r="L101" s="170">
        <f>SUMIFS(صادرات!$M$4:$M$500,صادرات!$J$4:$J$500,$C101,صادرات!$I$4:$I$500,$A101)+SUMIFS(صادرات!$E$4:$E$500,صادرات!$B$4:$B$500,$C101,صادرات!$A$4:$A$500,$A101)</f>
        <v>0</v>
      </c>
      <c r="M101" s="160">
        <v>0</v>
      </c>
      <c r="N101" s="160">
        <f t="shared" si="263"/>
        <v>0</v>
      </c>
      <c r="O101" s="185" t="str">
        <f>IF(SUM(L101:L112)=0,"",IFERROR(L101/M101,""))</f>
        <v/>
      </c>
      <c r="P101" s="170">
        <f>SUMIFS(صادرات!$N$4:$N$500,صادرات!$J$4:$J$500,$C101,صادرات!$I$4:$I$500,$A101)+SUMIFS(صادرات!$F$4:$F$500,صادرات!$B$4:$B$500,$C101,صادرات!$A$4:$A$500,$A101)</f>
        <v>0</v>
      </c>
      <c r="Q101" s="160">
        <v>0</v>
      </c>
      <c r="R101" s="160">
        <f t="shared" si="264"/>
        <v>0</v>
      </c>
      <c r="S101" s="185" t="str">
        <f>IF(SUM(P101:P112)=0,"",IFERROR(P101/Q101,""))</f>
        <v/>
      </c>
      <c r="T101" s="183">
        <f t="shared" ref="T101:T132" si="398">IF(OR($C$1="",$AJ101&gt;$C$1),"",IFERROR(SUMIFS(D$5:D$5012,$A$5:$A$5012,$A101,$AJ$5:$AJ$5012,"&lt;"&amp;$AJ101+1),""))</f>
        <v>0</v>
      </c>
      <c r="U101" s="160">
        <f t="shared" ref="U101:U132" si="399">IF($C$1="","",IFERROR(SUMIFS(E$5:E$5012,$A$5:$A$5012,$A101,$AJ$5:$AJ$5012,"&lt;"&amp;$AJ101+1),""))</f>
        <v>0</v>
      </c>
      <c r="V101" s="160">
        <f t="shared" si="265"/>
        <v>0</v>
      </c>
      <c r="W101" s="185" t="str">
        <f t="shared" ref="W101" si="400">IF(SUM(T101:T112)=0,"",IFERROR(T101/U101,""))</f>
        <v/>
      </c>
      <c r="X101" s="183">
        <f t="shared" ref="X101:X132" si="401">IF(OR($C$1="",$AJ101&gt;$C$1),"",IFERROR(SUMIFS(H$5:H$5012,$A$5:$A$5012,$A101,$AJ$5:$AJ$5012,"&lt;"&amp;$AJ101+1),""))</f>
        <v>0</v>
      </c>
      <c r="Y101" s="160">
        <f t="shared" ref="Y101:Y132" si="402">IF($C$1="","",IFERROR(SUMIFS(I$5:I$5012,$A$5:$A$5012,$A101,$AJ$5:$AJ$5012,"&lt;"&amp;$AJ101+1),""))</f>
        <v>0</v>
      </c>
      <c r="Z101" s="160">
        <f t="shared" si="267"/>
        <v>0</v>
      </c>
      <c r="AA101" s="185" t="str">
        <f t="shared" ref="AA101" si="403">IF(SUM(X101:X112)=0,"",IFERROR(X101/Y101,""))</f>
        <v/>
      </c>
      <c r="AB101" s="183">
        <f t="shared" ref="AB101:AB132" si="404">IF(OR($C$1="",$AJ101&gt;$C$1),"",IFERROR(SUMIFS(L$5:L$5012,$A$5:$A$5012,$A101,$AJ$5:$AJ$5012,"&lt;"&amp;$AJ101+1),""))</f>
        <v>0</v>
      </c>
      <c r="AC101" s="160">
        <f t="shared" ref="AC101:AC132" si="405">IF($C$1="","",IFERROR(SUMIFS(M$5:M$5012,$A$5:$A$5012,$A101,$AJ$5:$AJ$5012,"&lt;"&amp;$AJ101+1),""))</f>
        <v>0</v>
      </c>
      <c r="AD101" s="160">
        <f t="shared" si="269"/>
        <v>0</v>
      </c>
      <c r="AE101" s="185" t="str">
        <f t="shared" ref="AE101" si="406">IF(SUM(AB101:AB112)=0,"",IFERROR(AB101/AC101,""))</f>
        <v/>
      </c>
      <c r="AF101" s="183">
        <f t="shared" ref="AF101:AF132" si="407">IF(OR($C$1="",$AJ101&gt;$C$1),"",IFERROR(SUMIFS(P$5:P$5012,$A$5:$A$5012,$A101,$AJ$5:$AJ$5012,"&lt;"&amp;$AJ101+1),""))</f>
        <v>0</v>
      </c>
      <c r="AG101" s="160">
        <f t="shared" ref="AG101:AG132" si="408">IF($C$1="","",IFERROR(SUMIFS(Q$5:Q$5012,$A$5:$A$5012,$A101,$AJ$5:$AJ$5012,"&lt;"&amp;$AJ101+1),""))</f>
        <v>0</v>
      </c>
      <c r="AH101" s="160">
        <f t="shared" si="271"/>
        <v>0</v>
      </c>
      <c r="AI101" s="186" t="str">
        <f t="shared" ref="AI101" si="409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18"/>
        <v>بجنورد</v>
      </c>
      <c r="B102" s="216"/>
      <c r="C102" s="167" t="str">
        <f t="shared" ref="C102:C148" si="410">C90</f>
        <v>اردیبهشت</v>
      </c>
      <c r="D102" s="171">
        <f>SUMIFS(صادرات!$K$4:$K$500,صادرات!$J$4:$J$500,$C102,صادرات!$I$4:$I$500,$A102)+SUMIFS(صادرات!$C$4:$C$500,صادرات!$B$4:$B$500,$C102,صادرات!$A$4:$A$500,$A102)</f>
        <v>0</v>
      </c>
      <c r="E102" s="159">
        <v>0</v>
      </c>
      <c r="F102" s="159">
        <f t="shared" si="261"/>
        <v>0</v>
      </c>
      <c r="G102" s="175" t="str">
        <f>IF(SUM(D102:D112)=0,"",IFERROR(D102/E102,""))</f>
        <v/>
      </c>
      <c r="H102" s="171">
        <f>SUMIFS(صادرات!$L$4:$L$500,صادرات!$J$4:$J$500,$C102,صادرات!$I$4:$I$500,$A102)+SUMIFS(صادرات!$D$4:$D$500,صادرات!$B$4:$B$500,$C102,صادرات!$A$4:$A$500,$A102)</f>
        <v>0</v>
      </c>
      <c r="I102" s="159">
        <v>0</v>
      </c>
      <c r="J102" s="159">
        <f t="shared" si="262"/>
        <v>0</v>
      </c>
      <c r="K102" s="175" t="str">
        <f>IF(SUM(H102:H112)=0,"",IFERROR(H102/I102,""))</f>
        <v/>
      </c>
      <c r="L102" s="171">
        <f>SUMIFS(صادرات!$M$4:$M$500,صادرات!$J$4:$J$500,$C102,صادرات!$I$4:$I$500,$A102)+SUMIFS(صادرات!$E$4:$E$500,صادرات!$B$4:$B$500,$C102,صادرات!$A$4:$A$500,$A102)</f>
        <v>0</v>
      </c>
      <c r="M102" s="159">
        <v>0</v>
      </c>
      <c r="N102" s="159">
        <f t="shared" si="263"/>
        <v>0</v>
      </c>
      <c r="O102" s="175" t="str">
        <f>IF(SUM(L102:L112)=0,"",IFERROR(L102/M102,""))</f>
        <v/>
      </c>
      <c r="P102" s="171">
        <f>SUMIFS(صادرات!$N$4:$N$500,صادرات!$J$4:$J$500,$C102,صادرات!$I$4:$I$500,$A102)+SUMIFS(صادرات!$F$4:$F$500,صادرات!$B$4:$B$500,$C102,صادرات!$A$4:$A$500,$A102)</f>
        <v>0</v>
      </c>
      <c r="Q102" s="159">
        <v>0</v>
      </c>
      <c r="R102" s="159">
        <f t="shared" si="264"/>
        <v>0</v>
      </c>
      <c r="S102" s="175" t="str">
        <f>IF(SUM(P102:P112)=0,"",IFERROR(P102/Q102,""))</f>
        <v/>
      </c>
      <c r="T102" s="171">
        <f t="shared" si="398"/>
        <v>0</v>
      </c>
      <c r="U102" s="159">
        <f t="shared" si="399"/>
        <v>0</v>
      </c>
      <c r="V102" s="159">
        <f t="shared" si="265"/>
        <v>0</v>
      </c>
      <c r="W102" s="175" t="str">
        <f t="shared" ref="W102" si="411">IF(SUM(T102:T112)=0,"",IFERROR(T102/U102,""))</f>
        <v/>
      </c>
      <c r="X102" s="171">
        <f t="shared" si="401"/>
        <v>0</v>
      </c>
      <c r="Y102" s="159">
        <f t="shared" si="402"/>
        <v>0</v>
      </c>
      <c r="Z102" s="159">
        <f t="shared" si="267"/>
        <v>0</v>
      </c>
      <c r="AA102" s="175" t="str">
        <f t="shared" ref="AA102" si="412">IF(SUM(X102:X112)=0,"",IFERROR(X102/Y102,""))</f>
        <v/>
      </c>
      <c r="AB102" s="171">
        <f t="shared" si="404"/>
        <v>0</v>
      </c>
      <c r="AC102" s="159">
        <f t="shared" si="405"/>
        <v>0</v>
      </c>
      <c r="AD102" s="159">
        <f t="shared" si="269"/>
        <v>0</v>
      </c>
      <c r="AE102" s="175" t="str">
        <f t="shared" ref="AE102" si="413">IF(SUM(AB102:AB112)=0,"",IFERROR(AB102/AC102,""))</f>
        <v/>
      </c>
      <c r="AF102" s="171">
        <f t="shared" si="407"/>
        <v>0</v>
      </c>
      <c r="AG102" s="159">
        <f t="shared" si="408"/>
        <v>0</v>
      </c>
      <c r="AH102" s="159">
        <f t="shared" si="271"/>
        <v>0</v>
      </c>
      <c r="AI102" s="187" t="str">
        <f t="shared" ref="AI102" si="414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18"/>
        <v>بجنورد</v>
      </c>
      <c r="B103" s="216"/>
      <c r="C103" s="167" t="str">
        <f t="shared" si="410"/>
        <v>خرداد</v>
      </c>
      <c r="D103" s="171">
        <f>SUMIFS(صادرات!$K$4:$K$500,صادرات!$J$4:$J$500,$C103,صادرات!$I$4:$I$500,$A103)+SUMIFS(صادرات!$C$4:$C$500,صادرات!$B$4:$B$500,$C103,صادرات!$A$4:$A$500,$A103)</f>
        <v>0</v>
      </c>
      <c r="E103" s="159">
        <v>0</v>
      </c>
      <c r="F103" s="159">
        <f t="shared" si="261"/>
        <v>0</v>
      </c>
      <c r="G103" s="175" t="str">
        <f>IF(SUM(D103:D112)=0,"",IFERROR(D103/E103,""))</f>
        <v/>
      </c>
      <c r="H103" s="171">
        <f>SUMIFS(صادرات!$L$4:$L$500,صادرات!$J$4:$J$500,$C103,صادرات!$I$4:$I$500,$A103)+SUMIFS(صادرات!$D$4:$D$500,صادرات!$B$4:$B$500,$C103,صادرات!$A$4:$A$500,$A103)</f>
        <v>0</v>
      </c>
      <c r="I103" s="159">
        <v>0</v>
      </c>
      <c r="J103" s="159">
        <f t="shared" si="262"/>
        <v>0</v>
      </c>
      <c r="K103" s="175" t="str">
        <f>IF(SUM(H103:H112)=0,"",IFERROR(H103/I103,""))</f>
        <v/>
      </c>
      <c r="L103" s="171">
        <f>SUMIFS(صادرات!$M$4:$M$500,صادرات!$J$4:$J$500,$C103,صادرات!$I$4:$I$500,$A103)+SUMIFS(صادرات!$E$4:$E$500,صادرات!$B$4:$B$500,$C103,صادرات!$A$4:$A$500,$A103)</f>
        <v>0</v>
      </c>
      <c r="M103" s="159">
        <v>0</v>
      </c>
      <c r="N103" s="159">
        <f t="shared" si="263"/>
        <v>0</v>
      </c>
      <c r="O103" s="175" t="str">
        <f>IF(SUM(L103:L112)=0,"",IFERROR(L103/M103,""))</f>
        <v/>
      </c>
      <c r="P103" s="171">
        <f>SUMIFS(صادرات!$N$4:$N$500,صادرات!$J$4:$J$500,$C103,صادرات!$I$4:$I$500,$A103)+SUMIFS(صادرات!$F$4:$F$500,صادرات!$B$4:$B$500,$C103,صادرات!$A$4:$A$500,$A103)</f>
        <v>0</v>
      </c>
      <c r="Q103" s="159">
        <v>0</v>
      </c>
      <c r="R103" s="159">
        <f t="shared" si="264"/>
        <v>0</v>
      </c>
      <c r="S103" s="175" t="str">
        <f>IF(SUM(P103:P112)=0,"",IFERROR(P103/Q103,""))</f>
        <v/>
      </c>
      <c r="T103" s="171">
        <f t="shared" si="398"/>
        <v>0</v>
      </c>
      <c r="U103" s="159">
        <f t="shared" si="399"/>
        <v>0</v>
      </c>
      <c r="V103" s="159">
        <f t="shared" si="265"/>
        <v>0</v>
      </c>
      <c r="W103" s="175" t="str">
        <f t="shared" ref="W103" si="415">IF(SUM(T103:T112)=0,"",IFERROR(T103/U103,""))</f>
        <v/>
      </c>
      <c r="X103" s="171">
        <f t="shared" si="401"/>
        <v>0</v>
      </c>
      <c r="Y103" s="159">
        <f t="shared" si="402"/>
        <v>0</v>
      </c>
      <c r="Z103" s="159">
        <f t="shared" si="267"/>
        <v>0</v>
      </c>
      <c r="AA103" s="175" t="str">
        <f t="shared" ref="AA103" si="416">IF(SUM(X103:X112)=0,"",IFERROR(X103/Y103,""))</f>
        <v/>
      </c>
      <c r="AB103" s="171">
        <f t="shared" si="404"/>
        <v>0</v>
      </c>
      <c r="AC103" s="159">
        <f t="shared" si="405"/>
        <v>0</v>
      </c>
      <c r="AD103" s="159">
        <f t="shared" si="269"/>
        <v>0</v>
      </c>
      <c r="AE103" s="175" t="str">
        <f t="shared" ref="AE103" si="417">IF(SUM(AB103:AB112)=0,"",IFERROR(AB103/AC103,""))</f>
        <v/>
      </c>
      <c r="AF103" s="171">
        <f t="shared" si="407"/>
        <v>0</v>
      </c>
      <c r="AG103" s="159">
        <f t="shared" si="408"/>
        <v>0</v>
      </c>
      <c r="AH103" s="159">
        <f t="shared" si="271"/>
        <v>0</v>
      </c>
      <c r="AI103" s="187" t="str">
        <f t="shared" ref="AI103" si="418">IF(SUM(AF103:AF112)=0,"",IFERROR(AF103/AG103,""))</f>
        <v/>
      </c>
      <c r="AJ103" s="157">
        <f t="shared" ref="AJ103:AJ111" si="419">AJ102+1</f>
        <v>3</v>
      </c>
    </row>
    <row r="104" spans="1:36" ht="24.95" customHeight="1" x14ac:dyDescent="0.25">
      <c r="A104" s="182" t="str">
        <f t="shared" si="318"/>
        <v>بجنورد</v>
      </c>
      <c r="B104" s="216"/>
      <c r="C104" s="167" t="str">
        <f t="shared" si="410"/>
        <v>تیر</v>
      </c>
      <c r="D104" s="171">
        <f>SUMIFS(صادرات!$K$4:$K$500,صادرات!$J$4:$J$500,$C104,صادرات!$I$4:$I$500,$A104)+SUMIFS(صادرات!$C$4:$C$500,صادرات!$B$4:$B$500,$C104,صادرات!$A$4:$A$500,$A104)</f>
        <v>0</v>
      </c>
      <c r="E104" s="159">
        <v>0</v>
      </c>
      <c r="F104" s="159">
        <f t="shared" si="261"/>
        <v>0</v>
      </c>
      <c r="G104" s="175" t="str">
        <f>IF(SUM(D104:D112)=0,"",IFERROR(D104/E104,""))</f>
        <v/>
      </c>
      <c r="H104" s="171">
        <f>SUMIFS(صادرات!$L$4:$L$500,صادرات!$J$4:$J$500,$C104,صادرات!$I$4:$I$500,$A104)+SUMIFS(صادرات!$D$4:$D$500,صادرات!$B$4:$B$500,$C104,صادرات!$A$4:$A$500,$A104)</f>
        <v>0</v>
      </c>
      <c r="I104" s="159">
        <v>0</v>
      </c>
      <c r="J104" s="159">
        <f t="shared" si="262"/>
        <v>0</v>
      </c>
      <c r="K104" s="175" t="str">
        <f>IF(SUM(H104:H112)=0,"",IFERROR(H104/I104,""))</f>
        <v/>
      </c>
      <c r="L104" s="171">
        <f>SUMIFS(صادرات!$M$4:$M$500,صادرات!$J$4:$J$500,$C104,صادرات!$I$4:$I$500,$A104)+SUMIFS(صادرات!$E$4:$E$500,صادرات!$B$4:$B$500,$C104,صادرات!$A$4:$A$500,$A104)</f>
        <v>0</v>
      </c>
      <c r="M104" s="159">
        <v>0</v>
      </c>
      <c r="N104" s="159">
        <f t="shared" si="263"/>
        <v>0</v>
      </c>
      <c r="O104" s="175" t="str">
        <f>IF(SUM(L104:L112)=0,"",IFERROR(L104/M104,""))</f>
        <v/>
      </c>
      <c r="P104" s="171">
        <f>SUMIFS(صادرات!$N$4:$N$500,صادرات!$J$4:$J$500,$C104,صادرات!$I$4:$I$500,$A104)+SUMIFS(صادرات!$F$4:$F$500,صادرات!$B$4:$B$500,$C104,صادرات!$A$4:$A$500,$A104)</f>
        <v>0</v>
      </c>
      <c r="Q104" s="159">
        <v>0</v>
      </c>
      <c r="R104" s="159">
        <f t="shared" si="264"/>
        <v>0</v>
      </c>
      <c r="S104" s="175" t="str">
        <f>IF(SUM(P104:P112)=0,"",IFERROR(P104/Q104,""))</f>
        <v/>
      </c>
      <c r="T104" s="171">
        <f t="shared" si="398"/>
        <v>0</v>
      </c>
      <c r="U104" s="159">
        <f t="shared" si="399"/>
        <v>0</v>
      </c>
      <c r="V104" s="159">
        <f t="shared" si="265"/>
        <v>0</v>
      </c>
      <c r="W104" s="175" t="str">
        <f t="shared" ref="W104" si="420">IF(SUM(T104:T112)=0,"",IFERROR(T104/U104,""))</f>
        <v/>
      </c>
      <c r="X104" s="171">
        <f t="shared" si="401"/>
        <v>0</v>
      </c>
      <c r="Y104" s="159">
        <f t="shared" si="402"/>
        <v>0</v>
      </c>
      <c r="Z104" s="159">
        <f t="shared" si="267"/>
        <v>0</v>
      </c>
      <c r="AA104" s="175" t="str">
        <f t="shared" ref="AA104" si="421">IF(SUM(X104:X112)=0,"",IFERROR(X104/Y104,""))</f>
        <v/>
      </c>
      <c r="AB104" s="171">
        <f t="shared" si="404"/>
        <v>0</v>
      </c>
      <c r="AC104" s="159">
        <f t="shared" si="405"/>
        <v>0</v>
      </c>
      <c r="AD104" s="159">
        <f t="shared" si="269"/>
        <v>0</v>
      </c>
      <c r="AE104" s="175" t="str">
        <f t="shared" ref="AE104" si="422">IF(SUM(AB104:AB112)=0,"",IFERROR(AB104/AC104,""))</f>
        <v/>
      </c>
      <c r="AF104" s="171">
        <f t="shared" si="407"/>
        <v>0</v>
      </c>
      <c r="AG104" s="159">
        <f t="shared" si="408"/>
        <v>0</v>
      </c>
      <c r="AH104" s="159">
        <f t="shared" si="271"/>
        <v>0</v>
      </c>
      <c r="AI104" s="187" t="str">
        <f t="shared" ref="AI104" si="423">IF(SUM(AF104:AF112)=0,"",IFERROR(AF104/AG104,""))</f>
        <v/>
      </c>
      <c r="AJ104" s="157">
        <f t="shared" si="419"/>
        <v>4</v>
      </c>
    </row>
    <row r="105" spans="1:36" ht="24.95" customHeight="1" x14ac:dyDescent="0.25">
      <c r="A105" s="182" t="str">
        <f t="shared" si="318"/>
        <v>بجنورد</v>
      </c>
      <c r="B105" s="216"/>
      <c r="C105" s="167" t="str">
        <f t="shared" si="410"/>
        <v>مرداد</v>
      </c>
      <c r="D105" s="171">
        <f>SUMIFS(صادرات!$K$4:$K$500,صادرات!$J$4:$J$500,$C105,صادرات!$I$4:$I$500,$A105)+SUMIFS(صادرات!$C$4:$C$500,صادرات!$B$4:$B$500,$C105,صادرات!$A$4:$A$500,$A105)</f>
        <v>0</v>
      </c>
      <c r="E105" s="159">
        <v>0</v>
      </c>
      <c r="F105" s="159">
        <f t="shared" si="261"/>
        <v>0</v>
      </c>
      <c r="G105" s="175" t="str">
        <f>IF(SUM(D105:D112)=0,"",IFERROR(D105/E105,""))</f>
        <v/>
      </c>
      <c r="H105" s="171">
        <f>SUMIFS(صادرات!$L$4:$L$500,صادرات!$J$4:$J$500,$C105,صادرات!$I$4:$I$500,$A105)+SUMIFS(صادرات!$D$4:$D$500,صادرات!$B$4:$B$500,$C105,صادرات!$A$4:$A$500,$A105)</f>
        <v>0</v>
      </c>
      <c r="I105" s="159">
        <v>0</v>
      </c>
      <c r="J105" s="159">
        <f t="shared" si="262"/>
        <v>0</v>
      </c>
      <c r="K105" s="175" t="str">
        <f>IF(SUM(H105:H112)=0,"",IFERROR(H105/I105,""))</f>
        <v/>
      </c>
      <c r="L105" s="171">
        <f>SUMIFS(صادرات!$M$4:$M$500,صادرات!$J$4:$J$500,$C105,صادرات!$I$4:$I$500,$A105)+SUMIFS(صادرات!$E$4:$E$500,صادرات!$B$4:$B$500,$C105,صادرات!$A$4:$A$500,$A105)</f>
        <v>0</v>
      </c>
      <c r="M105" s="159">
        <v>0</v>
      </c>
      <c r="N105" s="159">
        <f t="shared" si="263"/>
        <v>0</v>
      </c>
      <c r="O105" s="175" t="str">
        <f>IF(SUM(L105:L112)=0,"",IFERROR(L105/M105,""))</f>
        <v/>
      </c>
      <c r="P105" s="171">
        <f>SUMIFS(صادرات!$N$4:$N$500,صادرات!$J$4:$J$500,$C105,صادرات!$I$4:$I$500,$A105)+SUMIFS(صادرات!$F$4:$F$500,صادرات!$B$4:$B$500,$C105,صادرات!$A$4:$A$500,$A105)</f>
        <v>0</v>
      </c>
      <c r="Q105" s="159">
        <v>0</v>
      </c>
      <c r="R105" s="159">
        <f t="shared" si="264"/>
        <v>0</v>
      </c>
      <c r="S105" s="175" t="str">
        <f>IF(SUM(P105:P112)=0,"",IFERROR(P105/Q105,""))</f>
        <v/>
      </c>
      <c r="T105" s="171">
        <f t="shared" si="398"/>
        <v>0</v>
      </c>
      <c r="U105" s="159">
        <f t="shared" si="399"/>
        <v>0</v>
      </c>
      <c r="V105" s="159">
        <f t="shared" si="265"/>
        <v>0</v>
      </c>
      <c r="W105" s="175" t="str">
        <f t="shared" ref="W105" si="424">IF(SUM(T105:T112)=0,"",IFERROR(T105/U105,""))</f>
        <v/>
      </c>
      <c r="X105" s="171">
        <f t="shared" si="401"/>
        <v>0</v>
      </c>
      <c r="Y105" s="159">
        <f t="shared" si="402"/>
        <v>0</v>
      </c>
      <c r="Z105" s="159">
        <f t="shared" si="267"/>
        <v>0</v>
      </c>
      <c r="AA105" s="175" t="str">
        <f t="shared" ref="AA105" si="425">IF(SUM(X105:X112)=0,"",IFERROR(X105/Y105,""))</f>
        <v/>
      </c>
      <c r="AB105" s="171">
        <f t="shared" si="404"/>
        <v>0</v>
      </c>
      <c r="AC105" s="159">
        <f t="shared" si="405"/>
        <v>0</v>
      </c>
      <c r="AD105" s="159">
        <f t="shared" si="269"/>
        <v>0</v>
      </c>
      <c r="AE105" s="175" t="str">
        <f t="shared" ref="AE105" si="426">IF(SUM(AB105:AB112)=0,"",IFERROR(AB105/AC105,""))</f>
        <v/>
      </c>
      <c r="AF105" s="171">
        <f t="shared" si="407"/>
        <v>0</v>
      </c>
      <c r="AG105" s="159">
        <f t="shared" si="408"/>
        <v>0</v>
      </c>
      <c r="AH105" s="159">
        <f t="shared" si="271"/>
        <v>0</v>
      </c>
      <c r="AI105" s="187" t="str">
        <f t="shared" ref="AI105" si="427">IF(SUM(AF105:AF112)=0,"",IFERROR(AF105/AG105,""))</f>
        <v/>
      </c>
      <c r="AJ105" s="157">
        <f t="shared" si="419"/>
        <v>5</v>
      </c>
    </row>
    <row r="106" spans="1:36" ht="24.95" customHeight="1" x14ac:dyDescent="0.25">
      <c r="A106" s="182" t="str">
        <f t="shared" si="318"/>
        <v>بجنورد</v>
      </c>
      <c r="B106" s="216"/>
      <c r="C106" s="167" t="str">
        <f t="shared" si="410"/>
        <v>شهریور</v>
      </c>
      <c r="D106" s="171">
        <f>SUMIFS(صادرات!$K$4:$K$500,صادرات!$J$4:$J$500,$C106,صادرات!$I$4:$I$500,$A106)+SUMIFS(صادرات!$C$4:$C$500,صادرات!$B$4:$B$500,$C106,صادرات!$A$4:$A$500,$A106)</f>
        <v>0</v>
      </c>
      <c r="E106" s="159">
        <v>0</v>
      </c>
      <c r="F106" s="159">
        <f t="shared" si="261"/>
        <v>0</v>
      </c>
      <c r="G106" s="175" t="str">
        <f>IF(SUM(D106:D112)=0,"",IFERROR(D106/E106,""))</f>
        <v/>
      </c>
      <c r="H106" s="171">
        <f>SUMIFS(صادرات!$L$4:$L$500,صادرات!$J$4:$J$500,$C106,صادرات!$I$4:$I$500,$A106)+SUMIFS(صادرات!$D$4:$D$500,صادرات!$B$4:$B$500,$C106,صادرات!$A$4:$A$500,$A106)</f>
        <v>0</v>
      </c>
      <c r="I106" s="159">
        <v>0</v>
      </c>
      <c r="J106" s="159">
        <f t="shared" si="262"/>
        <v>0</v>
      </c>
      <c r="K106" s="175" t="str">
        <f>IF(SUM(H106:H112)=0,"",IFERROR(H106/I106,""))</f>
        <v/>
      </c>
      <c r="L106" s="171">
        <f>SUMIFS(صادرات!$M$4:$M$500,صادرات!$J$4:$J$500,$C106,صادرات!$I$4:$I$500,$A106)+SUMIFS(صادرات!$E$4:$E$500,صادرات!$B$4:$B$500,$C106,صادرات!$A$4:$A$500,$A106)</f>
        <v>0</v>
      </c>
      <c r="M106" s="159">
        <v>0</v>
      </c>
      <c r="N106" s="159">
        <f t="shared" si="263"/>
        <v>0</v>
      </c>
      <c r="O106" s="175" t="str">
        <f>IF(SUM(L106:L112)=0,"",IFERROR(L106/M106,""))</f>
        <v/>
      </c>
      <c r="P106" s="171">
        <f>SUMIFS(صادرات!$N$4:$N$500,صادرات!$J$4:$J$500,$C106,صادرات!$I$4:$I$500,$A106)+SUMIFS(صادرات!$F$4:$F$500,صادرات!$B$4:$B$500,$C106,صادرات!$A$4:$A$500,$A106)</f>
        <v>0</v>
      </c>
      <c r="Q106" s="159">
        <v>0</v>
      </c>
      <c r="R106" s="159">
        <f t="shared" si="264"/>
        <v>0</v>
      </c>
      <c r="S106" s="175" t="str">
        <f>IF(SUM(P106:P112)=0,"",IFERROR(P106/Q106,""))</f>
        <v/>
      </c>
      <c r="T106" s="171">
        <f t="shared" si="398"/>
        <v>0</v>
      </c>
      <c r="U106" s="159">
        <f t="shared" si="399"/>
        <v>0</v>
      </c>
      <c r="V106" s="159">
        <f t="shared" si="265"/>
        <v>0</v>
      </c>
      <c r="W106" s="175" t="str">
        <f t="shared" ref="W106" si="428">IF(SUM(T106:T112)=0,"",IFERROR(T106/U106,""))</f>
        <v/>
      </c>
      <c r="X106" s="171">
        <f t="shared" si="401"/>
        <v>0</v>
      </c>
      <c r="Y106" s="159">
        <f t="shared" si="402"/>
        <v>0</v>
      </c>
      <c r="Z106" s="159">
        <f t="shared" si="267"/>
        <v>0</v>
      </c>
      <c r="AA106" s="175" t="str">
        <f t="shared" ref="AA106" si="429">IF(SUM(X106:X112)=0,"",IFERROR(X106/Y106,""))</f>
        <v/>
      </c>
      <c r="AB106" s="171">
        <f t="shared" si="404"/>
        <v>0</v>
      </c>
      <c r="AC106" s="159">
        <f t="shared" si="405"/>
        <v>0</v>
      </c>
      <c r="AD106" s="159">
        <f t="shared" si="269"/>
        <v>0</v>
      </c>
      <c r="AE106" s="175" t="str">
        <f t="shared" ref="AE106" si="430">IF(SUM(AB106:AB112)=0,"",IFERROR(AB106/AC106,""))</f>
        <v/>
      </c>
      <c r="AF106" s="171">
        <f t="shared" si="407"/>
        <v>0</v>
      </c>
      <c r="AG106" s="159">
        <f t="shared" si="408"/>
        <v>0</v>
      </c>
      <c r="AH106" s="159">
        <f t="shared" si="271"/>
        <v>0</v>
      </c>
      <c r="AI106" s="187" t="str">
        <f t="shared" ref="AI106" si="431">IF(SUM(AF106:AF112)=0,"",IFERROR(AF106/AG106,""))</f>
        <v/>
      </c>
      <c r="AJ106" s="157">
        <f t="shared" si="419"/>
        <v>6</v>
      </c>
    </row>
    <row r="107" spans="1:36" ht="24.95" customHeight="1" x14ac:dyDescent="0.25">
      <c r="A107" s="182" t="str">
        <f t="shared" si="318"/>
        <v>بجنورد</v>
      </c>
      <c r="B107" s="216"/>
      <c r="C107" s="167" t="str">
        <f t="shared" si="410"/>
        <v>مهر</v>
      </c>
      <c r="D107" s="171">
        <f>SUMIFS(صادرات!$K$4:$K$500,صادرات!$J$4:$J$500,$C107,صادرات!$I$4:$I$500,$A107)+SUMIFS(صادرات!$C$4:$C$500,صادرات!$B$4:$B$500,$C107,صادرات!$A$4:$A$500,$A107)</f>
        <v>0</v>
      </c>
      <c r="E107" s="159">
        <v>0</v>
      </c>
      <c r="F107" s="159">
        <f t="shared" si="261"/>
        <v>0</v>
      </c>
      <c r="G107" s="175" t="str">
        <f>IF(SUM(D107:D112)=0,"",IFERROR(D107/E107,""))</f>
        <v/>
      </c>
      <c r="H107" s="171">
        <f>SUMIFS(صادرات!$L$4:$L$500,صادرات!$J$4:$J$500,$C107,صادرات!$I$4:$I$500,$A107)+SUMIFS(صادرات!$D$4:$D$500,صادرات!$B$4:$B$500,$C107,صادرات!$A$4:$A$500,$A107)</f>
        <v>0</v>
      </c>
      <c r="I107" s="159">
        <v>0</v>
      </c>
      <c r="J107" s="159">
        <f t="shared" si="262"/>
        <v>0</v>
      </c>
      <c r="K107" s="175" t="str">
        <f>IF(SUM(H107:H112)=0,"",IFERROR(H107/I107,""))</f>
        <v/>
      </c>
      <c r="L107" s="171">
        <f>SUMIFS(صادرات!$M$4:$M$500,صادرات!$J$4:$J$500,$C107,صادرات!$I$4:$I$500,$A107)+SUMIFS(صادرات!$E$4:$E$500,صادرات!$B$4:$B$500,$C107,صادرات!$A$4:$A$500,$A107)</f>
        <v>0</v>
      </c>
      <c r="M107" s="159">
        <v>0</v>
      </c>
      <c r="N107" s="159">
        <f t="shared" si="263"/>
        <v>0</v>
      </c>
      <c r="O107" s="175" t="str">
        <f>IF(SUM(L107:L112)=0,"",IFERROR(L107/M107,""))</f>
        <v/>
      </c>
      <c r="P107" s="171">
        <f>SUMIFS(صادرات!$N$4:$N$500,صادرات!$J$4:$J$500,$C107,صادرات!$I$4:$I$500,$A107)+SUMIFS(صادرات!$F$4:$F$500,صادرات!$B$4:$B$500,$C107,صادرات!$A$4:$A$500,$A107)</f>
        <v>0</v>
      </c>
      <c r="Q107" s="159">
        <v>0</v>
      </c>
      <c r="R107" s="159">
        <f t="shared" si="264"/>
        <v>0</v>
      </c>
      <c r="S107" s="175" t="str">
        <f>IF(SUM(P107:P112)=0,"",IFERROR(P107/Q107,""))</f>
        <v/>
      </c>
      <c r="T107" s="171">
        <f t="shared" si="398"/>
        <v>0</v>
      </c>
      <c r="U107" s="159">
        <f t="shared" si="399"/>
        <v>0</v>
      </c>
      <c r="V107" s="159">
        <f t="shared" si="265"/>
        <v>0</v>
      </c>
      <c r="W107" s="175" t="str">
        <f t="shared" ref="W107" si="432">IF(SUM(T107:T112)=0,"",IFERROR(T107/U107,""))</f>
        <v/>
      </c>
      <c r="X107" s="171">
        <f t="shared" si="401"/>
        <v>0</v>
      </c>
      <c r="Y107" s="159">
        <f t="shared" si="402"/>
        <v>0</v>
      </c>
      <c r="Z107" s="159">
        <f t="shared" si="267"/>
        <v>0</v>
      </c>
      <c r="AA107" s="175" t="str">
        <f t="shared" ref="AA107" si="433">IF(SUM(X107:X112)=0,"",IFERROR(X107/Y107,""))</f>
        <v/>
      </c>
      <c r="AB107" s="171">
        <f t="shared" si="404"/>
        <v>0</v>
      </c>
      <c r="AC107" s="159">
        <f t="shared" si="405"/>
        <v>0</v>
      </c>
      <c r="AD107" s="159">
        <f t="shared" si="269"/>
        <v>0</v>
      </c>
      <c r="AE107" s="175" t="str">
        <f t="shared" ref="AE107" si="434">IF(SUM(AB107:AB112)=0,"",IFERROR(AB107/AC107,""))</f>
        <v/>
      </c>
      <c r="AF107" s="171">
        <f t="shared" si="407"/>
        <v>0</v>
      </c>
      <c r="AG107" s="159">
        <f t="shared" si="408"/>
        <v>0</v>
      </c>
      <c r="AH107" s="159">
        <f t="shared" si="271"/>
        <v>0</v>
      </c>
      <c r="AI107" s="187" t="str">
        <f t="shared" ref="AI107" si="435">IF(SUM(AF107:AF112)=0,"",IFERROR(AF107/AG107,""))</f>
        <v/>
      </c>
      <c r="AJ107" s="157">
        <f t="shared" si="419"/>
        <v>7</v>
      </c>
    </row>
    <row r="108" spans="1:36" ht="24.95" customHeight="1" x14ac:dyDescent="0.25">
      <c r="A108" s="182" t="str">
        <f t="shared" si="318"/>
        <v>بجنورد</v>
      </c>
      <c r="B108" s="216"/>
      <c r="C108" s="167" t="str">
        <f t="shared" si="410"/>
        <v>آبان</v>
      </c>
      <c r="D108" s="171">
        <f>SUMIFS(صادرات!$K$4:$K$500,صادرات!$J$4:$J$500,$C108,صادرات!$I$4:$I$500,$A108)+SUMIFS(صادرات!$C$4:$C$500,صادرات!$B$4:$B$500,$C108,صادرات!$A$4:$A$500,$A108)</f>
        <v>0</v>
      </c>
      <c r="E108" s="159">
        <v>0</v>
      </c>
      <c r="F108" s="159">
        <f t="shared" si="261"/>
        <v>0</v>
      </c>
      <c r="G108" s="175" t="str">
        <f>IF(SUM(D108:D112)=0,"",IFERROR(D108/E108,""))</f>
        <v/>
      </c>
      <c r="H108" s="171">
        <f>SUMIFS(صادرات!$L$4:$L$500,صادرات!$J$4:$J$500,$C108,صادرات!$I$4:$I$500,$A108)+SUMIFS(صادرات!$D$4:$D$500,صادرات!$B$4:$B$500,$C108,صادرات!$A$4:$A$500,$A108)</f>
        <v>0</v>
      </c>
      <c r="I108" s="159">
        <v>0</v>
      </c>
      <c r="J108" s="159">
        <f t="shared" si="262"/>
        <v>0</v>
      </c>
      <c r="K108" s="175" t="str">
        <f>IF(SUM(H108:H112)=0,"",IFERROR(H108/I108,""))</f>
        <v/>
      </c>
      <c r="L108" s="171">
        <f>SUMIFS(صادرات!$M$4:$M$500,صادرات!$J$4:$J$500,$C108,صادرات!$I$4:$I$500,$A108)+SUMIFS(صادرات!$E$4:$E$500,صادرات!$B$4:$B$500,$C108,صادرات!$A$4:$A$500,$A108)</f>
        <v>0</v>
      </c>
      <c r="M108" s="159">
        <v>0</v>
      </c>
      <c r="N108" s="159">
        <f t="shared" si="263"/>
        <v>0</v>
      </c>
      <c r="O108" s="175" t="str">
        <f>IF(SUM(L108:L112)=0,"",IFERROR(L108/M108,""))</f>
        <v/>
      </c>
      <c r="P108" s="171">
        <f>SUMIFS(صادرات!$N$4:$N$500,صادرات!$J$4:$J$500,$C108,صادرات!$I$4:$I$500,$A108)+SUMIFS(صادرات!$F$4:$F$500,صادرات!$B$4:$B$500,$C108,صادرات!$A$4:$A$500,$A108)</f>
        <v>0</v>
      </c>
      <c r="Q108" s="159">
        <v>0</v>
      </c>
      <c r="R108" s="159">
        <f t="shared" si="264"/>
        <v>0</v>
      </c>
      <c r="S108" s="175" t="str">
        <f>IF(SUM(P108:P112)=0,"",IFERROR(P108/Q108,""))</f>
        <v/>
      </c>
      <c r="T108" s="171">
        <f t="shared" si="398"/>
        <v>0</v>
      </c>
      <c r="U108" s="159">
        <f t="shared" si="399"/>
        <v>0</v>
      </c>
      <c r="V108" s="159">
        <f t="shared" si="265"/>
        <v>0</v>
      </c>
      <c r="W108" s="175" t="str">
        <f t="shared" ref="W108" si="436">IF(SUM(T108:T112)=0,"",IFERROR(T108/U108,""))</f>
        <v/>
      </c>
      <c r="X108" s="171">
        <f t="shared" si="401"/>
        <v>0</v>
      </c>
      <c r="Y108" s="159">
        <f t="shared" si="402"/>
        <v>0</v>
      </c>
      <c r="Z108" s="159">
        <f t="shared" si="267"/>
        <v>0</v>
      </c>
      <c r="AA108" s="175" t="str">
        <f t="shared" ref="AA108" si="437">IF(SUM(X108:X112)=0,"",IFERROR(X108/Y108,""))</f>
        <v/>
      </c>
      <c r="AB108" s="171">
        <f t="shared" si="404"/>
        <v>0</v>
      </c>
      <c r="AC108" s="159">
        <f t="shared" si="405"/>
        <v>0</v>
      </c>
      <c r="AD108" s="159">
        <f t="shared" si="269"/>
        <v>0</v>
      </c>
      <c r="AE108" s="175" t="str">
        <f t="shared" ref="AE108" si="438">IF(SUM(AB108:AB112)=0,"",IFERROR(AB108/AC108,""))</f>
        <v/>
      </c>
      <c r="AF108" s="171">
        <f t="shared" si="407"/>
        <v>0</v>
      </c>
      <c r="AG108" s="159">
        <f t="shared" si="408"/>
        <v>0</v>
      </c>
      <c r="AH108" s="159">
        <f t="shared" si="271"/>
        <v>0</v>
      </c>
      <c r="AI108" s="187" t="str">
        <f t="shared" ref="AI108" si="439">IF(SUM(AF108:AF112)=0,"",IFERROR(AF108/AG108,""))</f>
        <v/>
      </c>
      <c r="AJ108" s="157">
        <f t="shared" si="419"/>
        <v>8</v>
      </c>
    </row>
    <row r="109" spans="1:36" ht="24.95" customHeight="1" x14ac:dyDescent="0.25">
      <c r="A109" s="182" t="str">
        <f t="shared" si="318"/>
        <v>بجنورد</v>
      </c>
      <c r="B109" s="216"/>
      <c r="C109" s="167" t="str">
        <f t="shared" si="410"/>
        <v>آذر</v>
      </c>
      <c r="D109" s="171">
        <f>SUMIFS(صادرات!$K$4:$K$500,صادرات!$J$4:$J$500,$C109,صادرات!$I$4:$I$500,$A109)+SUMIFS(صادرات!$C$4:$C$500,صادرات!$B$4:$B$500,$C109,صادرات!$A$4:$A$500,$A109)</f>
        <v>0</v>
      </c>
      <c r="E109" s="159">
        <v>0</v>
      </c>
      <c r="F109" s="159">
        <f t="shared" si="261"/>
        <v>0</v>
      </c>
      <c r="G109" s="175" t="str">
        <f>IF(SUM(D109:D112)=0,"",IFERROR(D109/E109,""))</f>
        <v/>
      </c>
      <c r="H109" s="171">
        <f>SUMIFS(صادرات!$L$4:$L$500,صادرات!$J$4:$J$500,$C109,صادرات!$I$4:$I$500,$A109)+SUMIFS(صادرات!$D$4:$D$500,صادرات!$B$4:$B$500,$C109,صادرات!$A$4:$A$500,$A109)</f>
        <v>0</v>
      </c>
      <c r="I109" s="159">
        <v>0</v>
      </c>
      <c r="J109" s="159">
        <f t="shared" si="262"/>
        <v>0</v>
      </c>
      <c r="K109" s="175" t="str">
        <f>IF(SUM(H109:H112)=0,"",IFERROR(H109/I109,""))</f>
        <v/>
      </c>
      <c r="L109" s="171">
        <f>SUMIFS(صادرات!$M$4:$M$500,صادرات!$J$4:$J$500,$C109,صادرات!$I$4:$I$500,$A109)+SUMIFS(صادرات!$E$4:$E$500,صادرات!$B$4:$B$500,$C109,صادرات!$A$4:$A$500,$A109)</f>
        <v>0</v>
      </c>
      <c r="M109" s="159">
        <v>0</v>
      </c>
      <c r="N109" s="159">
        <f t="shared" si="263"/>
        <v>0</v>
      </c>
      <c r="O109" s="175" t="str">
        <f>IF(SUM(L109:L112)=0,"",IFERROR(L109/M109,""))</f>
        <v/>
      </c>
      <c r="P109" s="171">
        <f>SUMIFS(صادرات!$N$4:$N$500,صادرات!$J$4:$J$500,$C109,صادرات!$I$4:$I$500,$A109)+SUMIFS(صادرات!$F$4:$F$500,صادرات!$B$4:$B$500,$C109,صادرات!$A$4:$A$500,$A109)</f>
        <v>0</v>
      </c>
      <c r="Q109" s="159">
        <v>0</v>
      </c>
      <c r="R109" s="159">
        <f t="shared" si="264"/>
        <v>0</v>
      </c>
      <c r="S109" s="175" t="str">
        <f>IF(SUM(P109:P112)=0,"",IFERROR(P109/Q109,""))</f>
        <v/>
      </c>
      <c r="T109" s="171">
        <f t="shared" si="398"/>
        <v>0</v>
      </c>
      <c r="U109" s="159">
        <f t="shared" si="399"/>
        <v>0</v>
      </c>
      <c r="V109" s="159">
        <f t="shared" si="265"/>
        <v>0</v>
      </c>
      <c r="W109" s="175" t="str">
        <f t="shared" ref="W109" si="440">IF(SUM(T109:T112)=0,"",IFERROR(T109/U109,""))</f>
        <v/>
      </c>
      <c r="X109" s="171">
        <f t="shared" si="401"/>
        <v>0</v>
      </c>
      <c r="Y109" s="159">
        <f t="shared" si="402"/>
        <v>0</v>
      </c>
      <c r="Z109" s="159">
        <f t="shared" si="267"/>
        <v>0</v>
      </c>
      <c r="AA109" s="175" t="str">
        <f t="shared" ref="AA109" si="441">IF(SUM(X109:X112)=0,"",IFERROR(X109/Y109,""))</f>
        <v/>
      </c>
      <c r="AB109" s="171">
        <f t="shared" si="404"/>
        <v>0</v>
      </c>
      <c r="AC109" s="159">
        <f t="shared" si="405"/>
        <v>0</v>
      </c>
      <c r="AD109" s="159">
        <f t="shared" si="269"/>
        <v>0</v>
      </c>
      <c r="AE109" s="175" t="str">
        <f t="shared" ref="AE109" si="442">IF(SUM(AB109:AB112)=0,"",IFERROR(AB109/AC109,""))</f>
        <v/>
      </c>
      <c r="AF109" s="171">
        <f t="shared" si="407"/>
        <v>0</v>
      </c>
      <c r="AG109" s="159">
        <f t="shared" si="408"/>
        <v>0</v>
      </c>
      <c r="AH109" s="159">
        <f t="shared" si="271"/>
        <v>0</v>
      </c>
      <c r="AI109" s="187" t="str">
        <f t="shared" ref="AI109" si="443">IF(SUM(AF109:AF112)=0,"",IFERROR(AF109/AG109,""))</f>
        <v/>
      </c>
      <c r="AJ109" s="157">
        <f t="shared" si="419"/>
        <v>9</v>
      </c>
    </row>
    <row r="110" spans="1:36" ht="24.95" customHeight="1" x14ac:dyDescent="0.25">
      <c r="A110" s="182" t="str">
        <f t="shared" si="318"/>
        <v>بجنورد</v>
      </c>
      <c r="B110" s="216"/>
      <c r="C110" s="167" t="str">
        <f t="shared" si="410"/>
        <v>دی</v>
      </c>
      <c r="D110" s="171">
        <f>SUMIFS(صادرات!$K$4:$K$500,صادرات!$J$4:$J$500,$C110,صادرات!$I$4:$I$500,$A110)+SUMIFS(صادرات!$C$4:$C$500,صادرات!$B$4:$B$500,$C110,صادرات!$A$4:$A$500,$A110)</f>
        <v>0</v>
      </c>
      <c r="E110" s="159">
        <v>0</v>
      </c>
      <c r="F110" s="159">
        <f t="shared" si="261"/>
        <v>0</v>
      </c>
      <c r="G110" s="175" t="str">
        <f>IF(SUM(D110:D112)=0,"",IFERROR(D110/E110,""))</f>
        <v/>
      </c>
      <c r="H110" s="171">
        <f>SUMIFS(صادرات!$L$4:$L$500,صادرات!$J$4:$J$500,$C110,صادرات!$I$4:$I$500,$A110)+SUMIFS(صادرات!$D$4:$D$500,صادرات!$B$4:$B$500,$C110,صادرات!$A$4:$A$500,$A110)</f>
        <v>0</v>
      </c>
      <c r="I110" s="159">
        <v>0</v>
      </c>
      <c r="J110" s="159">
        <f t="shared" si="262"/>
        <v>0</v>
      </c>
      <c r="K110" s="175" t="str">
        <f>IF(SUM(H110:H112)=0,"",IFERROR(H110/I110,""))</f>
        <v/>
      </c>
      <c r="L110" s="171">
        <f>SUMIFS(صادرات!$M$4:$M$500,صادرات!$J$4:$J$500,$C110,صادرات!$I$4:$I$500,$A110)+SUMIFS(صادرات!$E$4:$E$500,صادرات!$B$4:$B$500,$C110,صادرات!$A$4:$A$500,$A110)</f>
        <v>0</v>
      </c>
      <c r="M110" s="159">
        <v>0</v>
      </c>
      <c r="N110" s="159">
        <f t="shared" si="263"/>
        <v>0</v>
      </c>
      <c r="O110" s="175" t="str">
        <f>IF(SUM(L110:L112)=0,"",IFERROR(L110/M110,""))</f>
        <v/>
      </c>
      <c r="P110" s="171">
        <f>SUMIFS(صادرات!$N$4:$N$500,صادرات!$J$4:$J$500,$C110,صادرات!$I$4:$I$500,$A110)+SUMIFS(صادرات!$F$4:$F$500,صادرات!$B$4:$B$500,$C110,صادرات!$A$4:$A$500,$A110)</f>
        <v>0</v>
      </c>
      <c r="Q110" s="159">
        <v>0</v>
      </c>
      <c r="R110" s="159">
        <f t="shared" si="264"/>
        <v>0</v>
      </c>
      <c r="S110" s="175" t="str">
        <f>IF(SUM(P110:P112)=0,"",IFERROR(P110/Q110,""))</f>
        <v/>
      </c>
      <c r="T110" s="171">
        <f t="shared" si="398"/>
        <v>0</v>
      </c>
      <c r="U110" s="159">
        <f t="shared" si="399"/>
        <v>0</v>
      </c>
      <c r="V110" s="159">
        <f t="shared" si="265"/>
        <v>0</v>
      </c>
      <c r="W110" s="175" t="str">
        <f t="shared" ref="W110" si="444">IF(SUM(T110:T112)=0,"",IFERROR(T110/U110,""))</f>
        <v/>
      </c>
      <c r="X110" s="171">
        <f t="shared" si="401"/>
        <v>0</v>
      </c>
      <c r="Y110" s="159">
        <f t="shared" si="402"/>
        <v>0</v>
      </c>
      <c r="Z110" s="159">
        <f t="shared" si="267"/>
        <v>0</v>
      </c>
      <c r="AA110" s="175" t="str">
        <f t="shared" ref="AA110" si="445">IF(SUM(X110:X112)=0,"",IFERROR(X110/Y110,""))</f>
        <v/>
      </c>
      <c r="AB110" s="171">
        <f t="shared" si="404"/>
        <v>0</v>
      </c>
      <c r="AC110" s="159">
        <f t="shared" si="405"/>
        <v>0</v>
      </c>
      <c r="AD110" s="159">
        <f t="shared" si="269"/>
        <v>0</v>
      </c>
      <c r="AE110" s="175" t="str">
        <f t="shared" ref="AE110" si="446">IF(SUM(AB110:AB112)=0,"",IFERROR(AB110/AC110,""))</f>
        <v/>
      </c>
      <c r="AF110" s="171">
        <f t="shared" si="407"/>
        <v>0</v>
      </c>
      <c r="AG110" s="159">
        <f t="shared" si="408"/>
        <v>0</v>
      </c>
      <c r="AH110" s="159">
        <f t="shared" si="271"/>
        <v>0</v>
      </c>
      <c r="AI110" s="187" t="str">
        <f t="shared" ref="AI110" si="447">IF(SUM(AF110:AF112)=0,"",IFERROR(AF110/AG110,""))</f>
        <v/>
      </c>
      <c r="AJ110" s="157">
        <f t="shared" si="419"/>
        <v>10</v>
      </c>
    </row>
    <row r="111" spans="1:36" ht="24.95" customHeight="1" x14ac:dyDescent="0.25">
      <c r="A111" s="182" t="str">
        <f t="shared" si="318"/>
        <v>بجنورد</v>
      </c>
      <c r="B111" s="216"/>
      <c r="C111" s="167" t="str">
        <f t="shared" si="410"/>
        <v>بهمن</v>
      </c>
      <c r="D111" s="171">
        <f>SUMIFS(صادرات!$K$4:$K$500,صادرات!$J$4:$J$500,$C111,صادرات!$I$4:$I$500,$A111)+SUMIFS(صادرات!$C$4:$C$500,صادرات!$B$4:$B$500,$C111,صادرات!$A$4:$A$500,$A111)</f>
        <v>0</v>
      </c>
      <c r="E111" s="159">
        <v>0</v>
      </c>
      <c r="F111" s="159">
        <f t="shared" si="261"/>
        <v>0</v>
      </c>
      <c r="G111" s="175" t="str">
        <f>IF(SUM(D111:D112)=0,"",IFERROR(D111/E111,""))</f>
        <v/>
      </c>
      <c r="H111" s="171">
        <f>SUMIFS(صادرات!$L$4:$L$500,صادرات!$J$4:$J$500,$C111,صادرات!$I$4:$I$500,$A111)+SUMIFS(صادرات!$D$4:$D$500,صادرات!$B$4:$B$500,$C111,صادرات!$A$4:$A$500,$A111)</f>
        <v>0</v>
      </c>
      <c r="I111" s="159">
        <v>0</v>
      </c>
      <c r="J111" s="159">
        <f t="shared" si="262"/>
        <v>0</v>
      </c>
      <c r="K111" s="175" t="str">
        <f>IF(SUM(H111:H112)=0,"",IFERROR(H111/I111,""))</f>
        <v/>
      </c>
      <c r="L111" s="171">
        <f>SUMIFS(صادرات!$M$4:$M$500,صادرات!$J$4:$J$500,$C111,صادرات!$I$4:$I$500,$A111)+SUMIFS(صادرات!$E$4:$E$500,صادرات!$B$4:$B$500,$C111,صادرات!$A$4:$A$500,$A111)</f>
        <v>0</v>
      </c>
      <c r="M111" s="159">
        <v>0</v>
      </c>
      <c r="N111" s="159">
        <f t="shared" si="263"/>
        <v>0</v>
      </c>
      <c r="O111" s="175" t="str">
        <f>IF(SUM(L111:L112)=0,"",IFERROR(L111/M111,""))</f>
        <v/>
      </c>
      <c r="P111" s="171">
        <f>SUMIFS(صادرات!$N$4:$N$500,صادرات!$J$4:$J$500,$C111,صادرات!$I$4:$I$500,$A111)+SUMIFS(صادرات!$F$4:$F$500,صادرات!$B$4:$B$500,$C111,صادرات!$A$4:$A$500,$A111)</f>
        <v>0</v>
      </c>
      <c r="Q111" s="159">
        <v>0</v>
      </c>
      <c r="R111" s="159">
        <f t="shared" si="264"/>
        <v>0</v>
      </c>
      <c r="S111" s="175" t="str">
        <f>IF(SUM(P111:P112)=0,"",IFERROR(P111/Q111,""))</f>
        <v/>
      </c>
      <c r="T111" s="171">
        <f t="shared" si="398"/>
        <v>0</v>
      </c>
      <c r="U111" s="159">
        <f t="shared" si="399"/>
        <v>0</v>
      </c>
      <c r="V111" s="159">
        <f t="shared" si="265"/>
        <v>0</v>
      </c>
      <c r="W111" s="175" t="str">
        <f t="shared" ref="W111" si="448">IF(SUM(T111:T112)=0,"",IFERROR(T111/U111,""))</f>
        <v/>
      </c>
      <c r="X111" s="171">
        <f t="shared" si="401"/>
        <v>0</v>
      </c>
      <c r="Y111" s="159">
        <f t="shared" si="402"/>
        <v>0</v>
      </c>
      <c r="Z111" s="159">
        <f t="shared" si="267"/>
        <v>0</v>
      </c>
      <c r="AA111" s="175" t="str">
        <f t="shared" ref="AA111" si="449">IF(SUM(X111:X112)=0,"",IFERROR(X111/Y111,""))</f>
        <v/>
      </c>
      <c r="AB111" s="171">
        <f t="shared" si="404"/>
        <v>0</v>
      </c>
      <c r="AC111" s="159">
        <f t="shared" si="405"/>
        <v>0</v>
      </c>
      <c r="AD111" s="159">
        <f t="shared" si="269"/>
        <v>0</v>
      </c>
      <c r="AE111" s="175" t="str">
        <f t="shared" ref="AE111" si="450">IF(SUM(AB111:AB112)=0,"",IFERROR(AB111/AC111,""))</f>
        <v/>
      </c>
      <c r="AF111" s="171">
        <f t="shared" si="407"/>
        <v>0</v>
      </c>
      <c r="AG111" s="159">
        <f t="shared" si="408"/>
        <v>0</v>
      </c>
      <c r="AH111" s="159">
        <f t="shared" si="271"/>
        <v>0</v>
      </c>
      <c r="AI111" s="187" t="str">
        <f t="shared" ref="AI111" si="451">IF(SUM(AF111:AF112)=0,"",IFERROR(AF111/AG111,""))</f>
        <v/>
      </c>
      <c r="AJ111" s="157">
        <f t="shared" si="419"/>
        <v>11</v>
      </c>
    </row>
    <row r="112" spans="1:36" ht="24.95" customHeight="1" thickBot="1" x14ac:dyDescent="0.3">
      <c r="A112" s="182" t="str">
        <f t="shared" si="318"/>
        <v>بجنورد</v>
      </c>
      <c r="B112" s="217"/>
      <c r="C112" s="168" t="str">
        <f t="shared" si="410"/>
        <v>اسفند</v>
      </c>
      <c r="D112" s="172">
        <f>SUMIFS(صادرات!$K$4:$K$500,صادرات!$J$4:$J$500,$C112,صادرات!$I$4:$I$500,$A112)+SUMIFS(صادرات!$C$4:$C$500,صادرات!$B$4:$B$500,$C112,صادرات!$A$4:$A$500,$A112)</f>
        <v>0</v>
      </c>
      <c r="E112" s="173">
        <v>0</v>
      </c>
      <c r="F112" s="173">
        <f t="shared" si="261"/>
        <v>0</v>
      </c>
      <c r="G112" s="176" t="str">
        <f>IF(SUM(D112)=0,"",IFERROR(D112/E112,""))</f>
        <v/>
      </c>
      <c r="H112" s="172">
        <f>SUMIFS(صادرات!$L$4:$L$500,صادرات!$J$4:$J$500,$C112,صادرات!$I$4:$I$500,$A112)+SUMIFS(صادرات!$D$4:$D$500,صادرات!$B$4:$B$500,$C112,صادرات!$A$4:$A$500,$A112)</f>
        <v>0</v>
      </c>
      <c r="I112" s="173">
        <v>0</v>
      </c>
      <c r="J112" s="173">
        <f t="shared" si="262"/>
        <v>0</v>
      </c>
      <c r="K112" s="176" t="str">
        <f>IF(SUM(H112)=0,"",IFERROR(H112/I112,""))</f>
        <v/>
      </c>
      <c r="L112" s="172">
        <f>SUMIFS(صادرات!$M$4:$M$500,صادرات!$J$4:$J$500,$C112,صادرات!$I$4:$I$500,$A112)+SUMIFS(صادرات!$E$4:$E$500,صادرات!$B$4:$B$500,$C112,صادرات!$A$4:$A$500,$A112)</f>
        <v>0</v>
      </c>
      <c r="M112" s="173">
        <v>0</v>
      </c>
      <c r="N112" s="173">
        <f t="shared" si="263"/>
        <v>0</v>
      </c>
      <c r="O112" s="176" t="str">
        <f>IF(SUM(L112)=0,"",IFERROR(L112/M112,""))</f>
        <v/>
      </c>
      <c r="P112" s="172">
        <f>SUMIFS(صادرات!$N$4:$N$500,صادرات!$J$4:$J$500,$C112,صادرات!$I$4:$I$500,$A112)+SUMIFS(صادرات!$F$4:$F$500,صادرات!$B$4:$B$500,$C112,صادرات!$A$4:$A$500,$A112)</f>
        <v>0</v>
      </c>
      <c r="Q112" s="173">
        <v>0</v>
      </c>
      <c r="R112" s="173">
        <f t="shared" si="264"/>
        <v>0</v>
      </c>
      <c r="S112" s="176" t="str">
        <f>IF(SUM(P112)=0,"",IFERROR(P112/Q112,""))</f>
        <v/>
      </c>
      <c r="T112" s="172">
        <f t="shared" si="398"/>
        <v>0</v>
      </c>
      <c r="U112" s="173">
        <f t="shared" si="399"/>
        <v>0</v>
      </c>
      <c r="V112" s="173">
        <f t="shared" si="265"/>
        <v>0</v>
      </c>
      <c r="W112" s="176" t="str">
        <f t="shared" ref="W112" si="452">IF(SUM(T112)=0,"",IFERROR(T112/U112,""))</f>
        <v/>
      </c>
      <c r="X112" s="172">
        <f t="shared" si="401"/>
        <v>0</v>
      </c>
      <c r="Y112" s="173">
        <f t="shared" si="402"/>
        <v>0</v>
      </c>
      <c r="Z112" s="173">
        <f t="shared" si="267"/>
        <v>0</v>
      </c>
      <c r="AA112" s="176" t="str">
        <f t="shared" ref="AA112" si="453">IF(SUM(X112)=0,"",IFERROR(X112/Y112,""))</f>
        <v/>
      </c>
      <c r="AB112" s="172">
        <f t="shared" si="404"/>
        <v>0</v>
      </c>
      <c r="AC112" s="173">
        <f t="shared" si="405"/>
        <v>0</v>
      </c>
      <c r="AD112" s="173">
        <f t="shared" si="269"/>
        <v>0</v>
      </c>
      <c r="AE112" s="176" t="str">
        <f t="shared" ref="AE112" si="454">IF(SUM(AB112)=0,"",IFERROR(AB112/AC112,""))</f>
        <v/>
      </c>
      <c r="AF112" s="172">
        <f t="shared" si="407"/>
        <v>0</v>
      </c>
      <c r="AG112" s="173">
        <f t="shared" si="408"/>
        <v>0</v>
      </c>
      <c r="AH112" s="173">
        <f t="shared" si="271"/>
        <v>0</v>
      </c>
      <c r="AI112" s="188" t="str">
        <f t="shared" ref="AI112" si="455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18"/>
        <v>بیرجند</v>
      </c>
      <c r="B113" s="215" t="str">
        <f>واردات!J66</f>
        <v>بیرجند</v>
      </c>
      <c r="C113" s="166" t="str">
        <f>C101</f>
        <v>فروردین</v>
      </c>
      <c r="D113" s="170">
        <f>SUMIFS(صادرات!$K$4:$K$500,صادرات!$J$4:$J$500,$C113,صادرات!$I$4:$I$500,$A113)+SUMIFS(صادرات!$C$4:$C$500,صادرات!$B$4:$B$500,$C113,صادرات!$A$4:$A$500,$A113)</f>
        <v>0</v>
      </c>
      <c r="E113" s="160">
        <v>0</v>
      </c>
      <c r="F113" s="160">
        <f t="shared" si="261"/>
        <v>0</v>
      </c>
      <c r="G113" s="185" t="str">
        <f>IF(SUM(D113:D124)=0,"",IFERROR(D113/E113,""))</f>
        <v/>
      </c>
      <c r="H113" s="170">
        <f>SUMIFS(صادرات!$L$4:$L$500,صادرات!$J$4:$J$500,$C113,صادرات!$I$4:$I$500,$A113)+SUMIFS(صادرات!$D$4:$D$500,صادرات!$B$4:$B$500,$C113,صادرات!$A$4:$A$500,$A113)</f>
        <v>0</v>
      </c>
      <c r="I113" s="160">
        <v>0</v>
      </c>
      <c r="J113" s="160">
        <f t="shared" si="262"/>
        <v>0</v>
      </c>
      <c r="K113" s="185" t="str">
        <f>IF(SUM(H113:H124)=0,"",IFERROR(H113/I113,""))</f>
        <v/>
      </c>
      <c r="L113" s="170">
        <f>SUMIFS(صادرات!$M$4:$M$500,صادرات!$J$4:$J$500,$C113,صادرات!$I$4:$I$500,$A113)+SUMIFS(صادرات!$E$4:$E$500,صادرات!$B$4:$B$500,$C113,صادرات!$A$4:$A$500,$A113)</f>
        <v>0</v>
      </c>
      <c r="M113" s="160">
        <v>0</v>
      </c>
      <c r="N113" s="160">
        <f t="shared" si="263"/>
        <v>0</v>
      </c>
      <c r="O113" s="185" t="str">
        <f>IF(SUM(L113:L124)=0,"",IFERROR(L113/M113,""))</f>
        <v/>
      </c>
      <c r="P113" s="170">
        <f>SUMIFS(صادرات!$N$4:$N$500,صادرات!$J$4:$J$500,$C113,صادرات!$I$4:$I$500,$A113)+SUMIFS(صادرات!$F$4:$F$500,صادرات!$B$4:$B$500,$C113,صادرات!$A$4:$A$500,$A113)</f>
        <v>0</v>
      </c>
      <c r="Q113" s="160">
        <v>0</v>
      </c>
      <c r="R113" s="160">
        <f t="shared" si="264"/>
        <v>0</v>
      </c>
      <c r="S113" s="185" t="str">
        <f>IF(SUM(P113:P124)=0,"",IFERROR(P113/Q113,""))</f>
        <v/>
      </c>
      <c r="T113" s="183">
        <f t="shared" si="398"/>
        <v>0</v>
      </c>
      <c r="U113" s="160">
        <f t="shared" si="399"/>
        <v>0</v>
      </c>
      <c r="V113" s="160">
        <f t="shared" si="265"/>
        <v>0</v>
      </c>
      <c r="W113" s="185" t="str">
        <f t="shared" ref="W113" si="456">IF(SUM(T113:T124)=0,"",IFERROR(T113/U113,""))</f>
        <v/>
      </c>
      <c r="X113" s="183">
        <f t="shared" si="401"/>
        <v>0</v>
      </c>
      <c r="Y113" s="160">
        <f t="shared" si="402"/>
        <v>0</v>
      </c>
      <c r="Z113" s="160">
        <f t="shared" si="267"/>
        <v>0</v>
      </c>
      <c r="AA113" s="185" t="str">
        <f t="shared" ref="AA113" si="457">IF(SUM(X113:X124)=0,"",IFERROR(X113/Y113,""))</f>
        <v/>
      </c>
      <c r="AB113" s="183">
        <f t="shared" si="404"/>
        <v>0</v>
      </c>
      <c r="AC113" s="160">
        <f t="shared" si="405"/>
        <v>0</v>
      </c>
      <c r="AD113" s="160">
        <f t="shared" si="269"/>
        <v>0</v>
      </c>
      <c r="AE113" s="185" t="str">
        <f t="shared" ref="AE113" si="458">IF(SUM(AB113:AB124)=0,"",IFERROR(AB113/AC113,""))</f>
        <v/>
      </c>
      <c r="AF113" s="183">
        <f t="shared" si="407"/>
        <v>0</v>
      </c>
      <c r="AG113" s="160">
        <f t="shared" si="408"/>
        <v>0</v>
      </c>
      <c r="AH113" s="160">
        <f t="shared" si="271"/>
        <v>0</v>
      </c>
      <c r="AI113" s="186" t="str">
        <f t="shared" ref="AI113" si="459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18"/>
        <v>بیرجند</v>
      </c>
      <c r="B114" s="216"/>
      <c r="C114" s="167" t="str">
        <f t="shared" si="410"/>
        <v>اردیبهشت</v>
      </c>
      <c r="D114" s="171">
        <f>SUMIFS(صادرات!$K$4:$K$500,صادرات!$J$4:$J$500,$C114,صادرات!$I$4:$I$500,$A114)+SUMIFS(صادرات!$C$4:$C$500,صادرات!$B$4:$B$500,$C114,صادرات!$A$4:$A$500,$A114)</f>
        <v>0</v>
      </c>
      <c r="E114" s="159">
        <v>0</v>
      </c>
      <c r="F114" s="159">
        <f t="shared" si="261"/>
        <v>0</v>
      </c>
      <c r="G114" s="175" t="str">
        <f>IF(SUM(D114:D124)=0,"",IFERROR(D114/E114,""))</f>
        <v/>
      </c>
      <c r="H114" s="171">
        <f>SUMIFS(صادرات!$L$4:$L$500,صادرات!$J$4:$J$500,$C114,صادرات!$I$4:$I$500,$A114)+SUMIFS(صادرات!$D$4:$D$500,صادرات!$B$4:$B$500,$C114,صادرات!$A$4:$A$500,$A114)</f>
        <v>0</v>
      </c>
      <c r="I114" s="159">
        <v>0</v>
      </c>
      <c r="J114" s="159">
        <f t="shared" si="262"/>
        <v>0</v>
      </c>
      <c r="K114" s="175" t="str">
        <f>IF(SUM(H114:H124)=0,"",IFERROR(H114/I114,""))</f>
        <v/>
      </c>
      <c r="L114" s="171">
        <f>SUMIFS(صادرات!$M$4:$M$500,صادرات!$J$4:$J$500,$C114,صادرات!$I$4:$I$500,$A114)+SUMIFS(صادرات!$E$4:$E$500,صادرات!$B$4:$B$500,$C114,صادرات!$A$4:$A$500,$A114)</f>
        <v>0</v>
      </c>
      <c r="M114" s="159">
        <v>0</v>
      </c>
      <c r="N114" s="159">
        <f t="shared" si="263"/>
        <v>0</v>
      </c>
      <c r="O114" s="175" t="str">
        <f>IF(SUM(L114:L124)=0,"",IFERROR(L114/M114,""))</f>
        <v/>
      </c>
      <c r="P114" s="171">
        <f>SUMIFS(صادرات!$N$4:$N$500,صادرات!$J$4:$J$500,$C114,صادرات!$I$4:$I$500,$A114)+SUMIFS(صادرات!$F$4:$F$500,صادرات!$B$4:$B$500,$C114,صادرات!$A$4:$A$500,$A114)</f>
        <v>0</v>
      </c>
      <c r="Q114" s="159">
        <v>0</v>
      </c>
      <c r="R114" s="159">
        <f t="shared" si="264"/>
        <v>0</v>
      </c>
      <c r="S114" s="175" t="str">
        <f>IF(SUM(P114:P124)=0,"",IFERROR(P114/Q114,""))</f>
        <v/>
      </c>
      <c r="T114" s="171">
        <f t="shared" si="398"/>
        <v>0</v>
      </c>
      <c r="U114" s="159">
        <f t="shared" si="399"/>
        <v>0</v>
      </c>
      <c r="V114" s="159">
        <f t="shared" si="265"/>
        <v>0</v>
      </c>
      <c r="W114" s="175" t="str">
        <f t="shared" ref="W114" si="460">IF(SUM(T114:T124)=0,"",IFERROR(T114/U114,""))</f>
        <v/>
      </c>
      <c r="X114" s="171">
        <f t="shared" si="401"/>
        <v>0</v>
      </c>
      <c r="Y114" s="159">
        <f t="shared" si="402"/>
        <v>0</v>
      </c>
      <c r="Z114" s="159">
        <f t="shared" si="267"/>
        <v>0</v>
      </c>
      <c r="AA114" s="175" t="str">
        <f t="shared" ref="AA114" si="461">IF(SUM(X114:X124)=0,"",IFERROR(X114/Y114,""))</f>
        <v/>
      </c>
      <c r="AB114" s="171">
        <f t="shared" si="404"/>
        <v>0</v>
      </c>
      <c r="AC114" s="159">
        <f t="shared" si="405"/>
        <v>0</v>
      </c>
      <c r="AD114" s="159">
        <f t="shared" si="269"/>
        <v>0</v>
      </c>
      <c r="AE114" s="175" t="str">
        <f t="shared" ref="AE114" si="462">IF(SUM(AB114:AB124)=0,"",IFERROR(AB114/AC114,""))</f>
        <v/>
      </c>
      <c r="AF114" s="171">
        <f t="shared" si="407"/>
        <v>0</v>
      </c>
      <c r="AG114" s="159">
        <f t="shared" si="408"/>
        <v>0</v>
      </c>
      <c r="AH114" s="159">
        <f t="shared" si="271"/>
        <v>0</v>
      </c>
      <c r="AI114" s="187" t="str">
        <f t="shared" ref="AI114" si="463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18"/>
        <v>بیرجند</v>
      </c>
      <c r="B115" s="216"/>
      <c r="C115" s="167" t="str">
        <f t="shared" si="410"/>
        <v>خرداد</v>
      </c>
      <c r="D115" s="171">
        <f>SUMIFS(صادرات!$K$4:$K$500,صادرات!$J$4:$J$500,$C115,صادرات!$I$4:$I$500,$A115)+SUMIFS(صادرات!$C$4:$C$500,صادرات!$B$4:$B$500,$C115,صادرات!$A$4:$A$500,$A115)</f>
        <v>0</v>
      </c>
      <c r="E115" s="159">
        <v>0</v>
      </c>
      <c r="F115" s="159">
        <f t="shared" si="261"/>
        <v>0</v>
      </c>
      <c r="G115" s="175" t="str">
        <f>IF(SUM(D115:D124)=0,"",IFERROR(D115/E115,""))</f>
        <v/>
      </c>
      <c r="H115" s="171">
        <f>SUMIFS(صادرات!$L$4:$L$500,صادرات!$J$4:$J$500,$C115,صادرات!$I$4:$I$500,$A115)+SUMIFS(صادرات!$D$4:$D$500,صادرات!$B$4:$B$500,$C115,صادرات!$A$4:$A$500,$A115)</f>
        <v>0</v>
      </c>
      <c r="I115" s="159">
        <v>0</v>
      </c>
      <c r="J115" s="159">
        <f t="shared" si="262"/>
        <v>0</v>
      </c>
      <c r="K115" s="175" t="str">
        <f>IF(SUM(H115:H124)=0,"",IFERROR(H115/I115,""))</f>
        <v/>
      </c>
      <c r="L115" s="171">
        <f>SUMIFS(صادرات!$M$4:$M$500,صادرات!$J$4:$J$500,$C115,صادرات!$I$4:$I$500,$A115)+SUMIFS(صادرات!$E$4:$E$500,صادرات!$B$4:$B$500,$C115,صادرات!$A$4:$A$500,$A115)</f>
        <v>0</v>
      </c>
      <c r="M115" s="159">
        <v>0</v>
      </c>
      <c r="N115" s="159">
        <f t="shared" si="263"/>
        <v>0</v>
      </c>
      <c r="O115" s="175" t="str">
        <f>IF(SUM(L115:L124)=0,"",IFERROR(L115/M115,""))</f>
        <v/>
      </c>
      <c r="P115" s="171">
        <f>SUMIFS(صادرات!$N$4:$N$500,صادرات!$J$4:$J$500,$C115,صادرات!$I$4:$I$500,$A115)+SUMIFS(صادرات!$F$4:$F$500,صادرات!$B$4:$B$500,$C115,صادرات!$A$4:$A$500,$A115)</f>
        <v>0</v>
      </c>
      <c r="Q115" s="159">
        <v>0</v>
      </c>
      <c r="R115" s="159">
        <f t="shared" si="264"/>
        <v>0</v>
      </c>
      <c r="S115" s="175" t="str">
        <f>IF(SUM(P115:P124)=0,"",IFERROR(P115/Q115,""))</f>
        <v/>
      </c>
      <c r="T115" s="171">
        <f t="shared" si="398"/>
        <v>0</v>
      </c>
      <c r="U115" s="159">
        <f t="shared" si="399"/>
        <v>0</v>
      </c>
      <c r="V115" s="159">
        <f t="shared" si="265"/>
        <v>0</v>
      </c>
      <c r="W115" s="175" t="str">
        <f t="shared" ref="W115" si="464">IF(SUM(T115:T124)=0,"",IFERROR(T115/U115,""))</f>
        <v/>
      </c>
      <c r="X115" s="171">
        <f t="shared" si="401"/>
        <v>0</v>
      </c>
      <c r="Y115" s="159">
        <f t="shared" si="402"/>
        <v>0</v>
      </c>
      <c r="Z115" s="159">
        <f t="shared" si="267"/>
        <v>0</v>
      </c>
      <c r="AA115" s="175" t="str">
        <f t="shared" ref="AA115" si="465">IF(SUM(X115:X124)=0,"",IFERROR(X115/Y115,""))</f>
        <v/>
      </c>
      <c r="AB115" s="171">
        <f t="shared" si="404"/>
        <v>0</v>
      </c>
      <c r="AC115" s="159">
        <f t="shared" si="405"/>
        <v>0</v>
      </c>
      <c r="AD115" s="159">
        <f t="shared" si="269"/>
        <v>0</v>
      </c>
      <c r="AE115" s="175" t="str">
        <f t="shared" ref="AE115" si="466">IF(SUM(AB115:AB124)=0,"",IFERROR(AB115/AC115,""))</f>
        <v/>
      </c>
      <c r="AF115" s="171">
        <f t="shared" si="407"/>
        <v>0</v>
      </c>
      <c r="AG115" s="159">
        <f t="shared" si="408"/>
        <v>0</v>
      </c>
      <c r="AH115" s="159">
        <f t="shared" si="271"/>
        <v>0</v>
      </c>
      <c r="AI115" s="187" t="str">
        <f t="shared" ref="AI115" si="467">IF(SUM(AF115:AF124)=0,"",IFERROR(AF115/AG115,""))</f>
        <v/>
      </c>
      <c r="AJ115" s="157">
        <f t="shared" ref="AJ115:AJ123" si="468">AJ114+1</f>
        <v>3</v>
      </c>
    </row>
    <row r="116" spans="1:36" ht="24.95" customHeight="1" x14ac:dyDescent="0.25">
      <c r="A116" s="182" t="str">
        <f t="shared" si="318"/>
        <v>بیرجند</v>
      </c>
      <c r="B116" s="216"/>
      <c r="C116" s="167" t="str">
        <f t="shared" si="410"/>
        <v>تیر</v>
      </c>
      <c r="D116" s="171">
        <f>SUMIFS(صادرات!$K$4:$K$500,صادرات!$J$4:$J$500,$C116,صادرات!$I$4:$I$500,$A116)+SUMIFS(صادرات!$C$4:$C$500,صادرات!$B$4:$B$500,$C116,صادرات!$A$4:$A$500,$A116)</f>
        <v>0</v>
      </c>
      <c r="E116" s="159">
        <v>0</v>
      </c>
      <c r="F116" s="159">
        <f t="shared" si="261"/>
        <v>0</v>
      </c>
      <c r="G116" s="175" t="str">
        <f>IF(SUM(D116:D124)=0,"",IFERROR(D116/E116,""))</f>
        <v/>
      </c>
      <c r="H116" s="171">
        <f>SUMIFS(صادرات!$L$4:$L$500,صادرات!$J$4:$J$500,$C116,صادرات!$I$4:$I$500,$A116)+SUMIFS(صادرات!$D$4:$D$500,صادرات!$B$4:$B$500,$C116,صادرات!$A$4:$A$500,$A116)</f>
        <v>0</v>
      </c>
      <c r="I116" s="159">
        <v>0</v>
      </c>
      <c r="J116" s="159">
        <f t="shared" si="262"/>
        <v>0</v>
      </c>
      <c r="K116" s="175" t="str">
        <f>IF(SUM(H116:H124)=0,"",IFERROR(H116/I116,""))</f>
        <v/>
      </c>
      <c r="L116" s="171">
        <f>SUMIFS(صادرات!$M$4:$M$500,صادرات!$J$4:$J$500,$C116,صادرات!$I$4:$I$500,$A116)+SUMIFS(صادرات!$E$4:$E$500,صادرات!$B$4:$B$500,$C116,صادرات!$A$4:$A$500,$A116)</f>
        <v>0</v>
      </c>
      <c r="M116" s="159">
        <v>0</v>
      </c>
      <c r="N116" s="159">
        <f t="shared" si="263"/>
        <v>0</v>
      </c>
      <c r="O116" s="175" t="str">
        <f>IF(SUM(L116:L124)=0,"",IFERROR(L116/M116,""))</f>
        <v/>
      </c>
      <c r="P116" s="171">
        <f>SUMIFS(صادرات!$N$4:$N$500,صادرات!$J$4:$J$500,$C116,صادرات!$I$4:$I$500,$A116)+SUMIFS(صادرات!$F$4:$F$500,صادرات!$B$4:$B$500,$C116,صادرات!$A$4:$A$500,$A116)</f>
        <v>0</v>
      </c>
      <c r="Q116" s="159">
        <v>0</v>
      </c>
      <c r="R116" s="159">
        <f t="shared" si="264"/>
        <v>0</v>
      </c>
      <c r="S116" s="175" t="str">
        <f>IF(SUM(P116:P124)=0,"",IFERROR(P116/Q116,""))</f>
        <v/>
      </c>
      <c r="T116" s="171">
        <f t="shared" si="398"/>
        <v>0</v>
      </c>
      <c r="U116" s="159">
        <f t="shared" si="399"/>
        <v>0</v>
      </c>
      <c r="V116" s="159">
        <f t="shared" si="265"/>
        <v>0</v>
      </c>
      <c r="W116" s="175" t="str">
        <f t="shared" ref="W116" si="469">IF(SUM(T116:T124)=0,"",IFERROR(T116/U116,""))</f>
        <v/>
      </c>
      <c r="X116" s="171">
        <f t="shared" si="401"/>
        <v>0</v>
      </c>
      <c r="Y116" s="159">
        <f t="shared" si="402"/>
        <v>0</v>
      </c>
      <c r="Z116" s="159">
        <f t="shared" si="267"/>
        <v>0</v>
      </c>
      <c r="AA116" s="175" t="str">
        <f t="shared" ref="AA116" si="470">IF(SUM(X116:X124)=0,"",IFERROR(X116/Y116,""))</f>
        <v/>
      </c>
      <c r="AB116" s="171">
        <f t="shared" si="404"/>
        <v>0</v>
      </c>
      <c r="AC116" s="159">
        <f t="shared" si="405"/>
        <v>0</v>
      </c>
      <c r="AD116" s="159">
        <f t="shared" si="269"/>
        <v>0</v>
      </c>
      <c r="AE116" s="175" t="str">
        <f t="shared" ref="AE116" si="471">IF(SUM(AB116:AB124)=0,"",IFERROR(AB116/AC116,""))</f>
        <v/>
      </c>
      <c r="AF116" s="171">
        <f t="shared" si="407"/>
        <v>0</v>
      </c>
      <c r="AG116" s="159">
        <f t="shared" si="408"/>
        <v>0</v>
      </c>
      <c r="AH116" s="159">
        <f t="shared" si="271"/>
        <v>0</v>
      </c>
      <c r="AI116" s="187" t="str">
        <f t="shared" ref="AI116" si="472">IF(SUM(AF116:AF124)=0,"",IFERROR(AF116/AG116,""))</f>
        <v/>
      </c>
      <c r="AJ116" s="157">
        <f t="shared" si="468"/>
        <v>4</v>
      </c>
    </row>
    <row r="117" spans="1:36" ht="24.95" customHeight="1" x14ac:dyDescent="0.25">
      <c r="A117" s="182" t="str">
        <f t="shared" si="318"/>
        <v>بیرجند</v>
      </c>
      <c r="B117" s="216"/>
      <c r="C117" s="167" t="str">
        <f t="shared" si="410"/>
        <v>مرداد</v>
      </c>
      <c r="D117" s="171">
        <f>SUMIFS(صادرات!$K$4:$K$500,صادرات!$J$4:$J$500,$C117,صادرات!$I$4:$I$500,$A117)+SUMIFS(صادرات!$C$4:$C$500,صادرات!$B$4:$B$500,$C117,صادرات!$A$4:$A$500,$A117)</f>
        <v>0</v>
      </c>
      <c r="E117" s="159">
        <v>0</v>
      </c>
      <c r="F117" s="159">
        <f t="shared" si="261"/>
        <v>0</v>
      </c>
      <c r="G117" s="175" t="str">
        <f>IF(SUM(D117:D124)=0,"",IFERROR(D117/E117,""))</f>
        <v/>
      </c>
      <c r="H117" s="171">
        <f>SUMIFS(صادرات!$L$4:$L$500,صادرات!$J$4:$J$500,$C117,صادرات!$I$4:$I$500,$A117)+SUMIFS(صادرات!$D$4:$D$500,صادرات!$B$4:$B$500,$C117,صادرات!$A$4:$A$500,$A117)</f>
        <v>0</v>
      </c>
      <c r="I117" s="159">
        <v>0</v>
      </c>
      <c r="J117" s="159">
        <f t="shared" si="262"/>
        <v>0</v>
      </c>
      <c r="K117" s="175" t="str">
        <f>IF(SUM(H117:H124)=0,"",IFERROR(H117/I117,""))</f>
        <v/>
      </c>
      <c r="L117" s="171">
        <f>SUMIFS(صادرات!$M$4:$M$500,صادرات!$J$4:$J$500,$C117,صادرات!$I$4:$I$500,$A117)+SUMIFS(صادرات!$E$4:$E$500,صادرات!$B$4:$B$500,$C117,صادرات!$A$4:$A$500,$A117)</f>
        <v>0</v>
      </c>
      <c r="M117" s="159">
        <v>0</v>
      </c>
      <c r="N117" s="159">
        <f t="shared" si="263"/>
        <v>0</v>
      </c>
      <c r="O117" s="175" t="str">
        <f>IF(SUM(L117:L124)=0,"",IFERROR(L117/M117,""))</f>
        <v/>
      </c>
      <c r="P117" s="171">
        <f>SUMIFS(صادرات!$N$4:$N$500,صادرات!$J$4:$J$500,$C117,صادرات!$I$4:$I$500,$A117)+SUMIFS(صادرات!$F$4:$F$500,صادرات!$B$4:$B$500,$C117,صادرات!$A$4:$A$500,$A117)</f>
        <v>0</v>
      </c>
      <c r="Q117" s="159">
        <v>0</v>
      </c>
      <c r="R117" s="159">
        <f t="shared" si="264"/>
        <v>0</v>
      </c>
      <c r="S117" s="175" t="str">
        <f>IF(SUM(P117:P124)=0,"",IFERROR(P117/Q117,""))</f>
        <v/>
      </c>
      <c r="T117" s="171">
        <f t="shared" si="398"/>
        <v>0</v>
      </c>
      <c r="U117" s="159">
        <f t="shared" si="399"/>
        <v>0</v>
      </c>
      <c r="V117" s="159">
        <f t="shared" si="265"/>
        <v>0</v>
      </c>
      <c r="W117" s="175" t="str">
        <f t="shared" ref="W117" si="473">IF(SUM(T117:T124)=0,"",IFERROR(T117/U117,""))</f>
        <v/>
      </c>
      <c r="X117" s="171">
        <f t="shared" si="401"/>
        <v>0</v>
      </c>
      <c r="Y117" s="159">
        <f t="shared" si="402"/>
        <v>0</v>
      </c>
      <c r="Z117" s="159">
        <f t="shared" si="267"/>
        <v>0</v>
      </c>
      <c r="AA117" s="175" t="str">
        <f t="shared" ref="AA117" si="474">IF(SUM(X117:X124)=0,"",IFERROR(X117/Y117,""))</f>
        <v/>
      </c>
      <c r="AB117" s="171">
        <f t="shared" si="404"/>
        <v>0</v>
      </c>
      <c r="AC117" s="159">
        <f t="shared" si="405"/>
        <v>0</v>
      </c>
      <c r="AD117" s="159">
        <f t="shared" si="269"/>
        <v>0</v>
      </c>
      <c r="AE117" s="175" t="str">
        <f t="shared" ref="AE117" si="475">IF(SUM(AB117:AB124)=0,"",IFERROR(AB117/AC117,""))</f>
        <v/>
      </c>
      <c r="AF117" s="171">
        <f t="shared" si="407"/>
        <v>0</v>
      </c>
      <c r="AG117" s="159">
        <f t="shared" si="408"/>
        <v>0</v>
      </c>
      <c r="AH117" s="159">
        <f t="shared" si="271"/>
        <v>0</v>
      </c>
      <c r="AI117" s="187" t="str">
        <f t="shared" ref="AI117" si="476">IF(SUM(AF117:AF124)=0,"",IFERROR(AF117/AG117,""))</f>
        <v/>
      </c>
      <c r="AJ117" s="157">
        <f t="shared" si="468"/>
        <v>5</v>
      </c>
    </row>
    <row r="118" spans="1:36" ht="24.95" customHeight="1" x14ac:dyDescent="0.25">
      <c r="A118" s="182" t="str">
        <f t="shared" si="318"/>
        <v>بیرجند</v>
      </c>
      <c r="B118" s="216"/>
      <c r="C118" s="167" t="str">
        <f t="shared" si="410"/>
        <v>شهریور</v>
      </c>
      <c r="D118" s="171">
        <f>SUMIFS(صادرات!$K$4:$K$500,صادرات!$J$4:$J$500,$C118,صادرات!$I$4:$I$500,$A118)+SUMIFS(صادرات!$C$4:$C$500,صادرات!$B$4:$B$500,$C118,صادرات!$A$4:$A$500,$A118)</f>
        <v>0</v>
      </c>
      <c r="E118" s="159">
        <v>0</v>
      </c>
      <c r="F118" s="159">
        <f t="shared" si="261"/>
        <v>0</v>
      </c>
      <c r="G118" s="175" t="str">
        <f>IF(SUM(D118:D124)=0,"",IFERROR(D118/E118,""))</f>
        <v/>
      </c>
      <c r="H118" s="171">
        <f>SUMIFS(صادرات!$L$4:$L$500,صادرات!$J$4:$J$500,$C118,صادرات!$I$4:$I$500,$A118)+SUMIFS(صادرات!$D$4:$D$500,صادرات!$B$4:$B$500,$C118,صادرات!$A$4:$A$500,$A118)</f>
        <v>0</v>
      </c>
      <c r="I118" s="159">
        <v>0</v>
      </c>
      <c r="J118" s="159">
        <f t="shared" si="262"/>
        <v>0</v>
      </c>
      <c r="K118" s="175" t="str">
        <f>IF(SUM(H118:H124)=0,"",IFERROR(H118/I118,""))</f>
        <v/>
      </c>
      <c r="L118" s="171">
        <f>SUMIFS(صادرات!$M$4:$M$500,صادرات!$J$4:$J$500,$C118,صادرات!$I$4:$I$500,$A118)+SUMIFS(صادرات!$E$4:$E$500,صادرات!$B$4:$B$500,$C118,صادرات!$A$4:$A$500,$A118)</f>
        <v>0</v>
      </c>
      <c r="M118" s="159">
        <v>0</v>
      </c>
      <c r="N118" s="159">
        <f t="shared" si="263"/>
        <v>0</v>
      </c>
      <c r="O118" s="175" t="str">
        <f>IF(SUM(L118:L124)=0,"",IFERROR(L118/M118,""))</f>
        <v/>
      </c>
      <c r="P118" s="171">
        <f>SUMIFS(صادرات!$N$4:$N$500,صادرات!$J$4:$J$500,$C118,صادرات!$I$4:$I$500,$A118)+SUMIFS(صادرات!$F$4:$F$500,صادرات!$B$4:$B$500,$C118,صادرات!$A$4:$A$500,$A118)</f>
        <v>0</v>
      </c>
      <c r="Q118" s="159">
        <v>0</v>
      </c>
      <c r="R118" s="159">
        <f t="shared" si="264"/>
        <v>0</v>
      </c>
      <c r="S118" s="175" t="str">
        <f>IF(SUM(P118:P124)=0,"",IFERROR(P118/Q118,""))</f>
        <v/>
      </c>
      <c r="T118" s="171">
        <f t="shared" si="398"/>
        <v>0</v>
      </c>
      <c r="U118" s="159">
        <f t="shared" si="399"/>
        <v>0</v>
      </c>
      <c r="V118" s="159">
        <f t="shared" si="265"/>
        <v>0</v>
      </c>
      <c r="W118" s="175" t="str">
        <f t="shared" ref="W118" si="477">IF(SUM(T118:T124)=0,"",IFERROR(T118/U118,""))</f>
        <v/>
      </c>
      <c r="X118" s="171">
        <f t="shared" si="401"/>
        <v>0</v>
      </c>
      <c r="Y118" s="159">
        <f t="shared" si="402"/>
        <v>0</v>
      </c>
      <c r="Z118" s="159">
        <f t="shared" si="267"/>
        <v>0</v>
      </c>
      <c r="AA118" s="175" t="str">
        <f t="shared" ref="AA118" si="478">IF(SUM(X118:X124)=0,"",IFERROR(X118/Y118,""))</f>
        <v/>
      </c>
      <c r="AB118" s="171">
        <f t="shared" si="404"/>
        <v>0</v>
      </c>
      <c r="AC118" s="159">
        <f t="shared" si="405"/>
        <v>0</v>
      </c>
      <c r="AD118" s="159">
        <f t="shared" si="269"/>
        <v>0</v>
      </c>
      <c r="AE118" s="175" t="str">
        <f t="shared" ref="AE118" si="479">IF(SUM(AB118:AB124)=0,"",IFERROR(AB118/AC118,""))</f>
        <v/>
      </c>
      <c r="AF118" s="171">
        <f t="shared" si="407"/>
        <v>0</v>
      </c>
      <c r="AG118" s="159">
        <f t="shared" si="408"/>
        <v>0</v>
      </c>
      <c r="AH118" s="159">
        <f t="shared" si="271"/>
        <v>0</v>
      </c>
      <c r="AI118" s="187" t="str">
        <f t="shared" ref="AI118" si="480">IF(SUM(AF118:AF124)=0,"",IFERROR(AF118/AG118,""))</f>
        <v/>
      </c>
      <c r="AJ118" s="157">
        <f t="shared" si="468"/>
        <v>6</v>
      </c>
    </row>
    <row r="119" spans="1:36" ht="24.95" customHeight="1" x14ac:dyDescent="0.25">
      <c r="A119" s="182" t="str">
        <f t="shared" si="318"/>
        <v>بیرجند</v>
      </c>
      <c r="B119" s="216"/>
      <c r="C119" s="167" t="str">
        <f t="shared" si="410"/>
        <v>مهر</v>
      </c>
      <c r="D119" s="171">
        <f>SUMIFS(صادرات!$K$4:$K$500,صادرات!$J$4:$J$500,$C119,صادرات!$I$4:$I$500,$A119)+SUMIFS(صادرات!$C$4:$C$500,صادرات!$B$4:$B$500,$C119,صادرات!$A$4:$A$500,$A119)</f>
        <v>0</v>
      </c>
      <c r="E119" s="159">
        <v>0</v>
      </c>
      <c r="F119" s="159">
        <f t="shared" si="261"/>
        <v>0</v>
      </c>
      <c r="G119" s="175" t="str">
        <f>IF(SUM(D119:D124)=0,"",IFERROR(D119/E119,""))</f>
        <v/>
      </c>
      <c r="H119" s="171">
        <f>SUMIFS(صادرات!$L$4:$L$500,صادرات!$J$4:$J$500,$C119,صادرات!$I$4:$I$500,$A119)+SUMIFS(صادرات!$D$4:$D$500,صادرات!$B$4:$B$500,$C119,صادرات!$A$4:$A$500,$A119)</f>
        <v>0</v>
      </c>
      <c r="I119" s="159">
        <v>0</v>
      </c>
      <c r="J119" s="159">
        <f t="shared" si="262"/>
        <v>0</v>
      </c>
      <c r="K119" s="175" t="str">
        <f>IF(SUM(H119:H124)=0,"",IFERROR(H119/I119,""))</f>
        <v/>
      </c>
      <c r="L119" s="171">
        <f>SUMIFS(صادرات!$M$4:$M$500,صادرات!$J$4:$J$500,$C119,صادرات!$I$4:$I$500,$A119)+SUMIFS(صادرات!$E$4:$E$500,صادرات!$B$4:$B$500,$C119,صادرات!$A$4:$A$500,$A119)</f>
        <v>0</v>
      </c>
      <c r="M119" s="159">
        <v>0</v>
      </c>
      <c r="N119" s="159">
        <f t="shared" si="263"/>
        <v>0</v>
      </c>
      <c r="O119" s="175" t="str">
        <f>IF(SUM(L119:L124)=0,"",IFERROR(L119/M119,""))</f>
        <v/>
      </c>
      <c r="P119" s="171">
        <f>SUMIFS(صادرات!$N$4:$N$500,صادرات!$J$4:$J$500,$C119,صادرات!$I$4:$I$500,$A119)+SUMIFS(صادرات!$F$4:$F$500,صادرات!$B$4:$B$500,$C119,صادرات!$A$4:$A$500,$A119)</f>
        <v>0</v>
      </c>
      <c r="Q119" s="159">
        <v>0</v>
      </c>
      <c r="R119" s="159">
        <f t="shared" si="264"/>
        <v>0</v>
      </c>
      <c r="S119" s="175" t="str">
        <f>IF(SUM(P119:P124)=0,"",IFERROR(P119/Q119,""))</f>
        <v/>
      </c>
      <c r="T119" s="171">
        <f t="shared" si="398"/>
        <v>0</v>
      </c>
      <c r="U119" s="159">
        <f t="shared" si="399"/>
        <v>0</v>
      </c>
      <c r="V119" s="159">
        <f t="shared" si="265"/>
        <v>0</v>
      </c>
      <c r="W119" s="175" t="str">
        <f t="shared" ref="W119" si="481">IF(SUM(T119:T124)=0,"",IFERROR(T119/U119,""))</f>
        <v/>
      </c>
      <c r="X119" s="171">
        <f t="shared" si="401"/>
        <v>0</v>
      </c>
      <c r="Y119" s="159">
        <f t="shared" si="402"/>
        <v>0</v>
      </c>
      <c r="Z119" s="159">
        <f t="shared" si="267"/>
        <v>0</v>
      </c>
      <c r="AA119" s="175" t="str">
        <f t="shared" ref="AA119" si="482">IF(SUM(X119:X124)=0,"",IFERROR(X119/Y119,""))</f>
        <v/>
      </c>
      <c r="AB119" s="171">
        <f t="shared" si="404"/>
        <v>0</v>
      </c>
      <c r="AC119" s="159">
        <f t="shared" si="405"/>
        <v>0</v>
      </c>
      <c r="AD119" s="159">
        <f t="shared" si="269"/>
        <v>0</v>
      </c>
      <c r="AE119" s="175" t="str">
        <f t="shared" ref="AE119" si="483">IF(SUM(AB119:AB124)=0,"",IFERROR(AB119/AC119,""))</f>
        <v/>
      </c>
      <c r="AF119" s="171">
        <f t="shared" si="407"/>
        <v>0</v>
      </c>
      <c r="AG119" s="159">
        <f t="shared" si="408"/>
        <v>0</v>
      </c>
      <c r="AH119" s="159">
        <f t="shared" si="271"/>
        <v>0</v>
      </c>
      <c r="AI119" s="187" t="str">
        <f t="shared" ref="AI119" si="484">IF(SUM(AF119:AF124)=0,"",IFERROR(AF119/AG119,""))</f>
        <v/>
      </c>
      <c r="AJ119" s="157">
        <f t="shared" si="468"/>
        <v>7</v>
      </c>
    </row>
    <row r="120" spans="1:36" ht="24.95" customHeight="1" x14ac:dyDescent="0.25">
      <c r="A120" s="182" t="str">
        <f t="shared" si="318"/>
        <v>بیرجند</v>
      </c>
      <c r="B120" s="216"/>
      <c r="C120" s="167" t="str">
        <f t="shared" si="410"/>
        <v>آبان</v>
      </c>
      <c r="D120" s="171">
        <f>SUMIFS(صادرات!$K$4:$K$500,صادرات!$J$4:$J$500,$C120,صادرات!$I$4:$I$500,$A120)+SUMIFS(صادرات!$C$4:$C$500,صادرات!$B$4:$B$500,$C120,صادرات!$A$4:$A$500,$A120)</f>
        <v>0</v>
      </c>
      <c r="E120" s="159">
        <v>0</v>
      </c>
      <c r="F120" s="159">
        <f t="shared" si="261"/>
        <v>0</v>
      </c>
      <c r="G120" s="175" t="str">
        <f>IF(SUM(D120:D124)=0,"",IFERROR(D120/E120,""))</f>
        <v/>
      </c>
      <c r="H120" s="171">
        <f>SUMIFS(صادرات!$L$4:$L$500,صادرات!$J$4:$J$500,$C120,صادرات!$I$4:$I$500,$A120)+SUMIFS(صادرات!$D$4:$D$500,صادرات!$B$4:$B$500,$C120,صادرات!$A$4:$A$500,$A120)</f>
        <v>0</v>
      </c>
      <c r="I120" s="159">
        <v>0</v>
      </c>
      <c r="J120" s="159">
        <f t="shared" si="262"/>
        <v>0</v>
      </c>
      <c r="K120" s="175" t="str">
        <f>IF(SUM(H120:H124)=0,"",IFERROR(H120/I120,""))</f>
        <v/>
      </c>
      <c r="L120" s="171">
        <f>SUMIFS(صادرات!$M$4:$M$500,صادرات!$J$4:$J$500,$C120,صادرات!$I$4:$I$500,$A120)+SUMIFS(صادرات!$E$4:$E$500,صادرات!$B$4:$B$500,$C120,صادرات!$A$4:$A$500,$A120)</f>
        <v>0</v>
      </c>
      <c r="M120" s="159">
        <v>0</v>
      </c>
      <c r="N120" s="159">
        <f t="shared" si="263"/>
        <v>0</v>
      </c>
      <c r="O120" s="175" t="str">
        <f>IF(SUM(L120:L124)=0,"",IFERROR(L120/M120,""))</f>
        <v/>
      </c>
      <c r="P120" s="171">
        <f>SUMIFS(صادرات!$N$4:$N$500,صادرات!$J$4:$J$500,$C120,صادرات!$I$4:$I$500,$A120)+SUMIFS(صادرات!$F$4:$F$500,صادرات!$B$4:$B$500,$C120,صادرات!$A$4:$A$500,$A120)</f>
        <v>0</v>
      </c>
      <c r="Q120" s="159">
        <v>0</v>
      </c>
      <c r="R120" s="159">
        <f t="shared" si="264"/>
        <v>0</v>
      </c>
      <c r="S120" s="175" t="str">
        <f>IF(SUM(P120:P124)=0,"",IFERROR(P120/Q120,""))</f>
        <v/>
      </c>
      <c r="T120" s="171">
        <f t="shared" si="398"/>
        <v>0</v>
      </c>
      <c r="U120" s="159">
        <f t="shared" si="399"/>
        <v>0</v>
      </c>
      <c r="V120" s="159">
        <f t="shared" si="265"/>
        <v>0</v>
      </c>
      <c r="W120" s="175" t="str">
        <f t="shared" ref="W120" si="485">IF(SUM(T120:T124)=0,"",IFERROR(T120/U120,""))</f>
        <v/>
      </c>
      <c r="X120" s="171">
        <f t="shared" si="401"/>
        <v>0</v>
      </c>
      <c r="Y120" s="159">
        <f t="shared" si="402"/>
        <v>0</v>
      </c>
      <c r="Z120" s="159">
        <f t="shared" si="267"/>
        <v>0</v>
      </c>
      <c r="AA120" s="175" t="str">
        <f t="shared" ref="AA120" si="486">IF(SUM(X120:X124)=0,"",IFERROR(X120/Y120,""))</f>
        <v/>
      </c>
      <c r="AB120" s="171">
        <f t="shared" si="404"/>
        <v>0</v>
      </c>
      <c r="AC120" s="159">
        <f t="shared" si="405"/>
        <v>0</v>
      </c>
      <c r="AD120" s="159">
        <f t="shared" si="269"/>
        <v>0</v>
      </c>
      <c r="AE120" s="175" t="str">
        <f t="shared" ref="AE120" si="487">IF(SUM(AB120:AB124)=0,"",IFERROR(AB120/AC120,""))</f>
        <v/>
      </c>
      <c r="AF120" s="171">
        <f t="shared" si="407"/>
        <v>0</v>
      </c>
      <c r="AG120" s="159">
        <f t="shared" si="408"/>
        <v>0</v>
      </c>
      <c r="AH120" s="159">
        <f t="shared" si="271"/>
        <v>0</v>
      </c>
      <c r="AI120" s="187" t="str">
        <f t="shared" ref="AI120" si="488">IF(SUM(AF120:AF124)=0,"",IFERROR(AF120/AG120,""))</f>
        <v/>
      </c>
      <c r="AJ120" s="157">
        <f t="shared" si="468"/>
        <v>8</v>
      </c>
    </row>
    <row r="121" spans="1:36" ht="24.95" customHeight="1" x14ac:dyDescent="0.25">
      <c r="A121" s="182" t="str">
        <f t="shared" si="318"/>
        <v>بیرجند</v>
      </c>
      <c r="B121" s="216"/>
      <c r="C121" s="167" t="str">
        <f t="shared" si="410"/>
        <v>آذر</v>
      </c>
      <c r="D121" s="171">
        <f>SUMIFS(صادرات!$K$4:$K$500,صادرات!$J$4:$J$500,$C121,صادرات!$I$4:$I$500,$A121)+SUMIFS(صادرات!$C$4:$C$500,صادرات!$B$4:$B$500,$C121,صادرات!$A$4:$A$500,$A121)</f>
        <v>93</v>
      </c>
      <c r="E121" s="159">
        <v>0</v>
      </c>
      <c r="F121" s="159">
        <f t="shared" si="261"/>
        <v>93</v>
      </c>
      <c r="G121" s="175" t="str">
        <f>IF(SUM(D121:D124)=0,"",IFERROR(D121/E121,""))</f>
        <v/>
      </c>
      <c r="H121" s="171">
        <f>SUMIFS(صادرات!$L$4:$L$500,صادرات!$J$4:$J$500,$C121,صادرات!$I$4:$I$500,$A121)+SUMIFS(صادرات!$D$4:$D$500,صادرات!$B$4:$B$500,$C121,صادرات!$A$4:$A$500,$A121)</f>
        <v>81</v>
      </c>
      <c r="I121" s="159">
        <v>0</v>
      </c>
      <c r="J121" s="159">
        <f t="shared" si="262"/>
        <v>81</v>
      </c>
      <c r="K121" s="175" t="str">
        <f>IF(SUM(H121:H124)=0,"",IFERROR(H121/I121,""))</f>
        <v/>
      </c>
      <c r="L121" s="171">
        <f>SUMIFS(صادرات!$M$4:$M$500,صادرات!$J$4:$J$500,$C121,صادرات!$I$4:$I$500,$A121)+SUMIFS(صادرات!$E$4:$E$500,صادرات!$B$4:$B$500,$C121,صادرات!$A$4:$A$500,$A121)</f>
        <v>0</v>
      </c>
      <c r="M121" s="159">
        <v>0</v>
      </c>
      <c r="N121" s="159">
        <f t="shared" si="263"/>
        <v>0</v>
      </c>
      <c r="O121" s="175" t="str">
        <f>IF(SUM(L121:L124)=0,"",IFERROR(L121/M121,""))</f>
        <v/>
      </c>
      <c r="P121" s="171">
        <f>SUMIFS(صادرات!$N$4:$N$500,صادرات!$J$4:$J$500,$C121,صادرات!$I$4:$I$500,$A121)+SUMIFS(صادرات!$F$4:$F$500,صادرات!$B$4:$B$500,$C121,صادرات!$A$4:$A$500,$A121)</f>
        <v>0</v>
      </c>
      <c r="Q121" s="159">
        <v>0</v>
      </c>
      <c r="R121" s="159">
        <f t="shared" si="264"/>
        <v>0</v>
      </c>
      <c r="S121" s="175" t="str">
        <f>IF(SUM(P121:P124)=0,"",IFERROR(P121/Q121,""))</f>
        <v/>
      </c>
      <c r="T121" s="171">
        <f t="shared" si="398"/>
        <v>93</v>
      </c>
      <c r="U121" s="159">
        <f t="shared" si="399"/>
        <v>0</v>
      </c>
      <c r="V121" s="159">
        <f t="shared" si="265"/>
        <v>93</v>
      </c>
      <c r="W121" s="175" t="str">
        <f t="shared" ref="W121" si="489">IF(SUM(T121:T124)=0,"",IFERROR(T121/U121,""))</f>
        <v/>
      </c>
      <c r="X121" s="171">
        <f t="shared" si="401"/>
        <v>81</v>
      </c>
      <c r="Y121" s="159">
        <f t="shared" si="402"/>
        <v>0</v>
      </c>
      <c r="Z121" s="159">
        <f t="shared" si="267"/>
        <v>81</v>
      </c>
      <c r="AA121" s="175" t="str">
        <f t="shared" ref="AA121" si="490">IF(SUM(X121:X124)=0,"",IFERROR(X121/Y121,""))</f>
        <v/>
      </c>
      <c r="AB121" s="171">
        <f t="shared" si="404"/>
        <v>0</v>
      </c>
      <c r="AC121" s="159">
        <f t="shared" si="405"/>
        <v>0</v>
      </c>
      <c r="AD121" s="159">
        <f t="shared" si="269"/>
        <v>0</v>
      </c>
      <c r="AE121" s="175" t="str">
        <f t="shared" ref="AE121" si="491">IF(SUM(AB121:AB124)=0,"",IFERROR(AB121/AC121,""))</f>
        <v/>
      </c>
      <c r="AF121" s="171">
        <f t="shared" si="407"/>
        <v>0</v>
      </c>
      <c r="AG121" s="159">
        <f t="shared" si="408"/>
        <v>0</v>
      </c>
      <c r="AH121" s="159">
        <f t="shared" si="271"/>
        <v>0</v>
      </c>
      <c r="AI121" s="187" t="str">
        <f t="shared" ref="AI121" si="492">IF(SUM(AF121:AF124)=0,"",IFERROR(AF121/AG121,""))</f>
        <v/>
      </c>
      <c r="AJ121" s="157">
        <f t="shared" si="468"/>
        <v>9</v>
      </c>
    </row>
    <row r="122" spans="1:36" ht="24.95" customHeight="1" x14ac:dyDescent="0.25">
      <c r="A122" s="182" t="str">
        <f t="shared" si="318"/>
        <v>بیرجند</v>
      </c>
      <c r="B122" s="216"/>
      <c r="C122" s="167" t="str">
        <f t="shared" si="410"/>
        <v>دی</v>
      </c>
      <c r="D122" s="171">
        <f>SUMIFS(صادرات!$K$4:$K$500,صادرات!$J$4:$J$500,$C122,صادرات!$I$4:$I$500,$A122)+SUMIFS(صادرات!$C$4:$C$500,صادرات!$B$4:$B$500,$C122,صادرات!$A$4:$A$500,$A122)</f>
        <v>0</v>
      </c>
      <c r="E122" s="159">
        <v>0</v>
      </c>
      <c r="F122" s="159">
        <f t="shared" si="261"/>
        <v>0</v>
      </c>
      <c r="G122" s="175" t="str">
        <f>IF(SUM(D122:D124)=0,"",IFERROR(D122/E122,""))</f>
        <v/>
      </c>
      <c r="H122" s="171">
        <f>SUMIFS(صادرات!$L$4:$L$500,صادرات!$J$4:$J$500,$C122,صادرات!$I$4:$I$500,$A122)+SUMIFS(صادرات!$D$4:$D$500,صادرات!$B$4:$B$500,$C122,صادرات!$A$4:$A$500,$A122)</f>
        <v>0</v>
      </c>
      <c r="I122" s="159">
        <v>0</v>
      </c>
      <c r="J122" s="159">
        <f t="shared" si="262"/>
        <v>0</v>
      </c>
      <c r="K122" s="175" t="str">
        <f>IF(SUM(H122:H124)=0,"",IFERROR(H122/I122,""))</f>
        <v/>
      </c>
      <c r="L122" s="171">
        <f>SUMIFS(صادرات!$M$4:$M$500,صادرات!$J$4:$J$500,$C122,صادرات!$I$4:$I$500,$A122)+SUMIFS(صادرات!$E$4:$E$500,صادرات!$B$4:$B$500,$C122,صادرات!$A$4:$A$500,$A122)</f>
        <v>0</v>
      </c>
      <c r="M122" s="159">
        <v>0</v>
      </c>
      <c r="N122" s="159">
        <f t="shared" si="263"/>
        <v>0</v>
      </c>
      <c r="O122" s="175" t="str">
        <f>IF(SUM(L122:L124)=0,"",IFERROR(L122/M122,""))</f>
        <v/>
      </c>
      <c r="P122" s="171">
        <f>SUMIFS(صادرات!$N$4:$N$500,صادرات!$J$4:$J$500,$C122,صادرات!$I$4:$I$500,$A122)+SUMIFS(صادرات!$F$4:$F$500,صادرات!$B$4:$B$500,$C122,صادرات!$A$4:$A$500,$A122)</f>
        <v>0</v>
      </c>
      <c r="Q122" s="159">
        <v>0</v>
      </c>
      <c r="R122" s="159">
        <f t="shared" si="264"/>
        <v>0</v>
      </c>
      <c r="S122" s="175" t="str">
        <f>IF(SUM(P122:P124)=0,"",IFERROR(P122/Q122,""))</f>
        <v/>
      </c>
      <c r="T122" s="171">
        <f t="shared" si="398"/>
        <v>93</v>
      </c>
      <c r="U122" s="159">
        <f t="shared" si="399"/>
        <v>0</v>
      </c>
      <c r="V122" s="159">
        <f t="shared" si="265"/>
        <v>93</v>
      </c>
      <c r="W122" s="175" t="str">
        <f t="shared" ref="W122" si="493">IF(SUM(T122:T124)=0,"",IFERROR(T122/U122,""))</f>
        <v/>
      </c>
      <c r="X122" s="171">
        <f t="shared" si="401"/>
        <v>81</v>
      </c>
      <c r="Y122" s="159">
        <f t="shared" si="402"/>
        <v>0</v>
      </c>
      <c r="Z122" s="159">
        <f t="shared" si="267"/>
        <v>81</v>
      </c>
      <c r="AA122" s="175" t="str">
        <f t="shared" ref="AA122" si="494">IF(SUM(X122:X124)=0,"",IFERROR(X122/Y122,""))</f>
        <v/>
      </c>
      <c r="AB122" s="171">
        <f t="shared" si="404"/>
        <v>0</v>
      </c>
      <c r="AC122" s="159">
        <f t="shared" si="405"/>
        <v>0</v>
      </c>
      <c r="AD122" s="159">
        <f t="shared" si="269"/>
        <v>0</v>
      </c>
      <c r="AE122" s="175" t="str">
        <f t="shared" ref="AE122" si="495">IF(SUM(AB122:AB124)=0,"",IFERROR(AB122/AC122,""))</f>
        <v/>
      </c>
      <c r="AF122" s="171">
        <f t="shared" si="407"/>
        <v>0</v>
      </c>
      <c r="AG122" s="159">
        <f t="shared" si="408"/>
        <v>0</v>
      </c>
      <c r="AH122" s="159">
        <f t="shared" si="271"/>
        <v>0</v>
      </c>
      <c r="AI122" s="187" t="str">
        <f t="shared" ref="AI122" si="496">IF(SUM(AF122:AF124)=0,"",IFERROR(AF122/AG122,""))</f>
        <v/>
      </c>
      <c r="AJ122" s="157">
        <f t="shared" si="468"/>
        <v>10</v>
      </c>
    </row>
    <row r="123" spans="1:36" ht="24.95" customHeight="1" x14ac:dyDescent="0.25">
      <c r="A123" s="182" t="str">
        <f t="shared" si="318"/>
        <v>بیرجند</v>
      </c>
      <c r="B123" s="216"/>
      <c r="C123" s="167" t="str">
        <f t="shared" si="410"/>
        <v>بهمن</v>
      </c>
      <c r="D123" s="171">
        <f>SUMIFS(صادرات!$K$4:$K$500,صادرات!$J$4:$J$500,$C123,صادرات!$I$4:$I$500,$A123)+SUMIFS(صادرات!$C$4:$C$500,صادرات!$B$4:$B$500,$C123,صادرات!$A$4:$A$500,$A123)</f>
        <v>0</v>
      </c>
      <c r="E123" s="159">
        <v>0</v>
      </c>
      <c r="F123" s="159">
        <f t="shared" si="261"/>
        <v>0</v>
      </c>
      <c r="G123" s="175" t="str">
        <f>IF(SUM(D123:D124)=0,"",IFERROR(D123/E123,""))</f>
        <v/>
      </c>
      <c r="H123" s="171">
        <f>SUMIFS(صادرات!$L$4:$L$500,صادرات!$J$4:$J$500,$C123,صادرات!$I$4:$I$500,$A123)+SUMIFS(صادرات!$D$4:$D$500,صادرات!$B$4:$B$500,$C123,صادرات!$A$4:$A$500,$A123)</f>
        <v>0</v>
      </c>
      <c r="I123" s="159">
        <v>0</v>
      </c>
      <c r="J123" s="159">
        <f t="shared" si="262"/>
        <v>0</v>
      </c>
      <c r="K123" s="175" t="str">
        <f>IF(SUM(H123:H124)=0,"",IFERROR(H123/I123,""))</f>
        <v/>
      </c>
      <c r="L123" s="171">
        <f>SUMIFS(صادرات!$M$4:$M$500,صادرات!$J$4:$J$500,$C123,صادرات!$I$4:$I$500,$A123)+SUMIFS(صادرات!$E$4:$E$500,صادرات!$B$4:$B$500,$C123,صادرات!$A$4:$A$500,$A123)</f>
        <v>0</v>
      </c>
      <c r="M123" s="159">
        <v>0</v>
      </c>
      <c r="N123" s="159">
        <f t="shared" si="263"/>
        <v>0</v>
      </c>
      <c r="O123" s="175" t="str">
        <f>IF(SUM(L123:L124)=0,"",IFERROR(L123/M123,""))</f>
        <v/>
      </c>
      <c r="P123" s="171">
        <f>SUMIFS(صادرات!$N$4:$N$500,صادرات!$J$4:$J$500,$C123,صادرات!$I$4:$I$500,$A123)+SUMIFS(صادرات!$F$4:$F$500,صادرات!$B$4:$B$500,$C123,صادرات!$A$4:$A$500,$A123)</f>
        <v>0</v>
      </c>
      <c r="Q123" s="159">
        <v>0</v>
      </c>
      <c r="R123" s="159">
        <f t="shared" si="264"/>
        <v>0</v>
      </c>
      <c r="S123" s="175" t="str">
        <f>IF(SUM(P123:P124)=0,"",IFERROR(P123/Q123,""))</f>
        <v/>
      </c>
      <c r="T123" s="171">
        <f t="shared" si="398"/>
        <v>93</v>
      </c>
      <c r="U123" s="159">
        <f t="shared" si="399"/>
        <v>0</v>
      </c>
      <c r="V123" s="159">
        <f t="shared" si="265"/>
        <v>93</v>
      </c>
      <c r="W123" s="175" t="str">
        <f t="shared" ref="W123" si="497">IF(SUM(T123:T124)=0,"",IFERROR(T123/U123,""))</f>
        <v/>
      </c>
      <c r="X123" s="171">
        <f t="shared" si="401"/>
        <v>81</v>
      </c>
      <c r="Y123" s="159">
        <f t="shared" si="402"/>
        <v>0</v>
      </c>
      <c r="Z123" s="159">
        <f t="shared" si="267"/>
        <v>81</v>
      </c>
      <c r="AA123" s="175" t="str">
        <f t="shared" ref="AA123" si="498">IF(SUM(X123:X124)=0,"",IFERROR(X123/Y123,""))</f>
        <v/>
      </c>
      <c r="AB123" s="171">
        <f t="shared" si="404"/>
        <v>0</v>
      </c>
      <c r="AC123" s="159">
        <f t="shared" si="405"/>
        <v>0</v>
      </c>
      <c r="AD123" s="159">
        <f t="shared" si="269"/>
        <v>0</v>
      </c>
      <c r="AE123" s="175" t="str">
        <f t="shared" ref="AE123" si="499">IF(SUM(AB123:AB124)=0,"",IFERROR(AB123/AC123,""))</f>
        <v/>
      </c>
      <c r="AF123" s="171">
        <f t="shared" si="407"/>
        <v>0</v>
      </c>
      <c r="AG123" s="159">
        <f t="shared" si="408"/>
        <v>0</v>
      </c>
      <c r="AH123" s="159">
        <f t="shared" si="271"/>
        <v>0</v>
      </c>
      <c r="AI123" s="187" t="str">
        <f t="shared" ref="AI123" si="500">IF(SUM(AF123:AF124)=0,"",IFERROR(AF123/AG123,""))</f>
        <v/>
      </c>
      <c r="AJ123" s="157">
        <f t="shared" si="468"/>
        <v>11</v>
      </c>
    </row>
    <row r="124" spans="1:36" ht="24.95" customHeight="1" thickBot="1" x14ac:dyDescent="0.3">
      <c r="A124" s="182" t="str">
        <f t="shared" si="318"/>
        <v>بیرجند</v>
      </c>
      <c r="B124" s="217"/>
      <c r="C124" s="168" t="str">
        <f t="shared" si="410"/>
        <v>اسفند</v>
      </c>
      <c r="D124" s="172">
        <f>SUMIFS(صادرات!$K$4:$K$500,صادرات!$J$4:$J$500,$C124,صادرات!$I$4:$I$500,$A124)+SUMIFS(صادرات!$C$4:$C$500,صادرات!$B$4:$B$500,$C124,صادرات!$A$4:$A$500,$A124)</f>
        <v>0</v>
      </c>
      <c r="E124" s="173">
        <v>0</v>
      </c>
      <c r="F124" s="173">
        <f t="shared" si="261"/>
        <v>0</v>
      </c>
      <c r="G124" s="176" t="str">
        <f>IF(SUM(D124)=0,"",IFERROR(D124/E124,""))</f>
        <v/>
      </c>
      <c r="H124" s="172">
        <f>SUMIFS(صادرات!$L$4:$L$500,صادرات!$J$4:$J$500,$C124,صادرات!$I$4:$I$500,$A124)+SUMIFS(صادرات!$D$4:$D$500,صادرات!$B$4:$B$500,$C124,صادرات!$A$4:$A$500,$A124)</f>
        <v>0</v>
      </c>
      <c r="I124" s="173">
        <v>0</v>
      </c>
      <c r="J124" s="173">
        <f t="shared" si="262"/>
        <v>0</v>
      </c>
      <c r="K124" s="176" t="str">
        <f>IF(SUM(H124)=0,"",IFERROR(H124/I124,""))</f>
        <v/>
      </c>
      <c r="L124" s="172">
        <f>SUMIFS(صادرات!$M$4:$M$500,صادرات!$J$4:$J$500,$C124,صادرات!$I$4:$I$500,$A124)+SUMIFS(صادرات!$E$4:$E$500,صادرات!$B$4:$B$500,$C124,صادرات!$A$4:$A$500,$A124)</f>
        <v>0</v>
      </c>
      <c r="M124" s="173">
        <v>0</v>
      </c>
      <c r="N124" s="173">
        <f t="shared" si="263"/>
        <v>0</v>
      </c>
      <c r="O124" s="176" t="str">
        <f>IF(SUM(L124)=0,"",IFERROR(L124/M124,""))</f>
        <v/>
      </c>
      <c r="P124" s="172">
        <f>SUMIFS(صادرات!$N$4:$N$500,صادرات!$J$4:$J$500,$C124,صادرات!$I$4:$I$500,$A124)+SUMIFS(صادرات!$F$4:$F$500,صادرات!$B$4:$B$500,$C124,صادرات!$A$4:$A$500,$A124)</f>
        <v>0</v>
      </c>
      <c r="Q124" s="173">
        <v>0</v>
      </c>
      <c r="R124" s="173">
        <f t="shared" si="264"/>
        <v>0</v>
      </c>
      <c r="S124" s="176" t="str">
        <f>IF(SUM(P124)=0,"",IFERROR(P124/Q124,""))</f>
        <v/>
      </c>
      <c r="T124" s="172">
        <f t="shared" si="398"/>
        <v>93</v>
      </c>
      <c r="U124" s="173">
        <f t="shared" si="399"/>
        <v>0</v>
      </c>
      <c r="V124" s="173">
        <f t="shared" si="265"/>
        <v>93</v>
      </c>
      <c r="W124" s="176" t="str">
        <f t="shared" ref="W124" si="501">IF(SUM(T124)=0,"",IFERROR(T124/U124,""))</f>
        <v/>
      </c>
      <c r="X124" s="172">
        <f t="shared" si="401"/>
        <v>81</v>
      </c>
      <c r="Y124" s="173">
        <f t="shared" si="402"/>
        <v>0</v>
      </c>
      <c r="Z124" s="173">
        <f t="shared" si="267"/>
        <v>81</v>
      </c>
      <c r="AA124" s="176" t="str">
        <f t="shared" ref="AA124" si="502">IF(SUM(X124)=0,"",IFERROR(X124/Y124,""))</f>
        <v/>
      </c>
      <c r="AB124" s="172">
        <f t="shared" si="404"/>
        <v>0</v>
      </c>
      <c r="AC124" s="173">
        <f t="shared" si="405"/>
        <v>0</v>
      </c>
      <c r="AD124" s="173">
        <f t="shared" si="269"/>
        <v>0</v>
      </c>
      <c r="AE124" s="176" t="str">
        <f t="shared" ref="AE124" si="503">IF(SUM(AB124)=0,"",IFERROR(AB124/AC124,""))</f>
        <v/>
      </c>
      <c r="AF124" s="172">
        <f t="shared" si="407"/>
        <v>0</v>
      </c>
      <c r="AG124" s="173">
        <f t="shared" si="408"/>
        <v>0</v>
      </c>
      <c r="AH124" s="173">
        <f t="shared" si="271"/>
        <v>0</v>
      </c>
      <c r="AI124" s="188" t="str">
        <f t="shared" ref="AI124" si="504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18"/>
        <v>ماهیرود</v>
      </c>
      <c r="B125" s="215" t="str">
        <f>واردات!B82</f>
        <v>ماهیرود</v>
      </c>
      <c r="C125" s="166" t="str">
        <f>C113</f>
        <v>فروردین</v>
      </c>
      <c r="D125" s="170">
        <f>SUMIFS(صادرات!$K$4:$K$500,صادرات!$J$4:$J$500,$C125,صادرات!$I$4:$I$500,$A125)+SUMIFS(صادرات!$C$4:$C$500,صادرات!$B$4:$B$500,$C125,صادرات!$A$4:$A$500,$A125)</f>
        <v>710</v>
      </c>
      <c r="E125" s="160">
        <v>158.1929540520984</v>
      </c>
      <c r="F125" s="160">
        <f t="shared" si="261"/>
        <v>551.80704594790154</v>
      </c>
      <c r="G125" s="185">
        <f>IF(SUM(D125:D136)=0,"",IFERROR(D125/E125,""))</f>
        <v>4.4881897822463852</v>
      </c>
      <c r="H125" s="170">
        <f>SUMIFS(صادرات!$L$4:$L$500,صادرات!$J$4:$J$500,$C125,صادرات!$I$4:$I$500,$A125)+SUMIFS(صادرات!$D$4:$D$500,صادرات!$B$4:$B$500,$C125,صادرات!$A$4:$A$500,$A125)</f>
        <v>482</v>
      </c>
      <c r="I125" s="160">
        <v>222.08491952414275</v>
      </c>
      <c r="J125" s="160">
        <f t="shared" si="262"/>
        <v>259.91508047585728</v>
      </c>
      <c r="K125" s="185">
        <f>IF(SUM(H125:H136)=0,"",IFERROR(H125/I125,""))</f>
        <v>2.1703409715201398</v>
      </c>
      <c r="L125" s="170">
        <f>SUMIFS(صادرات!$M$4:$M$500,صادرات!$J$4:$J$500,$C125,صادرات!$I$4:$I$500,$A125)+SUMIFS(صادرات!$E$4:$E$500,صادرات!$B$4:$B$500,$C125,صادرات!$A$4:$A$500,$A125)</f>
        <v>0</v>
      </c>
      <c r="M125" s="160">
        <v>0</v>
      </c>
      <c r="N125" s="160">
        <f t="shared" si="263"/>
        <v>0</v>
      </c>
      <c r="O125" s="185" t="str">
        <f>IF(SUM(L125:L136)=0,"",IFERROR(L125/M125,""))</f>
        <v/>
      </c>
      <c r="P125" s="170">
        <f>SUMIFS(صادرات!$N$4:$N$500,صادرات!$J$4:$J$500,$C125,صادرات!$I$4:$I$500,$A125)+SUMIFS(صادرات!$F$4:$F$500,صادرات!$B$4:$B$500,$C125,صادرات!$A$4:$A$500,$A125)</f>
        <v>0</v>
      </c>
      <c r="Q125" s="160">
        <v>0</v>
      </c>
      <c r="R125" s="160">
        <f t="shared" si="264"/>
        <v>0</v>
      </c>
      <c r="S125" s="185" t="str">
        <f>IF(SUM(P125:P136)=0,"",IFERROR(P125/Q125,""))</f>
        <v/>
      </c>
      <c r="T125" s="183">
        <f t="shared" si="398"/>
        <v>710</v>
      </c>
      <c r="U125" s="160">
        <f t="shared" si="399"/>
        <v>158.1929540520984</v>
      </c>
      <c r="V125" s="160">
        <f t="shared" si="265"/>
        <v>551.80704594790154</v>
      </c>
      <c r="W125" s="185">
        <f t="shared" ref="W125" si="505">IF(SUM(T125:T136)=0,"",IFERROR(T125/U125,""))</f>
        <v>4.4881897822463852</v>
      </c>
      <c r="X125" s="183">
        <f t="shared" si="401"/>
        <v>482</v>
      </c>
      <c r="Y125" s="160">
        <f t="shared" si="402"/>
        <v>222.08491952414275</v>
      </c>
      <c r="Z125" s="160">
        <f t="shared" si="267"/>
        <v>259.91508047585728</v>
      </c>
      <c r="AA125" s="185">
        <f t="shared" ref="AA125" si="506">IF(SUM(X125:X136)=0,"",IFERROR(X125/Y125,""))</f>
        <v>2.1703409715201398</v>
      </c>
      <c r="AB125" s="183">
        <f t="shared" si="404"/>
        <v>0</v>
      </c>
      <c r="AC125" s="160">
        <f t="shared" si="405"/>
        <v>0</v>
      </c>
      <c r="AD125" s="160">
        <f t="shared" si="269"/>
        <v>0</v>
      </c>
      <c r="AE125" s="185" t="str">
        <f t="shared" ref="AE125" si="507">IF(SUM(AB125:AB136)=0,"",IFERROR(AB125/AC125,""))</f>
        <v/>
      </c>
      <c r="AF125" s="183">
        <f t="shared" si="407"/>
        <v>0</v>
      </c>
      <c r="AG125" s="160">
        <f t="shared" si="408"/>
        <v>0</v>
      </c>
      <c r="AH125" s="160">
        <f t="shared" si="271"/>
        <v>0</v>
      </c>
      <c r="AI125" s="186" t="str">
        <f t="shared" ref="AI125" si="508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18"/>
        <v>ماهیرود</v>
      </c>
      <c r="B126" s="216"/>
      <c r="C126" s="167" t="str">
        <f t="shared" si="410"/>
        <v>اردیبهشت</v>
      </c>
      <c r="D126" s="171">
        <f>SUMIFS(صادرات!$K$4:$K$500,صادرات!$J$4:$J$500,$C126,صادرات!$I$4:$I$500,$A126)+SUMIFS(صادرات!$C$4:$C$500,صادرات!$B$4:$B$500,$C126,صادرات!$A$4:$A$500,$A126)</f>
        <v>47</v>
      </c>
      <c r="E126" s="159">
        <v>158.1929540520984</v>
      </c>
      <c r="F126" s="159">
        <f t="shared" si="261"/>
        <v>-111.1929540520984</v>
      </c>
      <c r="G126" s="175">
        <f>IF(SUM(D126:D136)=0,"",IFERROR(D126/E126,""))</f>
        <v>0.29710552079659175</v>
      </c>
      <c r="H126" s="171">
        <f>SUMIFS(صادرات!$L$4:$L$500,صادرات!$J$4:$J$500,$C126,صادرات!$I$4:$I$500,$A126)+SUMIFS(صادرات!$D$4:$D$500,صادرات!$B$4:$B$500,$C126,صادرات!$A$4:$A$500,$A126)</f>
        <v>310</v>
      </c>
      <c r="I126" s="159">
        <v>222.08491952414275</v>
      </c>
      <c r="J126" s="159">
        <f t="shared" si="262"/>
        <v>87.915080475857252</v>
      </c>
      <c r="K126" s="175">
        <f>IF(SUM(H126:H136)=0,"",IFERROR(H126/I126,""))</f>
        <v>1.3958624505627455</v>
      </c>
      <c r="L126" s="171">
        <f>SUMIFS(صادرات!$M$4:$M$500,صادرات!$J$4:$J$500,$C126,صادرات!$I$4:$I$500,$A126)+SUMIFS(صادرات!$E$4:$E$500,صادرات!$B$4:$B$500,$C126,صادرات!$A$4:$A$500,$A126)</f>
        <v>0</v>
      </c>
      <c r="M126" s="159">
        <v>0</v>
      </c>
      <c r="N126" s="159">
        <f t="shared" si="263"/>
        <v>0</v>
      </c>
      <c r="O126" s="175" t="str">
        <f>IF(SUM(L126:L136)=0,"",IFERROR(L126/M126,""))</f>
        <v/>
      </c>
      <c r="P126" s="171">
        <f>SUMIFS(صادرات!$N$4:$N$500,صادرات!$J$4:$J$500,$C126,صادرات!$I$4:$I$500,$A126)+SUMIFS(صادرات!$F$4:$F$500,صادرات!$B$4:$B$500,$C126,صادرات!$A$4:$A$500,$A126)</f>
        <v>0</v>
      </c>
      <c r="Q126" s="159">
        <v>0</v>
      </c>
      <c r="R126" s="159">
        <f t="shared" si="264"/>
        <v>0</v>
      </c>
      <c r="S126" s="175" t="str">
        <f>IF(SUM(P126:P136)=0,"",IFERROR(P126/Q126,""))</f>
        <v/>
      </c>
      <c r="T126" s="171">
        <f t="shared" si="398"/>
        <v>757</v>
      </c>
      <c r="U126" s="159">
        <f t="shared" si="399"/>
        <v>316.3859081041968</v>
      </c>
      <c r="V126" s="159">
        <f t="shared" si="265"/>
        <v>440.6140918958032</v>
      </c>
      <c r="W126" s="175">
        <f t="shared" ref="W126" si="509">IF(SUM(T126:T136)=0,"",IFERROR(T126/U126,""))</f>
        <v>2.3926476515214885</v>
      </c>
      <c r="X126" s="171">
        <f t="shared" si="401"/>
        <v>792</v>
      </c>
      <c r="Y126" s="159">
        <f t="shared" si="402"/>
        <v>444.1698390482855</v>
      </c>
      <c r="Z126" s="159">
        <f t="shared" si="267"/>
        <v>347.8301609517145</v>
      </c>
      <c r="AA126" s="175">
        <f t="shared" ref="AA126" si="510">IF(SUM(X126:X136)=0,"",IFERROR(X126/Y126,""))</f>
        <v>1.7831017110414424</v>
      </c>
      <c r="AB126" s="171">
        <f t="shared" si="404"/>
        <v>0</v>
      </c>
      <c r="AC126" s="159">
        <f t="shared" si="405"/>
        <v>0</v>
      </c>
      <c r="AD126" s="159">
        <f t="shared" si="269"/>
        <v>0</v>
      </c>
      <c r="AE126" s="175" t="str">
        <f t="shared" ref="AE126" si="511">IF(SUM(AB126:AB136)=0,"",IFERROR(AB126/AC126,""))</f>
        <v/>
      </c>
      <c r="AF126" s="171">
        <f t="shared" si="407"/>
        <v>0</v>
      </c>
      <c r="AG126" s="159">
        <f t="shared" si="408"/>
        <v>0</v>
      </c>
      <c r="AH126" s="159">
        <f t="shared" si="271"/>
        <v>0</v>
      </c>
      <c r="AI126" s="187" t="str">
        <f t="shared" ref="AI126" si="512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18"/>
        <v>ماهیرود</v>
      </c>
      <c r="B127" s="216"/>
      <c r="C127" s="167" t="str">
        <f t="shared" si="410"/>
        <v>خرداد</v>
      </c>
      <c r="D127" s="171">
        <f>SUMIFS(صادرات!$K$4:$K$500,صادرات!$J$4:$J$500,$C127,صادرات!$I$4:$I$500,$A127)+SUMIFS(صادرات!$C$4:$C$500,صادرات!$B$4:$B$500,$C127,صادرات!$A$4:$A$500,$A127)</f>
        <v>383</v>
      </c>
      <c r="E127" s="159">
        <v>158.1929540520984</v>
      </c>
      <c r="F127" s="159">
        <f t="shared" si="261"/>
        <v>224.8070459479016</v>
      </c>
      <c r="G127" s="175">
        <f>IF(SUM(D127:D136)=0,"",IFERROR(D127/E127,""))</f>
        <v>2.4210939247892473</v>
      </c>
      <c r="H127" s="171">
        <f>SUMIFS(صادرات!$L$4:$L$500,صادرات!$J$4:$J$500,$C127,صادرات!$I$4:$I$500,$A127)+SUMIFS(صادرات!$D$4:$D$500,صادرات!$B$4:$B$500,$C127,صادرات!$A$4:$A$500,$A127)</f>
        <v>246</v>
      </c>
      <c r="I127" s="159">
        <v>222.08491952414275</v>
      </c>
      <c r="J127" s="159">
        <f t="shared" si="262"/>
        <v>23.915080475857252</v>
      </c>
      <c r="K127" s="175">
        <f>IF(SUM(H127:H136)=0,"",IFERROR(H127/I127,""))</f>
        <v>1.1076843962530174</v>
      </c>
      <c r="L127" s="171">
        <f>SUMIFS(صادرات!$M$4:$M$500,صادرات!$J$4:$J$500,$C127,صادرات!$I$4:$I$500,$A127)+SUMIFS(صادرات!$E$4:$E$500,صادرات!$B$4:$B$500,$C127,صادرات!$A$4:$A$500,$A127)</f>
        <v>0</v>
      </c>
      <c r="M127" s="159">
        <v>0</v>
      </c>
      <c r="N127" s="159">
        <f t="shared" si="263"/>
        <v>0</v>
      </c>
      <c r="O127" s="175" t="str">
        <f>IF(SUM(L127:L136)=0,"",IFERROR(L127/M127,""))</f>
        <v/>
      </c>
      <c r="P127" s="171">
        <f>SUMIFS(صادرات!$N$4:$N$500,صادرات!$J$4:$J$500,$C127,صادرات!$I$4:$I$500,$A127)+SUMIFS(صادرات!$F$4:$F$500,صادرات!$B$4:$B$500,$C127,صادرات!$A$4:$A$500,$A127)</f>
        <v>0</v>
      </c>
      <c r="Q127" s="159">
        <v>0</v>
      </c>
      <c r="R127" s="159">
        <f t="shared" si="264"/>
        <v>0</v>
      </c>
      <c r="S127" s="175" t="str">
        <f>IF(SUM(P127:P136)=0,"",IFERROR(P127/Q127,""))</f>
        <v/>
      </c>
      <c r="T127" s="171">
        <f t="shared" si="398"/>
        <v>1140</v>
      </c>
      <c r="U127" s="159">
        <f t="shared" si="399"/>
        <v>474.5788621562952</v>
      </c>
      <c r="V127" s="159">
        <f t="shared" si="265"/>
        <v>665.42113784370486</v>
      </c>
      <c r="W127" s="175">
        <f t="shared" ref="W127" si="513">IF(SUM(T127:T136)=0,"",IFERROR(T127/U127,""))</f>
        <v>2.4021297426107417</v>
      </c>
      <c r="X127" s="171">
        <f t="shared" si="401"/>
        <v>1038</v>
      </c>
      <c r="Y127" s="159">
        <f t="shared" si="402"/>
        <v>666.25475857242827</v>
      </c>
      <c r="Z127" s="159">
        <f t="shared" si="267"/>
        <v>371.74524142757173</v>
      </c>
      <c r="AA127" s="175">
        <f t="shared" ref="AA127" si="514">IF(SUM(X127:X136)=0,"",IFERROR(X127/Y127,""))</f>
        <v>1.5579626061119674</v>
      </c>
      <c r="AB127" s="171">
        <f t="shared" si="404"/>
        <v>0</v>
      </c>
      <c r="AC127" s="159">
        <f t="shared" si="405"/>
        <v>0</v>
      </c>
      <c r="AD127" s="159">
        <f t="shared" si="269"/>
        <v>0</v>
      </c>
      <c r="AE127" s="175" t="str">
        <f t="shared" ref="AE127" si="515">IF(SUM(AB127:AB136)=0,"",IFERROR(AB127/AC127,""))</f>
        <v/>
      </c>
      <c r="AF127" s="171">
        <f t="shared" si="407"/>
        <v>0</v>
      </c>
      <c r="AG127" s="159">
        <f t="shared" si="408"/>
        <v>0</v>
      </c>
      <c r="AH127" s="159">
        <f t="shared" si="271"/>
        <v>0</v>
      </c>
      <c r="AI127" s="187" t="str">
        <f t="shared" ref="AI127" si="516">IF(SUM(AF127:AF136)=0,"",IFERROR(AF127/AG127,""))</f>
        <v/>
      </c>
      <c r="AJ127" s="157">
        <f t="shared" ref="AJ127:AJ135" si="517">AJ126+1</f>
        <v>3</v>
      </c>
    </row>
    <row r="128" spans="1:36" ht="24.95" customHeight="1" x14ac:dyDescent="0.25">
      <c r="A128" s="182" t="str">
        <f t="shared" si="318"/>
        <v>ماهیرود</v>
      </c>
      <c r="B128" s="216"/>
      <c r="C128" s="167" t="str">
        <f t="shared" si="410"/>
        <v>تیر</v>
      </c>
      <c r="D128" s="171">
        <f>SUMIFS(صادرات!$K$4:$K$500,صادرات!$J$4:$J$500,$C128,صادرات!$I$4:$I$500,$A128)+SUMIFS(صادرات!$C$4:$C$500,صادرات!$B$4:$B$500,$C128,صادرات!$A$4:$A$500,$A128)</f>
        <v>54</v>
      </c>
      <c r="E128" s="159">
        <v>159.3940394356006</v>
      </c>
      <c r="F128" s="159">
        <f t="shared" si="261"/>
        <v>-105.3940394356006</v>
      </c>
      <c r="G128" s="175">
        <f>IF(SUM(D128:D136)=0,"",IFERROR(D128/E128,""))</f>
        <v>0.33878305732892494</v>
      </c>
      <c r="H128" s="171">
        <f>SUMIFS(صادرات!$L$4:$L$500,صادرات!$J$4:$J$500,$C128,صادرات!$I$4:$I$500,$A128)+SUMIFS(صادرات!$D$4:$D$500,صادرات!$B$4:$B$500,$C128,صادرات!$A$4:$A$500,$A128)</f>
        <v>493</v>
      </c>
      <c r="I128" s="159">
        <v>188.41829951014697</v>
      </c>
      <c r="J128" s="159">
        <f t="shared" si="262"/>
        <v>304.58170048985301</v>
      </c>
      <c r="K128" s="175">
        <f>IF(SUM(H128:H136)=0,"",IFERROR(H128/I128,""))</f>
        <v>2.6165186782903231</v>
      </c>
      <c r="L128" s="171">
        <f>SUMIFS(صادرات!$M$4:$M$500,صادرات!$J$4:$J$500,$C128,صادرات!$I$4:$I$500,$A128)+SUMIFS(صادرات!$E$4:$E$500,صادرات!$B$4:$B$500,$C128,صادرات!$A$4:$A$500,$A128)</f>
        <v>0</v>
      </c>
      <c r="M128" s="159">
        <v>0</v>
      </c>
      <c r="N128" s="159">
        <f t="shared" si="263"/>
        <v>0</v>
      </c>
      <c r="O128" s="175" t="str">
        <f>IF(SUM(L128:L136)=0,"",IFERROR(L128/M128,""))</f>
        <v/>
      </c>
      <c r="P128" s="171">
        <f>SUMIFS(صادرات!$N$4:$N$500,صادرات!$J$4:$J$500,$C128,صادرات!$I$4:$I$500,$A128)+SUMIFS(صادرات!$F$4:$F$500,صادرات!$B$4:$B$500,$C128,صادرات!$A$4:$A$500,$A128)</f>
        <v>0</v>
      </c>
      <c r="Q128" s="159">
        <v>0</v>
      </c>
      <c r="R128" s="159">
        <f t="shared" si="264"/>
        <v>0</v>
      </c>
      <c r="S128" s="175" t="str">
        <f>IF(SUM(P128:P136)=0,"",IFERROR(P128/Q128,""))</f>
        <v/>
      </c>
      <c r="T128" s="171">
        <f t="shared" si="398"/>
        <v>1194</v>
      </c>
      <c r="U128" s="159">
        <f t="shared" si="399"/>
        <v>633.97290159189583</v>
      </c>
      <c r="V128" s="159">
        <f t="shared" si="265"/>
        <v>560.02709840810417</v>
      </c>
      <c r="W128" s="175">
        <f t="shared" ref="W128" si="518">IF(SUM(T128:T136)=0,"",IFERROR(T128/U128,""))</f>
        <v>1.8833612556654789</v>
      </c>
      <c r="X128" s="171">
        <f t="shared" si="401"/>
        <v>1531</v>
      </c>
      <c r="Y128" s="159">
        <f t="shared" si="402"/>
        <v>854.67305808257527</v>
      </c>
      <c r="Z128" s="159">
        <f t="shared" si="267"/>
        <v>676.32694191742473</v>
      </c>
      <c r="AA128" s="175">
        <f t="shared" ref="AA128" si="519">IF(SUM(X128:X136)=0,"",IFERROR(X128/Y128,""))</f>
        <v>1.7913282576553158</v>
      </c>
      <c r="AB128" s="171">
        <f t="shared" si="404"/>
        <v>0</v>
      </c>
      <c r="AC128" s="159">
        <f t="shared" si="405"/>
        <v>0</v>
      </c>
      <c r="AD128" s="159">
        <f t="shared" si="269"/>
        <v>0</v>
      </c>
      <c r="AE128" s="175" t="str">
        <f t="shared" ref="AE128" si="520">IF(SUM(AB128:AB136)=0,"",IFERROR(AB128/AC128,""))</f>
        <v/>
      </c>
      <c r="AF128" s="171">
        <f t="shared" si="407"/>
        <v>0</v>
      </c>
      <c r="AG128" s="159">
        <f t="shared" si="408"/>
        <v>0</v>
      </c>
      <c r="AH128" s="159">
        <f t="shared" si="271"/>
        <v>0</v>
      </c>
      <c r="AI128" s="187" t="str">
        <f t="shared" ref="AI128" si="521">IF(SUM(AF128:AF136)=0,"",IFERROR(AF128/AG128,""))</f>
        <v/>
      </c>
      <c r="AJ128" s="157">
        <f t="shared" si="517"/>
        <v>4</v>
      </c>
    </row>
    <row r="129" spans="1:36" ht="24.95" customHeight="1" x14ac:dyDescent="0.25">
      <c r="A129" s="182" t="str">
        <f t="shared" si="318"/>
        <v>ماهیرود</v>
      </c>
      <c r="B129" s="216"/>
      <c r="C129" s="167" t="str">
        <f t="shared" si="410"/>
        <v>مرداد</v>
      </c>
      <c r="D129" s="171">
        <f>SUMIFS(صادرات!$K$4:$K$500,صادرات!$J$4:$J$500,$C129,صادرات!$I$4:$I$500,$A129)+SUMIFS(صادرات!$C$4:$C$500,صادرات!$B$4:$B$500,$C129,صادرات!$A$4:$A$500,$A129)</f>
        <v>75</v>
      </c>
      <c r="E129" s="159">
        <v>159.3940394356006</v>
      </c>
      <c r="F129" s="159">
        <f t="shared" si="261"/>
        <v>-84.394039435600604</v>
      </c>
      <c r="G129" s="175">
        <f>IF(SUM(D129:D136)=0,"",IFERROR(D129/E129,""))</f>
        <v>0.4705320240679513</v>
      </c>
      <c r="H129" s="171">
        <f>SUMIFS(صادرات!$L$4:$L$500,صادرات!$J$4:$J$500,$C129,صادرات!$I$4:$I$500,$A129)+SUMIFS(صادرات!$D$4:$D$500,صادرات!$B$4:$B$500,$C129,صادرات!$A$4:$A$500,$A129)</f>
        <v>154</v>
      </c>
      <c r="I129" s="159">
        <v>188.41829951014697</v>
      </c>
      <c r="J129" s="159">
        <f t="shared" si="262"/>
        <v>-34.418299510146966</v>
      </c>
      <c r="K129" s="175">
        <f>IF(SUM(H129:H136)=0,"",IFERROR(H129/I129,""))</f>
        <v>0.81733037820833632</v>
      </c>
      <c r="L129" s="171">
        <f>SUMIFS(صادرات!$M$4:$M$500,صادرات!$J$4:$J$500,$C129,صادرات!$I$4:$I$500,$A129)+SUMIFS(صادرات!$E$4:$E$500,صادرات!$B$4:$B$500,$C129,صادرات!$A$4:$A$500,$A129)</f>
        <v>0</v>
      </c>
      <c r="M129" s="159">
        <v>0</v>
      </c>
      <c r="N129" s="159">
        <f t="shared" si="263"/>
        <v>0</v>
      </c>
      <c r="O129" s="175" t="str">
        <f>IF(SUM(L129:L136)=0,"",IFERROR(L129/M129,""))</f>
        <v/>
      </c>
      <c r="P129" s="171">
        <f>SUMIFS(صادرات!$N$4:$N$500,صادرات!$J$4:$J$500,$C129,صادرات!$I$4:$I$500,$A129)+SUMIFS(صادرات!$F$4:$F$500,صادرات!$B$4:$B$500,$C129,صادرات!$A$4:$A$500,$A129)</f>
        <v>0</v>
      </c>
      <c r="Q129" s="159">
        <v>0</v>
      </c>
      <c r="R129" s="159">
        <f t="shared" si="264"/>
        <v>0</v>
      </c>
      <c r="S129" s="175" t="str">
        <f>IF(SUM(P129:P136)=0,"",IFERROR(P129/Q129,""))</f>
        <v/>
      </c>
      <c r="T129" s="171">
        <f t="shared" si="398"/>
        <v>1269</v>
      </c>
      <c r="U129" s="159">
        <f t="shared" si="399"/>
        <v>793.36694102749641</v>
      </c>
      <c r="V129" s="159">
        <f t="shared" si="265"/>
        <v>475.63305897250359</v>
      </c>
      <c r="W129" s="175">
        <f t="shared" ref="W129" si="522">IF(SUM(T129:T136)=0,"",IFERROR(T129/U129,""))</f>
        <v>1.5995120723791529</v>
      </c>
      <c r="X129" s="171">
        <f t="shared" si="401"/>
        <v>1685</v>
      </c>
      <c r="Y129" s="159">
        <f t="shared" si="402"/>
        <v>1043.0913575927223</v>
      </c>
      <c r="Z129" s="159">
        <f t="shared" si="267"/>
        <v>641.90864240727774</v>
      </c>
      <c r="AA129" s="175">
        <f t="shared" ref="AA129" si="523">IF(SUM(X129:X136)=0,"",IFERROR(X129/Y129,""))</f>
        <v>1.6153906249292429</v>
      </c>
      <c r="AB129" s="171">
        <f t="shared" si="404"/>
        <v>0</v>
      </c>
      <c r="AC129" s="159">
        <f t="shared" si="405"/>
        <v>0</v>
      </c>
      <c r="AD129" s="159">
        <f t="shared" si="269"/>
        <v>0</v>
      </c>
      <c r="AE129" s="175" t="str">
        <f t="shared" ref="AE129" si="524">IF(SUM(AB129:AB136)=0,"",IFERROR(AB129/AC129,""))</f>
        <v/>
      </c>
      <c r="AF129" s="171">
        <f t="shared" si="407"/>
        <v>0</v>
      </c>
      <c r="AG129" s="159">
        <f t="shared" si="408"/>
        <v>0</v>
      </c>
      <c r="AH129" s="159">
        <f t="shared" si="271"/>
        <v>0</v>
      </c>
      <c r="AI129" s="187" t="str">
        <f t="shared" ref="AI129" si="525">IF(SUM(AF129:AF136)=0,"",IFERROR(AF129/AG129,""))</f>
        <v/>
      </c>
      <c r="AJ129" s="157">
        <f t="shared" si="517"/>
        <v>5</v>
      </c>
    </row>
    <row r="130" spans="1:36" ht="24.95" customHeight="1" x14ac:dyDescent="0.25">
      <c r="A130" s="182" t="str">
        <f t="shared" si="318"/>
        <v>ماهیرود</v>
      </c>
      <c r="B130" s="216"/>
      <c r="C130" s="167" t="str">
        <f t="shared" si="410"/>
        <v>شهریور</v>
      </c>
      <c r="D130" s="171">
        <f>SUMIFS(صادرات!$K$4:$K$500,صادرات!$J$4:$J$500,$C130,صادرات!$I$4:$I$500,$A130)+SUMIFS(صادرات!$C$4:$C$500,صادرات!$B$4:$B$500,$C130,صادرات!$A$4:$A$500,$A130)</f>
        <v>2</v>
      </c>
      <c r="E130" s="159">
        <v>159.3940394356006</v>
      </c>
      <c r="F130" s="159">
        <f t="shared" si="261"/>
        <v>-157.3940394356006</v>
      </c>
      <c r="G130" s="175">
        <f>IF(SUM(D130:D136)=0,"",IFERROR(D130/E130,""))</f>
        <v>1.2547520641812034E-2</v>
      </c>
      <c r="H130" s="171">
        <f>SUMIFS(صادرات!$L$4:$L$500,صادرات!$J$4:$J$500,$C130,صادرات!$I$4:$I$500,$A130)+SUMIFS(صادرات!$D$4:$D$500,صادرات!$B$4:$B$500,$C130,صادرات!$A$4:$A$500,$A130)</f>
        <v>401</v>
      </c>
      <c r="I130" s="159">
        <v>188.41829951014697</v>
      </c>
      <c r="J130" s="159">
        <f t="shared" si="262"/>
        <v>212.58170048985303</v>
      </c>
      <c r="K130" s="175">
        <f>IF(SUM(H130:H136)=0,"",IFERROR(H130/I130,""))</f>
        <v>2.1282433874126157</v>
      </c>
      <c r="L130" s="171">
        <f>SUMIFS(صادرات!$M$4:$M$500,صادرات!$J$4:$J$500,$C130,صادرات!$I$4:$I$500,$A130)+SUMIFS(صادرات!$E$4:$E$500,صادرات!$B$4:$B$500,$C130,صادرات!$A$4:$A$500,$A130)</f>
        <v>0</v>
      </c>
      <c r="M130" s="159">
        <v>0</v>
      </c>
      <c r="N130" s="159">
        <f t="shared" si="263"/>
        <v>0</v>
      </c>
      <c r="O130" s="175" t="str">
        <f>IF(SUM(L130:L136)=0,"",IFERROR(L130/M130,""))</f>
        <v/>
      </c>
      <c r="P130" s="171">
        <f>SUMIFS(صادرات!$N$4:$N$500,صادرات!$J$4:$J$500,$C130,صادرات!$I$4:$I$500,$A130)+SUMIFS(صادرات!$F$4:$F$500,صادرات!$B$4:$B$500,$C130,صادرات!$A$4:$A$500,$A130)</f>
        <v>0</v>
      </c>
      <c r="Q130" s="159">
        <v>0</v>
      </c>
      <c r="R130" s="159">
        <f t="shared" si="264"/>
        <v>0</v>
      </c>
      <c r="S130" s="175" t="str">
        <f>IF(SUM(P130:P136)=0,"",IFERROR(P130/Q130,""))</f>
        <v/>
      </c>
      <c r="T130" s="171">
        <f t="shared" si="398"/>
        <v>1271</v>
      </c>
      <c r="U130" s="159">
        <f t="shared" si="399"/>
        <v>952.76098046309698</v>
      </c>
      <c r="V130" s="159">
        <f t="shared" si="265"/>
        <v>318.23901953690302</v>
      </c>
      <c r="W130" s="175">
        <f t="shared" ref="W130" si="526">IF(SUM(T130:T136)=0,"",IFERROR(T130/U130,""))</f>
        <v>1.3340176876074632</v>
      </c>
      <c r="X130" s="171">
        <f t="shared" si="401"/>
        <v>2086</v>
      </c>
      <c r="Y130" s="159">
        <f t="shared" si="402"/>
        <v>1231.5096571028691</v>
      </c>
      <c r="Z130" s="159">
        <f t="shared" si="267"/>
        <v>854.49034289713086</v>
      </c>
      <c r="AA130" s="175">
        <f t="shared" ref="AA130" si="527">IF(SUM(X130:X136)=0,"",IFERROR(X130/Y130,""))</f>
        <v>1.6938559823455404</v>
      </c>
      <c r="AB130" s="171">
        <f t="shared" si="404"/>
        <v>0</v>
      </c>
      <c r="AC130" s="159">
        <f t="shared" si="405"/>
        <v>0</v>
      </c>
      <c r="AD130" s="159">
        <f t="shared" si="269"/>
        <v>0</v>
      </c>
      <c r="AE130" s="175" t="str">
        <f t="shared" ref="AE130" si="528">IF(SUM(AB130:AB136)=0,"",IFERROR(AB130/AC130,""))</f>
        <v/>
      </c>
      <c r="AF130" s="171">
        <f t="shared" si="407"/>
        <v>0</v>
      </c>
      <c r="AG130" s="159">
        <f t="shared" si="408"/>
        <v>0</v>
      </c>
      <c r="AH130" s="159">
        <f t="shared" si="271"/>
        <v>0</v>
      </c>
      <c r="AI130" s="187" t="str">
        <f t="shared" ref="AI130" si="529">IF(SUM(AF130:AF136)=0,"",IFERROR(AF130/AG130,""))</f>
        <v/>
      </c>
      <c r="AJ130" s="157">
        <f t="shared" si="517"/>
        <v>6</v>
      </c>
    </row>
    <row r="131" spans="1:36" ht="24.95" customHeight="1" x14ac:dyDescent="0.25">
      <c r="A131" s="182" t="str">
        <f t="shared" si="318"/>
        <v>ماهیرود</v>
      </c>
      <c r="B131" s="216"/>
      <c r="C131" s="167" t="str">
        <f t="shared" si="410"/>
        <v>مهر</v>
      </c>
      <c r="D131" s="171">
        <f>SUMIFS(صادرات!$K$4:$K$500,صادرات!$J$4:$J$500,$C131,صادرات!$I$4:$I$500,$A131)+SUMIFS(صادرات!$C$4:$C$500,صادرات!$B$4:$B$500,$C131,صادرات!$A$4:$A$500,$A131)</f>
        <v>307</v>
      </c>
      <c r="E131" s="159">
        <v>235.71300651230104</v>
      </c>
      <c r="F131" s="159">
        <f t="shared" si="261"/>
        <v>71.286993487698965</v>
      </c>
      <c r="G131" s="175">
        <f>IF(SUM(D131:D136)=0,"",IFERROR(D131/E131,""))</f>
        <v>1.3024313106115286</v>
      </c>
      <c r="H131" s="171">
        <f>SUMIFS(صادرات!$L$4:$L$500,صادرات!$J$4:$J$500,$C131,صادرات!$I$4:$I$500,$A131)+SUMIFS(صادرات!$D$4:$D$500,صادرات!$B$4:$B$500,$C131,صادرات!$A$4:$A$500,$A131)</f>
        <v>2</v>
      </c>
      <c r="I131" s="159">
        <v>214.29678096571027</v>
      </c>
      <c r="J131" s="159">
        <f t="shared" si="262"/>
        <v>-212.29678096571027</v>
      </c>
      <c r="K131" s="175">
        <f>IF(SUM(H131:H136)=0,"",IFERROR(H131/I131,""))</f>
        <v>9.3328513428301146E-3</v>
      </c>
      <c r="L131" s="171">
        <f>SUMIFS(صادرات!$M$4:$M$500,صادرات!$J$4:$J$500,$C131,صادرات!$I$4:$I$500,$A131)+SUMIFS(صادرات!$E$4:$E$500,صادرات!$B$4:$B$500,$C131,صادرات!$A$4:$A$500,$A131)</f>
        <v>0</v>
      </c>
      <c r="M131" s="159">
        <v>0</v>
      </c>
      <c r="N131" s="159">
        <f t="shared" si="263"/>
        <v>0</v>
      </c>
      <c r="O131" s="175" t="str">
        <f>IF(SUM(L131:L136)=0,"",IFERROR(L131/M131,""))</f>
        <v/>
      </c>
      <c r="P131" s="171">
        <f>SUMIFS(صادرات!$N$4:$N$500,صادرات!$J$4:$J$500,$C131,صادرات!$I$4:$I$500,$A131)+SUMIFS(صادرات!$F$4:$F$500,صادرات!$B$4:$B$500,$C131,صادرات!$A$4:$A$500,$A131)</f>
        <v>0</v>
      </c>
      <c r="Q131" s="159">
        <v>0</v>
      </c>
      <c r="R131" s="159">
        <f t="shared" si="264"/>
        <v>0</v>
      </c>
      <c r="S131" s="175" t="str">
        <f>IF(SUM(P131:P136)=0,"",IFERROR(P131/Q131,""))</f>
        <v/>
      </c>
      <c r="T131" s="171">
        <f t="shared" si="398"/>
        <v>1578</v>
      </c>
      <c r="U131" s="159">
        <f t="shared" si="399"/>
        <v>1188.473986975398</v>
      </c>
      <c r="V131" s="159">
        <f t="shared" si="265"/>
        <v>389.52601302460198</v>
      </c>
      <c r="W131" s="175">
        <f t="shared" ref="W131" si="530">IF(SUM(T131:T136)=0,"",IFERROR(T131/U131,""))</f>
        <v>1.3277530827712305</v>
      </c>
      <c r="X131" s="171">
        <f t="shared" si="401"/>
        <v>2088</v>
      </c>
      <c r="Y131" s="159">
        <f t="shared" si="402"/>
        <v>1445.8064380685794</v>
      </c>
      <c r="Z131" s="159">
        <f t="shared" si="267"/>
        <v>642.19356193142062</v>
      </c>
      <c r="AA131" s="175">
        <f t="shared" ref="AA131" si="531">IF(SUM(X131:X136)=0,"",IFERROR(X131/Y131,""))</f>
        <v>1.4441767203563658</v>
      </c>
      <c r="AB131" s="171">
        <f t="shared" si="404"/>
        <v>0</v>
      </c>
      <c r="AC131" s="159">
        <f t="shared" si="405"/>
        <v>0</v>
      </c>
      <c r="AD131" s="159">
        <f t="shared" si="269"/>
        <v>0</v>
      </c>
      <c r="AE131" s="175" t="str">
        <f t="shared" ref="AE131" si="532">IF(SUM(AB131:AB136)=0,"",IFERROR(AB131/AC131,""))</f>
        <v/>
      </c>
      <c r="AF131" s="171">
        <f t="shared" si="407"/>
        <v>0</v>
      </c>
      <c r="AG131" s="159">
        <f t="shared" si="408"/>
        <v>0</v>
      </c>
      <c r="AH131" s="159">
        <f t="shared" si="271"/>
        <v>0</v>
      </c>
      <c r="AI131" s="187" t="str">
        <f t="shared" ref="AI131" si="533">IF(SUM(AF131:AF136)=0,"",IFERROR(AF131/AG131,""))</f>
        <v/>
      </c>
      <c r="AJ131" s="157">
        <f t="shared" si="517"/>
        <v>7</v>
      </c>
    </row>
    <row r="132" spans="1:36" ht="24.95" customHeight="1" x14ac:dyDescent="0.25">
      <c r="A132" s="182" t="str">
        <f t="shared" si="318"/>
        <v>ماهیرود</v>
      </c>
      <c r="B132" s="216"/>
      <c r="C132" s="167" t="str">
        <f t="shared" si="410"/>
        <v>آبان</v>
      </c>
      <c r="D132" s="171">
        <f>SUMIFS(صادرات!$K$4:$K$500,صادرات!$J$4:$J$500,$C132,صادرات!$I$4:$I$500,$A132)+SUMIFS(صادرات!$C$4:$C$500,صادرات!$B$4:$B$500,$C132,صادرات!$A$4:$A$500,$A132)</f>
        <v>245</v>
      </c>
      <c r="E132" s="159">
        <v>235.71300651230104</v>
      </c>
      <c r="F132" s="159">
        <f t="shared" si="261"/>
        <v>9.2869934876989646</v>
      </c>
      <c r="G132" s="175">
        <f>IF(SUM(D132:D136)=0,"",IFERROR(D132/E132,""))</f>
        <v>1.0393995801297216</v>
      </c>
      <c r="H132" s="171">
        <f>SUMIFS(صادرات!$L$4:$L$500,صادرات!$J$4:$J$500,$C132,صادرات!$I$4:$I$500,$A132)+SUMIFS(صادرات!$D$4:$D$500,صادرات!$B$4:$B$500,$C132,صادرات!$A$4:$A$500,$A132)</f>
        <v>414</v>
      </c>
      <c r="I132" s="159">
        <v>214.29678096571027</v>
      </c>
      <c r="J132" s="159">
        <f t="shared" si="262"/>
        <v>199.70321903428973</v>
      </c>
      <c r="K132" s="175">
        <f>IF(SUM(H132:H136)=0,"",IFERROR(H132/I132,""))</f>
        <v>1.9319002279658337</v>
      </c>
      <c r="L132" s="171">
        <f>SUMIFS(صادرات!$M$4:$M$500,صادرات!$J$4:$J$500,$C132,صادرات!$I$4:$I$500,$A132)+SUMIFS(صادرات!$E$4:$E$500,صادرات!$B$4:$B$500,$C132,صادرات!$A$4:$A$500,$A132)</f>
        <v>0</v>
      </c>
      <c r="M132" s="159">
        <v>0</v>
      </c>
      <c r="N132" s="159">
        <f t="shared" si="263"/>
        <v>0</v>
      </c>
      <c r="O132" s="175" t="str">
        <f>IF(SUM(L132:L136)=0,"",IFERROR(L132/M132,""))</f>
        <v/>
      </c>
      <c r="P132" s="171">
        <f>SUMIFS(صادرات!$N$4:$N$500,صادرات!$J$4:$J$500,$C132,صادرات!$I$4:$I$500,$A132)+SUMIFS(صادرات!$F$4:$F$500,صادرات!$B$4:$B$500,$C132,صادرات!$A$4:$A$500,$A132)</f>
        <v>0</v>
      </c>
      <c r="Q132" s="159">
        <v>0</v>
      </c>
      <c r="R132" s="159">
        <f t="shared" si="264"/>
        <v>0</v>
      </c>
      <c r="S132" s="175" t="str">
        <f>IF(SUM(P132:P136)=0,"",IFERROR(P132/Q132,""))</f>
        <v/>
      </c>
      <c r="T132" s="171">
        <f t="shared" si="398"/>
        <v>1823</v>
      </c>
      <c r="U132" s="159">
        <f t="shared" si="399"/>
        <v>1424.1869934876991</v>
      </c>
      <c r="V132" s="159">
        <f t="shared" si="265"/>
        <v>398.81300651230094</v>
      </c>
      <c r="W132" s="175">
        <f t="shared" ref="W132" si="534">IF(SUM(T132:T136)=0,"",IFERROR(T132/U132,""))</f>
        <v>1.2800285414316597</v>
      </c>
      <c r="X132" s="171">
        <f t="shared" si="401"/>
        <v>2502</v>
      </c>
      <c r="Y132" s="159">
        <f t="shared" si="402"/>
        <v>1660.1032190342896</v>
      </c>
      <c r="Z132" s="159">
        <f t="shared" si="267"/>
        <v>841.89678096571038</v>
      </c>
      <c r="AA132" s="175">
        <f t="shared" ref="AA132" si="535">IF(SUM(X132:X136)=0,"",IFERROR(X132/Y132,""))</f>
        <v>1.5071352017830892</v>
      </c>
      <c r="AB132" s="171">
        <f t="shared" si="404"/>
        <v>0</v>
      </c>
      <c r="AC132" s="159">
        <f t="shared" si="405"/>
        <v>0</v>
      </c>
      <c r="AD132" s="159">
        <f t="shared" si="269"/>
        <v>0</v>
      </c>
      <c r="AE132" s="175" t="str">
        <f t="shared" ref="AE132" si="536">IF(SUM(AB132:AB136)=0,"",IFERROR(AB132/AC132,""))</f>
        <v/>
      </c>
      <c r="AF132" s="171">
        <f t="shared" si="407"/>
        <v>0</v>
      </c>
      <c r="AG132" s="159">
        <f t="shared" si="408"/>
        <v>0</v>
      </c>
      <c r="AH132" s="159">
        <f t="shared" si="271"/>
        <v>0</v>
      </c>
      <c r="AI132" s="187" t="str">
        <f t="shared" ref="AI132" si="537">IF(SUM(AF132:AF136)=0,"",IFERROR(AF132/AG132,""))</f>
        <v/>
      </c>
      <c r="AJ132" s="157">
        <f t="shared" si="517"/>
        <v>8</v>
      </c>
    </row>
    <row r="133" spans="1:36" ht="24.95" customHeight="1" x14ac:dyDescent="0.25">
      <c r="A133" s="182" t="str">
        <f t="shared" si="318"/>
        <v>ماهیرود</v>
      </c>
      <c r="B133" s="216"/>
      <c r="C133" s="167" t="str">
        <f t="shared" si="410"/>
        <v>آذر</v>
      </c>
      <c r="D133" s="171">
        <f>SUMIFS(صادرات!$K$4:$K$500,صادرات!$J$4:$J$500,$C133,صادرات!$I$4:$I$500,$A133)+SUMIFS(صادرات!$C$4:$C$500,صادرات!$B$4:$B$500,$C133,صادرات!$A$4:$A$500,$A133)</f>
        <v>486</v>
      </c>
      <c r="E133" s="159">
        <v>235.71300651230104</v>
      </c>
      <c r="F133" s="159">
        <f t="shared" si="261"/>
        <v>250.28699348769896</v>
      </c>
      <c r="G133" s="175">
        <f>IF(SUM(D133:D136)=0,"",IFERROR(D133/E133,""))</f>
        <v>2.0618293711961004</v>
      </c>
      <c r="H133" s="171">
        <f>SUMIFS(صادرات!$L$4:$L$500,صادرات!$J$4:$J$500,$C133,صادرات!$I$4:$I$500,$A133)+SUMIFS(صادرات!$D$4:$D$500,صادرات!$B$4:$B$500,$C133,صادرات!$A$4:$A$500,$A133)</f>
        <v>498</v>
      </c>
      <c r="I133" s="159">
        <v>214.29678096571027</v>
      </c>
      <c r="J133" s="159">
        <f t="shared" si="262"/>
        <v>283.70321903428976</v>
      </c>
      <c r="K133" s="175">
        <f>IF(SUM(H133:H136)=0,"",IFERROR(H133/I133,""))</f>
        <v>2.3238799843646984</v>
      </c>
      <c r="L133" s="171">
        <f>SUMIFS(صادرات!$M$4:$M$500,صادرات!$J$4:$J$500,$C133,صادرات!$I$4:$I$500,$A133)+SUMIFS(صادرات!$E$4:$E$500,صادرات!$B$4:$B$500,$C133,صادرات!$A$4:$A$500,$A133)</f>
        <v>0</v>
      </c>
      <c r="M133" s="159">
        <v>0</v>
      </c>
      <c r="N133" s="159">
        <f t="shared" si="263"/>
        <v>0</v>
      </c>
      <c r="O133" s="175" t="str">
        <f>IF(SUM(L133:L136)=0,"",IFERROR(L133/M133,""))</f>
        <v/>
      </c>
      <c r="P133" s="171">
        <f>SUMIFS(صادرات!$N$4:$N$500,صادرات!$J$4:$J$500,$C133,صادرات!$I$4:$I$500,$A133)+SUMIFS(صادرات!$F$4:$F$500,صادرات!$B$4:$B$500,$C133,صادرات!$A$4:$A$500,$A133)</f>
        <v>0</v>
      </c>
      <c r="Q133" s="159">
        <v>0</v>
      </c>
      <c r="R133" s="159">
        <f t="shared" si="264"/>
        <v>0</v>
      </c>
      <c r="S133" s="175" t="str">
        <f>IF(SUM(P133:P136)=0,"",IFERROR(P133/Q133,""))</f>
        <v/>
      </c>
      <c r="T133" s="171">
        <f t="shared" ref="T133:T148" si="538">IF(OR($C$1="",$AJ133&gt;$C$1),"",IFERROR(SUMIFS(D$5:D$5012,$A$5:$A$5012,$A133,$AJ$5:$AJ$5012,"&lt;"&amp;$AJ133+1),""))</f>
        <v>2309</v>
      </c>
      <c r="U133" s="159">
        <f t="shared" ref="U133:U148" si="539">IF($C$1="","",IFERROR(SUMIFS(E$5:E$5012,$A$5:$A$5012,$A133,$AJ$5:$AJ$5012,"&lt;"&amp;$AJ133+1),""))</f>
        <v>1659.9</v>
      </c>
      <c r="V133" s="159">
        <f t="shared" si="265"/>
        <v>649.09999999999991</v>
      </c>
      <c r="W133" s="175">
        <f t="shared" ref="W133" si="540">IF(SUM(T133:T136)=0,"",IFERROR(T133/U133,""))</f>
        <v>1.3910476534731007</v>
      </c>
      <c r="X133" s="171">
        <f t="shared" ref="X133:X148" si="541">IF(OR($C$1="",$AJ133&gt;$C$1),"",IFERROR(SUMIFS(H$5:H$5012,$A$5:$A$5012,$A133,$AJ$5:$AJ$5012,"&lt;"&amp;$AJ133+1),""))</f>
        <v>3000</v>
      </c>
      <c r="Y133" s="159">
        <f t="shared" ref="Y133:Y148" si="542">IF($C$1="","",IFERROR(SUMIFS(I$5:I$5012,$A$5:$A$5012,$A133,$AJ$5:$AJ$5012,"&lt;"&amp;$AJ133+1),""))</f>
        <v>1874.3999999999999</v>
      </c>
      <c r="Z133" s="159">
        <f t="shared" si="267"/>
        <v>1125.6000000000001</v>
      </c>
      <c r="AA133" s="175">
        <f t="shared" ref="AA133" si="543">IF(SUM(X133:X136)=0,"",IFERROR(X133/Y133,""))</f>
        <v>1.6005121638924458</v>
      </c>
      <c r="AB133" s="171">
        <f t="shared" ref="AB133:AB148" si="544">IF(OR($C$1="",$AJ133&gt;$C$1),"",IFERROR(SUMIFS(L$5:L$5012,$A$5:$A$5012,$A133,$AJ$5:$AJ$5012,"&lt;"&amp;$AJ133+1),""))</f>
        <v>0</v>
      </c>
      <c r="AC133" s="159">
        <f t="shared" ref="AC133:AC148" si="545">IF($C$1="","",IFERROR(SUMIFS(M$5:M$5012,$A$5:$A$5012,$A133,$AJ$5:$AJ$5012,"&lt;"&amp;$AJ133+1),""))</f>
        <v>0</v>
      </c>
      <c r="AD133" s="159">
        <f t="shared" si="269"/>
        <v>0</v>
      </c>
      <c r="AE133" s="175" t="str">
        <f t="shared" ref="AE133" si="546">IF(SUM(AB133:AB136)=0,"",IFERROR(AB133/AC133,""))</f>
        <v/>
      </c>
      <c r="AF133" s="171">
        <f t="shared" ref="AF133:AF148" si="547">IF(OR($C$1="",$AJ133&gt;$C$1),"",IFERROR(SUMIFS(P$5:P$5012,$A$5:$A$5012,$A133,$AJ$5:$AJ$5012,"&lt;"&amp;$AJ133+1),""))</f>
        <v>0</v>
      </c>
      <c r="AG133" s="159">
        <f t="shared" ref="AG133:AG148" si="548">IF($C$1="","",IFERROR(SUMIFS(Q$5:Q$5012,$A$5:$A$5012,$A133,$AJ$5:$AJ$5012,"&lt;"&amp;$AJ133+1),""))</f>
        <v>0</v>
      </c>
      <c r="AH133" s="159">
        <f t="shared" si="271"/>
        <v>0</v>
      </c>
      <c r="AI133" s="187" t="str">
        <f t="shared" ref="AI133" si="549">IF(SUM(AF133:AF136)=0,"",IFERROR(AF133/AG133,""))</f>
        <v/>
      </c>
      <c r="AJ133" s="157">
        <f t="shared" si="517"/>
        <v>9</v>
      </c>
    </row>
    <row r="134" spans="1:36" ht="24.95" customHeight="1" x14ac:dyDescent="0.25">
      <c r="A134" s="182" t="str">
        <f t="shared" si="318"/>
        <v>ماهیرود</v>
      </c>
      <c r="B134" s="216"/>
      <c r="C134" s="167" t="str">
        <f t="shared" si="410"/>
        <v>دی</v>
      </c>
      <c r="D134" s="171">
        <f>SUMIFS(صادرات!$K$4:$K$500,صادرات!$J$4:$J$500,$C134,صادرات!$I$4:$I$500,$A134)+SUMIFS(صادرات!$C$4:$C$500,صادرات!$B$4:$B$500,$C134,صادرات!$A$4:$A$500,$A134)</f>
        <v>627</v>
      </c>
      <c r="E134" s="159">
        <v>138.32500000000002</v>
      </c>
      <c r="F134" s="159">
        <f t="shared" ref="F134:F145" si="550">IFERROR(SUM(D134,-E134),"")</f>
        <v>488.67499999999995</v>
      </c>
      <c r="G134" s="175">
        <f>IF(SUM(D134:D136)=0,"",IFERROR(D134/E134,""))</f>
        <v>4.5328031809145122</v>
      </c>
      <c r="H134" s="171">
        <f>SUMIFS(صادرات!$L$4:$L$500,صادرات!$J$4:$J$500,$C134,صادرات!$I$4:$I$500,$A134)+SUMIFS(صادرات!$D$4:$D$500,صادرات!$B$4:$B$500,$C134,صادرات!$A$4:$A$500,$A134)</f>
        <v>334</v>
      </c>
      <c r="I134" s="159">
        <v>156.20000000000002</v>
      </c>
      <c r="J134" s="159">
        <f t="shared" ref="J134:J145" si="551">IFERROR(SUM(H134,-I134),"")</f>
        <v>177.79999999999998</v>
      </c>
      <c r="K134" s="175">
        <f>IF(SUM(H134:H136)=0,"",IFERROR(H134/I134,""))</f>
        <v>2.1382842509603073</v>
      </c>
      <c r="L134" s="171">
        <f>SUMIFS(صادرات!$M$4:$M$500,صادرات!$J$4:$J$500,$C134,صادرات!$I$4:$I$500,$A134)+SUMIFS(صادرات!$E$4:$E$500,صادرات!$B$4:$B$500,$C134,صادرات!$A$4:$A$500,$A134)</f>
        <v>0</v>
      </c>
      <c r="M134" s="159">
        <v>0</v>
      </c>
      <c r="N134" s="159">
        <f t="shared" ref="N134:N145" si="552">IFERROR(SUM(L134,-M134),"")</f>
        <v>0</v>
      </c>
      <c r="O134" s="175" t="str">
        <f>IF(SUM(L134:L136)=0,"",IFERROR(L134/M134,""))</f>
        <v/>
      </c>
      <c r="P134" s="171">
        <f>SUMIFS(صادرات!$N$4:$N$500,صادرات!$J$4:$J$500,$C134,صادرات!$I$4:$I$500,$A134)+SUMIFS(صادرات!$F$4:$F$500,صادرات!$B$4:$B$500,$C134,صادرات!$A$4:$A$500,$A134)</f>
        <v>0</v>
      </c>
      <c r="Q134" s="159">
        <v>0</v>
      </c>
      <c r="R134" s="159">
        <f t="shared" ref="R134:R145" si="553">IFERROR(SUM(P134,-Q134),"")</f>
        <v>0</v>
      </c>
      <c r="S134" s="175" t="str">
        <f>IF(SUM(P134:P136)=0,"",IFERROR(P134/Q134,""))</f>
        <v/>
      </c>
      <c r="T134" s="171">
        <f t="shared" si="538"/>
        <v>2936</v>
      </c>
      <c r="U134" s="159">
        <f t="shared" si="539"/>
        <v>1798.2250000000001</v>
      </c>
      <c r="V134" s="159">
        <f t="shared" ref="V134:V145" si="554">IFERROR(SUM(T134,-U134),"")</f>
        <v>1137.7749999999999</v>
      </c>
      <c r="W134" s="175">
        <f t="shared" ref="W134" si="555">IF(SUM(T134:T136)=0,"",IFERROR(T134/U134,""))</f>
        <v>1.6327211555839785</v>
      </c>
      <c r="X134" s="171">
        <f t="shared" si="541"/>
        <v>3334</v>
      </c>
      <c r="Y134" s="159">
        <f t="shared" si="542"/>
        <v>2030.6</v>
      </c>
      <c r="Z134" s="159">
        <f t="shared" ref="Z134:Z145" si="556">IFERROR(SUM(X134,-Y134),"")</f>
        <v>1303.4000000000001</v>
      </c>
      <c r="AA134" s="175">
        <f t="shared" ref="AA134" si="557">IF(SUM(X134:X136)=0,"",IFERROR(X134/Y134,""))</f>
        <v>1.6418792475130504</v>
      </c>
      <c r="AB134" s="171">
        <f t="shared" si="544"/>
        <v>0</v>
      </c>
      <c r="AC134" s="159">
        <f t="shared" si="545"/>
        <v>0</v>
      </c>
      <c r="AD134" s="159">
        <f t="shared" ref="AD134:AD145" si="558">IFERROR(SUM(AB134,-AC134),"")</f>
        <v>0</v>
      </c>
      <c r="AE134" s="175" t="str">
        <f t="shared" ref="AE134" si="559">IF(SUM(AB134:AB136)=0,"",IFERROR(AB134/AC134,""))</f>
        <v/>
      </c>
      <c r="AF134" s="171">
        <f t="shared" si="547"/>
        <v>0</v>
      </c>
      <c r="AG134" s="159">
        <f t="shared" si="548"/>
        <v>0</v>
      </c>
      <c r="AH134" s="159">
        <f t="shared" ref="AH134:AH145" si="560">IFERROR(SUM(AF134,-AG134),"")</f>
        <v>0</v>
      </c>
      <c r="AI134" s="187" t="str">
        <f t="shared" ref="AI134" si="561">IF(SUM(AF134:AF136)=0,"",IFERROR(AF134/AG134,""))</f>
        <v/>
      </c>
      <c r="AJ134" s="157">
        <f t="shared" si="517"/>
        <v>10</v>
      </c>
    </row>
    <row r="135" spans="1:36" ht="24.95" customHeight="1" x14ac:dyDescent="0.25">
      <c r="A135" s="182" t="str">
        <f t="shared" si="318"/>
        <v>ماهیرود</v>
      </c>
      <c r="B135" s="216"/>
      <c r="C135" s="167" t="str">
        <f t="shared" si="410"/>
        <v>بهمن</v>
      </c>
      <c r="D135" s="171">
        <f>SUMIFS(صادرات!$K$4:$K$500,صادرات!$J$4:$J$500,$C135,صادرات!$I$4:$I$500,$A135)+SUMIFS(صادرات!$C$4:$C$500,صادرات!$B$4:$B$500,$C135,صادرات!$A$4:$A$500,$A135)</f>
        <v>212</v>
      </c>
      <c r="E135" s="159">
        <v>138.32500000000002</v>
      </c>
      <c r="F135" s="159">
        <f t="shared" si="550"/>
        <v>73.674999999999983</v>
      </c>
      <c r="G135" s="175">
        <f>IF(SUM(D135:D136)=0,"",IFERROR(D135/E135,""))</f>
        <v>1.5326224471353693</v>
      </c>
      <c r="H135" s="171">
        <f>SUMIFS(صادرات!$L$4:$L$500,صادرات!$J$4:$J$500,$C135,صادرات!$I$4:$I$500,$A135)+SUMIFS(صادرات!$D$4:$D$500,صادرات!$B$4:$B$500,$C135,صادرات!$A$4:$A$500,$A135)</f>
        <v>548</v>
      </c>
      <c r="I135" s="159">
        <v>156.20000000000002</v>
      </c>
      <c r="J135" s="159">
        <f t="shared" si="551"/>
        <v>391.79999999999995</v>
      </c>
      <c r="K135" s="175">
        <f>IF(SUM(H135:H136)=0,"",IFERROR(H135/I135,""))</f>
        <v>3.5083226632522404</v>
      </c>
      <c r="L135" s="171">
        <f>SUMIFS(صادرات!$M$4:$M$500,صادرات!$J$4:$J$500,$C135,صادرات!$I$4:$I$500,$A135)+SUMIFS(صادرات!$E$4:$E$500,صادرات!$B$4:$B$500,$C135,صادرات!$A$4:$A$500,$A135)</f>
        <v>0</v>
      </c>
      <c r="M135" s="159">
        <v>0</v>
      </c>
      <c r="N135" s="159">
        <f t="shared" si="552"/>
        <v>0</v>
      </c>
      <c r="O135" s="175" t="str">
        <f>IF(SUM(L135:L136)=0,"",IFERROR(L135/M135,""))</f>
        <v/>
      </c>
      <c r="P135" s="171">
        <f>SUMIFS(صادرات!$N$4:$N$500,صادرات!$J$4:$J$500,$C135,صادرات!$I$4:$I$500,$A135)+SUMIFS(صادرات!$F$4:$F$500,صادرات!$B$4:$B$500,$C135,صادرات!$A$4:$A$500,$A135)</f>
        <v>0</v>
      </c>
      <c r="Q135" s="159">
        <v>0</v>
      </c>
      <c r="R135" s="159">
        <f t="shared" si="553"/>
        <v>0</v>
      </c>
      <c r="S135" s="175" t="str">
        <f>IF(SUM(P135:P136)=0,"",IFERROR(P135/Q135,""))</f>
        <v/>
      </c>
      <c r="T135" s="171">
        <f t="shared" si="538"/>
        <v>3148</v>
      </c>
      <c r="U135" s="159">
        <f t="shared" si="539"/>
        <v>1936.5500000000002</v>
      </c>
      <c r="V135" s="159">
        <f t="shared" si="554"/>
        <v>1211.4499999999998</v>
      </c>
      <c r="W135" s="175">
        <f t="shared" ref="W135" si="562">IF(SUM(T135:T136)=0,"",IFERROR(T135/U135,""))</f>
        <v>1.6255712478376492</v>
      </c>
      <c r="X135" s="171">
        <f t="shared" si="541"/>
        <v>3882</v>
      </c>
      <c r="Y135" s="159">
        <f t="shared" si="542"/>
        <v>2186.7999999999997</v>
      </c>
      <c r="Z135" s="159">
        <f t="shared" si="556"/>
        <v>1695.2000000000003</v>
      </c>
      <c r="AA135" s="175">
        <f t="shared" ref="AA135" si="563">IF(SUM(X135:X136)=0,"",IFERROR(X135/Y135,""))</f>
        <v>1.7751966343515642</v>
      </c>
      <c r="AB135" s="171">
        <f t="shared" si="544"/>
        <v>0</v>
      </c>
      <c r="AC135" s="159">
        <f t="shared" si="545"/>
        <v>0</v>
      </c>
      <c r="AD135" s="159">
        <f t="shared" si="558"/>
        <v>0</v>
      </c>
      <c r="AE135" s="175" t="str">
        <f t="shared" ref="AE135" si="564">IF(SUM(AB135:AB136)=0,"",IFERROR(AB135/AC135,""))</f>
        <v/>
      </c>
      <c r="AF135" s="171">
        <f t="shared" si="547"/>
        <v>0</v>
      </c>
      <c r="AG135" s="159">
        <f t="shared" si="548"/>
        <v>0</v>
      </c>
      <c r="AH135" s="159">
        <f t="shared" si="560"/>
        <v>0</v>
      </c>
      <c r="AI135" s="187" t="str">
        <f t="shared" ref="AI135" si="565">IF(SUM(AF135:AF136)=0,"",IFERROR(AF135/AG135,""))</f>
        <v/>
      </c>
      <c r="AJ135" s="157">
        <f t="shared" si="517"/>
        <v>11</v>
      </c>
    </row>
    <row r="136" spans="1:36" ht="24.95" customHeight="1" thickBot="1" x14ac:dyDescent="0.3">
      <c r="A136" s="182" t="str">
        <f t="shared" si="318"/>
        <v>ماهیرود</v>
      </c>
      <c r="B136" s="217"/>
      <c r="C136" s="168" t="str">
        <f t="shared" si="410"/>
        <v>اسفند</v>
      </c>
      <c r="D136" s="172">
        <f>SUMIFS(صادرات!$K$4:$K$500,صادرات!$J$4:$J$500,$C136,صادرات!$I$4:$I$500,$A136)+SUMIFS(صادرات!$C$4:$C$500,صادرات!$B$4:$B$500,$C136,صادرات!$A$4:$A$500,$A136)</f>
        <v>166</v>
      </c>
      <c r="E136" s="173">
        <v>138.32500000000002</v>
      </c>
      <c r="F136" s="173">
        <f t="shared" si="550"/>
        <v>27.674999999999983</v>
      </c>
      <c r="G136" s="176">
        <f>IF(SUM(D136)=0,"",IFERROR(D136/E136,""))</f>
        <v>1.2000722935116572</v>
      </c>
      <c r="H136" s="172">
        <f>SUMIFS(صادرات!$L$4:$L$500,صادرات!$J$4:$J$500,$C136,صادرات!$I$4:$I$500,$A136)+SUMIFS(صادرات!$D$4:$D$500,صادرات!$B$4:$B$500,$C136,صادرات!$A$4:$A$500,$A136)</f>
        <v>116</v>
      </c>
      <c r="I136" s="173">
        <v>156.20000000000002</v>
      </c>
      <c r="J136" s="173">
        <f t="shared" si="551"/>
        <v>-40.200000000000017</v>
      </c>
      <c r="K136" s="176">
        <f>IF(SUM(H136)=0,"",IFERROR(H136/I136,""))</f>
        <v>0.74263764404609467</v>
      </c>
      <c r="L136" s="172">
        <f>SUMIFS(صادرات!$M$4:$M$500,صادرات!$J$4:$J$500,$C136,صادرات!$I$4:$I$500,$A136)+SUMIFS(صادرات!$E$4:$E$500,صادرات!$B$4:$B$500,$C136,صادرات!$A$4:$A$500,$A136)</f>
        <v>0</v>
      </c>
      <c r="M136" s="173">
        <v>0</v>
      </c>
      <c r="N136" s="173">
        <f t="shared" si="552"/>
        <v>0</v>
      </c>
      <c r="O136" s="176" t="str">
        <f>IF(SUM(L136)=0,"",IFERROR(L136/M136,""))</f>
        <v/>
      </c>
      <c r="P136" s="172">
        <f>SUMIFS(صادرات!$N$4:$N$500,صادرات!$J$4:$J$500,$C136,صادرات!$I$4:$I$500,$A136)+SUMIFS(صادرات!$F$4:$F$500,صادرات!$B$4:$B$500,$C136,صادرات!$A$4:$A$500,$A136)</f>
        <v>0</v>
      </c>
      <c r="Q136" s="173">
        <v>0</v>
      </c>
      <c r="R136" s="173">
        <f t="shared" si="553"/>
        <v>0</v>
      </c>
      <c r="S136" s="176" t="str">
        <f>IF(SUM(P136)=0,"",IFERROR(P136/Q136,""))</f>
        <v/>
      </c>
      <c r="T136" s="172">
        <f t="shared" si="538"/>
        <v>3314</v>
      </c>
      <c r="U136" s="173">
        <f t="shared" si="539"/>
        <v>2074.875</v>
      </c>
      <c r="V136" s="173">
        <f t="shared" si="554"/>
        <v>1239.125</v>
      </c>
      <c r="W136" s="176">
        <f t="shared" ref="W136" si="566">IF(SUM(T136)=0,"",IFERROR(T136/U136,""))</f>
        <v>1.5972046508825832</v>
      </c>
      <c r="X136" s="172">
        <f t="shared" si="541"/>
        <v>3998</v>
      </c>
      <c r="Y136" s="173">
        <f t="shared" si="542"/>
        <v>2342.9999999999995</v>
      </c>
      <c r="Z136" s="173">
        <f t="shared" si="556"/>
        <v>1655.0000000000005</v>
      </c>
      <c r="AA136" s="176">
        <f t="shared" ref="AA136" si="567">IF(SUM(X136)=0,"",IFERROR(X136/Y136,""))</f>
        <v>1.7063593683311997</v>
      </c>
      <c r="AB136" s="172">
        <f t="shared" si="544"/>
        <v>0</v>
      </c>
      <c r="AC136" s="173">
        <f t="shared" si="545"/>
        <v>0</v>
      </c>
      <c r="AD136" s="173">
        <f t="shared" si="558"/>
        <v>0</v>
      </c>
      <c r="AE136" s="176" t="str">
        <f t="shared" ref="AE136" si="568">IF(SUM(AB136)=0,"",IFERROR(AB136/AC136,""))</f>
        <v/>
      </c>
      <c r="AF136" s="172">
        <f t="shared" si="547"/>
        <v>0</v>
      </c>
      <c r="AG136" s="173">
        <f t="shared" si="548"/>
        <v>0</v>
      </c>
      <c r="AH136" s="173">
        <f t="shared" si="560"/>
        <v>0</v>
      </c>
      <c r="AI136" s="188" t="str">
        <f t="shared" ref="AI136" si="569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>IF(B137="",A136,B137)</f>
        <v>باجگیران</v>
      </c>
      <c r="B137" s="215" t="str">
        <f>'مقایسه بودجه- واردات'!B137:B148</f>
        <v>باجگیران</v>
      </c>
      <c r="C137" s="166" t="str">
        <f>C125</f>
        <v>فروردین</v>
      </c>
      <c r="D137" s="170">
        <f>SUMIFS(صادرات!$K$4:$K$500,صادرات!$J$4:$J$500,$C137,صادرات!$I$4:$I$500,$A137)+SUMIFS(صادرات!$C$4:$C$500,صادرات!$B$4:$B$500,$C137,صادرات!$A$4:$A$500,$A137)</f>
        <v>0</v>
      </c>
      <c r="E137" s="160"/>
      <c r="F137" s="160">
        <f t="shared" si="550"/>
        <v>0</v>
      </c>
      <c r="G137" s="185" t="str">
        <f>IF(SUM(D137:D148)=0,"",IFERROR(D137/E137,""))</f>
        <v/>
      </c>
      <c r="H137" s="170">
        <f>SUMIFS(صادرات!$L$4:$L$500,صادرات!$J$4:$J$500,$C137,صادرات!$I$4:$I$500,$A137)+SUMIFS(صادرات!$D$4:$D$500,صادرات!$B$4:$B$500,$C137,صادرات!$A$4:$A$500,$A137)</f>
        <v>0</v>
      </c>
      <c r="I137" s="160"/>
      <c r="J137" s="160">
        <f t="shared" si="551"/>
        <v>0</v>
      </c>
      <c r="K137" s="185" t="str">
        <f>IF(SUM(H137:H148)=0,"",IFERROR(H137/I137,""))</f>
        <v/>
      </c>
      <c r="L137" s="170">
        <f>SUMIFS(صادرات!$M$4:$M$500,صادرات!$J$4:$J$500,$C137,صادرات!$I$4:$I$500,$A137)+SUMIFS(صادرات!$E$4:$E$500,صادرات!$B$4:$B$500,$C137,صادرات!$A$4:$A$500,$A137)</f>
        <v>0</v>
      </c>
      <c r="M137" s="160">
        <v>0</v>
      </c>
      <c r="N137" s="160">
        <f t="shared" si="552"/>
        <v>0</v>
      </c>
      <c r="O137" s="185" t="str">
        <f>IF(SUM(L137:L148)=0,"",IFERROR(L137/M137,""))</f>
        <v/>
      </c>
      <c r="P137" s="170">
        <f>SUMIFS(صادرات!$N$4:$N$500,صادرات!$J$4:$J$500,$C137,صادرات!$I$4:$I$500,$A137)+SUMIFS(صادرات!$F$4:$F$500,صادرات!$B$4:$B$500,$C137,صادرات!$A$4:$A$500,$A137)</f>
        <v>0</v>
      </c>
      <c r="Q137" s="160">
        <v>0</v>
      </c>
      <c r="R137" s="160">
        <f t="shared" si="553"/>
        <v>0</v>
      </c>
      <c r="S137" s="185" t="str">
        <f>IF(SUM(P137:P148)=0,"",IFERROR(P137/Q137,""))</f>
        <v/>
      </c>
      <c r="T137" s="183">
        <f t="shared" si="538"/>
        <v>0</v>
      </c>
      <c r="U137" s="160">
        <f t="shared" si="539"/>
        <v>0</v>
      </c>
      <c r="V137" s="160">
        <f t="shared" si="554"/>
        <v>0</v>
      </c>
      <c r="W137" s="185" t="str">
        <f t="shared" ref="W137" si="570">IF(SUM(T137:T148)=0,"",IFERROR(T137/U137,""))</f>
        <v/>
      </c>
      <c r="X137" s="183">
        <f t="shared" si="541"/>
        <v>0</v>
      </c>
      <c r="Y137" s="160">
        <f t="shared" si="542"/>
        <v>0</v>
      </c>
      <c r="Z137" s="160">
        <f t="shared" si="556"/>
        <v>0</v>
      </c>
      <c r="AA137" s="185" t="str">
        <f t="shared" ref="AA137" si="571">IF(SUM(X137:X148)=0,"",IFERROR(X137/Y137,""))</f>
        <v/>
      </c>
      <c r="AB137" s="183">
        <f t="shared" si="544"/>
        <v>0</v>
      </c>
      <c r="AC137" s="160">
        <f t="shared" si="545"/>
        <v>0</v>
      </c>
      <c r="AD137" s="160">
        <f t="shared" si="558"/>
        <v>0</v>
      </c>
      <c r="AE137" s="185" t="str">
        <f t="shared" ref="AE137" si="572">IF(SUM(AB137:AB148)=0,"",IFERROR(AB137/AC137,""))</f>
        <v/>
      </c>
      <c r="AF137" s="183">
        <f t="shared" si="547"/>
        <v>0</v>
      </c>
      <c r="AG137" s="160">
        <f t="shared" si="548"/>
        <v>0</v>
      </c>
      <c r="AH137" s="160">
        <f t="shared" si="560"/>
        <v>0</v>
      </c>
      <c r="AI137" s="186" t="str">
        <f t="shared" ref="AI137" si="573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ref="A138:A148" si="574">IF(B138="",A137,B138)</f>
        <v>باجگیران</v>
      </c>
      <c r="B138" s="216"/>
      <c r="C138" s="167" t="str">
        <f t="shared" si="410"/>
        <v>اردیبهشت</v>
      </c>
      <c r="D138" s="171">
        <f>SUMIFS(صادرات!$K$4:$K$500,صادرات!$J$4:$J$500,$C138,صادرات!$I$4:$I$500,$A138)+SUMIFS(صادرات!$C$4:$C$500,صادرات!$B$4:$B$500,$C138,صادرات!$A$4:$A$500,$A138)</f>
        <v>0</v>
      </c>
      <c r="E138" s="159"/>
      <c r="F138" s="159">
        <f t="shared" si="550"/>
        <v>0</v>
      </c>
      <c r="G138" s="175" t="str">
        <f>IF(SUM(D138:D148)=0,"",IFERROR(D138/E138,""))</f>
        <v/>
      </c>
      <c r="H138" s="171">
        <f>SUMIFS(صادرات!$L$4:$L$500,صادرات!$J$4:$J$500,$C138,صادرات!$I$4:$I$500,$A138)+SUMIFS(صادرات!$D$4:$D$500,صادرات!$B$4:$B$500,$C138,صادرات!$A$4:$A$500,$A138)</f>
        <v>0</v>
      </c>
      <c r="I138" s="159"/>
      <c r="J138" s="159">
        <f t="shared" si="551"/>
        <v>0</v>
      </c>
      <c r="K138" s="175" t="str">
        <f>IF(SUM(H138:H148)=0,"",IFERROR(H138/I138,""))</f>
        <v/>
      </c>
      <c r="L138" s="171">
        <f>SUMIFS(صادرات!$M$4:$M$500,صادرات!$J$4:$J$500,$C138,صادرات!$I$4:$I$500,$A138)+SUMIFS(صادرات!$E$4:$E$500,صادرات!$B$4:$B$500,$C138,صادرات!$A$4:$A$500,$A138)</f>
        <v>0</v>
      </c>
      <c r="M138" s="159">
        <v>0</v>
      </c>
      <c r="N138" s="159">
        <f t="shared" si="552"/>
        <v>0</v>
      </c>
      <c r="O138" s="175" t="str">
        <f>IF(SUM(L138:L148)=0,"",IFERROR(L138/M138,""))</f>
        <v/>
      </c>
      <c r="P138" s="171">
        <f>SUMIFS(صادرات!$N$4:$N$500,صادرات!$J$4:$J$500,$C138,صادرات!$I$4:$I$500,$A138)+SUMIFS(صادرات!$F$4:$F$500,صادرات!$B$4:$B$500,$C138,صادرات!$A$4:$A$500,$A138)</f>
        <v>0</v>
      </c>
      <c r="Q138" s="159">
        <v>0</v>
      </c>
      <c r="R138" s="159">
        <f t="shared" si="553"/>
        <v>0</v>
      </c>
      <c r="S138" s="175" t="str">
        <f>IF(SUM(P138:P148)=0,"",IFERROR(P138/Q138,""))</f>
        <v/>
      </c>
      <c r="T138" s="171">
        <f t="shared" si="538"/>
        <v>0</v>
      </c>
      <c r="U138" s="159">
        <f t="shared" si="539"/>
        <v>0</v>
      </c>
      <c r="V138" s="159">
        <f t="shared" si="554"/>
        <v>0</v>
      </c>
      <c r="W138" s="175" t="str">
        <f t="shared" ref="W138" si="575">IF(SUM(T138:T148)=0,"",IFERROR(T138/U138,""))</f>
        <v/>
      </c>
      <c r="X138" s="171">
        <f t="shared" si="541"/>
        <v>0</v>
      </c>
      <c r="Y138" s="159">
        <f t="shared" si="542"/>
        <v>0</v>
      </c>
      <c r="Z138" s="159">
        <f t="shared" si="556"/>
        <v>0</v>
      </c>
      <c r="AA138" s="175" t="str">
        <f t="shared" ref="AA138" si="576">IF(SUM(X138:X148)=0,"",IFERROR(X138/Y138,""))</f>
        <v/>
      </c>
      <c r="AB138" s="171">
        <f t="shared" si="544"/>
        <v>0</v>
      </c>
      <c r="AC138" s="159">
        <f t="shared" si="545"/>
        <v>0</v>
      </c>
      <c r="AD138" s="159">
        <f t="shared" si="558"/>
        <v>0</v>
      </c>
      <c r="AE138" s="175" t="str">
        <f t="shared" ref="AE138" si="577">IF(SUM(AB138:AB148)=0,"",IFERROR(AB138/AC138,""))</f>
        <v/>
      </c>
      <c r="AF138" s="171">
        <f t="shared" si="547"/>
        <v>0</v>
      </c>
      <c r="AG138" s="159">
        <f t="shared" si="548"/>
        <v>0</v>
      </c>
      <c r="AH138" s="159">
        <f t="shared" si="560"/>
        <v>0</v>
      </c>
      <c r="AI138" s="187" t="str">
        <f t="shared" ref="AI138" si="578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74"/>
        <v>باجگیران</v>
      </c>
      <c r="B139" s="216"/>
      <c r="C139" s="167" t="str">
        <f t="shared" si="410"/>
        <v>خرداد</v>
      </c>
      <c r="D139" s="171">
        <f>SUMIFS(صادرات!$K$4:$K$500,صادرات!$J$4:$J$500,$C139,صادرات!$I$4:$I$500,$A139)+SUMIFS(صادرات!$C$4:$C$500,صادرات!$B$4:$B$500,$C139,صادرات!$A$4:$A$500,$A139)</f>
        <v>0</v>
      </c>
      <c r="E139" s="159"/>
      <c r="F139" s="159">
        <f t="shared" si="550"/>
        <v>0</v>
      </c>
      <c r="G139" s="175" t="str">
        <f>IF(SUM(D139:D148)=0,"",IFERROR(D139/E139,""))</f>
        <v/>
      </c>
      <c r="H139" s="171">
        <f>SUMIFS(صادرات!$L$4:$L$500,صادرات!$J$4:$J$500,$C139,صادرات!$I$4:$I$500,$A139)+SUMIFS(صادرات!$D$4:$D$500,صادرات!$B$4:$B$500,$C139,صادرات!$A$4:$A$500,$A139)</f>
        <v>0</v>
      </c>
      <c r="I139" s="159"/>
      <c r="J139" s="159">
        <f t="shared" si="551"/>
        <v>0</v>
      </c>
      <c r="K139" s="175" t="str">
        <f>IF(SUM(H139:H148)=0,"",IFERROR(H139/I139,""))</f>
        <v/>
      </c>
      <c r="L139" s="171">
        <f>SUMIFS(صادرات!$M$4:$M$500,صادرات!$J$4:$J$500,$C139,صادرات!$I$4:$I$500,$A139)+SUMIFS(صادرات!$E$4:$E$500,صادرات!$B$4:$B$500,$C139,صادرات!$A$4:$A$500,$A139)</f>
        <v>0</v>
      </c>
      <c r="M139" s="159">
        <v>0</v>
      </c>
      <c r="N139" s="159">
        <f t="shared" si="552"/>
        <v>0</v>
      </c>
      <c r="O139" s="175" t="str">
        <f>IF(SUM(L139:L148)=0,"",IFERROR(L139/M139,""))</f>
        <v/>
      </c>
      <c r="P139" s="171">
        <f>SUMIFS(صادرات!$N$4:$N$500,صادرات!$J$4:$J$500,$C139,صادرات!$I$4:$I$500,$A139)+SUMIFS(صادرات!$F$4:$F$500,صادرات!$B$4:$B$500,$C139,صادرات!$A$4:$A$500,$A139)</f>
        <v>0</v>
      </c>
      <c r="Q139" s="159">
        <v>0</v>
      </c>
      <c r="R139" s="159">
        <f t="shared" si="553"/>
        <v>0</v>
      </c>
      <c r="S139" s="175" t="str">
        <f>IF(SUM(P139:P148)=0,"",IFERROR(P139/Q139,""))</f>
        <v/>
      </c>
      <c r="T139" s="171">
        <f t="shared" si="538"/>
        <v>0</v>
      </c>
      <c r="U139" s="159">
        <f t="shared" si="539"/>
        <v>0</v>
      </c>
      <c r="V139" s="159">
        <f t="shared" si="554"/>
        <v>0</v>
      </c>
      <c r="W139" s="175" t="str">
        <f t="shared" ref="W139" si="579">IF(SUM(T139:T148)=0,"",IFERROR(T139/U139,""))</f>
        <v/>
      </c>
      <c r="X139" s="171">
        <f t="shared" si="541"/>
        <v>0</v>
      </c>
      <c r="Y139" s="159">
        <f t="shared" si="542"/>
        <v>0</v>
      </c>
      <c r="Z139" s="159">
        <f t="shared" si="556"/>
        <v>0</v>
      </c>
      <c r="AA139" s="175" t="str">
        <f t="shared" ref="AA139" si="580">IF(SUM(X139:X148)=0,"",IFERROR(X139/Y139,""))</f>
        <v/>
      </c>
      <c r="AB139" s="171">
        <f t="shared" si="544"/>
        <v>0</v>
      </c>
      <c r="AC139" s="159">
        <f t="shared" si="545"/>
        <v>0</v>
      </c>
      <c r="AD139" s="159">
        <f t="shared" si="558"/>
        <v>0</v>
      </c>
      <c r="AE139" s="175" t="str">
        <f t="shared" ref="AE139" si="581">IF(SUM(AB139:AB148)=0,"",IFERROR(AB139/AC139,""))</f>
        <v/>
      </c>
      <c r="AF139" s="171">
        <f t="shared" si="547"/>
        <v>0</v>
      </c>
      <c r="AG139" s="159">
        <f t="shared" si="548"/>
        <v>0</v>
      </c>
      <c r="AH139" s="159">
        <f t="shared" si="560"/>
        <v>0</v>
      </c>
      <c r="AI139" s="187" t="str">
        <f t="shared" ref="AI139" si="582">IF(SUM(AF139:AF148)=0,"",IFERROR(AF139/AG139,""))</f>
        <v/>
      </c>
      <c r="AJ139" s="157">
        <f t="shared" ref="AJ139:AJ147" si="583">AJ138+1</f>
        <v>3</v>
      </c>
    </row>
    <row r="140" spans="1:36" ht="24.95" customHeight="1" x14ac:dyDescent="0.25">
      <c r="A140" s="182" t="str">
        <f t="shared" si="574"/>
        <v>باجگیران</v>
      </c>
      <c r="B140" s="216"/>
      <c r="C140" s="167" t="str">
        <f t="shared" si="410"/>
        <v>تیر</v>
      </c>
      <c r="D140" s="171">
        <f>SUMIFS(صادرات!$K$4:$K$500,صادرات!$J$4:$J$500,$C140,صادرات!$I$4:$I$500,$A140)+SUMIFS(صادرات!$C$4:$C$500,صادرات!$B$4:$B$500,$C140,صادرات!$A$4:$A$500,$A140)</f>
        <v>0</v>
      </c>
      <c r="E140" s="159"/>
      <c r="F140" s="159">
        <f t="shared" si="550"/>
        <v>0</v>
      </c>
      <c r="G140" s="175" t="str">
        <f>IF(SUM(D140:D148)=0,"",IFERROR(D140/E140,""))</f>
        <v/>
      </c>
      <c r="H140" s="171">
        <f>SUMIFS(صادرات!$L$4:$L$500,صادرات!$J$4:$J$500,$C140,صادرات!$I$4:$I$500,$A140)+SUMIFS(صادرات!$D$4:$D$500,صادرات!$B$4:$B$500,$C140,صادرات!$A$4:$A$500,$A140)</f>
        <v>0</v>
      </c>
      <c r="I140" s="159"/>
      <c r="J140" s="159">
        <f t="shared" si="551"/>
        <v>0</v>
      </c>
      <c r="K140" s="175" t="str">
        <f>IF(SUM(H140:H148)=0,"",IFERROR(H140/I140,""))</f>
        <v/>
      </c>
      <c r="L140" s="171">
        <f>SUMIFS(صادرات!$M$4:$M$500,صادرات!$J$4:$J$500,$C140,صادرات!$I$4:$I$500,$A140)+SUMIFS(صادرات!$E$4:$E$500,صادرات!$B$4:$B$500,$C140,صادرات!$A$4:$A$500,$A140)</f>
        <v>0</v>
      </c>
      <c r="M140" s="159">
        <v>0</v>
      </c>
      <c r="N140" s="159">
        <f t="shared" si="552"/>
        <v>0</v>
      </c>
      <c r="O140" s="175" t="str">
        <f>IF(SUM(L140:L148)=0,"",IFERROR(L140/M140,""))</f>
        <v/>
      </c>
      <c r="P140" s="171">
        <f>SUMIFS(صادرات!$N$4:$N$500,صادرات!$J$4:$J$500,$C140,صادرات!$I$4:$I$500,$A140)+SUMIFS(صادرات!$F$4:$F$500,صادرات!$B$4:$B$500,$C140,صادرات!$A$4:$A$500,$A140)</f>
        <v>0</v>
      </c>
      <c r="Q140" s="159">
        <v>0</v>
      </c>
      <c r="R140" s="159">
        <f t="shared" si="553"/>
        <v>0</v>
      </c>
      <c r="S140" s="175" t="str">
        <f>IF(SUM(P140:P148)=0,"",IFERROR(P140/Q140,""))</f>
        <v/>
      </c>
      <c r="T140" s="171">
        <f t="shared" si="538"/>
        <v>0</v>
      </c>
      <c r="U140" s="159">
        <f t="shared" si="539"/>
        <v>0</v>
      </c>
      <c r="V140" s="159">
        <f t="shared" si="554"/>
        <v>0</v>
      </c>
      <c r="W140" s="175" t="str">
        <f t="shared" ref="W140" si="584">IF(SUM(T140:T148)=0,"",IFERROR(T140/U140,""))</f>
        <v/>
      </c>
      <c r="X140" s="171">
        <f t="shared" si="541"/>
        <v>0</v>
      </c>
      <c r="Y140" s="159">
        <f t="shared" si="542"/>
        <v>0</v>
      </c>
      <c r="Z140" s="159">
        <f t="shared" si="556"/>
        <v>0</v>
      </c>
      <c r="AA140" s="175" t="str">
        <f t="shared" ref="AA140" si="585">IF(SUM(X140:X148)=0,"",IFERROR(X140/Y140,""))</f>
        <v/>
      </c>
      <c r="AB140" s="171">
        <f t="shared" si="544"/>
        <v>0</v>
      </c>
      <c r="AC140" s="159">
        <f t="shared" si="545"/>
        <v>0</v>
      </c>
      <c r="AD140" s="159">
        <f t="shared" si="558"/>
        <v>0</v>
      </c>
      <c r="AE140" s="175" t="str">
        <f t="shared" ref="AE140" si="586">IF(SUM(AB140:AB148)=0,"",IFERROR(AB140/AC140,""))</f>
        <v/>
      </c>
      <c r="AF140" s="171">
        <f t="shared" si="547"/>
        <v>0</v>
      </c>
      <c r="AG140" s="159">
        <f t="shared" si="548"/>
        <v>0</v>
      </c>
      <c r="AH140" s="159">
        <f t="shared" si="560"/>
        <v>0</v>
      </c>
      <c r="AI140" s="187" t="str">
        <f t="shared" ref="AI140" si="587">IF(SUM(AF140:AF148)=0,"",IFERROR(AF140/AG140,""))</f>
        <v/>
      </c>
      <c r="AJ140" s="157">
        <f t="shared" si="583"/>
        <v>4</v>
      </c>
    </row>
    <row r="141" spans="1:36" ht="24.95" customHeight="1" x14ac:dyDescent="0.25">
      <c r="A141" s="182" t="str">
        <f t="shared" si="574"/>
        <v>باجگیران</v>
      </c>
      <c r="B141" s="216"/>
      <c r="C141" s="167" t="str">
        <f t="shared" si="410"/>
        <v>مرداد</v>
      </c>
      <c r="D141" s="171">
        <f>SUMIFS(صادرات!$K$4:$K$500,صادرات!$J$4:$J$500,$C141,صادرات!$I$4:$I$500,$A141)+SUMIFS(صادرات!$C$4:$C$500,صادرات!$B$4:$B$500,$C141,صادرات!$A$4:$A$500,$A141)</f>
        <v>0</v>
      </c>
      <c r="E141" s="159"/>
      <c r="F141" s="159">
        <f t="shared" si="550"/>
        <v>0</v>
      </c>
      <c r="G141" s="175" t="str">
        <f>IF(SUM(D141:D148)=0,"",IFERROR(D141/E141,""))</f>
        <v/>
      </c>
      <c r="H141" s="171">
        <f>SUMIFS(صادرات!$L$4:$L$500,صادرات!$J$4:$J$500,$C141,صادرات!$I$4:$I$500,$A141)+SUMIFS(صادرات!$D$4:$D$500,صادرات!$B$4:$B$500,$C141,صادرات!$A$4:$A$500,$A141)</f>
        <v>0</v>
      </c>
      <c r="I141" s="159"/>
      <c r="J141" s="159">
        <f t="shared" si="551"/>
        <v>0</v>
      </c>
      <c r="K141" s="175" t="str">
        <f>IF(SUM(H141:H148)=0,"",IFERROR(H141/I141,""))</f>
        <v/>
      </c>
      <c r="L141" s="171">
        <f>SUMIFS(صادرات!$M$4:$M$500,صادرات!$J$4:$J$500,$C141,صادرات!$I$4:$I$500,$A141)+SUMIFS(صادرات!$E$4:$E$500,صادرات!$B$4:$B$500,$C141,صادرات!$A$4:$A$500,$A141)</f>
        <v>0</v>
      </c>
      <c r="M141" s="159">
        <v>0</v>
      </c>
      <c r="N141" s="159">
        <f t="shared" si="552"/>
        <v>0</v>
      </c>
      <c r="O141" s="175" t="str">
        <f>IF(SUM(L141:L148)=0,"",IFERROR(L141/M141,""))</f>
        <v/>
      </c>
      <c r="P141" s="171">
        <f>SUMIFS(صادرات!$N$4:$N$500,صادرات!$J$4:$J$500,$C141,صادرات!$I$4:$I$500,$A141)+SUMIFS(صادرات!$F$4:$F$500,صادرات!$B$4:$B$500,$C141,صادرات!$A$4:$A$500,$A141)</f>
        <v>0</v>
      </c>
      <c r="Q141" s="159">
        <v>0</v>
      </c>
      <c r="R141" s="159">
        <f t="shared" si="553"/>
        <v>0</v>
      </c>
      <c r="S141" s="175" t="str">
        <f>IF(SUM(P141:P148)=0,"",IFERROR(P141/Q141,""))</f>
        <v/>
      </c>
      <c r="T141" s="171">
        <f t="shared" si="538"/>
        <v>0</v>
      </c>
      <c r="U141" s="159">
        <f t="shared" si="539"/>
        <v>0</v>
      </c>
      <c r="V141" s="159">
        <f t="shared" si="554"/>
        <v>0</v>
      </c>
      <c r="W141" s="175" t="str">
        <f t="shared" ref="W141" si="588">IF(SUM(T141:T148)=0,"",IFERROR(T141/U141,""))</f>
        <v/>
      </c>
      <c r="X141" s="171">
        <f t="shared" si="541"/>
        <v>0</v>
      </c>
      <c r="Y141" s="159">
        <f t="shared" si="542"/>
        <v>0</v>
      </c>
      <c r="Z141" s="159">
        <f t="shared" si="556"/>
        <v>0</v>
      </c>
      <c r="AA141" s="175" t="str">
        <f t="shared" ref="AA141" si="589">IF(SUM(X141:X148)=0,"",IFERROR(X141/Y141,""))</f>
        <v/>
      </c>
      <c r="AB141" s="171">
        <f t="shared" si="544"/>
        <v>0</v>
      </c>
      <c r="AC141" s="159">
        <f t="shared" si="545"/>
        <v>0</v>
      </c>
      <c r="AD141" s="159">
        <f t="shared" si="558"/>
        <v>0</v>
      </c>
      <c r="AE141" s="175" t="str">
        <f t="shared" ref="AE141" si="590">IF(SUM(AB141:AB148)=0,"",IFERROR(AB141/AC141,""))</f>
        <v/>
      </c>
      <c r="AF141" s="171">
        <f t="shared" si="547"/>
        <v>0</v>
      </c>
      <c r="AG141" s="159">
        <f t="shared" si="548"/>
        <v>0</v>
      </c>
      <c r="AH141" s="159">
        <f t="shared" si="560"/>
        <v>0</v>
      </c>
      <c r="AI141" s="187" t="str">
        <f t="shared" ref="AI141" si="591">IF(SUM(AF141:AF148)=0,"",IFERROR(AF141/AG141,""))</f>
        <v/>
      </c>
      <c r="AJ141" s="157">
        <f t="shared" si="583"/>
        <v>5</v>
      </c>
    </row>
    <row r="142" spans="1:36" ht="24.95" customHeight="1" x14ac:dyDescent="0.25">
      <c r="A142" s="182" t="str">
        <f t="shared" si="574"/>
        <v>باجگیران</v>
      </c>
      <c r="B142" s="216"/>
      <c r="C142" s="167" t="str">
        <f t="shared" si="410"/>
        <v>شهریور</v>
      </c>
      <c r="D142" s="171">
        <f>SUMIFS(صادرات!$K$4:$K$500,صادرات!$J$4:$J$500,$C142,صادرات!$I$4:$I$500,$A142)+SUMIFS(صادرات!$C$4:$C$500,صادرات!$B$4:$B$500,$C142,صادرات!$A$4:$A$500,$A142)</f>
        <v>0</v>
      </c>
      <c r="E142" s="159"/>
      <c r="F142" s="159">
        <f t="shared" si="550"/>
        <v>0</v>
      </c>
      <c r="G142" s="175" t="str">
        <f>IF(SUM(D142:D148)=0,"",IFERROR(D142/E142,""))</f>
        <v/>
      </c>
      <c r="H142" s="171">
        <f>SUMIFS(صادرات!$L$4:$L$500,صادرات!$J$4:$J$500,$C142,صادرات!$I$4:$I$500,$A142)+SUMIFS(صادرات!$D$4:$D$500,صادرات!$B$4:$B$500,$C142,صادرات!$A$4:$A$500,$A142)</f>
        <v>0</v>
      </c>
      <c r="I142" s="159"/>
      <c r="J142" s="159">
        <f t="shared" si="551"/>
        <v>0</v>
      </c>
      <c r="K142" s="175" t="str">
        <f>IF(SUM(H142:H148)=0,"",IFERROR(H142/I142,""))</f>
        <v/>
      </c>
      <c r="L142" s="171">
        <f>SUMIFS(صادرات!$M$4:$M$500,صادرات!$J$4:$J$500,$C142,صادرات!$I$4:$I$500,$A142)+SUMIFS(صادرات!$E$4:$E$500,صادرات!$B$4:$B$500,$C142,صادرات!$A$4:$A$500,$A142)</f>
        <v>0</v>
      </c>
      <c r="M142" s="159">
        <v>0</v>
      </c>
      <c r="N142" s="159">
        <f t="shared" si="552"/>
        <v>0</v>
      </c>
      <c r="O142" s="175" t="str">
        <f>IF(SUM(L142:L148)=0,"",IFERROR(L142/M142,""))</f>
        <v/>
      </c>
      <c r="P142" s="171">
        <f>SUMIFS(صادرات!$N$4:$N$500,صادرات!$J$4:$J$500,$C142,صادرات!$I$4:$I$500,$A142)+SUMIFS(صادرات!$F$4:$F$500,صادرات!$B$4:$B$500,$C142,صادرات!$A$4:$A$500,$A142)</f>
        <v>0</v>
      </c>
      <c r="Q142" s="159">
        <v>0</v>
      </c>
      <c r="R142" s="159">
        <f t="shared" si="553"/>
        <v>0</v>
      </c>
      <c r="S142" s="175" t="str">
        <f>IF(SUM(P142:P148)=0,"",IFERROR(P142/Q142,""))</f>
        <v/>
      </c>
      <c r="T142" s="171">
        <f t="shared" si="538"/>
        <v>0</v>
      </c>
      <c r="U142" s="159">
        <f t="shared" si="539"/>
        <v>0</v>
      </c>
      <c r="V142" s="159">
        <f t="shared" si="554"/>
        <v>0</v>
      </c>
      <c r="W142" s="175" t="str">
        <f t="shared" ref="W142" si="592">IF(SUM(T142:T148)=0,"",IFERROR(T142/U142,""))</f>
        <v/>
      </c>
      <c r="X142" s="171">
        <f t="shared" si="541"/>
        <v>0</v>
      </c>
      <c r="Y142" s="159">
        <f t="shared" si="542"/>
        <v>0</v>
      </c>
      <c r="Z142" s="159">
        <f t="shared" si="556"/>
        <v>0</v>
      </c>
      <c r="AA142" s="175" t="str">
        <f t="shared" ref="AA142" si="593">IF(SUM(X142:X148)=0,"",IFERROR(X142/Y142,""))</f>
        <v/>
      </c>
      <c r="AB142" s="171">
        <f t="shared" si="544"/>
        <v>0</v>
      </c>
      <c r="AC142" s="159">
        <f t="shared" si="545"/>
        <v>0</v>
      </c>
      <c r="AD142" s="159">
        <f t="shared" si="558"/>
        <v>0</v>
      </c>
      <c r="AE142" s="175" t="str">
        <f t="shared" ref="AE142" si="594">IF(SUM(AB142:AB148)=0,"",IFERROR(AB142/AC142,""))</f>
        <v/>
      </c>
      <c r="AF142" s="171">
        <f t="shared" si="547"/>
        <v>0</v>
      </c>
      <c r="AG142" s="159">
        <f t="shared" si="548"/>
        <v>0</v>
      </c>
      <c r="AH142" s="159">
        <f t="shared" si="560"/>
        <v>0</v>
      </c>
      <c r="AI142" s="187" t="str">
        <f t="shared" ref="AI142" si="595">IF(SUM(AF142:AF148)=0,"",IFERROR(AF142/AG142,""))</f>
        <v/>
      </c>
      <c r="AJ142" s="157">
        <f t="shared" si="583"/>
        <v>6</v>
      </c>
    </row>
    <row r="143" spans="1:36" ht="24.95" customHeight="1" x14ac:dyDescent="0.25">
      <c r="A143" s="182" t="str">
        <f t="shared" si="574"/>
        <v>باجگیران</v>
      </c>
      <c r="B143" s="216"/>
      <c r="C143" s="167" t="str">
        <f t="shared" si="410"/>
        <v>مهر</v>
      </c>
      <c r="D143" s="171">
        <f>SUMIFS(صادرات!$K$4:$K$500,صادرات!$J$4:$J$500,$C143,صادرات!$I$4:$I$500,$A143)+SUMIFS(صادرات!$C$4:$C$500,صادرات!$B$4:$B$500,$C143,صادرات!$A$4:$A$500,$A143)</f>
        <v>0</v>
      </c>
      <c r="E143" s="159"/>
      <c r="F143" s="159">
        <f t="shared" si="550"/>
        <v>0</v>
      </c>
      <c r="G143" s="175" t="str">
        <f>IF(SUM(D143:D148)=0,"",IFERROR(D143/E143,""))</f>
        <v/>
      </c>
      <c r="H143" s="171">
        <f>SUMIFS(صادرات!$L$4:$L$500,صادرات!$J$4:$J$500,$C143,صادرات!$I$4:$I$500,$A143)+SUMIFS(صادرات!$D$4:$D$500,صادرات!$B$4:$B$500,$C143,صادرات!$A$4:$A$500,$A143)</f>
        <v>0</v>
      </c>
      <c r="I143" s="159"/>
      <c r="J143" s="159">
        <f t="shared" si="551"/>
        <v>0</v>
      </c>
      <c r="K143" s="175" t="str">
        <f>IF(SUM(H143:H148)=0,"",IFERROR(H143/I143,""))</f>
        <v/>
      </c>
      <c r="L143" s="171">
        <f>SUMIFS(صادرات!$M$4:$M$500,صادرات!$J$4:$J$500,$C143,صادرات!$I$4:$I$500,$A143)+SUMIFS(صادرات!$E$4:$E$500,صادرات!$B$4:$B$500,$C143,صادرات!$A$4:$A$500,$A143)</f>
        <v>0</v>
      </c>
      <c r="M143" s="159">
        <v>0</v>
      </c>
      <c r="N143" s="159">
        <f t="shared" si="552"/>
        <v>0</v>
      </c>
      <c r="O143" s="175" t="str">
        <f>IF(SUM(L143:L148)=0,"",IFERROR(L143/M143,""))</f>
        <v/>
      </c>
      <c r="P143" s="171">
        <f>SUMIFS(صادرات!$N$4:$N$500,صادرات!$J$4:$J$500,$C143,صادرات!$I$4:$I$500,$A143)+SUMIFS(صادرات!$F$4:$F$500,صادرات!$B$4:$B$500,$C143,صادرات!$A$4:$A$500,$A143)</f>
        <v>0</v>
      </c>
      <c r="Q143" s="159">
        <v>0</v>
      </c>
      <c r="R143" s="159">
        <f t="shared" si="553"/>
        <v>0</v>
      </c>
      <c r="S143" s="175" t="str">
        <f>IF(SUM(P143:P148)=0,"",IFERROR(P143/Q143,""))</f>
        <v/>
      </c>
      <c r="T143" s="171">
        <f t="shared" si="538"/>
        <v>0</v>
      </c>
      <c r="U143" s="159">
        <f t="shared" si="539"/>
        <v>0</v>
      </c>
      <c r="V143" s="159">
        <f t="shared" si="554"/>
        <v>0</v>
      </c>
      <c r="W143" s="175" t="str">
        <f t="shared" ref="W143" si="596">IF(SUM(T143:T148)=0,"",IFERROR(T143/U143,""))</f>
        <v/>
      </c>
      <c r="X143" s="171">
        <f t="shared" si="541"/>
        <v>0</v>
      </c>
      <c r="Y143" s="159">
        <f t="shared" si="542"/>
        <v>0</v>
      </c>
      <c r="Z143" s="159">
        <f t="shared" si="556"/>
        <v>0</v>
      </c>
      <c r="AA143" s="175" t="str">
        <f t="shared" ref="AA143" si="597">IF(SUM(X143:X148)=0,"",IFERROR(X143/Y143,""))</f>
        <v/>
      </c>
      <c r="AB143" s="171">
        <f t="shared" si="544"/>
        <v>0</v>
      </c>
      <c r="AC143" s="159">
        <f t="shared" si="545"/>
        <v>0</v>
      </c>
      <c r="AD143" s="159">
        <f t="shared" si="558"/>
        <v>0</v>
      </c>
      <c r="AE143" s="175" t="str">
        <f t="shared" ref="AE143" si="598">IF(SUM(AB143:AB148)=0,"",IFERROR(AB143/AC143,""))</f>
        <v/>
      </c>
      <c r="AF143" s="171">
        <f t="shared" si="547"/>
        <v>0</v>
      </c>
      <c r="AG143" s="159">
        <f t="shared" si="548"/>
        <v>0</v>
      </c>
      <c r="AH143" s="159">
        <f t="shared" si="560"/>
        <v>0</v>
      </c>
      <c r="AI143" s="187" t="str">
        <f t="shared" ref="AI143" si="599">IF(SUM(AF143:AF148)=0,"",IFERROR(AF143/AG143,""))</f>
        <v/>
      </c>
      <c r="AJ143" s="157">
        <f t="shared" si="583"/>
        <v>7</v>
      </c>
    </row>
    <row r="144" spans="1:36" ht="24.95" customHeight="1" x14ac:dyDescent="0.25">
      <c r="A144" s="182" t="str">
        <f t="shared" si="574"/>
        <v>باجگیران</v>
      </c>
      <c r="B144" s="216"/>
      <c r="C144" s="167" t="str">
        <f t="shared" si="410"/>
        <v>آبان</v>
      </c>
      <c r="D144" s="171">
        <f>SUMIFS(صادرات!$K$4:$K$500,صادرات!$J$4:$J$500,$C144,صادرات!$I$4:$I$500,$A144)+SUMIFS(صادرات!$C$4:$C$500,صادرات!$B$4:$B$500,$C144,صادرات!$A$4:$A$500,$A144)</f>
        <v>0</v>
      </c>
      <c r="E144" s="159"/>
      <c r="F144" s="159">
        <f t="shared" si="550"/>
        <v>0</v>
      </c>
      <c r="G144" s="175" t="str">
        <f>IF(SUM(D144:D148)=0,"",IFERROR(D144/E144,""))</f>
        <v/>
      </c>
      <c r="H144" s="171">
        <f>SUMIFS(صادرات!$L$4:$L$500,صادرات!$J$4:$J$500,$C144,صادرات!$I$4:$I$500,$A144)+SUMIFS(صادرات!$D$4:$D$500,صادرات!$B$4:$B$500,$C144,صادرات!$A$4:$A$500,$A144)</f>
        <v>0</v>
      </c>
      <c r="I144" s="159"/>
      <c r="J144" s="159">
        <f t="shared" si="551"/>
        <v>0</v>
      </c>
      <c r="K144" s="175" t="str">
        <f>IF(SUM(H144:H148)=0,"",IFERROR(H144/I144,""))</f>
        <v/>
      </c>
      <c r="L144" s="171">
        <f>SUMIFS(صادرات!$M$4:$M$500,صادرات!$J$4:$J$500,$C144,صادرات!$I$4:$I$500,$A144)+SUMIFS(صادرات!$E$4:$E$500,صادرات!$B$4:$B$500,$C144,صادرات!$A$4:$A$500,$A144)</f>
        <v>0</v>
      </c>
      <c r="M144" s="159">
        <v>0</v>
      </c>
      <c r="N144" s="159">
        <f t="shared" si="552"/>
        <v>0</v>
      </c>
      <c r="O144" s="175" t="str">
        <f>IF(SUM(L144:L148)=0,"",IFERROR(L144/M144,""))</f>
        <v/>
      </c>
      <c r="P144" s="171">
        <f>SUMIFS(صادرات!$N$4:$N$500,صادرات!$J$4:$J$500,$C144,صادرات!$I$4:$I$500,$A144)+SUMIFS(صادرات!$F$4:$F$500,صادرات!$B$4:$B$500,$C144,صادرات!$A$4:$A$500,$A144)</f>
        <v>0</v>
      </c>
      <c r="Q144" s="159">
        <v>0</v>
      </c>
      <c r="R144" s="159">
        <f t="shared" si="553"/>
        <v>0</v>
      </c>
      <c r="S144" s="175" t="str">
        <f>IF(SUM(P144:P148)=0,"",IFERROR(P144/Q144,""))</f>
        <v/>
      </c>
      <c r="T144" s="171">
        <f t="shared" si="538"/>
        <v>0</v>
      </c>
      <c r="U144" s="159">
        <f t="shared" si="539"/>
        <v>0</v>
      </c>
      <c r="V144" s="159">
        <f t="shared" si="554"/>
        <v>0</v>
      </c>
      <c r="W144" s="175" t="str">
        <f t="shared" ref="W144" si="600">IF(SUM(T144:T148)=0,"",IFERROR(T144/U144,""))</f>
        <v/>
      </c>
      <c r="X144" s="171">
        <f t="shared" si="541"/>
        <v>0</v>
      </c>
      <c r="Y144" s="159">
        <f t="shared" si="542"/>
        <v>0</v>
      </c>
      <c r="Z144" s="159">
        <f t="shared" si="556"/>
        <v>0</v>
      </c>
      <c r="AA144" s="175" t="str">
        <f t="shared" ref="AA144" si="601">IF(SUM(X144:X148)=0,"",IFERROR(X144/Y144,""))</f>
        <v/>
      </c>
      <c r="AB144" s="171">
        <f t="shared" si="544"/>
        <v>0</v>
      </c>
      <c r="AC144" s="159">
        <f t="shared" si="545"/>
        <v>0</v>
      </c>
      <c r="AD144" s="159">
        <f t="shared" si="558"/>
        <v>0</v>
      </c>
      <c r="AE144" s="175" t="str">
        <f t="shared" ref="AE144" si="602">IF(SUM(AB144:AB148)=0,"",IFERROR(AB144/AC144,""))</f>
        <v/>
      </c>
      <c r="AF144" s="171">
        <f t="shared" si="547"/>
        <v>0</v>
      </c>
      <c r="AG144" s="159">
        <f t="shared" si="548"/>
        <v>0</v>
      </c>
      <c r="AH144" s="159">
        <f t="shared" si="560"/>
        <v>0</v>
      </c>
      <c r="AI144" s="187" t="str">
        <f t="shared" ref="AI144" si="603">IF(SUM(AF144:AF148)=0,"",IFERROR(AF144/AG144,""))</f>
        <v/>
      </c>
      <c r="AJ144" s="157">
        <f t="shared" si="583"/>
        <v>8</v>
      </c>
    </row>
    <row r="145" spans="1:36" ht="24.95" customHeight="1" x14ac:dyDescent="0.25">
      <c r="A145" s="182" t="str">
        <f t="shared" si="574"/>
        <v>باجگیران</v>
      </c>
      <c r="B145" s="216"/>
      <c r="C145" s="167" t="str">
        <f t="shared" si="410"/>
        <v>آذر</v>
      </c>
      <c r="D145" s="171">
        <f>SUMIFS(صادرات!$K$4:$K$500,صادرات!$J$4:$J$500,$C145,صادرات!$I$4:$I$500,$A145)+SUMIFS(صادرات!$C$4:$C$500,صادرات!$B$4:$B$500,$C145,صادرات!$A$4:$A$500,$A145)</f>
        <v>0</v>
      </c>
      <c r="E145" s="159"/>
      <c r="F145" s="159">
        <f t="shared" si="550"/>
        <v>0</v>
      </c>
      <c r="G145" s="175" t="str">
        <f>IF(SUM(D145:D148)=0,"",IFERROR(D145/E145,""))</f>
        <v/>
      </c>
      <c r="H145" s="171">
        <f>SUMIFS(صادرات!$L$4:$L$500,صادرات!$J$4:$J$500,$C145,صادرات!$I$4:$I$500,$A145)+SUMIFS(صادرات!$D$4:$D$500,صادرات!$B$4:$B$500,$C145,صادرات!$A$4:$A$500,$A145)</f>
        <v>0</v>
      </c>
      <c r="I145" s="159"/>
      <c r="J145" s="159">
        <f t="shared" si="551"/>
        <v>0</v>
      </c>
      <c r="K145" s="175" t="str">
        <f>IF(SUM(H145:H148)=0,"",IFERROR(H145/I145,""))</f>
        <v/>
      </c>
      <c r="L145" s="171">
        <f>SUMIFS(صادرات!$M$4:$M$500,صادرات!$J$4:$J$500,$C145,صادرات!$I$4:$I$500,$A145)+SUMIFS(صادرات!$E$4:$E$500,صادرات!$B$4:$B$500,$C145,صادرات!$A$4:$A$500,$A145)</f>
        <v>0</v>
      </c>
      <c r="M145" s="159">
        <v>0</v>
      </c>
      <c r="N145" s="159">
        <f t="shared" si="552"/>
        <v>0</v>
      </c>
      <c r="O145" s="175" t="str">
        <f>IF(SUM(L145:L148)=0,"",IFERROR(L145/M145,""))</f>
        <v/>
      </c>
      <c r="P145" s="171">
        <f>SUMIFS(صادرات!$N$4:$N$500,صادرات!$J$4:$J$500,$C145,صادرات!$I$4:$I$500,$A145)+SUMIFS(صادرات!$F$4:$F$500,صادرات!$B$4:$B$500,$C145,صادرات!$A$4:$A$500,$A145)</f>
        <v>0</v>
      </c>
      <c r="Q145" s="159">
        <v>0</v>
      </c>
      <c r="R145" s="159">
        <f t="shared" si="553"/>
        <v>0</v>
      </c>
      <c r="S145" s="175" t="str">
        <f>IF(SUM(P145:P148)=0,"",IFERROR(P145/Q145,""))</f>
        <v/>
      </c>
      <c r="T145" s="171">
        <f t="shared" si="538"/>
        <v>0</v>
      </c>
      <c r="U145" s="159">
        <f t="shared" si="539"/>
        <v>0</v>
      </c>
      <c r="V145" s="159">
        <f t="shared" si="554"/>
        <v>0</v>
      </c>
      <c r="W145" s="175" t="str">
        <f t="shared" ref="W145" si="604">IF(SUM(T145:T148)=0,"",IFERROR(T145/U145,""))</f>
        <v/>
      </c>
      <c r="X145" s="171">
        <f t="shared" si="541"/>
        <v>0</v>
      </c>
      <c r="Y145" s="159">
        <f t="shared" si="542"/>
        <v>0</v>
      </c>
      <c r="Z145" s="159">
        <f t="shared" si="556"/>
        <v>0</v>
      </c>
      <c r="AA145" s="175" t="str">
        <f t="shared" ref="AA145" si="605">IF(SUM(X145:X148)=0,"",IFERROR(X145/Y145,""))</f>
        <v/>
      </c>
      <c r="AB145" s="171">
        <f t="shared" si="544"/>
        <v>0</v>
      </c>
      <c r="AC145" s="159">
        <f t="shared" si="545"/>
        <v>0</v>
      </c>
      <c r="AD145" s="159">
        <f t="shared" si="558"/>
        <v>0</v>
      </c>
      <c r="AE145" s="175" t="str">
        <f t="shared" ref="AE145" si="606">IF(SUM(AB145:AB148)=0,"",IFERROR(AB145/AC145,""))</f>
        <v/>
      </c>
      <c r="AF145" s="171">
        <f t="shared" si="547"/>
        <v>0</v>
      </c>
      <c r="AG145" s="159">
        <f t="shared" si="548"/>
        <v>0</v>
      </c>
      <c r="AH145" s="159">
        <f t="shared" si="560"/>
        <v>0</v>
      </c>
      <c r="AI145" s="187" t="str">
        <f t="shared" ref="AI145" si="607">IF(SUM(AF145:AF148)=0,"",IFERROR(AF145/AG145,""))</f>
        <v/>
      </c>
      <c r="AJ145" s="157">
        <f t="shared" si="583"/>
        <v>9</v>
      </c>
    </row>
    <row r="146" spans="1:36" ht="24.95" customHeight="1" x14ac:dyDescent="0.25">
      <c r="A146" s="182" t="str">
        <f t="shared" si="574"/>
        <v>باجگیران</v>
      </c>
      <c r="B146" s="216"/>
      <c r="C146" s="167" t="str">
        <f t="shared" si="410"/>
        <v>دی</v>
      </c>
      <c r="D146" s="171">
        <f>SUMIFS(صادرات!$K$4:$K$500,صادرات!$J$4:$J$500,$C146,صادرات!$I$4:$I$500,$A146)+SUMIFS(صادرات!$C$4:$C$500,صادرات!$B$4:$B$500,$C146,صادرات!$A$4:$A$500,$A146)</f>
        <v>0</v>
      </c>
      <c r="E146" s="159"/>
      <c r="F146" s="159">
        <f t="shared" ref="F146:F148" si="608">IFERROR(SUM(D146,-E146),"")</f>
        <v>0</v>
      </c>
      <c r="G146" s="175" t="str">
        <f>IF(SUM(D146:D148)=0,"",IFERROR(D146/E146,""))</f>
        <v/>
      </c>
      <c r="H146" s="171">
        <f>SUMIFS(صادرات!$L$4:$L$500,صادرات!$J$4:$J$500,$C146,صادرات!$I$4:$I$500,$A146)+SUMIFS(صادرات!$D$4:$D$500,صادرات!$B$4:$B$500,$C146,صادرات!$A$4:$A$500,$A146)</f>
        <v>0</v>
      </c>
      <c r="I146" s="159"/>
      <c r="J146" s="159">
        <f t="shared" ref="J146:J148" si="609">IFERROR(SUM(H146,-I146),"")</f>
        <v>0</v>
      </c>
      <c r="K146" s="175" t="str">
        <f>IF(SUM(H146:H148)=0,"",IFERROR(H146/I146,""))</f>
        <v/>
      </c>
      <c r="L146" s="171">
        <f>SUMIFS(صادرات!$M$4:$M$500,صادرات!$J$4:$J$500,$C146,صادرات!$I$4:$I$500,$A146)+SUMIFS(صادرات!$E$4:$E$500,صادرات!$B$4:$B$500,$C146,صادرات!$A$4:$A$500,$A146)</f>
        <v>0</v>
      </c>
      <c r="M146" s="159">
        <v>0</v>
      </c>
      <c r="N146" s="159">
        <f t="shared" ref="N146:N148" si="610">IFERROR(SUM(L146,-M146),"")</f>
        <v>0</v>
      </c>
      <c r="O146" s="175" t="str">
        <f>IF(SUM(L146:L148)=0,"",IFERROR(L146/M146,""))</f>
        <v/>
      </c>
      <c r="P146" s="171">
        <f>SUMIFS(صادرات!$N$4:$N$500,صادرات!$J$4:$J$500,$C146,صادرات!$I$4:$I$500,$A146)+SUMIFS(صادرات!$F$4:$F$500,صادرات!$B$4:$B$500,$C146,صادرات!$A$4:$A$500,$A146)</f>
        <v>0</v>
      </c>
      <c r="Q146" s="159">
        <v>0</v>
      </c>
      <c r="R146" s="159">
        <f t="shared" ref="R146:R148" si="611">IFERROR(SUM(P146,-Q146),"")</f>
        <v>0</v>
      </c>
      <c r="S146" s="175" t="str">
        <f>IF(SUM(P146:P148)=0,"",IFERROR(P146/Q146,""))</f>
        <v/>
      </c>
      <c r="T146" s="171">
        <f t="shared" si="538"/>
        <v>0</v>
      </c>
      <c r="U146" s="159">
        <f t="shared" si="539"/>
        <v>0</v>
      </c>
      <c r="V146" s="159">
        <f t="shared" ref="V146:V148" si="612">IFERROR(SUM(T146,-U146),"")</f>
        <v>0</v>
      </c>
      <c r="W146" s="175" t="str">
        <f t="shared" ref="W146" si="613">IF(SUM(T146:T148)=0,"",IFERROR(T146/U146,""))</f>
        <v/>
      </c>
      <c r="X146" s="171">
        <f t="shared" si="541"/>
        <v>0</v>
      </c>
      <c r="Y146" s="159">
        <f t="shared" si="542"/>
        <v>0</v>
      </c>
      <c r="Z146" s="159">
        <f t="shared" ref="Z146:Z148" si="614">IFERROR(SUM(X146,-Y146),"")</f>
        <v>0</v>
      </c>
      <c r="AA146" s="175" t="str">
        <f t="shared" ref="AA146" si="615">IF(SUM(X146:X148)=0,"",IFERROR(X146/Y146,""))</f>
        <v/>
      </c>
      <c r="AB146" s="171">
        <f t="shared" si="544"/>
        <v>0</v>
      </c>
      <c r="AC146" s="159">
        <f t="shared" si="545"/>
        <v>0</v>
      </c>
      <c r="AD146" s="159">
        <f t="shared" ref="AD146:AD148" si="616">IFERROR(SUM(AB146,-AC146),"")</f>
        <v>0</v>
      </c>
      <c r="AE146" s="175" t="str">
        <f t="shared" ref="AE146" si="617">IF(SUM(AB146:AB148)=0,"",IFERROR(AB146/AC146,""))</f>
        <v/>
      </c>
      <c r="AF146" s="171">
        <f t="shared" si="547"/>
        <v>0</v>
      </c>
      <c r="AG146" s="159">
        <f t="shared" si="548"/>
        <v>0</v>
      </c>
      <c r="AH146" s="159">
        <f t="shared" ref="AH146:AH148" si="618">IFERROR(SUM(AF146,-AG146),"")</f>
        <v>0</v>
      </c>
      <c r="AI146" s="187" t="str">
        <f t="shared" ref="AI146" si="619">IF(SUM(AF146:AF148)=0,"",IFERROR(AF146/AG146,""))</f>
        <v/>
      </c>
      <c r="AJ146" s="157">
        <f t="shared" si="583"/>
        <v>10</v>
      </c>
    </row>
    <row r="147" spans="1:36" ht="24.95" customHeight="1" x14ac:dyDescent="0.25">
      <c r="A147" s="182" t="str">
        <f t="shared" si="574"/>
        <v>باجگیران</v>
      </c>
      <c r="B147" s="216"/>
      <c r="C147" s="167" t="str">
        <f t="shared" si="410"/>
        <v>بهمن</v>
      </c>
      <c r="D147" s="171">
        <f>SUMIFS(صادرات!$K$4:$K$500,صادرات!$J$4:$J$500,$C147,صادرات!$I$4:$I$500,$A147)+SUMIFS(صادرات!$C$4:$C$500,صادرات!$B$4:$B$500,$C147,صادرات!$A$4:$A$500,$A147)</f>
        <v>0.75800000000000001</v>
      </c>
      <c r="E147" s="159"/>
      <c r="F147" s="159">
        <f t="shared" si="608"/>
        <v>0.75800000000000001</v>
      </c>
      <c r="G147" s="175" t="str">
        <f>IF(SUM(D147:D148)=0,"",IFERROR(D147/E147,""))</f>
        <v/>
      </c>
      <c r="H147" s="171">
        <f>SUMIFS(صادرات!$L$4:$L$500,صادرات!$J$4:$J$500,$C147,صادرات!$I$4:$I$500,$A147)+SUMIFS(صادرات!$D$4:$D$500,صادرات!$B$4:$B$500,$C147,صادرات!$A$4:$A$500,$A147)</f>
        <v>0.13700000000000001</v>
      </c>
      <c r="I147" s="159"/>
      <c r="J147" s="159">
        <f t="shared" si="609"/>
        <v>0.13700000000000001</v>
      </c>
      <c r="K147" s="175" t="str">
        <f>IF(SUM(H147:H148)=0,"",IFERROR(H147/I147,""))</f>
        <v/>
      </c>
      <c r="L147" s="171">
        <f>SUMIFS(صادرات!$M$4:$M$500,صادرات!$J$4:$J$500,$C147,صادرات!$I$4:$I$500,$A147)+SUMIFS(صادرات!$E$4:$E$500,صادرات!$B$4:$B$500,$C147,صادرات!$A$4:$A$500,$A147)</f>
        <v>0</v>
      </c>
      <c r="M147" s="159">
        <v>0</v>
      </c>
      <c r="N147" s="159">
        <f t="shared" si="610"/>
        <v>0</v>
      </c>
      <c r="O147" s="175" t="str">
        <f>IF(SUM(L147:L148)=0,"",IFERROR(L147/M147,""))</f>
        <v/>
      </c>
      <c r="P147" s="171">
        <f>SUMIFS(صادرات!$N$4:$N$500,صادرات!$J$4:$J$500,$C147,صادرات!$I$4:$I$500,$A147)+SUMIFS(صادرات!$F$4:$F$500,صادرات!$B$4:$B$500,$C147,صادرات!$A$4:$A$500,$A147)</f>
        <v>0</v>
      </c>
      <c r="Q147" s="159">
        <v>0</v>
      </c>
      <c r="R147" s="159">
        <f t="shared" si="611"/>
        <v>0</v>
      </c>
      <c r="S147" s="175" t="str">
        <f>IF(SUM(P147:P148)=0,"",IFERROR(P147/Q147,""))</f>
        <v/>
      </c>
      <c r="T147" s="171">
        <f t="shared" si="538"/>
        <v>0.75800000000000001</v>
      </c>
      <c r="U147" s="159">
        <f t="shared" si="539"/>
        <v>0</v>
      </c>
      <c r="V147" s="159">
        <f t="shared" si="612"/>
        <v>0.75800000000000001</v>
      </c>
      <c r="W147" s="175" t="str">
        <f t="shared" ref="W147" si="620">IF(SUM(T147:T148)=0,"",IFERROR(T147/U147,""))</f>
        <v/>
      </c>
      <c r="X147" s="171">
        <f t="shared" si="541"/>
        <v>0.13700000000000001</v>
      </c>
      <c r="Y147" s="159">
        <f t="shared" si="542"/>
        <v>0</v>
      </c>
      <c r="Z147" s="159">
        <f t="shared" si="614"/>
        <v>0.13700000000000001</v>
      </c>
      <c r="AA147" s="175" t="str">
        <f t="shared" ref="AA147" si="621">IF(SUM(X147:X148)=0,"",IFERROR(X147/Y147,""))</f>
        <v/>
      </c>
      <c r="AB147" s="171">
        <f t="shared" si="544"/>
        <v>0</v>
      </c>
      <c r="AC147" s="159">
        <f t="shared" si="545"/>
        <v>0</v>
      </c>
      <c r="AD147" s="159">
        <f t="shared" si="616"/>
        <v>0</v>
      </c>
      <c r="AE147" s="175" t="str">
        <f t="shared" ref="AE147" si="622">IF(SUM(AB147:AB148)=0,"",IFERROR(AB147/AC147,""))</f>
        <v/>
      </c>
      <c r="AF147" s="171">
        <f t="shared" si="547"/>
        <v>0</v>
      </c>
      <c r="AG147" s="159">
        <f t="shared" si="548"/>
        <v>0</v>
      </c>
      <c r="AH147" s="159">
        <f t="shared" si="618"/>
        <v>0</v>
      </c>
      <c r="AI147" s="187" t="str">
        <f t="shared" ref="AI147" si="623">IF(SUM(AF147:AF148)=0,"",IFERROR(AF147/AG147,""))</f>
        <v/>
      </c>
      <c r="AJ147" s="157">
        <f t="shared" si="583"/>
        <v>11</v>
      </c>
    </row>
    <row r="148" spans="1:36" ht="24.95" customHeight="1" thickBot="1" x14ac:dyDescent="0.3">
      <c r="A148" s="182" t="str">
        <f t="shared" si="574"/>
        <v>باجگیران</v>
      </c>
      <c r="B148" s="217"/>
      <c r="C148" s="168" t="str">
        <f t="shared" si="410"/>
        <v>اسفند</v>
      </c>
      <c r="D148" s="172">
        <f>SUMIFS(صادرات!$K$4:$K$500,صادرات!$J$4:$J$500,$C148,صادرات!$I$4:$I$500,$A148)+SUMIFS(صادرات!$C$4:$C$500,صادرات!$B$4:$B$500,$C148,صادرات!$A$4:$A$500,$A148)</f>
        <v>2</v>
      </c>
      <c r="E148" s="173"/>
      <c r="F148" s="173">
        <f t="shared" si="608"/>
        <v>2</v>
      </c>
      <c r="G148" s="176" t="str">
        <f>IF(SUM(D148)=0,"",IFERROR(D148/E148,""))</f>
        <v/>
      </c>
      <c r="H148" s="172">
        <f>SUMIFS(صادرات!$L$4:$L$500,صادرات!$J$4:$J$500,$C148,صادرات!$I$4:$I$500,$A148)+SUMIFS(صادرات!$D$4:$D$500,صادرات!$B$4:$B$500,$C148,صادرات!$A$4:$A$500,$A148)</f>
        <v>1</v>
      </c>
      <c r="I148" s="173"/>
      <c r="J148" s="173">
        <f t="shared" si="609"/>
        <v>1</v>
      </c>
      <c r="K148" s="176" t="str">
        <f>IF(SUM(H148)=0,"",IFERROR(H148/I148,""))</f>
        <v/>
      </c>
      <c r="L148" s="172">
        <f>SUMIFS(صادرات!$M$4:$M$500,صادرات!$J$4:$J$500,$C148,صادرات!$I$4:$I$500,$A148)+SUMIFS(صادرات!$E$4:$E$500,صادرات!$B$4:$B$500,$C148,صادرات!$A$4:$A$500,$A148)</f>
        <v>0</v>
      </c>
      <c r="M148" s="173">
        <v>0</v>
      </c>
      <c r="N148" s="173">
        <f t="shared" si="610"/>
        <v>0</v>
      </c>
      <c r="O148" s="176" t="str">
        <f>IF(SUM(L148)=0,"",IFERROR(L148/M148,""))</f>
        <v/>
      </c>
      <c r="P148" s="172">
        <f>SUMIFS(صادرات!$N$4:$N$500,صادرات!$J$4:$J$500,$C148,صادرات!$I$4:$I$500,$A148)+SUMIFS(صادرات!$F$4:$F$500,صادرات!$B$4:$B$500,$C148,صادرات!$A$4:$A$500,$A148)</f>
        <v>0</v>
      </c>
      <c r="Q148" s="173">
        <v>0</v>
      </c>
      <c r="R148" s="173">
        <f t="shared" si="611"/>
        <v>0</v>
      </c>
      <c r="S148" s="176" t="str">
        <f>IF(SUM(P148)=0,"",IFERROR(P148/Q148,""))</f>
        <v/>
      </c>
      <c r="T148" s="172">
        <f t="shared" si="538"/>
        <v>2.758</v>
      </c>
      <c r="U148" s="173">
        <f t="shared" si="539"/>
        <v>0</v>
      </c>
      <c r="V148" s="173">
        <f t="shared" si="612"/>
        <v>2.758</v>
      </c>
      <c r="W148" s="176" t="str">
        <f t="shared" ref="W148" si="624">IF(SUM(T148)=0,"",IFERROR(T148/U148,""))</f>
        <v/>
      </c>
      <c r="X148" s="172">
        <f t="shared" si="541"/>
        <v>1.137</v>
      </c>
      <c r="Y148" s="173">
        <f t="shared" si="542"/>
        <v>0</v>
      </c>
      <c r="Z148" s="173">
        <f t="shared" si="614"/>
        <v>1.137</v>
      </c>
      <c r="AA148" s="176" t="str">
        <f t="shared" ref="AA148" si="625">IF(SUM(X148)=0,"",IFERROR(X148/Y148,""))</f>
        <v/>
      </c>
      <c r="AB148" s="172">
        <f t="shared" si="544"/>
        <v>0</v>
      </c>
      <c r="AC148" s="173">
        <f t="shared" si="545"/>
        <v>0</v>
      </c>
      <c r="AD148" s="173">
        <f t="shared" si="616"/>
        <v>0</v>
      </c>
      <c r="AE148" s="176" t="str">
        <f t="shared" ref="AE148" si="626">IF(SUM(AB148)=0,"",IFERROR(AB148/AC148,""))</f>
        <v/>
      </c>
      <c r="AF148" s="172">
        <f t="shared" si="547"/>
        <v>0</v>
      </c>
      <c r="AG148" s="173">
        <f t="shared" si="548"/>
        <v>0</v>
      </c>
      <c r="AH148" s="173">
        <f t="shared" si="618"/>
        <v>0</v>
      </c>
      <c r="AI148" s="188" t="str">
        <f t="shared" ref="AI148" si="627">IF(SUM(AF148)=0,"",IFERROR(AF148/AG148,""))</f>
        <v/>
      </c>
      <c r="AJ148" s="157">
        <f>AJ147+1</f>
        <v>12</v>
      </c>
    </row>
  </sheetData>
  <sheetProtection algorithmName="SHA-512" hashValue="QuTH+qIEC2/d78u5ZUGXqAabEqimLV61i/PkgWO3UDdDI7WujgIIQTQydx2htO2JEOn0AZmp4zlX00M5/SzlIg==" saltValue="yoVTRYNceIuTvKoESf52Ow==" spinCount="100000" sheet="1" selectLockedCells="1" selectUnlockedCells="1"/>
  <mergeCells count="23">
    <mergeCell ref="B137:B148"/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  <mergeCell ref="B101:B112"/>
    <mergeCell ref="B113:B124"/>
    <mergeCell ref="B41:B52"/>
    <mergeCell ref="B53:B64"/>
    <mergeCell ref="B65:B76"/>
    <mergeCell ref="B77:B88"/>
    <mergeCell ref="B89:B100"/>
  </mergeCells>
  <conditionalFormatting sqref="A1:XFD1048576">
    <cfRule type="cellIs" dxfId="137" priority="1" operator="equal">
      <formula>0</formula>
    </cfRule>
  </conditionalFormatting>
  <conditionalFormatting sqref="F5:F148">
    <cfRule type="cellIs" dxfId="136" priority="213" operator="lessThan">
      <formula>0</formula>
    </cfRule>
  </conditionalFormatting>
  <conditionalFormatting sqref="G5:G148">
    <cfRule type="containsBlanks" dxfId="135" priority="85">
      <formula>LEN(TRIM(G5))=0</formula>
    </cfRule>
    <cfRule type="cellIs" dxfId="134" priority="86" operator="greaterThan">
      <formula>1.1</formula>
    </cfRule>
    <cfRule type="cellIs" dxfId="133" priority="87" operator="lessThan">
      <formula>0.9</formula>
    </cfRule>
  </conditionalFormatting>
  <conditionalFormatting sqref="J5:J148">
    <cfRule type="cellIs" dxfId="132" priority="165" operator="lessThan">
      <formula>0</formula>
    </cfRule>
  </conditionalFormatting>
  <conditionalFormatting sqref="K5:K148">
    <cfRule type="containsBlanks" dxfId="131" priority="81">
      <formula>LEN(TRIM(K5))=0</formula>
    </cfRule>
    <cfRule type="cellIs" dxfId="130" priority="82" operator="greaterThan">
      <formula>1.1</formula>
    </cfRule>
    <cfRule type="cellIs" dxfId="129" priority="83" operator="lessThan">
      <formula>0.9</formula>
    </cfRule>
  </conditionalFormatting>
  <conditionalFormatting sqref="N5:N148">
    <cfRule type="cellIs" dxfId="128" priority="157" operator="lessThan">
      <formula>0</formula>
    </cfRule>
  </conditionalFormatting>
  <conditionalFormatting sqref="O5:O148">
    <cfRule type="containsBlanks" dxfId="127" priority="77">
      <formula>LEN(TRIM(O5))=0</formula>
    </cfRule>
    <cfRule type="cellIs" dxfId="126" priority="78" operator="greaterThan">
      <formula>1.1</formula>
    </cfRule>
    <cfRule type="cellIs" dxfId="125" priority="79" operator="lessThan">
      <formula>0.9</formula>
    </cfRule>
  </conditionalFormatting>
  <conditionalFormatting sqref="R5:R148">
    <cfRule type="cellIs" dxfId="124" priority="149" operator="lessThan">
      <formula>0</formula>
    </cfRule>
  </conditionalFormatting>
  <conditionalFormatting sqref="S5:S148">
    <cfRule type="containsBlanks" dxfId="123" priority="73">
      <formula>LEN(TRIM(S5))=0</formula>
    </cfRule>
    <cfRule type="cellIs" dxfId="122" priority="74" operator="greaterThan">
      <formula>1.1</formula>
    </cfRule>
    <cfRule type="cellIs" dxfId="121" priority="75" operator="lessThan">
      <formula>0.9</formula>
    </cfRule>
  </conditionalFormatting>
  <conditionalFormatting sqref="V5:V148">
    <cfRule type="cellIs" dxfId="120" priority="38" operator="lessThan">
      <formula>0</formula>
    </cfRule>
  </conditionalFormatting>
  <conditionalFormatting sqref="W5:W148">
    <cfRule type="containsBlanks" dxfId="119" priority="11">
      <formula>LEN(TRIM(W5))=0</formula>
    </cfRule>
    <cfRule type="cellIs" dxfId="118" priority="12" operator="greaterThan">
      <formula>1.1</formula>
    </cfRule>
    <cfRule type="cellIs" dxfId="117" priority="13" operator="lessThan">
      <formula>0.9</formula>
    </cfRule>
    <cfRule type="containsBlanks" dxfId="116" priority="35">
      <formula>LEN(TRIM(W5))=0</formula>
    </cfRule>
    <cfRule type="cellIs" dxfId="115" priority="36" operator="greaterThan">
      <formula>1.1</formula>
    </cfRule>
    <cfRule type="cellIs" dxfId="114" priority="37" operator="lessThan">
      <formula>0.9</formula>
    </cfRule>
    <cfRule type="containsBlanks" dxfId="113" priority="42">
      <formula>LEN(TRIM(W5))=0</formula>
    </cfRule>
    <cfRule type="cellIs" dxfId="112" priority="43" operator="greaterThan">
      <formula>1.1</formula>
    </cfRule>
    <cfRule type="cellIs" dxfId="111" priority="44" operator="lessThan">
      <formula>0.9</formula>
    </cfRule>
  </conditionalFormatting>
  <conditionalFormatting sqref="Z5:Z148">
    <cfRule type="cellIs" dxfId="110" priority="31" operator="lessThan">
      <formula>0</formula>
    </cfRule>
  </conditionalFormatting>
  <conditionalFormatting sqref="AA5:AA148">
    <cfRule type="containsBlanks" dxfId="109" priority="8">
      <formula>LEN(TRIM(AA5))=0</formula>
    </cfRule>
    <cfRule type="cellIs" dxfId="108" priority="9" operator="greaterThan">
      <formula>1.1</formula>
    </cfRule>
    <cfRule type="cellIs" dxfId="107" priority="10" operator="lessThan">
      <formula>0.9</formula>
    </cfRule>
    <cfRule type="containsBlanks" dxfId="106" priority="28">
      <formula>LEN(TRIM(AA5))=0</formula>
    </cfRule>
    <cfRule type="cellIs" dxfId="105" priority="29" operator="greaterThan">
      <formula>1.1</formula>
    </cfRule>
    <cfRule type="cellIs" dxfId="104" priority="30" operator="lessThan">
      <formula>0.9</formula>
    </cfRule>
    <cfRule type="containsBlanks" dxfId="103" priority="32">
      <formula>LEN(TRIM(AA5))=0</formula>
    </cfRule>
    <cfRule type="cellIs" dxfId="102" priority="33" operator="greaterThan">
      <formula>1.1</formula>
    </cfRule>
    <cfRule type="cellIs" dxfId="101" priority="34" operator="lessThan">
      <formula>0.9</formula>
    </cfRule>
    <cfRule type="containsBlanks" dxfId="100" priority="39">
      <formula>LEN(TRIM(AA5))=0</formula>
    </cfRule>
    <cfRule type="cellIs" dxfId="99" priority="40" operator="greaterThan">
      <formula>1.1</formula>
    </cfRule>
    <cfRule type="cellIs" dxfId="98" priority="41" operator="lessThan">
      <formula>0.9</formula>
    </cfRule>
  </conditionalFormatting>
  <conditionalFormatting sqref="AD5:AD148">
    <cfRule type="cellIs" dxfId="97" priority="24" operator="lessThan">
      <formula>0</formula>
    </cfRule>
  </conditionalFormatting>
  <conditionalFormatting sqref="AE5:AE148">
    <cfRule type="containsBlanks" dxfId="96" priority="5">
      <formula>LEN(TRIM(AE5))=0</formula>
    </cfRule>
    <cfRule type="cellIs" dxfId="95" priority="6" operator="greaterThan">
      <formula>1.1</formula>
    </cfRule>
    <cfRule type="cellIs" dxfId="94" priority="7" operator="lessThan">
      <formula>0.9</formula>
    </cfRule>
    <cfRule type="containsBlanks" dxfId="93" priority="21">
      <formula>LEN(TRIM(AE5))=0</formula>
    </cfRule>
    <cfRule type="cellIs" dxfId="92" priority="22" operator="greaterThan">
      <formula>1.1</formula>
    </cfRule>
    <cfRule type="cellIs" dxfId="91" priority="23" operator="lessThan">
      <formula>0.9</formula>
    </cfRule>
    <cfRule type="containsBlanks" dxfId="90" priority="25">
      <formula>LEN(TRIM(AE5))=0</formula>
    </cfRule>
    <cfRule type="cellIs" dxfId="89" priority="26" operator="greaterThan">
      <formula>1.1</formula>
    </cfRule>
    <cfRule type="cellIs" dxfId="88" priority="27" operator="lessThan">
      <formula>0.9</formula>
    </cfRule>
  </conditionalFormatting>
  <conditionalFormatting sqref="AH5:AH148">
    <cfRule type="cellIs" dxfId="87" priority="17" operator="lessThan">
      <formula>0</formula>
    </cfRule>
  </conditionalFormatting>
  <conditionalFormatting sqref="AI5:AI148">
    <cfRule type="containsBlanks" dxfId="86" priority="2">
      <formula>LEN(TRIM(AI5))=0</formula>
    </cfRule>
    <cfRule type="cellIs" dxfId="85" priority="3" operator="greaterThan">
      <formula>1.1</formula>
    </cfRule>
    <cfRule type="cellIs" dxfId="84" priority="4" operator="lessThan">
      <formula>0.9</formula>
    </cfRule>
    <cfRule type="containsBlanks" dxfId="83" priority="14">
      <formula>LEN(TRIM(AI5))=0</formula>
    </cfRule>
    <cfRule type="cellIs" dxfId="82" priority="15" operator="greaterThan">
      <formula>1.1</formula>
    </cfRule>
    <cfRule type="cellIs" dxfId="81" priority="16" operator="lessThan">
      <formula>0.9</formula>
    </cfRule>
    <cfRule type="containsBlanks" dxfId="80" priority="18">
      <formula>LEN(TRIM(AI5))=0</formula>
    </cfRule>
    <cfRule type="cellIs" dxfId="79" priority="19" operator="greaterThan">
      <formula>1.1</formula>
    </cfRule>
    <cfRule type="cellIs" dxfId="78" priority="20" operator="lessThan">
      <formula>0.9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262F-12A9-4199-9230-A668F37C6B72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37" sqref="E137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 x14ac:dyDescent="0.3">
      <c r="B1" s="190" t="str">
        <f>'مقایسه بودجه- واردات'!B1</f>
        <v>ماه:</v>
      </c>
      <c r="C1" s="191">
        <f>'مقایسه بودجه- واردات'!C1</f>
        <v>12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 x14ac:dyDescent="0.3">
      <c r="B2" s="223" t="s">
        <v>54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</row>
    <row r="3" spans="1:36" s="158" customFormat="1" ht="24.95" customHeight="1" x14ac:dyDescent="0.25">
      <c r="B3" s="237" t="s">
        <v>42</v>
      </c>
      <c r="C3" s="218" t="s">
        <v>0</v>
      </c>
      <c r="D3" s="235" t="s">
        <v>1</v>
      </c>
      <c r="E3" s="236"/>
      <c r="F3" s="236"/>
      <c r="G3" s="236"/>
      <c r="H3" s="232" t="s">
        <v>2</v>
      </c>
      <c r="I3" s="233"/>
      <c r="J3" s="233"/>
      <c r="K3" s="234"/>
      <c r="L3" s="229" t="s">
        <v>3</v>
      </c>
      <c r="M3" s="230"/>
      <c r="N3" s="230"/>
      <c r="O3" s="231"/>
      <c r="P3" s="226" t="s">
        <v>4</v>
      </c>
      <c r="Q3" s="227"/>
      <c r="R3" s="227"/>
      <c r="S3" s="228"/>
      <c r="T3" s="235" t="s">
        <v>49</v>
      </c>
      <c r="U3" s="236"/>
      <c r="V3" s="236"/>
      <c r="W3" s="236"/>
      <c r="X3" s="232" t="s">
        <v>50</v>
      </c>
      <c r="Y3" s="233"/>
      <c r="Z3" s="233"/>
      <c r="AA3" s="234"/>
      <c r="AB3" s="229" t="s">
        <v>51</v>
      </c>
      <c r="AC3" s="230"/>
      <c r="AD3" s="230"/>
      <c r="AE3" s="231"/>
      <c r="AF3" s="226" t="s">
        <v>52</v>
      </c>
      <c r="AG3" s="227"/>
      <c r="AH3" s="227"/>
      <c r="AI3" s="228"/>
    </row>
    <row r="4" spans="1:36" s="158" customFormat="1" ht="36" customHeight="1" thickBot="1" x14ac:dyDescent="0.3">
      <c r="B4" s="238"/>
      <c r="C4" s="21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 t="shared" ref="A5:A16" si="0">IF(B5="",A4,B5)</f>
        <v>مجتمع خراسان</v>
      </c>
      <c r="B5" s="215" t="s">
        <v>48</v>
      </c>
      <c r="C5" s="166" t="str">
        <f>تجمیعی!B4</f>
        <v>فروردین</v>
      </c>
      <c r="D5" s="183">
        <f t="shared" ref="D5:E16" si="1">SUMIFS(D$29:D$1812,$C$29:$C$1812,$C5)</f>
        <v>19240</v>
      </c>
      <c r="E5" s="184">
        <f t="shared" si="1"/>
        <v>40460.096037417396</v>
      </c>
      <c r="F5" s="184">
        <f>IFERROR(SUM(D5,-E5),"")</f>
        <v>-21220.096037417396</v>
      </c>
      <c r="G5" s="185">
        <f>IF(SUM(D5:D16)=0,"",IFERROR(D5/E5,""))</f>
        <v>0.47553026028922168</v>
      </c>
      <c r="H5" s="183">
        <f t="shared" ref="H5:I16" si="2">SUMIFS(H$29:H$1812,$C$29:$C$1812,$C5)</f>
        <v>22149</v>
      </c>
      <c r="I5" s="184">
        <f t="shared" si="2"/>
        <v>38351.692721508785</v>
      </c>
      <c r="J5" s="184">
        <f>IFERROR(SUM(H5,-I5),"")</f>
        <v>-16202.692721508785</v>
      </c>
      <c r="K5" s="185">
        <f>IF(SUM(H5:H16)=0,"",IFERROR(H5/I5,""))</f>
        <v>0.57752340061846019</v>
      </c>
      <c r="L5" s="183">
        <f t="shared" ref="L5:M16" si="3">SUMIFS(L$29:L$1812,$C$29:$C$1812,$C5)</f>
        <v>407</v>
      </c>
      <c r="M5" s="184">
        <f t="shared" si="3"/>
        <v>3106.6129691591491</v>
      </c>
      <c r="N5" s="184">
        <f>IFERROR(SUM(L5,-M5),"")</f>
        <v>-2699.6129691591491</v>
      </c>
      <c r="O5" s="185">
        <f>IF(SUM(L5:L16)=0,"",IFERROR(L5/M5,""))</f>
        <v>0.13101084816180389</v>
      </c>
      <c r="P5" s="183">
        <f t="shared" ref="P5:Q16" si="4">SUMIFS(P$29:P$1812,$C$29:$C$1812,$C5)</f>
        <v>126204</v>
      </c>
      <c r="Q5" s="184">
        <f t="shared" si="4"/>
        <v>175224.10752967361</v>
      </c>
      <c r="R5" s="184">
        <f>IFERROR(SUM(P5,-Q5),"")</f>
        <v>-49020.107529673609</v>
      </c>
      <c r="S5" s="185">
        <f>IF(SUM(P5:P16)=0,"",IFERROR(P5/Q5,""))</f>
        <v>0.72024336022728941</v>
      </c>
      <c r="T5" s="183">
        <f t="shared" ref="T5:T36" si="5">IF(OR($C$1="",$AJ5&gt;$C$1),"",IFERROR(SUMIFS(D$5:D$5012,$A$5:$A$5012,$A5,$AJ$5:$AJ$5012,"&lt;"&amp;$AJ5+1),""))</f>
        <v>19240</v>
      </c>
      <c r="U5" s="184">
        <f t="shared" ref="U5:U36" si="6">IF($C$1="","",IFERROR(SUMIFS(E$5:E$5012,$A$5:$A$5012,$A5,$AJ$5:$AJ$5012,"&lt;"&amp;$AJ5+1),""))</f>
        <v>40460.096037417396</v>
      </c>
      <c r="V5" s="184">
        <f>IFERROR(SUM(T5,-U5),"")</f>
        <v>-21220.096037417396</v>
      </c>
      <c r="W5" s="185">
        <f>IF(SUM(T5:T16)=0,"",IFERROR(T5/U5,""))</f>
        <v>0.47553026028922168</v>
      </c>
      <c r="X5" s="183">
        <f t="shared" ref="X5:X36" si="7">IF(OR($C$1="",$AJ5&gt;$C$1),"",IFERROR(SUMIFS(H$5:H$5012,$A$5:$A$5012,$A5,$AJ$5:$AJ$5012,"&lt;"&amp;$AJ5+1),""))</f>
        <v>22149</v>
      </c>
      <c r="Y5" s="184">
        <f t="shared" ref="Y5:Y36" si="8">IF($C$1="","",IFERROR(SUMIFS(I$5:I$5012,$A$5:$A$5012,$A5,$AJ$5:$AJ$5012,"&lt;"&amp;$AJ5+1),""))</f>
        <v>38351.692721508785</v>
      </c>
      <c r="Z5" s="184">
        <f>IFERROR(SUM(X5,-Y5),"")</f>
        <v>-16202.692721508785</v>
      </c>
      <c r="AA5" s="185">
        <f>IF(SUM(X5:X16)=0,"",IFERROR(X5/Y5,""))</f>
        <v>0.57752340061846019</v>
      </c>
      <c r="AB5" s="183">
        <f t="shared" ref="AB5:AB36" si="9">IF(OR($C$1="",$AJ5&gt;$C$1),"",IFERROR(SUMIFS(L$5:L$5012,$A$5:$A$5012,$A5,$AJ$5:$AJ$5012,"&lt;"&amp;$AJ5+1),""))</f>
        <v>407</v>
      </c>
      <c r="AC5" s="184">
        <f t="shared" ref="AC5:AC36" si="10">IF($C$1="","",IFERROR(SUMIFS(M$5:M$5012,$A$5:$A$5012,$A5,$AJ$5:$AJ$5012,"&lt;"&amp;$AJ5+1),""))</f>
        <v>3106.6129691591491</v>
      </c>
      <c r="AD5" s="184">
        <f>IFERROR(SUM(AB5,-AC5),"")</f>
        <v>-2699.6129691591491</v>
      </c>
      <c r="AE5" s="185">
        <f>IF(SUM(AB5:AB16)=0,"",IFERROR(AB5/AC5,""))</f>
        <v>0.13101084816180389</v>
      </c>
      <c r="AF5" s="183">
        <f t="shared" ref="AF5:AF36" si="11">IF(OR($C$1="",$AJ5&gt;$C$1),"",IFERROR(SUMIFS(P$5:P$5012,$A$5:$A$5012,$A5,$AJ$5:$AJ$5012,"&lt;"&amp;$AJ5+1),""))</f>
        <v>126204</v>
      </c>
      <c r="AG5" s="184">
        <f t="shared" ref="AG5:AG36" si="12">IF($C$1="","",IFERROR(SUMIFS(Q$5:Q$5012,$A$5:$A$5012,$A5,$AJ$5:$AJ$5012,"&lt;"&amp;$AJ5+1),""))</f>
        <v>175224.10752967361</v>
      </c>
      <c r="AH5" s="184">
        <f>IFERROR(SUM(AF5,-AG5),"")</f>
        <v>-49020.107529673609</v>
      </c>
      <c r="AI5" s="186">
        <f>IF(SUM(AF5:AF16)=0,"",IFERROR(AF5/AG5,""))</f>
        <v>0.72024336022728941</v>
      </c>
      <c r="AJ5" s="157">
        <v>1</v>
      </c>
    </row>
    <row r="6" spans="1:36" ht="24.95" customHeight="1" x14ac:dyDescent="0.25">
      <c r="A6" s="182" t="str">
        <f t="shared" si="0"/>
        <v>مجتمع خراسان</v>
      </c>
      <c r="B6" s="216"/>
      <c r="C6" s="167" t="str">
        <f>تجمیعی!B5</f>
        <v>اردیبهشت</v>
      </c>
      <c r="D6" s="171">
        <f t="shared" si="1"/>
        <v>21048</v>
      </c>
      <c r="E6" s="159">
        <f t="shared" si="1"/>
        <v>40460.096037417396</v>
      </c>
      <c r="F6" s="159">
        <f t="shared" ref="F6:F69" si="13">IFERROR(SUM(D6,-E6),"")</f>
        <v>-19412.096037417396</v>
      </c>
      <c r="G6" s="175">
        <f>IF(SUM(D6:D16)=0,"",IFERROR(D6/E6,""))</f>
        <v>0.52021626395881171</v>
      </c>
      <c r="H6" s="171">
        <f t="shared" si="2"/>
        <v>22533</v>
      </c>
      <c r="I6" s="159">
        <f t="shared" si="2"/>
        <v>38351.692721508785</v>
      </c>
      <c r="J6" s="159">
        <f t="shared" ref="J6:J69" si="14">IFERROR(SUM(H6,-I6),"")</f>
        <v>-15818.692721508785</v>
      </c>
      <c r="K6" s="175">
        <f>IF(SUM(H6:H16)=0,"",IFERROR(H6/I6,""))</f>
        <v>0.58753599648452581</v>
      </c>
      <c r="L6" s="171">
        <f t="shared" si="3"/>
        <v>657</v>
      </c>
      <c r="M6" s="159">
        <f t="shared" si="3"/>
        <v>3106.6129691591491</v>
      </c>
      <c r="N6" s="159">
        <f t="shared" ref="N6:N69" si="15">IFERROR(SUM(L6,-M6),"")</f>
        <v>-2449.6129691591491</v>
      </c>
      <c r="O6" s="175">
        <f>IF(SUM(L6:L16)=0,"",IFERROR(L6/M6,""))</f>
        <v>0.21148434211868586</v>
      </c>
      <c r="P6" s="171">
        <f t="shared" si="4"/>
        <v>138956</v>
      </c>
      <c r="Q6" s="159">
        <f t="shared" si="4"/>
        <v>175224.10752967361</v>
      </c>
      <c r="R6" s="159">
        <f t="shared" ref="R6:R69" si="16">IFERROR(SUM(P6,-Q6),"")</f>
        <v>-36268.107529673609</v>
      </c>
      <c r="S6" s="175">
        <f>IF(SUM(P6:P16)=0,"",IFERROR(P6/Q6,""))</f>
        <v>0.79301873445963067</v>
      </c>
      <c r="T6" s="171">
        <f t="shared" si="5"/>
        <v>40288</v>
      </c>
      <c r="U6" s="159">
        <f t="shared" si="6"/>
        <v>80920.192074834791</v>
      </c>
      <c r="V6" s="159">
        <f t="shared" ref="V6:V69" si="17">IFERROR(SUM(T6,-U6),"")</f>
        <v>-40632.192074834791</v>
      </c>
      <c r="W6" s="175">
        <f>IF(SUM(T6:T16)=0,"",IFERROR(T6/U6,""))</f>
        <v>0.49787326212401667</v>
      </c>
      <c r="X6" s="171">
        <f t="shared" si="7"/>
        <v>44682</v>
      </c>
      <c r="Y6" s="159">
        <f t="shared" si="8"/>
        <v>76703.385443017571</v>
      </c>
      <c r="Z6" s="159">
        <f t="shared" ref="Z6:Z69" si="18">IFERROR(SUM(X6,-Y6),"")</f>
        <v>-32021.385443017571</v>
      </c>
      <c r="AA6" s="175">
        <f>IF(SUM(X6:X16)=0,"",IFERROR(X6/Y6,""))</f>
        <v>0.58252969855149295</v>
      </c>
      <c r="AB6" s="171">
        <f t="shared" si="9"/>
        <v>1064</v>
      </c>
      <c r="AC6" s="159">
        <f t="shared" si="10"/>
        <v>6213.2259383182982</v>
      </c>
      <c r="AD6" s="159">
        <f t="shared" ref="AD6:AD69" si="19">IFERROR(SUM(AB6,-AC6),"")</f>
        <v>-5149.2259383182982</v>
      </c>
      <c r="AE6" s="175">
        <f>IF(SUM(AB6:AB16)=0,"",IFERROR(AB6/AC6,""))</f>
        <v>0.17124759514024487</v>
      </c>
      <c r="AF6" s="171">
        <f t="shared" si="11"/>
        <v>265160</v>
      </c>
      <c r="AG6" s="159">
        <f t="shared" si="12"/>
        <v>350448.21505934722</v>
      </c>
      <c r="AH6" s="159">
        <f t="shared" ref="AH6:AH69" si="20">IFERROR(SUM(AF6,-AG6),"")</f>
        <v>-85288.215059347218</v>
      </c>
      <c r="AI6" s="187">
        <f>IF(SUM(AF6:AF16)=0,"",IFERROR(AF6/AG6,""))</f>
        <v>0.75663104734345998</v>
      </c>
      <c r="AJ6" s="157">
        <f>AJ5+1</f>
        <v>2</v>
      </c>
    </row>
    <row r="7" spans="1:36" ht="24.95" customHeight="1" x14ac:dyDescent="0.25">
      <c r="A7" s="182" t="str">
        <f t="shared" si="0"/>
        <v>مجتمع خراسان</v>
      </c>
      <c r="B7" s="216"/>
      <c r="C7" s="167" t="str">
        <f>تجمیعی!B6</f>
        <v>خرداد</v>
      </c>
      <c r="D7" s="171">
        <f t="shared" si="1"/>
        <v>20077</v>
      </c>
      <c r="E7" s="159">
        <f t="shared" si="1"/>
        <v>40460.096037417396</v>
      </c>
      <c r="F7" s="159">
        <f t="shared" si="13"/>
        <v>-20383.096037417396</v>
      </c>
      <c r="G7" s="175">
        <f>IF(SUM(D7:D16)=0,"",IFERROR(D7/E7,""))</f>
        <v>0.49621730955440246</v>
      </c>
      <c r="H7" s="171">
        <f t="shared" si="2"/>
        <v>18019</v>
      </c>
      <c r="I7" s="159">
        <f t="shared" si="2"/>
        <v>38351.692721508785</v>
      </c>
      <c r="J7" s="159">
        <f t="shared" si="14"/>
        <v>-20332.692721508785</v>
      </c>
      <c r="K7" s="175">
        <f>IF(SUM(H7:H16)=0,"",IFERROR(H7/I7,""))</f>
        <v>0.46983584612145168</v>
      </c>
      <c r="L7" s="171">
        <f t="shared" si="3"/>
        <v>863</v>
      </c>
      <c r="M7" s="159">
        <f t="shared" si="3"/>
        <v>3106.6129691591491</v>
      </c>
      <c r="N7" s="159">
        <f t="shared" si="15"/>
        <v>-2243.6129691591491</v>
      </c>
      <c r="O7" s="175">
        <f>IF(SUM(L7:L16)=0,"",IFERROR(L7/M7,""))</f>
        <v>0.2777945011391566</v>
      </c>
      <c r="P7" s="171">
        <f t="shared" si="4"/>
        <v>115856</v>
      </c>
      <c r="Q7" s="159">
        <f t="shared" si="4"/>
        <v>175224.10752967361</v>
      </c>
      <c r="R7" s="159">
        <f t="shared" si="16"/>
        <v>-59368.107529673609</v>
      </c>
      <c r="S7" s="175">
        <f>IF(SUM(P7:P16)=0,"",IFERROR(P7/Q7,""))</f>
        <v>0.66118755936810913</v>
      </c>
      <c r="T7" s="171">
        <f t="shared" si="5"/>
        <v>60365</v>
      </c>
      <c r="U7" s="159">
        <f t="shared" si="6"/>
        <v>121380.28811225219</v>
      </c>
      <c r="V7" s="159">
        <f t="shared" si="17"/>
        <v>-61015.288112252194</v>
      </c>
      <c r="W7" s="175">
        <f>IF(SUM(T7:T16)=0,"",IFERROR(T7/U7,""))</f>
        <v>0.49732127793414527</v>
      </c>
      <c r="X7" s="171">
        <f t="shared" si="7"/>
        <v>62701</v>
      </c>
      <c r="Y7" s="159">
        <f t="shared" si="8"/>
        <v>115055.07816452635</v>
      </c>
      <c r="Z7" s="159">
        <f t="shared" si="18"/>
        <v>-52354.078164526349</v>
      </c>
      <c r="AA7" s="175">
        <f>IF(SUM(X7:X16)=0,"",IFERROR(X7/Y7,""))</f>
        <v>0.54496508107481256</v>
      </c>
      <c r="AB7" s="171">
        <f t="shared" si="9"/>
        <v>1927</v>
      </c>
      <c r="AC7" s="159">
        <f t="shared" si="10"/>
        <v>9319.8389074774477</v>
      </c>
      <c r="AD7" s="159">
        <f t="shared" si="19"/>
        <v>-7392.8389074774477</v>
      </c>
      <c r="AE7" s="175">
        <f>IF(SUM(AB7:AB16)=0,"",IFERROR(AB7/AC7,""))</f>
        <v>0.20676323047321546</v>
      </c>
      <c r="AF7" s="171">
        <f t="shared" si="11"/>
        <v>381016</v>
      </c>
      <c r="AG7" s="159">
        <f t="shared" si="12"/>
        <v>525672.32258902083</v>
      </c>
      <c r="AH7" s="159">
        <f t="shared" si="20"/>
        <v>-144656.32258902083</v>
      </c>
      <c r="AI7" s="187">
        <f>IF(SUM(AF7:AF16)=0,"",IFERROR(AF7/AG7,""))</f>
        <v>0.72481655135167633</v>
      </c>
      <c r="AJ7" s="157">
        <f t="shared" ref="AJ7:AJ15" si="21">AJ6+1</f>
        <v>3</v>
      </c>
    </row>
    <row r="8" spans="1:36" ht="24.95" customHeight="1" x14ac:dyDescent="0.25">
      <c r="A8" s="182" t="str">
        <f t="shared" si="0"/>
        <v>مجتمع خراسان</v>
      </c>
      <c r="B8" s="216"/>
      <c r="C8" s="167" t="str">
        <f>تجمیعی!B7</f>
        <v>تیر</v>
      </c>
      <c r="D8" s="171">
        <f t="shared" si="1"/>
        <v>16347</v>
      </c>
      <c r="E8" s="159">
        <f t="shared" si="1"/>
        <v>33363.745820509212</v>
      </c>
      <c r="F8" s="159">
        <f t="shared" si="13"/>
        <v>-17016.745820509212</v>
      </c>
      <c r="G8" s="175">
        <f>IF(SUM(D8:D16)=0,"",IFERROR(D8/E8,""))</f>
        <v>0.48996297022354263</v>
      </c>
      <c r="H8" s="171">
        <f t="shared" si="2"/>
        <v>23311</v>
      </c>
      <c r="I8" s="159">
        <f t="shared" si="2"/>
        <v>39084.176468661921</v>
      </c>
      <c r="J8" s="159">
        <f t="shared" si="14"/>
        <v>-15773.176468661921</v>
      </c>
      <c r="K8" s="175">
        <f>IF(SUM(H8:H16)=0,"",IFERROR(H8/I8,""))</f>
        <v>0.59643063014749687</v>
      </c>
      <c r="L8" s="171">
        <f t="shared" si="3"/>
        <v>293</v>
      </c>
      <c r="M8" s="159">
        <f t="shared" si="3"/>
        <v>693.82114163414224</v>
      </c>
      <c r="N8" s="159">
        <f t="shared" si="15"/>
        <v>-400.82114163414224</v>
      </c>
      <c r="O8" s="175">
        <f>IF(SUM(L8:L16)=0,"",IFERROR(L8/M8,""))</f>
        <v>0.42229903705428073</v>
      </c>
      <c r="P8" s="171">
        <f t="shared" si="4"/>
        <v>158591</v>
      </c>
      <c r="Q8" s="159">
        <f t="shared" si="4"/>
        <v>132753.0657936307</v>
      </c>
      <c r="R8" s="159">
        <f t="shared" si="16"/>
        <v>25837.934206369304</v>
      </c>
      <c r="S8" s="175">
        <f>IF(SUM(P8:P16)=0,"",IFERROR(P8/Q8,""))</f>
        <v>1.1946315443029789</v>
      </c>
      <c r="T8" s="171">
        <f t="shared" si="5"/>
        <v>76712</v>
      </c>
      <c r="U8" s="159">
        <f t="shared" si="6"/>
        <v>154744.03393276141</v>
      </c>
      <c r="V8" s="159">
        <f t="shared" si="17"/>
        <v>-78032.033932761406</v>
      </c>
      <c r="W8" s="175">
        <f>IF(SUM(T8:T16)=0,"",IFERROR(T8/U8,""))</f>
        <v>0.49573478246878655</v>
      </c>
      <c r="X8" s="171">
        <f t="shared" si="7"/>
        <v>86012</v>
      </c>
      <c r="Y8" s="159">
        <f t="shared" si="8"/>
        <v>154139.25463318828</v>
      </c>
      <c r="Z8" s="159">
        <f t="shared" si="18"/>
        <v>-68127.254633188277</v>
      </c>
      <c r="AA8" s="175">
        <f>IF(SUM(X8:X16)=0,"",IFERROR(X8/Y8,""))</f>
        <v>0.55801489506801105</v>
      </c>
      <c r="AB8" s="171">
        <f t="shared" si="9"/>
        <v>2220</v>
      </c>
      <c r="AC8" s="159">
        <f t="shared" si="10"/>
        <v>10013.66004911159</v>
      </c>
      <c r="AD8" s="159">
        <f t="shared" si="19"/>
        <v>-7793.6600491115896</v>
      </c>
      <c r="AE8" s="175">
        <f>IF(SUM(AB8:AB16)=0,"",IFERROR(AB8/AC8,""))</f>
        <v>0.22169716058984429</v>
      </c>
      <c r="AF8" s="171">
        <f t="shared" si="11"/>
        <v>539607</v>
      </c>
      <c r="AG8" s="159">
        <f t="shared" si="12"/>
        <v>658425.38838265149</v>
      </c>
      <c r="AH8" s="159">
        <f t="shared" si="20"/>
        <v>-118818.38838265149</v>
      </c>
      <c r="AI8" s="187">
        <f>IF(SUM(AF8:AF16)=0,"",IFERROR(AF8/AG8,""))</f>
        <v>0.8195416056563134</v>
      </c>
      <c r="AJ8" s="157">
        <f t="shared" si="21"/>
        <v>4</v>
      </c>
    </row>
    <row r="9" spans="1:36" ht="24.95" customHeight="1" x14ac:dyDescent="0.25">
      <c r="A9" s="182" t="str">
        <f t="shared" si="0"/>
        <v>مجتمع خراسان</v>
      </c>
      <c r="B9" s="216"/>
      <c r="C9" s="167" t="str">
        <f>تجمیعی!B8</f>
        <v>مرداد</v>
      </c>
      <c r="D9" s="171">
        <f t="shared" si="1"/>
        <v>23531</v>
      </c>
      <c r="E9" s="159">
        <f t="shared" si="1"/>
        <v>33363.745820509212</v>
      </c>
      <c r="F9" s="159">
        <f t="shared" si="13"/>
        <v>-9832.7458205092116</v>
      </c>
      <c r="G9" s="175">
        <f>IF(SUM(D9:D16)=0,"",IFERROR(D9/E9,""))</f>
        <v>0.70528651448768476</v>
      </c>
      <c r="H9" s="171">
        <f t="shared" si="2"/>
        <v>30208</v>
      </c>
      <c r="I9" s="159">
        <f t="shared" si="2"/>
        <v>39084.176468661921</v>
      </c>
      <c r="J9" s="159">
        <f t="shared" si="14"/>
        <v>-8876.1764686619208</v>
      </c>
      <c r="K9" s="175">
        <f>IF(SUM(H9:H16)=0,"",IFERROR(H9/I9,""))</f>
        <v>0.77289590646027995</v>
      </c>
      <c r="L9" s="171">
        <f t="shared" si="3"/>
        <v>1520</v>
      </c>
      <c r="M9" s="159">
        <f t="shared" si="3"/>
        <v>693.82114163414224</v>
      </c>
      <c r="N9" s="159">
        <f t="shared" si="15"/>
        <v>826.17885836585776</v>
      </c>
      <c r="O9" s="175">
        <f>IF(SUM(L9:L16)=0,"",IFERROR(L9/M9,""))</f>
        <v>2.1907663355716953</v>
      </c>
      <c r="P9" s="171">
        <f t="shared" si="4"/>
        <v>163307</v>
      </c>
      <c r="Q9" s="159">
        <f t="shared" si="4"/>
        <v>132753.0657936307</v>
      </c>
      <c r="R9" s="159">
        <f t="shared" si="16"/>
        <v>30553.934206369304</v>
      </c>
      <c r="S9" s="175">
        <f>IF(SUM(P9:P16)=0,"",IFERROR(P9/Q9,""))</f>
        <v>1.2301561476091745</v>
      </c>
      <c r="T9" s="171">
        <f t="shared" si="5"/>
        <v>100243</v>
      </c>
      <c r="U9" s="159">
        <f t="shared" si="6"/>
        <v>188107.77975327062</v>
      </c>
      <c r="V9" s="159">
        <f t="shared" si="17"/>
        <v>-87864.779753270617</v>
      </c>
      <c r="W9" s="175">
        <f>IF(SUM(T9:T16)=0,"",IFERROR(T9/U9,""))</f>
        <v>0.532901935961833</v>
      </c>
      <c r="X9" s="171">
        <f t="shared" si="7"/>
        <v>116220</v>
      </c>
      <c r="Y9" s="159">
        <f t="shared" si="8"/>
        <v>193223.4311018502</v>
      </c>
      <c r="Z9" s="159">
        <f t="shared" si="18"/>
        <v>-77003.431101850205</v>
      </c>
      <c r="AA9" s="175">
        <f>IF(SUM(X9:X16)=0,"",IFERROR(X9/Y9,""))</f>
        <v>0.60147984815950795</v>
      </c>
      <c r="AB9" s="171">
        <f t="shared" si="9"/>
        <v>3740</v>
      </c>
      <c r="AC9" s="159">
        <f t="shared" si="10"/>
        <v>10707.481190745732</v>
      </c>
      <c r="AD9" s="159">
        <f t="shared" si="19"/>
        <v>-6967.4811907457315</v>
      </c>
      <c r="AE9" s="175">
        <f>IF(SUM(AB9:AB16)=0,"",IFERROR(AB9/AC9,""))</f>
        <v>0.34928849590064276</v>
      </c>
      <c r="AF9" s="171">
        <f t="shared" si="11"/>
        <v>702914</v>
      </c>
      <c r="AG9" s="159">
        <f t="shared" si="12"/>
        <v>791178.45417628216</v>
      </c>
      <c r="AH9" s="159">
        <f t="shared" si="20"/>
        <v>-88264.454176282161</v>
      </c>
      <c r="AI9" s="187">
        <f>IF(SUM(AF9:AF16)=0,"",IFERROR(AF9/AG9,""))</f>
        <v>0.88843925954963376</v>
      </c>
      <c r="AJ9" s="157">
        <f t="shared" si="21"/>
        <v>5</v>
      </c>
    </row>
    <row r="10" spans="1:36" ht="24.95" customHeight="1" x14ac:dyDescent="0.25">
      <c r="A10" s="182" t="str">
        <f t="shared" si="0"/>
        <v>مجتمع خراسان</v>
      </c>
      <c r="B10" s="216"/>
      <c r="C10" s="167" t="str">
        <f>تجمیعی!B9</f>
        <v>شهریور</v>
      </c>
      <c r="D10" s="171">
        <f t="shared" si="1"/>
        <v>27327</v>
      </c>
      <c r="E10" s="159">
        <f t="shared" si="1"/>
        <v>33363.745820509212</v>
      </c>
      <c r="F10" s="159">
        <f t="shared" si="13"/>
        <v>-6036.7458205092116</v>
      </c>
      <c r="G10" s="175">
        <f>IF(SUM(D10:D16)=0,"",IFERROR(D10/E10,""))</f>
        <v>0.81906270797692238</v>
      </c>
      <c r="H10" s="171">
        <f t="shared" si="2"/>
        <v>23858</v>
      </c>
      <c r="I10" s="159">
        <f t="shared" si="2"/>
        <v>39084.176468661921</v>
      </c>
      <c r="J10" s="159">
        <f t="shared" si="14"/>
        <v>-15226.176468661921</v>
      </c>
      <c r="K10" s="175">
        <f>IF(SUM(H10:H16)=0,"",IFERROR(H10/I10,""))</f>
        <v>0.6104260638350556</v>
      </c>
      <c r="L10" s="171">
        <f t="shared" si="3"/>
        <v>180</v>
      </c>
      <c r="M10" s="159">
        <f t="shared" si="3"/>
        <v>693.82114163414224</v>
      </c>
      <c r="N10" s="159">
        <f t="shared" si="15"/>
        <v>-513.82114163414224</v>
      </c>
      <c r="O10" s="175">
        <f>IF(SUM(L10:L16)=0,"",IFERROR(L10/M10,""))</f>
        <v>0.25943285552822709</v>
      </c>
      <c r="P10" s="171">
        <f t="shared" si="4"/>
        <v>174182</v>
      </c>
      <c r="Q10" s="159">
        <f t="shared" si="4"/>
        <v>132753.0657936307</v>
      </c>
      <c r="R10" s="159">
        <f t="shared" si="16"/>
        <v>41428.934206369304</v>
      </c>
      <c r="S10" s="175">
        <f>IF(SUM(P10:P16)=0,"",IFERROR(P10/Q10,""))</f>
        <v>1.31207515968612</v>
      </c>
      <c r="T10" s="171">
        <f t="shared" si="5"/>
        <v>127570</v>
      </c>
      <c r="U10" s="159">
        <f t="shared" si="6"/>
        <v>221471.52557377983</v>
      </c>
      <c r="V10" s="159">
        <f t="shared" si="17"/>
        <v>-93901.525573779829</v>
      </c>
      <c r="W10" s="175">
        <f>IF(SUM(T10:T16)=0,"",IFERROR(T10/U10,""))</f>
        <v>0.57601084233964883</v>
      </c>
      <c r="X10" s="171">
        <f t="shared" si="7"/>
        <v>140078</v>
      </c>
      <c r="Y10" s="159">
        <f t="shared" si="8"/>
        <v>232307.60757051213</v>
      </c>
      <c r="Z10" s="159">
        <f t="shared" si="18"/>
        <v>-92229.607570512133</v>
      </c>
      <c r="AA10" s="175">
        <f>IF(SUM(X10:X16)=0,"",IFERROR(X10/Y10,""))</f>
        <v>0.60298498815835055</v>
      </c>
      <c r="AB10" s="171">
        <f t="shared" si="9"/>
        <v>3920</v>
      </c>
      <c r="AC10" s="159">
        <f t="shared" si="10"/>
        <v>11401.302332379873</v>
      </c>
      <c r="AD10" s="159">
        <f t="shared" si="19"/>
        <v>-7481.3023323798734</v>
      </c>
      <c r="AE10" s="175">
        <f>IF(SUM(AB10:AB16)=0,"",IFERROR(AB10/AC10,""))</f>
        <v>0.3438203711927838</v>
      </c>
      <c r="AF10" s="171">
        <f t="shared" si="11"/>
        <v>877096</v>
      </c>
      <c r="AG10" s="159">
        <f t="shared" si="12"/>
        <v>923931.51996991283</v>
      </c>
      <c r="AH10" s="159">
        <f t="shared" si="20"/>
        <v>-46835.519969912828</v>
      </c>
      <c r="AI10" s="187">
        <f>IF(SUM(AF10:AF16)=0,"",IFERROR(AF10/AG10,""))</f>
        <v>0.94930845094294647</v>
      </c>
      <c r="AJ10" s="157">
        <f t="shared" si="21"/>
        <v>6</v>
      </c>
    </row>
    <row r="11" spans="1:36" ht="24.95" customHeight="1" x14ac:dyDescent="0.25">
      <c r="A11" s="182" t="str">
        <f t="shared" si="0"/>
        <v>مجتمع خراسان</v>
      </c>
      <c r="B11" s="216"/>
      <c r="C11" s="167" t="str">
        <f>تجمیعی!B10</f>
        <v>مهر</v>
      </c>
      <c r="D11" s="171">
        <f t="shared" si="1"/>
        <v>24847</v>
      </c>
      <c r="E11" s="159">
        <f t="shared" si="1"/>
        <v>36671.973382084885</v>
      </c>
      <c r="F11" s="159">
        <f t="shared" si="13"/>
        <v>-11824.973382084885</v>
      </c>
      <c r="G11" s="175">
        <f>IF(SUM(D11:D16)=0,"",IFERROR(D11/E11,""))</f>
        <v>0.67754739405811026</v>
      </c>
      <c r="H11" s="171">
        <f t="shared" si="2"/>
        <v>24761</v>
      </c>
      <c r="I11" s="159">
        <f t="shared" si="2"/>
        <v>35250.288290497207</v>
      </c>
      <c r="J11" s="159">
        <f t="shared" si="14"/>
        <v>-10489.288290497207</v>
      </c>
      <c r="K11" s="175">
        <f>IF(SUM(H11:H16)=0,"",IFERROR(H11/I11,""))</f>
        <v>0.70243397148825826</v>
      </c>
      <c r="L11" s="171">
        <f t="shared" si="3"/>
        <v>0</v>
      </c>
      <c r="M11" s="159">
        <f t="shared" si="3"/>
        <v>123.86959291041197</v>
      </c>
      <c r="N11" s="159">
        <f t="shared" si="15"/>
        <v>-123.86959291041197</v>
      </c>
      <c r="O11" s="175">
        <f>IF(SUM(L11:L16)=0,"",IFERROR(L11/M11,""))</f>
        <v>0</v>
      </c>
      <c r="P11" s="171">
        <f t="shared" si="4"/>
        <v>182744</v>
      </c>
      <c r="Q11" s="159">
        <f t="shared" si="4"/>
        <v>157602.96001002908</v>
      </c>
      <c r="R11" s="159">
        <f t="shared" si="16"/>
        <v>25141.039989970915</v>
      </c>
      <c r="S11" s="175">
        <f>IF(SUM(P11:P16)=0,"",IFERROR(P11/Q11,""))</f>
        <v>1.1595213693218138</v>
      </c>
      <c r="T11" s="171">
        <f t="shared" si="5"/>
        <v>152417</v>
      </c>
      <c r="U11" s="159">
        <f t="shared" si="6"/>
        <v>258143.49895586472</v>
      </c>
      <c r="V11" s="159">
        <f t="shared" si="17"/>
        <v>-105726.49895586472</v>
      </c>
      <c r="W11" s="175">
        <f>IF(SUM(T11:T16)=0,"",IFERROR(T11/U11,""))</f>
        <v>0.59043516732551538</v>
      </c>
      <c r="X11" s="171">
        <f t="shared" si="7"/>
        <v>164839</v>
      </c>
      <c r="Y11" s="159">
        <f t="shared" si="8"/>
        <v>267557.89586100937</v>
      </c>
      <c r="Z11" s="159">
        <f t="shared" si="18"/>
        <v>-102718.89586100937</v>
      </c>
      <c r="AA11" s="175">
        <f>IF(SUM(X11:X16)=0,"",IFERROR(X11/Y11,""))</f>
        <v>0.61608721906540309</v>
      </c>
      <c r="AB11" s="171">
        <f t="shared" si="9"/>
        <v>3920</v>
      </c>
      <c r="AC11" s="159">
        <f t="shared" si="10"/>
        <v>11525.171925290286</v>
      </c>
      <c r="AD11" s="159">
        <f t="shared" si="19"/>
        <v>-7605.1719252902858</v>
      </c>
      <c r="AE11" s="175">
        <f>IF(SUM(AB11:AB16)=0,"",IFERROR(AB11/AC11,""))</f>
        <v>0.34012507799542147</v>
      </c>
      <c r="AF11" s="171">
        <f t="shared" si="11"/>
        <v>1059840</v>
      </c>
      <c r="AG11" s="159">
        <f t="shared" si="12"/>
        <v>1081534.4799799419</v>
      </c>
      <c r="AH11" s="159">
        <f t="shared" si="20"/>
        <v>-21694.479979941854</v>
      </c>
      <c r="AI11" s="187">
        <f>IF(SUM(AF11:AF16)=0,"",IFERROR(AF11/AG11,""))</f>
        <v>0.97994101863461236</v>
      </c>
      <c r="AJ11" s="157">
        <f t="shared" si="21"/>
        <v>7</v>
      </c>
    </row>
    <row r="12" spans="1:36" ht="24.95" customHeight="1" x14ac:dyDescent="0.25">
      <c r="A12" s="182" t="str">
        <f t="shared" si="0"/>
        <v>مجتمع خراسان</v>
      </c>
      <c r="B12" s="216"/>
      <c r="C12" s="167" t="str">
        <f>تجمیعی!B11</f>
        <v>آبان</v>
      </c>
      <c r="D12" s="171">
        <f t="shared" si="1"/>
        <v>40962</v>
      </c>
      <c r="E12" s="159">
        <f t="shared" si="1"/>
        <v>36671.973382084885</v>
      </c>
      <c r="F12" s="159">
        <f t="shared" si="13"/>
        <v>4290.0266179151149</v>
      </c>
      <c r="G12" s="175">
        <f>IF(SUM(D12:D16)=0,"",IFERROR(D12/E12,""))</f>
        <v>1.1169837950419896</v>
      </c>
      <c r="H12" s="171">
        <f t="shared" si="2"/>
        <v>28144</v>
      </c>
      <c r="I12" s="159">
        <f t="shared" si="2"/>
        <v>35250.288290497207</v>
      </c>
      <c r="J12" s="159">
        <f t="shared" si="14"/>
        <v>-7106.2882904972066</v>
      </c>
      <c r="K12" s="175">
        <f>IF(SUM(H12:H16)=0,"",IFERROR(H12/I12,""))</f>
        <v>0.79840481780079731</v>
      </c>
      <c r="L12" s="171">
        <f t="shared" si="3"/>
        <v>0</v>
      </c>
      <c r="M12" s="159">
        <f t="shared" si="3"/>
        <v>123.86959291041197</v>
      </c>
      <c r="N12" s="159">
        <f t="shared" si="15"/>
        <v>-123.86959291041197</v>
      </c>
      <c r="O12" s="175">
        <f>IF(SUM(L12:L16)=0,"",IFERROR(L12/M12,""))</f>
        <v>0</v>
      </c>
      <c r="P12" s="171">
        <f t="shared" si="4"/>
        <v>179945</v>
      </c>
      <c r="Q12" s="159">
        <f t="shared" si="4"/>
        <v>157602.96001002908</v>
      </c>
      <c r="R12" s="159">
        <f t="shared" si="16"/>
        <v>22342.039989970915</v>
      </c>
      <c r="S12" s="175">
        <f>IF(SUM(P12:P16)=0,"",IFERROR(P12/Q12,""))</f>
        <v>1.1417615505987271</v>
      </c>
      <c r="T12" s="171">
        <f t="shared" si="5"/>
        <v>193379</v>
      </c>
      <c r="U12" s="159">
        <f t="shared" si="6"/>
        <v>294815.47233794961</v>
      </c>
      <c r="V12" s="159">
        <f t="shared" si="17"/>
        <v>-101436.47233794961</v>
      </c>
      <c r="W12" s="175">
        <f>IF(SUM(T12:T16)=0,"",IFERROR(T12/U12,""))</f>
        <v>0.65593233104919246</v>
      </c>
      <c r="X12" s="171">
        <f t="shared" si="7"/>
        <v>192983</v>
      </c>
      <c r="Y12" s="159">
        <f t="shared" si="8"/>
        <v>302808.18415150658</v>
      </c>
      <c r="Z12" s="159">
        <f t="shared" si="18"/>
        <v>-109825.18415150658</v>
      </c>
      <c r="AA12" s="175">
        <f>IF(SUM(X12:X16)=0,"",IFERROR(X12/Y12,""))</f>
        <v>0.63731104408803951</v>
      </c>
      <c r="AB12" s="171">
        <f t="shared" si="9"/>
        <v>3920</v>
      </c>
      <c r="AC12" s="159">
        <f t="shared" si="10"/>
        <v>11649.041518200698</v>
      </c>
      <c r="AD12" s="159">
        <f t="shared" si="19"/>
        <v>-7729.0415182006982</v>
      </c>
      <c r="AE12" s="175">
        <f>IF(SUM(AB12:AB16)=0,"",IFERROR(AB12/AC12,""))</f>
        <v>0.33650837228756653</v>
      </c>
      <c r="AF12" s="171">
        <f t="shared" si="11"/>
        <v>1239785</v>
      </c>
      <c r="AG12" s="159">
        <f t="shared" si="12"/>
        <v>1239137.439989971</v>
      </c>
      <c r="AH12" s="159">
        <f t="shared" si="20"/>
        <v>647.56001002900302</v>
      </c>
      <c r="AI12" s="187">
        <f>IF(SUM(AF12:AF16)=0,"",IFERROR(AF12/AG12,""))</f>
        <v>1.0005225893344278</v>
      </c>
      <c r="AJ12" s="157">
        <f t="shared" si="21"/>
        <v>8</v>
      </c>
    </row>
    <row r="13" spans="1:36" ht="24.95" customHeight="1" x14ac:dyDescent="0.25">
      <c r="A13" s="182" t="str">
        <f t="shared" si="0"/>
        <v>مجتمع خراسان</v>
      </c>
      <c r="B13" s="216"/>
      <c r="C13" s="167" t="str">
        <f>تجمیعی!B12</f>
        <v>آذر</v>
      </c>
      <c r="D13" s="171">
        <f t="shared" si="1"/>
        <v>31087</v>
      </c>
      <c r="E13" s="159">
        <f t="shared" si="1"/>
        <v>36671.973382084885</v>
      </c>
      <c r="F13" s="159">
        <f t="shared" si="13"/>
        <v>-5584.9733820848851</v>
      </c>
      <c r="G13" s="175">
        <f>IF(SUM(D13:D16)=0,"",IFERROR(D13/E13,""))</f>
        <v>0.84770458562741879</v>
      </c>
      <c r="H13" s="171">
        <f t="shared" si="2"/>
        <v>28457</v>
      </c>
      <c r="I13" s="159">
        <f t="shared" si="2"/>
        <v>35250.288290497207</v>
      </c>
      <c r="J13" s="159">
        <f t="shared" si="14"/>
        <v>-6793.2882904972066</v>
      </c>
      <c r="K13" s="175">
        <f>IF(SUM(H13:H16)=0,"",IFERROR(H13/I13,""))</f>
        <v>0.80728417780547501</v>
      </c>
      <c r="L13" s="171">
        <f t="shared" si="3"/>
        <v>4</v>
      </c>
      <c r="M13" s="159">
        <f t="shared" si="3"/>
        <v>123.86959291041197</v>
      </c>
      <c r="N13" s="159">
        <f t="shared" si="15"/>
        <v>-119.86959291041197</v>
      </c>
      <c r="O13" s="175">
        <f>IF(SUM(L13:L16)=0,"",IFERROR(L13/M13,""))</f>
        <v>3.2292025072634081E-2</v>
      </c>
      <c r="P13" s="171">
        <f t="shared" si="4"/>
        <v>167136</v>
      </c>
      <c r="Q13" s="159">
        <f t="shared" si="4"/>
        <v>157602.96001002908</v>
      </c>
      <c r="R13" s="159">
        <f t="shared" si="16"/>
        <v>9533.0399899709155</v>
      </c>
      <c r="S13" s="175">
        <f>IF(SUM(P13:P16)=0,"",IFERROR(P13/Q13,""))</f>
        <v>1.0604876963564915</v>
      </c>
      <c r="T13" s="171">
        <f t="shared" si="5"/>
        <v>224466</v>
      </c>
      <c r="U13" s="159">
        <f t="shared" si="6"/>
        <v>331487.44572003448</v>
      </c>
      <c r="V13" s="159">
        <f t="shared" si="17"/>
        <v>-107021.44572003448</v>
      </c>
      <c r="W13" s="175">
        <f>IF(SUM(T13:T16)=0,"",IFERROR(T13/U13,""))</f>
        <v>0.67714781629943854</v>
      </c>
      <c r="X13" s="171">
        <f t="shared" si="7"/>
        <v>221440</v>
      </c>
      <c r="Y13" s="159">
        <f t="shared" si="8"/>
        <v>338058.47244200378</v>
      </c>
      <c r="Z13" s="159">
        <f t="shared" si="18"/>
        <v>-116618.47244200378</v>
      </c>
      <c r="AA13" s="175">
        <f>IF(SUM(X13:X16)=0,"",IFERROR(X13/Y13,""))</f>
        <v>0.6550346110257288</v>
      </c>
      <c r="AB13" s="171">
        <f t="shared" si="9"/>
        <v>3924</v>
      </c>
      <c r="AC13" s="159">
        <f t="shared" si="10"/>
        <v>11772.911111111111</v>
      </c>
      <c r="AD13" s="159">
        <f t="shared" si="19"/>
        <v>-7848.9111111111106</v>
      </c>
      <c r="AE13" s="175">
        <f>IF(SUM(AB13:AB16)=0,"",IFERROR(AB13/AC13,""))</f>
        <v>0.33330753651036937</v>
      </c>
      <c r="AF13" s="171">
        <f t="shared" si="11"/>
        <v>1406921</v>
      </c>
      <c r="AG13" s="159">
        <f t="shared" si="12"/>
        <v>1396740.4000000001</v>
      </c>
      <c r="AH13" s="159">
        <f t="shared" si="20"/>
        <v>10180.59999999986</v>
      </c>
      <c r="AI13" s="187">
        <f>IF(SUM(AF13:AF16)=0,"",IFERROR(AF13/AG13,""))</f>
        <v>1.0072888276160694</v>
      </c>
      <c r="AJ13" s="157">
        <f t="shared" si="21"/>
        <v>9</v>
      </c>
    </row>
    <row r="14" spans="1:36" ht="24.95" customHeight="1" x14ac:dyDescent="0.25">
      <c r="A14" s="182" t="str">
        <f t="shared" si="0"/>
        <v>مجتمع خراسان</v>
      </c>
      <c r="B14" s="216"/>
      <c r="C14" s="167" t="str">
        <f>تجمیعی!B13</f>
        <v>دی</v>
      </c>
      <c r="D14" s="171">
        <f t="shared" si="1"/>
        <v>20475</v>
      </c>
      <c r="E14" s="159">
        <f t="shared" si="1"/>
        <v>42386.765363947583</v>
      </c>
      <c r="F14" s="159">
        <f t="shared" si="13"/>
        <v>-21911.765363947583</v>
      </c>
      <c r="G14" s="175">
        <f>IF(SUM(D14:D16)=0,"",IFERROR(D14/E14,""))</f>
        <v>0.48305172202206265</v>
      </c>
      <c r="H14" s="171">
        <f t="shared" si="2"/>
        <v>29848</v>
      </c>
      <c r="I14" s="159">
        <f t="shared" si="2"/>
        <v>40985.185991546787</v>
      </c>
      <c r="J14" s="159">
        <f t="shared" si="14"/>
        <v>-11137.185991546787</v>
      </c>
      <c r="K14" s="175">
        <f>IF(SUM(H14:H16)=0,"",IFERROR(H14/I14,""))</f>
        <v>0.72826313405424492</v>
      </c>
      <c r="L14" s="171">
        <f t="shared" si="3"/>
        <v>20</v>
      </c>
      <c r="M14" s="159">
        <f t="shared" si="3"/>
        <v>4181.1076165270415</v>
      </c>
      <c r="N14" s="159">
        <f t="shared" si="15"/>
        <v>-4161.1076165270415</v>
      </c>
      <c r="O14" s="175">
        <f>IF(SUM(L14:L16)=0,"",IFERROR(L14/M14,""))</f>
        <v>4.7834214840450874E-3</v>
      </c>
      <c r="P14" s="171">
        <f t="shared" si="4"/>
        <v>152328</v>
      </c>
      <c r="Q14" s="159">
        <f t="shared" si="4"/>
        <v>214346.27889560815</v>
      </c>
      <c r="R14" s="159">
        <f t="shared" si="16"/>
        <v>-62018.278895608149</v>
      </c>
      <c r="S14" s="175">
        <f>IF(SUM(P14:P16)=0,"",IFERROR(P14/Q14,""))</f>
        <v>0.71066314183222856</v>
      </c>
      <c r="T14" s="171">
        <f t="shared" si="5"/>
        <v>244941</v>
      </c>
      <c r="U14" s="159">
        <f t="shared" si="6"/>
        <v>373874.21108398208</v>
      </c>
      <c r="V14" s="159">
        <f t="shared" si="17"/>
        <v>-128933.21108398208</v>
      </c>
      <c r="W14" s="175">
        <f>IF(SUM(T14:T16)=0,"",IFERROR(T14/U14,""))</f>
        <v>0.65514280669382607</v>
      </c>
      <c r="X14" s="171">
        <f t="shared" si="7"/>
        <v>251288</v>
      </c>
      <c r="Y14" s="159">
        <f t="shared" si="8"/>
        <v>379043.65843355056</v>
      </c>
      <c r="Z14" s="159">
        <f t="shared" si="18"/>
        <v>-127755.65843355056</v>
      </c>
      <c r="AA14" s="175">
        <f>IF(SUM(X14:X16)=0,"",IFERROR(X14/Y14,""))</f>
        <v>0.66295265574019047</v>
      </c>
      <c r="AB14" s="171">
        <f t="shared" si="9"/>
        <v>3944</v>
      </c>
      <c r="AC14" s="159">
        <f t="shared" si="10"/>
        <v>15954.018727638151</v>
      </c>
      <c r="AD14" s="159">
        <f t="shared" si="19"/>
        <v>-12010.018727638151</v>
      </c>
      <c r="AE14" s="175">
        <f>IF(SUM(AB14:AB16)=0,"",IFERROR(AB14/AC14,""))</f>
        <v>0.2472104406626752</v>
      </c>
      <c r="AF14" s="171">
        <f t="shared" si="11"/>
        <v>1559249</v>
      </c>
      <c r="AG14" s="159">
        <f t="shared" si="12"/>
        <v>1611086.6788956083</v>
      </c>
      <c r="AH14" s="159">
        <f t="shared" si="20"/>
        <v>-51837.678895608289</v>
      </c>
      <c r="AI14" s="187">
        <f>IF(SUM(AF14:AF16)=0,"",IFERROR(AF14/AG14,""))</f>
        <v>0.96782440102406986</v>
      </c>
      <c r="AJ14" s="157">
        <f t="shared" si="21"/>
        <v>10</v>
      </c>
    </row>
    <row r="15" spans="1:36" ht="24.95" customHeight="1" x14ac:dyDescent="0.25">
      <c r="A15" s="182" t="str">
        <f t="shared" si="0"/>
        <v>مجتمع خراسان</v>
      </c>
      <c r="B15" s="216"/>
      <c r="C15" s="167" t="str">
        <f>تجمیعی!B14</f>
        <v>بهمن</v>
      </c>
      <c r="D15" s="171">
        <f t="shared" si="1"/>
        <v>26021.758000000002</v>
      </c>
      <c r="E15" s="159">
        <f t="shared" si="1"/>
        <v>42386.765363947583</v>
      </c>
      <c r="F15" s="159">
        <f t="shared" si="13"/>
        <v>-16365.007363947581</v>
      </c>
      <c r="G15" s="175">
        <f>IF(SUM(D15:D16)=0,"",IFERROR(D15/E15,""))</f>
        <v>0.6139123326955499</v>
      </c>
      <c r="H15" s="171">
        <f t="shared" si="2"/>
        <v>29296.136999999999</v>
      </c>
      <c r="I15" s="159">
        <f t="shared" si="2"/>
        <v>40985.185991546787</v>
      </c>
      <c r="J15" s="159">
        <f t="shared" si="14"/>
        <v>-11689.048991546788</v>
      </c>
      <c r="K15" s="175">
        <f>IF(SUM(H15:H16)=0,"",IFERROR(H15/I15,""))</f>
        <v>0.71479819576864534</v>
      </c>
      <c r="L15" s="171">
        <f t="shared" si="3"/>
        <v>0</v>
      </c>
      <c r="M15" s="159">
        <f t="shared" si="3"/>
        <v>4181.1076165270415</v>
      </c>
      <c r="N15" s="159">
        <f t="shared" si="15"/>
        <v>-4181.1076165270415</v>
      </c>
      <c r="O15" s="175" t="str">
        <f>IF(SUM(L15:L16)=0,"",IFERROR(L15/M15,""))</f>
        <v/>
      </c>
      <c r="P15" s="171">
        <f t="shared" si="4"/>
        <v>186756</v>
      </c>
      <c r="Q15" s="159">
        <f t="shared" si="4"/>
        <v>214346.27889560815</v>
      </c>
      <c r="R15" s="159">
        <f t="shared" si="16"/>
        <v>-27590.278895608149</v>
      </c>
      <c r="S15" s="175">
        <f>IF(SUM(P15:P16)=0,"",IFERROR(P15/Q15,""))</f>
        <v>0.87128174541791192</v>
      </c>
      <c r="T15" s="171">
        <f t="shared" si="5"/>
        <v>270962.75800000003</v>
      </c>
      <c r="U15" s="159">
        <f t="shared" si="6"/>
        <v>416260.97644792969</v>
      </c>
      <c r="V15" s="159">
        <f t="shared" si="17"/>
        <v>-145298.21844792966</v>
      </c>
      <c r="W15" s="175">
        <f>IF(SUM(T15:T16)=0,"",IFERROR(T15/U15,""))</f>
        <v>0.65094441547752169</v>
      </c>
      <c r="X15" s="171">
        <f t="shared" si="7"/>
        <v>280584.13699999999</v>
      </c>
      <c r="Y15" s="159">
        <f t="shared" si="8"/>
        <v>420028.84442509734</v>
      </c>
      <c r="Z15" s="159">
        <f t="shared" si="18"/>
        <v>-139444.70742509735</v>
      </c>
      <c r="AA15" s="175">
        <f>IF(SUM(X15:X16)=0,"",IFERROR(X15/Y15,""))</f>
        <v>0.66801159188017578</v>
      </c>
      <c r="AB15" s="171">
        <f t="shared" si="9"/>
        <v>3944</v>
      </c>
      <c r="AC15" s="159">
        <f t="shared" si="10"/>
        <v>20135.126344165194</v>
      </c>
      <c r="AD15" s="159">
        <f t="shared" si="19"/>
        <v>-16191.126344165194</v>
      </c>
      <c r="AE15" s="175">
        <f>IF(SUM(AB15:AB16)=0,"",IFERROR(AB15/AC15,""))</f>
        <v>0.19587659558654333</v>
      </c>
      <c r="AF15" s="171">
        <f t="shared" si="11"/>
        <v>1746005</v>
      </c>
      <c r="AG15" s="159">
        <f t="shared" si="12"/>
        <v>1825432.9577912164</v>
      </c>
      <c r="AH15" s="159">
        <f t="shared" si="20"/>
        <v>-79427.957791216439</v>
      </c>
      <c r="AI15" s="187">
        <f>IF(SUM(AF15:AF16)=0,"",IFERROR(AF15/AG15,""))</f>
        <v>0.95648815397344167</v>
      </c>
      <c r="AJ15" s="157">
        <f t="shared" si="21"/>
        <v>11</v>
      </c>
    </row>
    <row r="16" spans="1:36" ht="24.95" customHeight="1" thickBot="1" x14ac:dyDescent="0.3">
      <c r="A16" s="182" t="str">
        <f t="shared" si="0"/>
        <v>مجتمع خراسان</v>
      </c>
      <c r="B16" s="217"/>
      <c r="C16" s="168" t="str">
        <f>تجمیعی!B15</f>
        <v>اسفند</v>
      </c>
      <c r="D16" s="172">
        <f t="shared" si="1"/>
        <v>26757</v>
      </c>
      <c r="E16" s="173">
        <f t="shared" si="1"/>
        <v>42386.765363947583</v>
      </c>
      <c r="F16" s="173">
        <f t="shared" si="13"/>
        <v>-15629.765363947583</v>
      </c>
      <c r="G16" s="176">
        <f>IF(SUM(D16)=0,"",IFERROR(D16/E16,""))</f>
        <v>0.63125836025124926</v>
      </c>
      <c r="H16" s="172">
        <f t="shared" si="2"/>
        <v>26932</v>
      </c>
      <c r="I16" s="173">
        <f t="shared" si="2"/>
        <v>40985.185991546787</v>
      </c>
      <c r="J16" s="173">
        <f t="shared" si="14"/>
        <v>-14053.185991546787</v>
      </c>
      <c r="K16" s="176">
        <f>IF(SUM(H16)=0,"",IFERROR(H16/I16,""))</f>
        <v>0.65711547595647701</v>
      </c>
      <c r="L16" s="172">
        <f t="shared" si="3"/>
        <v>0</v>
      </c>
      <c r="M16" s="173">
        <f t="shared" si="3"/>
        <v>4181.1076165270415</v>
      </c>
      <c r="N16" s="173">
        <f t="shared" si="15"/>
        <v>-4181.1076165270415</v>
      </c>
      <c r="O16" s="176" t="str">
        <f>IF(SUM(L16)=0,"",IFERROR(L16/M16,""))</f>
        <v/>
      </c>
      <c r="P16" s="172">
        <f t="shared" si="4"/>
        <v>174665</v>
      </c>
      <c r="Q16" s="173">
        <f t="shared" si="4"/>
        <v>214346.27889560815</v>
      </c>
      <c r="R16" s="173">
        <f t="shared" si="16"/>
        <v>-39681.278895608149</v>
      </c>
      <c r="S16" s="176">
        <f>IF(SUM(P16)=0,"",IFERROR(P16/Q16,""))</f>
        <v>0.81487302182216148</v>
      </c>
      <c r="T16" s="172">
        <f t="shared" si="5"/>
        <v>297719.75800000003</v>
      </c>
      <c r="U16" s="173">
        <f t="shared" si="6"/>
        <v>458647.74181187729</v>
      </c>
      <c r="V16" s="173">
        <f t="shared" si="17"/>
        <v>-160927.98381187726</v>
      </c>
      <c r="W16" s="176">
        <f>IF(SUM(T16)=0,"",IFERROR(T16/U16,""))</f>
        <v>0.64912509287381426</v>
      </c>
      <c r="X16" s="172">
        <f t="shared" si="7"/>
        <v>307516.13699999999</v>
      </c>
      <c r="Y16" s="173">
        <f t="shared" si="8"/>
        <v>461014.03041664412</v>
      </c>
      <c r="Z16" s="173">
        <f t="shared" si="18"/>
        <v>-153497.89341664413</v>
      </c>
      <c r="AA16" s="176">
        <f>IF(SUM(X16)=0,"",IFERROR(X16/Y16,""))</f>
        <v>0.66704290262506871</v>
      </c>
      <c r="AB16" s="172">
        <f t="shared" si="9"/>
        <v>3944</v>
      </c>
      <c r="AC16" s="173">
        <f t="shared" si="10"/>
        <v>24316.233960692236</v>
      </c>
      <c r="AD16" s="173">
        <f t="shared" si="19"/>
        <v>-20372.233960692236</v>
      </c>
      <c r="AE16" s="176">
        <f>IF(SUM(AB16)=0,"",IFERROR(AB16/AC16,""))</f>
        <v>0.16219616929067093</v>
      </c>
      <c r="AF16" s="172">
        <f t="shared" si="11"/>
        <v>1920670</v>
      </c>
      <c r="AG16" s="173">
        <f t="shared" si="12"/>
        <v>2039779.2366868246</v>
      </c>
      <c r="AH16" s="173">
        <f t="shared" si="20"/>
        <v>-119109.23668682459</v>
      </c>
      <c r="AI16" s="188">
        <f>IF(SUM(AF16)=0,"",IFERROR(AF16/AG16,""))</f>
        <v>0.94160680011612852</v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15" t="str">
        <f>واردات!J2</f>
        <v>فرودگاه هاشمی نژاد</v>
      </c>
      <c r="C17" s="166" t="str">
        <f>C5</f>
        <v>فروردین</v>
      </c>
      <c r="D17" s="170">
        <f>SUM('مقایسه بودجه- صادرات'!D17,'مقایسه بودجه- واردات'!D17)</f>
        <v>0</v>
      </c>
      <c r="E17" s="160">
        <f>SUM('مقایسه بودجه- صادرات'!E17,'مقایسه بودجه- واردات'!E17)</f>
        <v>0</v>
      </c>
      <c r="F17" s="160">
        <f t="shared" si="13"/>
        <v>0</v>
      </c>
      <c r="G17" s="185" t="str">
        <f>IF(SUM(D17:D28)=0,"",IFERROR(D17/E17,""))</f>
        <v/>
      </c>
      <c r="H17" s="170">
        <f>SUM('مقایسه بودجه- صادرات'!H17,'مقایسه بودجه- واردات'!H17)</f>
        <v>0</v>
      </c>
      <c r="I17" s="160">
        <f>SUM('مقایسه بودجه- صادرات'!I17,'مقایسه بودجه- واردات'!I17)</f>
        <v>0</v>
      </c>
      <c r="J17" s="160">
        <f t="shared" si="14"/>
        <v>0</v>
      </c>
      <c r="K17" s="185" t="str">
        <f>IF(SUM(H17:H28)=0,"",IFERROR(H17/I17,""))</f>
        <v/>
      </c>
      <c r="L17" s="170">
        <f>SUM('مقایسه بودجه- صادرات'!L17,'مقایسه بودجه- واردات'!L17)</f>
        <v>0</v>
      </c>
      <c r="M17" s="160">
        <f>SUM('مقایسه بودجه- صادرات'!M17,'مقایسه بودجه- واردات'!M17)</f>
        <v>0</v>
      </c>
      <c r="N17" s="160">
        <f t="shared" si="15"/>
        <v>0</v>
      </c>
      <c r="O17" s="185" t="str">
        <f>IF(SUM(L17:L28)=0,"",IFERROR(L17/M17,""))</f>
        <v/>
      </c>
      <c r="P17" s="170">
        <f>SUM('مقایسه بودجه- صادرات'!P17,'مقایسه بودجه- واردات'!P17)</f>
        <v>0</v>
      </c>
      <c r="Q17" s="160">
        <f>SUM('مقایسه بودجه- صادرات'!Q17,'مقایسه بودجه- واردات'!Q17)</f>
        <v>0</v>
      </c>
      <c r="R17" s="160">
        <f t="shared" si="16"/>
        <v>0</v>
      </c>
      <c r="S17" s="185" t="str">
        <f>IF(SUM(P17:P28)=0,"",IFERROR(P17/Q17,""))</f>
        <v/>
      </c>
      <c r="T17" s="183">
        <f t="shared" si="5"/>
        <v>0</v>
      </c>
      <c r="U17" s="160">
        <f t="shared" si="6"/>
        <v>0</v>
      </c>
      <c r="V17" s="160">
        <f t="shared" si="17"/>
        <v>0</v>
      </c>
      <c r="W17" s="185" t="str">
        <f t="shared" ref="W17" si="22">IF(SUM(T17:T28)=0,"",IFERROR(T17/U17,""))</f>
        <v/>
      </c>
      <c r="X17" s="183">
        <f t="shared" si="7"/>
        <v>0</v>
      </c>
      <c r="Y17" s="160">
        <f t="shared" si="8"/>
        <v>0</v>
      </c>
      <c r="Z17" s="160">
        <f t="shared" si="18"/>
        <v>0</v>
      </c>
      <c r="AA17" s="185" t="str">
        <f t="shared" ref="AA17" si="23">IF(SUM(X17:X28)=0,"",IFERROR(X17/Y17,""))</f>
        <v/>
      </c>
      <c r="AB17" s="183">
        <f t="shared" si="9"/>
        <v>0</v>
      </c>
      <c r="AC17" s="160">
        <f t="shared" si="10"/>
        <v>0</v>
      </c>
      <c r="AD17" s="160">
        <f t="shared" si="19"/>
        <v>0</v>
      </c>
      <c r="AE17" s="185" t="str">
        <f t="shared" ref="AE17" si="24">IF(SUM(AB17:AB28)=0,"",IFERROR(AB17/AC17,""))</f>
        <v/>
      </c>
      <c r="AF17" s="183">
        <f t="shared" si="11"/>
        <v>0</v>
      </c>
      <c r="AG17" s="160">
        <f t="shared" si="12"/>
        <v>0</v>
      </c>
      <c r="AH17" s="160">
        <f t="shared" si="20"/>
        <v>0</v>
      </c>
      <c r="AI17" s="186" t="str">
        <f t="shared" ref="AI17" si="25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26">IF(B18="",A17,B18)</f>
        <v>فرودگاه هاشمی نژاد</v>
      </c>
      <c r="B18" s="216"/>
      <c r="C18" s="167" t="str">
        <f t="shared" ref="C18:C81" si="27">C6</f>
        <v>اردیبهشت</v>
      </c>
      <c r="D18" s="171">
        <f>SUM('مقایسه بودجه- صادرات'!D18,'مقایسه بودجه- واردات'!D18)</f>
        <v>0</v>
      </c>
      <c r="E18" s="159">
        <f>SUM('مقایسه بودجه- صادرات'!E18,'مقایسه بودجه- واردات'!E18)</f>
        <v>0</v>
      </c>
      <c r="F18" s="159">
        <f t="shared" si="13"/>
        <v>0</v>
      </c>
      <c r="G18" s="175" t="str">
        <f>IF(SUM(D18:D28)=0,"",IFERROR(D18/E18,""))</f>
        <v/>
      </c>
      <c r="H18" s="171">
        <f>SUM('مقایسه بودجه- صادرات'!H18,'مقایسه بودجه- واردات'!H18)</f>
        <v>0</v>
      </c>
      <c r="I18" s="159">
        <f>SUM('مقایسه بودجه- صادرات'!I18,'مقایسه بودجه- واردات'!I18)</f>
        <v>0</v>
      </c>
      <c r="J18" s="159">
        <f t="shared" si="14"/>
        <v>0</v>
      </c>
      <c r="K18" s="175" t="str">
        <f>IF(SUM(H18:H28)=0,"",IFERROR(H18/I18,""))</f>
        <v/>
      </c>
      <c r="L18" s="171">
        <f>SUM('مقایسه بودجه- صادرات'!L18,'مقایسه بودجه- واردات'!L18)</f>
        <v>0</v>
      </c>
      <c r="M18" s="159">
        <f>SUM('مقایسه بودجه- صادرات'!M18,'مقایسه بودجه- واردات'!M18)</f>
        <v>0</v>
      </c>
      <c r="N18" s="159">
        <f t="shared" si="15"/>
        <v>0</v>
      </c>
      <c r="O18" s="175" t="str">
        <f>IF(SUM(L18:L28)=0,"",IFERROR(L18/M18,""))</f>
        <v/>
      </c>
      <c r="P18" s="171">
        <f>SUM('مقایسه بودجه- صادرات'!P18,'مقایسه بودجه- واردات'!P18)</f>
        <v>0</v>
      </c>
      <c r="Q18" s="159">
        <f>SUM('مقایسه بودجه- صادرات'!Q18,'مقایسه بودجه- واردات'!Q18)</f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5"/>
        <v>0</v>
      </c>
      <c r="U18" s="159">
        <f t="shared" si="6"/>
        <v>0</v>
      </c>
      <c r="V18" s="159">
        <f t="shared" si="17"/>
        <v>0</v>
      </c>
      <c r="W18" s="175" t="str">
        <f t="shared" ref="W18" si="28">IF(SUM(T18:T28)=0,"",IFERROR(T18/U18,""))</f>
        <v/>
      </c>
      <c r="X18" s="171">
        <f t="shared" si="7"/>
        <v>0</v>
      </c>
      <c r="Y18" s="159">
        <f t="shared" si="8"/>
        <v>0</v>
      </c>
      <c r="Z18" s="159">
        <f t="shared" si="18"/>
        <v>0</v>
      </c>
      <c r="AA18" s="175" t="str">
        <f t="shared" ref="AA18" si="29">IF(SUM(X18:X28)=0,"",IFERROR(X18/Y18,""))</f>
        <v/>
      </c>
      <c r="AB18" s="171">
        <f t="shared" si="9"/>
        <v>0</v>
      </c>
      <c r="AC18" s="159">
        <f t="shared" si="10"/>
        <v>0</v>
      </c>
      <c r="AD18" s="159">
        <f t="shared" si="19"/>
        <v>0</v>
      </c>
      <c r="AE18" s="175" t="str">
        <f t="shared" ref="AE18" si="30">IF(SUM(AB18:AB28)=0,"",IFERROR(AB18/AC18,""))</f>
        <v/>
      </c>
      <c r="AF18" s="171">
        <f t="shared" si="11"/>
        <v>0</v>
      </c>
      <c r="AG18" s="159">
        <f t="shared" si="12"/>
        <v>0</v>
      </c>
      <c r="AH18" s="159">
        <f t="shared" si="20"/>
        <v>0</v>
      </c>
      <c r="AI18" s="187" t="str">
        <f t="shared" ref="AI18" si="31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26"/>
        <v>فرودگاه هاشمی نژاد</v>
      </c>
      <c r="B19" s="216"/>
      <c r="C19" s="167" t="str">
        <f t="shared" si="27"/>
        <v>خرداد</v>
      </c>
      <c r="D19" s="171">
        <f>SUM('مقایسه بودجه- صادرات'!D19,'مقایسه بودجه- واردات'!D19)</f>
        <v>0</v>
      </c>
      <c r="E19" s="159">
        <f>SUM('مقایسه بودجه- صادرات'!E19,'مقایسه بودجه- واردات'!E19)</f>
        <v>0</v>
      </c>
      <c r="F19" s="159">
        <f t="shared" si="13"/>
        <v>0</v>
      </c>
      <c r="G19" s="175" t="str">
        <f>IF(SUM(D19:D28)=0,"",IFERROR(D19/E19,""))</f>
        <v/>
      </c>
      <c r="H19" s="171">
        <f>SUM('مقایسه بودجه- صادرات'!H19,'مقایسه بودجه- واردات'!H19)</f>
        <v>0</v>
      </c>
      <c r="I19" s="159">
        <f>SUM('مقایسه بودجه- صادرات'!I19,'مقایسه بودجه- واردات'!I19)</f>
        <v>0</v>
      </c>
      <c r="J19" s="159">
        <f t="shared" si="14"/>
        <v>0</v>
      </c>
      <c r="K19" s="175" t="str">
        <f>IF(SUM(H19:H28)=0,"",IFERROR(H19/I19,""))</f>
        <v/>
      </c>
      <c r="L19" s="171">
        <f>SUM('مقایسه بودجه- صادرات'!L19,'مقایسه بودجه- واردات'!L19)</f>
        <v>0</v>
      </c>
      <c r="M19" s="159">
        <f>SUM('مقایسه بودجه- صادرات'!M19,'مقایسه بودجه- واردات'!M19)</f>
        <v>0</v>
      </c>
      <c r="N19" s="159">
        <f t="shared" si="15"/>
        <v>0</v>
      </c>
      <c r="O19" s="175" t="str">
        <f>IF(SUM(L19:L28)=0,"",IFERROR(L19/M19,""))</f>
        <v/>
      </c>
      <c r="P19" s="171">
        <f>SUM('مقایسه بودجه- صادرات'!P19,'مقایسه بودجه- واردات'!P19)</f>
        <v>0</v>
      </c>
      <c r="Q19" s="159">
        <f>SUM('مقایسه بودجه- صادرات'!Q19,'مقایسه بودجه- واردات'!Q19)</f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5"/>
        <v>0</v>
      </c>
      <c r="U19" s="159">
        <f t="shared" si="6"/>
        <v>0</v>
      </c>
      <c r="V19" s="159">
        <f t="shared" si="17"/>
        <v>0</v>
      </c>
      <c r="W19" s="175" t="str">
        <f t="shared" ref="W19" si="32">IF(SUM(T19:T28)=0,"",IFERROR(T19/U19,""))</f>
        <v/>
      </c>
      <c r="X19" s="171">
        <f t="shared" si="7"/>
        <v>0</v>
      </c>
      <c r="Y19" s="159">
        <f t="shared" si="8"/>
        <v>0</v>
      </c>
      <c r="Z19" s="159">
        <f t="shared" si="18"/>
        <v>0</v>
      </c>
      <c r="AA19" s="175" t="str">
        <f t="shared" ref="AA19" si="33">IF(SUM(X19:X28)=0,"",IFERROR(X19/Y19,""))</f>
        <v/>
      </c>
      <c r="AB19" s="171">
        <f t="shared" si="9"/>
        <v>0</v>
      </c>
      <c r="AC19" s="159">
        <f t="shared" si="10"/>
        <v>0</v>
      </c>
      <c r="AD19" s="159">
        <f t="shared" si="19"/>
        <v>0</v>
      </c>
      <c r="AE19" s="175" t="str">
        <f t="shared" ref="AE19" si="34">IF(SUM(AB19:AB28)=0,"",IFERROR(AB19/AC19,""))</f>
        <v/>
      </c>
      <c r="AF19" s="171">
        <f t="shared" si="11"/>
        <v>0</v>
      </c>
      <c r="AG19" s="159">
        <f t="shared" si="12"/>
        <v>0</v>
      </c>
      <c r="AH19" s="159">
        <f t="shared" si="20"/>
        <v>0</v>
      </c>
      <c r="AI19" s="187" t="str">
        <f t="shared" ref="AI19" si="35">IF(SUM(AF19:AF28)=0,"",IFERROR(AF19/AG19,""))</f>
        <v/>
      </c>
      <c r="AJ19" s="157">
        <f t="shared" ref="AJ19:AJ27" si="36">AJ18+1</f>
        <v>3</v>
      </c>
    </row>
    <row r="20" spans="1:36" ht="24.95" hidden="1" customHeight="1" x14ac:dyDescent="0.25">
      <c r="A20" s="182" t="str">
        <f t="shared" si="26"/>
        <v>فرودگاه هاشمی نژاد</v>
      </c>
      <c r="B20" s="216"/>
      <c r="C20" s="167" t="str">
        <f t="shared" si="27"/>
        <v>تیر</v>
      </c>
      <c r="D20" s="171">
        <f>SUM('مقایسه بودجه- صادرات'!D20,'مقایسه بودجه- واردات'!D20)</f>
        <v>0</v>
      </c>
      <c r="E20" s="159">
        <f>SUM('مقایسه بودجه- صادرات'!E20,'مقایسه بودجه- واردات'!E20)</f>
        <v>0</v>
      </c>
      <c r="F20" s="159">
        <f t="shared" si="13"/>
        <v>0</v>
      </c>
      <c r="G20" s="175" t="str">
        <f>IF(SUM(D20:D28)=0,"",IFERROR(D20/E20,""))</f>
        <v/>
      </c>
      <c r="H20" s="171">
        <f>SUM('مقایسه بودجه- صادرات'!H20,'مقایسه بودجه- واردات'!H20)</f>
        <v>0</v>
      </c>
      <c r="I20" s="159">
        <f>SUM('مقایسه بودجه- صادرات'!I20,'مقایسه بودجه- واردات'!I20)</f>
        <v>0</v>
      </c>
      <c r="J20" s="159">
        <f t="shared" si="14"/>
        <v>0</v>
      </c>
      <c r="K20" s="175" t="str">
        <f>IF(SUM(H20:H28)=0,"",IFERROR(H20/I20,""))</f>
        <v/>
      </c>
      <c r="L20" s="171">
        <f>SUM('مقایسه بودجه- صادرات'!L20,'مقایسه بودجه- واردات'!L20)</f>
        <v>0</v>
      </c>
      <c r="M20" s="159">
        <f>SUM('مقایسه بودجه- صادرات'!M20,'مقایسه بودجه- واردات'!M20)</f>
        <v>0</v>
      </c>
      <c r="N20" s="159">
        <f t="shared" si="15"/>
        <v>0</v>
      </c>
      <c r="O20" s="175" t="str">
        <f>IF(SUM(L20:L28)=0,"",IFERROR(L20/M20,""))</f>
        <v/>
      </c>
      <c r="P20" s="171">
        <f>SUM('مقایسه بودجه- صادرات'!P20,'مقایسه بودجه- واردات'!P20)</f>
        <v>0</v>
      </c>
      <c r="Q20" s="159">
        <f>SUM('مقایسه بودجه- صادرات'!Q20,'مقایسه بودجه- واردات'!Q20)</f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5"/>
        <v>0</v>
      </c>
      <c r="U20" s="159">
        <f t="shared" si="6"/>
        <v>0</v>
      </c>
      <c r="V20" s="159">
        <f t="shared" si="17"/>
        <v>0</v>
      </c>
      <c r="W20" s="175" t="str">
        <f t="shared" ref="W20" si="37">IF(SUM(T20:T28)=0,"",IFERROR(T20/U20,""))</f>
        <v/>
      </c>
      <c r="X20" s="171">
        <f t="shared" si="7"/>
        <v>0</v>
      </c>
      <c r="Y20" s="159">
        <f t="shared" si="8"/>
        <v>0</v>
      </c>
      <c r="Z20" s="159">
        <f t="shared" si="18"/>
        <v>0</v>
      </c>
      <c r="AA20" s="175" t="str">
        <f t="shared" ref="AA20" si="38">IF(SUM(X20:X28)=0,"",IFERROR(X20/Y20,""))</f>
        <v/>
      </c>
      <c r="AB20" s="171">
        <f t="shared" si="9"/>
        <v>0</v>
      </c>
      <c r="AC20" s="159">
        <f t="shared" si="10"/>
        <v>0</v>
      </c>
      <c r="AD20" s="159">
        <f t="shared" si="19"/>
        <v>0</v>
      </c>
      <c r="AE20" s="175" t="str">
        <f t="shared" ref="AE20" si="39">IF(SUM(AB20:AB28)=0,"",IFERROR(AB20/AC20,""))</f>
        <v/>
      </c>
      <c r="AF20" s="171">
        <f t="shared" si="11"/>
        <v>0</v>
      </c>
      <c r="AG20" s="159">
        <f t="shared" si="12"/>
        <v>0</v>
      </c>
      <c r="AH20" s="159">
        <f t="shared" si="20"/>
        <v>0</v>
      </c>
      <c r="AI20" s="187" t="str">
        <f t="shared" ref="AI20" si="40">IF(SUM(AF20:AF28)=0,"",IFERROR(AF20/AG20,""))</f>
        <v/>
      </c>
      <c r="AJ20" s="157">
        <f t="shared" si="36"/>
        <v>4</v>
      </c>
    </row>
    <row r="21" spans="1:36" ht="24.95" hidden="1" customHeight="1" x14ac:dyDescent="0.25">
      <c r="A21" s="182" t="str">
        <f t="shared" si="26"/>
        <v>فرودگاه هاشمی نژاد</v>
      </c>
      <c r="B21" s="216"/>
      <c r="C21" s="167" t="str">
        <f t="shared" si="27"/>
        <v>مرداد</v>
      </c>
      <c r="D21" s="171">
        <f>SUM('مقایسه بودجه- صادرات'!D21,'مقایسه بودجه- واردات'!D21)</f>
        <v>0</v>
      </c>
      <c r="E21" s="159">
        <f>SUM('مقایسه بودجه- صادرات'!E21,'مقایسه بودجه- واردات'!E21)</f>
        <v>0</v>
      </c>
      <c r="F21" s="159">
        <f t="shared" si="13"/>
        <v>0</v>
      </c>
      <c r="G21" s="175" t="str">
        <f>IF(SUM(D21:D28)=0,"",IFERROR(D21/E21,""))</f>
        <v/>
      </c>
      <c r="H21" s="171">
        <f>SUM('مقایسه بودجه- صادرات'!H21,'مقایسه بودجه- واردات'!H21)</f>
        <v>0</v>
      </c>
      <c r="I21" s="159">
        <f>SUM('مقایسه بودجه- صادرات'!I21,'مقایسه بودجه- واردات'!I21)</f>
        <v>0</v>
      </c>
      <c r="J21" s="159">
        <f t="shared" si="14"/>
        <v>0</v>
      </c>
      <c r="K21" s="175" t="str">
        <f>IF(SUM(H21:H28)=0,"",IFERROR(H21/I21,""))</f>
        <v/>
      </c>
      <c r="L21" s="171">
        <f>SUM('مقایسه بودجه- صادرات'!L21,'مقایسه بودجه- واردات'!L21)</f>
        <v>0</v>
      </c>
      <c r="M21" s="159">
        <f>SUM('مقایسه بودجه- صادرات'!M21,'مقایسه بودجه- واردات'!M21)</f>
        <v>0</v>
      </c>
      <c r="N21" s="159">
        <f t="shared" si="15"/>
        <v>0</v>
      </c>
      <c r="O21" s="175" t="str">
        <f>IF(SUM(L21:L28)=0,"",IFERROR(L21/M21,""))</f>
        <v/>
      </c>
      <c r="P21" s="171">
        <f>SUM('مقایسه بودجه- صادرات'!P21,'مقایسه بودجه- واردات'!P21)</f>
        <v>0</v>
      </c>
      <c r="Q21" s="159">
        <f>SUM('مقایسه بودجه- صادرات'!Q21,'مقایسه بودجه- واردات'!Q21)</f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5"/>
        <v>0</v>
      </c>
      <c r="U21" s="159">
        <f t="shared" si="6"/>
        <v>0</v>
      </c>
      <c r="V21" s="159">
        <f t="shared" si="17"/>
        <v>0</v>
      </c>
      <c r="W21" s="175" t="str">
        <f t="shared" ref="W21" si="41">IF(SUM(T21:T28)=0,"",IFERROR(T21/U21,""))</f>
        <v/>
      </c>
      <c r="X21" s="171">
        <f t="shared" si="7"/>
        <v>0</v>
      </c>
      <c r="Y21" s="159">
        <f t="shared" si="8"/>
        <v>0</v>
      </c>
      <c r="Z21" s="159">
        <f t="shared" si="18"/>
        <v>0</v>
      </c>
      <c r="AA21" s="175" t="str">
        <f t="shared" ref="AA21" si="42">IF(SUM(X21:X28)=0,"",IFERROR(X21/Y21,""))</f>
        <v/>
      </c>
      <c r="AB21" s="171">
        <f t="shared" si="9"/>
        <v>0</v>
      </c>
      <c r="AC21" s="159">
        <f t="shared" si="10"/>
        <v>0</v>
      </c>
      <c r="AD21" s="159">
        <f t="shared" si="19"/>
        <v>0</v>
      </c>
      <c r="AE21" s="175" t="str">
        <f t="shared" ref="AE21" si="43">IF(SUM(AB21:AB28)=0,"",IFERROR(AB21/AC21,""))</f>
        <v/>
      </c>
      <c r="AF21" s="171">
        <f t="shared" si="11"/>
        <v>0</v>
      </c>
      <c r="AG21" s="159">
        <f t="shared" si="12"/>
        <v>0</v>
      </c>
      <c r="AH21" s="159">
        <f t="shared" si="20"/>
        <v>0</v>
      </c>
      <c r="AI21" s="187" t="str">
        <f t="shared" ref="AI21" si="44">IF(SUM(AF21:AF28)=0,"",IFERROR(AF21/AG21,""))</f>
        <v/>
      </c>
      <c r="AJ21" s="157">
        <f t="shared" si="36"/>
        <v>5</v>
      </c>
    </row>
    <row r="22" spans="1:36" ht="24.95" hidden="1" customHeight="1" x14ac:dyDescent="0.25">
      <c r="A22" s="182" t="str">
        <f t="shared" si="26"/>
        <v>فرودگاه هاشمی نژاد</v>
      </c>
      <c r="B22" s="216"/>
      <c r="C22" s="167" t="str">
        <f t="shared" si="27"/>
        <v>شهریور</v>
      </c>
      <c r="D22" s="171">
        <f>SUM('مقایسه بودجه- صادرات'!D22,'مقایسه بودجه- واردات'!D22)</f>
        <v>0</v>
      </c>
      <c r="E22" s="159">
        <f>SUM('مقایسه بودجه- صادرات'!E22,'مقایسه بودجه- واردات'!E22)</f>
        <v>0</v>
      </c>
      <c r="F22" s="159">
        <f t="shared" si="13"/>
        <v>0</v>
      </c>
      <c r="G22" s="175" t="str">
        <f>IF(SUM(D22:D28)=0,"",IFERROR(D22/E22,""))</f>
        <v/>
      </c>
      <c r="H22" s="171">
        <f>SUM('مقایسه بودجه- صادرات'!H22,'مقایسه بودجه- واردات'!H22)</f>
        <v>0</v>
      </c>
      <c r="I22" s="159">
        <f>SUM('مقایسه بودجه- صادرات'!I22,'مقایسه بودجه- واردات'!I22)</f>
        <v>0</v>
      </c>
      <c r="J22" s="159">
        <f t="shared" si="14"/>
        <v>0</v>
      </c>
      <c r="K22" s="175" t="str">
        <f>IF(SUM(H22:H28)=0,"",IFERROR(H22/I22,""))</f>
        <v/>
      </c>
      <c r="L22" s="171">
        <f>SUM('مقایسه بودجه- صادرات'!L22,'مقایسه بودجه- واردات'!L22)</f>
        <v>0</v>
      </c>
      <c r="M22" s="159">
        <f>SUM('مقایسه بودجه- صادرات'!M22,'مقایسه بودجه- واردات'!M22)</f>
        <v>0</v>
      </c>
      <c r="N22" s="159">
        <f t="shared" si="15"/>
        <v>0</v>
      </c>
      <c r="O22" s="175" t="str">
        <f>IF(SUM(L22:L28)=0,"",IFERROR(L22/M22,""))</f>
        <v/>
      </c>
      <c r="P22" s="171">
        <f>SUM('مقایسه بودجه- صادرات'!P22,'مقایسه بودجه- واردات'!P22)</f>
        <v>0</v>
      </c>
      <c r="Q22" s="159">
        <f>SUM('مقایسه بودجه- صادرات'!Q22,'مقایسه بودجه- واردات'!Q22)</f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5"/>
        <v>0</v>
      </c>
      <c r="U22" s="159">
        <f t="shared" si="6"/>
        <v>0</v>
      </c>
      <c r="V22" s="159">
        <f t="shared" si="17"/>
        <v>0</v>
      </c>
      <c r="W22" s="175" t="str">
        <f t="shared" ref="W22" si="45">IF(SUM(T22:T28)=0,"",IFERROR(T22/U22,""))</f>
        <v/>
      </c>
      <c r="X22" s="171">
        <f t="shared" si="7"/>
        <v>0</v>
      </c>
      <c r="Y22" s="159">
        <f t="shared" si="8"/>
        <v>0</v>
      </c>
      <c r="Z22" s="159">
        <f t="shared" si="18"/>
        <v>0</v>
      </c>
      <c r="AA22" s="175" t="str">
        <f t="shared" ref="AA22" si="46">IF(SUM(X22:X28)=0,"",IFERROR(X22/Y22,""))</f>
        <v/>
      </c>
      <c r="AB22" s="171">
        <f t="shared" si="9"/>
        <v>0</v>
      </c>
      <c r="AC22" s="159">
        <f t="shared" si="10"/>
        <v>0</v>
      </c>
      <c r="AD22" s="159">
        <f t="shared" si="19"/>
        <v>0</v>
      </c>
      <c r="AE22" s="175" t="str">
        <f t="shared" ref="AE22" si="47">IF(SUM(AB22:AB28)=0,"",IFERROR(AB22/AC22,""))</f>
        <v/>
      </c>
      <c r="AF22" s="171">
        <f t="shared" si="11"/>
        <v>0</v>
      </c>
      <c r="AG22" s="159">
        <f t="shared" si="12"/>
        <v>0</v>
      </c>
      <c r="AH22" s="159">
        <f t="shared" si="20"/>
        <v>0</v>
      </c>
      <c r="AI22" s="187" t="str">
        <f t="shared" ref="AI22" si="48">IF(SUM(AF22:AF28)=0,"",IFERROR(AF22/AG22,""))</f>
        <v/>
      </c>
      <c r="AJ22" s="157">
        <f t="shared" si="36"/>
        <v>6</v>
      </c>
    </row>
    <row r="23" spans="1:36" ht="24.95" hidden="1" customHeight="1" x14ac:dyDescent="0.25">
      <c r="A23" s="182" t="str">
        <f t="shared" si="26"/>
        <v>فرودگاه هاشمی نژاد</v>
      </c>
      <c r="B23" s="216"/>
      <c r="C23" s="167" t="str">
        <f t="shared" si="27"/>
        <v>مهر</v>
      </c>
      <c r="D23" s="171">
        <f>SUM('مقایسه بودجه- صادرات'!D23,'مقایسه بودجه- واردات'!D23)</f>
        <v>0</v>
      </c>
      <c r="E23" s="159">
        <f>SUM('مقایسه بودجه- صادرات'!E23,'مقایسه بودجه- واردات'!E23)</f>
        <v>0</v>
      </c>
      <c r="F23" s="159">
        <f t="shared" si="13"/>
        <v>0</v>
      </c>
      <c r="G23" s="175" t="str">
        <f>IF(SUM(D23:D28)=0,"",IFERROR(D23/E23,""))</f>
        <v/>
      </c>
      <c r="H23" s="171">
        <f>SUM('مقایسه بودجه- صادرات'!H23,'مقایسه بودجه- واردات'!H23)</f>
        <v>0</v>
      </c>
      <c r="I23" s="159">
        <f>SUM('مقایسه بودجه- صادرات'!I23,'مقایسه بودجه- واردات'!I23)</f>
        <v>0</v>
      </c>
      <c r="J23" s="159">
        <f t="shared" si="14"/>
        <v>0</v>
      </c>
      <c r="K23" s="175" t="str">
        <f>IF(SUM(H23:H28)=0,"",IFERROR(H23/I23,""))</f>
        <v/>
      </c>
      <c r="L23" s="171">
        <f>SUM('مقایسه بودجه- صادرات'!L23,'مقایسه بودجه- واردات'!L23)</f>
        <v>0</v>
      </c>
      <c r="M23" s="159">
        <f>SUM('مقایسه بودجه- صادرات'!M23,'مقایسه بودجه- واردات'!M23)</f>
        <v>0</v>
      </c>
      <c r="N23" s="159">
        <f t="shared" si="15"/>
        <v>0</v>
      </c>
      <c r="O23" s="175" t="str">
        <f>IF(SUM(L23:L28)=0,"",IFERROR(L23/M23,""))</f>
        <v/>
      </c>
      <c r="P23" s="171">
        <f>SUM('مقایسه بودجه- صادرات'!P23,'مقایسه بودجه- واردات'!P23)</f>
        <v>0</v>
      </c>
      <c r="Q23" s="159">
        <f>SUM('مقایسه بودجه- صادرات'!Q23,'مقایسه بودجه- واردات'!Q23)</f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5"/>
        <v>0</v>
      </c>
      <c r="U23" s="159">
        <f t="shared" si="6"/>
        <v>0</v>
      </c>
      <c r="V23" s="159">
        <f t="shared" si="17"/>
        <v>0</v>
      </c>
      <c r="W23" s="175" t="str">
        <f t="shared" ref="W23" si="49">IF(SUM(T23:T28)=0,"",IFERROR(T23/U23,""))</f>
        <v/>
      </c>
      <c r="X23" s="171">
        <f t="shared" si="7"/>
        <v>0</v>
      </c>
      <c r="Y23" s="159">
        <f t="shared" si="8"/>
        <v>0</v>
      </c>
      <c r="Z23" s="159">
        <f t="shared" si="18"/>
        <v>0</v>
      </c>
      <c r="AA23" s="175" t="str">
        <f t="shared" ref="AA23" si="50">IF(SUM(X23:X28)=0,"",IFERROR(X23/Y23,""))</f>
        <v/>
      </c>
      <c r="AB23" s="171">
        <f t="shared" si="9"/>
        <v>0</v>
      </c>
      <c r="AC23" s="159">
        <f t="shared" si="10"/>
        <v>0</v>
      </c>
      <c r="AD23" s="159">
        <f t="shared" si="19"/>
        <v>0</v>
      </c>
      <c r="AE23" s="175" t="str">
        <f t="shared" ref="AE23" si="51">IF(SUM(AB23:AB28)=0,"",IFERROR(AB23/AC23,""))</f>
        <v/>
      </c>
      <c r="AF23" s="171">
        <f t="shared" si="11"/>
        <v>0</v>
      </c>
      <c r="AG23" s="159">
        <f t="shared" si="12"/>
        <v>0</v>
      </c>
      <c r="AH23" s="159">
        <f t="shared" si="20"/>
        <v>0</v>
      </c>
      <c r="AI23" s="187" t="str">
        <f t="shared" ref="AI23" si="52">IF(SUM(AF23:AF28)=0,"",IFERROR(AF23/AG23,""))</f>
        <v/>
      </c>
      <c r="AJ23" s="157">
        <f t="shared" si="36"/>
        <v>7</v>
      </c>
    </row>
    <row r="24" spans="1:36" ht="24.95" hidden="1" customHeight="1" x14ac:dyDescent="0.25">
      <c r="A24" s="182" t="str">
        <f t="shared" si="26"/>
        <v>فرودگاه هاشمی نژاد</v>
      </c>
      <c r="B24" s="216"/>
      <c r="C24" s="167" t="str">
        <f t="shared" si="27"/>
        <v>آبان</v>
      </c>
      <c r="D24" s="171">
        <f>SUM('مقایسه بودجه- صادرات'!D24,'مقایسه بودجه- واردات'!D24)</f>
        <v>0</v>
      </c>
      <c r="E24" s="159">
        <f>SUM('مقایسه بودجه- صادرات'!E24,'مقایسه بودجه- واردات'!E24)</f>
        <v>0</v>
      </c>
      <c r="F24" s="159">
        <f t="shared" si="13"/>
        <v>0</v>
      </c>
      <c r="G24" s="175" t="str">
        <f>IF(SUM(D24:D28)=0,"",IFERROR(D24/E24,""))</f>
        <v/>
      </c>
      <c r="H24" s="171">
        <f>SUM('مقایسه بودجه- صادرات'!H24,'مقایسه بودجه- واردات'!H24)</f>
        <v>0</v>
      </c>
      <c r="I24" s="159">
        <f>SUM('مقایسه بودجه- صادرات'!I24,'مقایسه بودجه- واردات'!I24)</f>
        <v>0</v>
      </c>
      <c r="J24" s="159">
        <f t="shared" si="14"/>
        <v>0</v>
      </c>
      <c r="K24" s="175" t="str">
        <f>IF(SUM(H24:H28)=0,"",IFERROR(H24/I24,""))</f>
        <v/>
      </c>
      <c r="L24" s="171">
        <f>SUM('مقایسه بودجه- صادرات'!L24,'مقایسه بودجه- واردات'!L24)</f>
        <v>0</v>
      </c>
      <c r="M24" s="159">
        <f>SUM('مقایسه بودجه- صادرات'!M24,'مقایسه بودجه- واردات'!M24)</f>
        <v>0</v>
      </c>
      <c r="N24" s="159">
        <f t="shared" si="15"/>
        <v>0</v>
      </c>
      <c r="O24" s="175" t="str">
        <f>IF(SUM(L24:L28)=0,"",IFERROR(L24/M24,""))</f>
        <v/>
      </c>
      <c r="P24" s="171">
        <f>SUM('مقایسه بودجه- صادرات'!P24,'مقایسه بودجه- واردات'!P24)</f>
        <v>0</v>
      </c>
      <c r="Q24" s="159">
        <f>SUM('مقایسه بودجه- صادرات'!Q24,'مقایسه بودجه- واردات'!Q24)</f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5"/>
        <v>0</v>
      </c>
      <c r="U24" s="159">
        <f t="shared" si="6"/>
        <v>0</v>
      </c>
      <c r="V24" s="159">
        <f t="shared" si="17"/>
        <v>0</v>
      </c>
      <c r="W24" s="175" t="str">
        <f t="shared" ref="W24" si="53">IF(SUM(T24:T28)=0,"",IFERROR(T24/U24,""))</f>
        <v/>
      </c>
      <c r="X24" s="171">
        <f t="shared" si="7"/>
        <v>0</v>
      </c>
      <c r="Y24" s="159">
        <f t="shared" si="8"/>
        <v>0</v>
      </c>
      <c r="Z24" s="159">
        <f t="shared" si="18"/>
        <v>0</v>
      </c>
      <c r="AA24" s="175" t="str">
        <f t="shared" ref="AA24" si="54">IF(SUM(X24:X28)=0,"",IFERROR(X24/Y24,""))</f>
        <v/>
      </c>
      <c r="AB24" s="171">
        <f t="shared" si="9"/>
        <v>0</v>
      </c>
      <c r="AC24" s="159">
        <f t="shared" si="10"/>
        <v>0</v>
      </c>
      <c r="AD24" s="159">
        <f t="shared" si="19"/>
        <v>0</v>
      </c>
      <c r="AE24" s="175" t="str">
        <f t="shared" ref="AE24" si="55">IF(SUM(AB24:AB28)=0,"",IFERROR(AB24/AC24,""))</f>
        <v/>
      </c>
      <c r="AF24" s="171">
        <f t="shared" si="11"/>
        <v>0</v>
      </c>
      <c r="AG24" s="159">
        <f t="shared" si="12"/>
        <v>0</v>
      </c>
      <c r="AH24" s="159">
        <f t="shared" si="20"/>
        <v>0</v>
      </c>
      <c r="AI24" s="187" t="str">
        <f t="shared" ref="AI24" si="56">IF(SUM(AF24:AF28)=0,"",IFERROR(AF24/AG24,""))</f>
        <v/>
      </c>
      <c r="AJ24" s="157">
        <f t="shared" si="36"/>
        <v>8</v>
      </c>
    </row>
    <row r="25" spans="1:36" ht="24.95" hidden="1" customHeight="1" x14ac:dyDescent="0.25">
      <c r="A25" s="182" t="str">
        <f t="shared" si="26"/>
        <v>فرودگاه هاشمی نژاد</v>
      </c>
      <c r="B25" s="216"/>
      <c r="C25" s="167" t="str">
        <f t="shared" si="27"/>
        <v>آذر</v>
      </c>
      <c r="D25" s="171">
        <f>SUM('مقایسه بودجه- صادرات'!D25,'مقایسه بودجه- واردات'!D25)</f>
        <v>0</v>
      </c>
      <c r="E25" s="159">
        <f>SUM('مقایسه بودجه- صادرات'!E25,'مقایسه بودجه- واردات'!E25)</f>
        <v>0</v>
      </c>
      <c r="F25" s="159">
        <f t="shared" si="13"/>
        <v>0</v>
      </c>
      <c r="G25" s="175" t="str">
        <f>IF(SUM(D25:D28)=0,"",IFERROR(D25/E25,""))</f>
        <v/>
      </c>
      <c r="H25" s="171">
        <f>SUM('مقایسه بودجه- صادرات'!H25,'مقایسه بودجه- واردات'!H25)</f>
        <v>0</v>
      </c>
      <c r="I25" s="159">
        <f>SUM('مقایسه بودجه- صادرات'!I25,'مقایسه بودجه- واردات'!I25)</f>
        <v>0</v>
      </c>
      <c r="J25" s="159">
        <f t="shared" si="14"/>
        <v>0</v>
      </c>
      <c r="K25" s="175" t="str">
        <f>IF(SUM(H25:H28)=0,"",IFERROR(H25/I25,""))</f>
        <v/>
      </c>
      <c r="L25" s="171">
        <f>SUM('مقایسه بودجه- صادرات'!L25,'مقایسه بودجه- واردات'!L25)</f>
        <v>0</v>
      </c>
      <c r="M25" s="159">
        <f>SUM('مقایسه بودجه- صادرات'!M25,'مقایسه بودجه- واردات'!M25)</f>
        <v>0</v>
      </c>
      <c r="N25" s="159">
        <f t="shared" si="15"/>
        <v>0</v>
      </c>
      <c r="O25" s="175" t="str">
        <f>IF(SUM(L25:L28)=0,"",IFERROR(L25/M25,""))</f>
        <v/>
      </c>
      <c r="P25" s="171">
        <f>SUM('مقایسه بودجه- صادرات'!P25,'مقایسه بودجه- واردات'!P25)</f>
        <v>0</v>
      </c>
      <c r="Q25" s="159">
        <f>SUM('مقایسه بودجه- صادرات'!Q25,'مقایسه بودجه- واردات'!Q25)</f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5"/>
        <v>0</v>
      </c>
      <c r="U25" s="159">
        <f t="shared" si="6"/>
        <v>0</v>
      </c>
      <c r="V25" s="159">
        <f t="shared" si="17"/>
        <v>0</v>
      </c>
      <c r="W25" s="175" t="str">
        <f t="shared" ref="W25" si="57">IF(SUM(T25:T28)=0,"",IFERROR(T25/U25,""))</f>
        <v/>
      </c>
      <c r="X25" s="171">
        <f t="shared" si="7"/>
        <v>0</v>
      </c>
      <c r="Y25" s="159">
        <f t="shared" si="8"/>
        <v>0</v>
      </c>
      <c r="Z25" s="159">
        <f t="shared" si="18"/>
        <v>0</v>
      </c>
      <c r="AA25" s="175" t="str">
        <f t="shared" ref="AA25" si="58">IF(SUM(X25:X28)=0,"",IFERROR(X25/Y25,""))</f>
        <v/>
      </c>
      <c r="AB25" s="171">
        <f t="shared" si="9"/>
        <v>0</v>
      </c>
      <c r="AC25" s="159">
        <f t="shared" si="10"/>
        <v>0</v>
      </c>
      <c r="AD25" s="159">
        <f t="shared" si="19"/>
        <v>0</v>
      </c>
      <c r="AE25" s="175" t="str">
        <f t="shared" ref="AE25" si="59">IF(SUM(AB25:AB28)=0,"",IFERROR(AB25/AC25,""))</f>
        <v/>
      </c>
      <c r="AF25" s="171">
        <f t="shared" si="11"/>
        <v>0</v>
      </c>
      <c r="AG25" s="159">
        <f t="shared" si="12"/>
        <v>0</v>
      </c>
      <c r="AH25" s="159">
        <f t="shared" si="20"/>
        <v>0</v>
      </c>
      <c r="AI25" s="187" t="str">
        <f t="shared" ref="AI25" si="60">IF(SUM(AF25:AF28)=0,"",IFERROR(AF25/AG25,""))</f>
        <v/>
      </c>
      <c r="AJ25" s="157">
        <f t="shared" si="36"/>
        <v>9</v>
      </c>
    </row>
    <row r="26" spans="1:36" ht="24.95" hidden="1" customHeight="1" x14ac:dyDescent="0.25">
      <c r="A26" s="182" t="str">
        <f t="shared" si="26"/>
        <v>فرودگاه هاشمی نژاد</v>
      </c>
      <c r="B26" s="216"/>
      <c r="C26" s="167" t="str">
        <f t="shared" si="27"/>
        <v>دی</v>
      </c>
      <c r="D26" s="171">
        <f>SUM('مقایسه بودجه- صادرات'!D26,'مقایسه بودجه- واردات'!D26)</f>
        <v>0</v>
      </c>
      <c r="E26" s="159">
        <f>SUM('مقایسه بودجه- صادرات'!E26,'مقایسه بودجه- واردات'!E26)</f>
        <v>0</v>
      </c>
      <c r="F26" s="159">
        <f t="shared" si="13"/>
        <v>0</v>
      </c>
      <c r="G26" s="175" t="str">
        <f>IF(SUM(D26:D28)=0,"",IFERROR(D26/E26,""))</f>
        <v/>
      </c>
      <c r="H26" s="171">
        <f>SUM('مقایسه بودجه- صادرات'!H26,'مقایسه بودجه- واردات'!H26)</f>
        <v>0</v>
      </c>
      <c r="I26" s="159">
        <f>SUM('مقایسه بودجه- صادرات'!I26,'مقایسه بودجه- واردات'!I26)</f>
        <v>0</v>
      </c>
      <c r="J26" s="159">
        <f t="shared" si="14"/>
        <v>0</v>
      </c>
      <c r="K26" s="175" t="str">
        <f>IF(SUM(H26:H28)=0,"",IFERROR(H26/I26,""))</f>
        <v/>
      </c>
      <c r="L26" s="171">
        <f>SUM('مقایسه بودجه- صادرات'!L26,'مقایسه بودجه- واردات'!L26)</f>
        <v>0</v>
      </c>
      <c r="M26" s="159">
        <f>SUM('مقایسه بودجه- صادرات'!M26,'مقایسه بودجه- واردات'!M26)</f>
        <v>0</v>
      </c>
      <c r="N26" s="159">
        <f t="shared" si="15"/>
        <v>0</v>
      </c>
      <c r="O26" s="175" t="str">
        <f>IF(SUM(L26:L28)=0,"",IFERROR(L26/M26,""))</f>
        <v/>
      </c>
      <c r="P26" s="171">
        <f>SUM('مقایسه بودجه- صادرات'!P26,'مقایسه بودجه- واردات'!P26)</f>
        <v>0</v>
      </c>
      <c r="Q26" s="159">
        <f>SUM('مقایسه بودجه- صادرات'!Q26,'مقایسه بودجه- واردات'!Q26)</f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5"/>
        <v>0</v>
      </c>
      <c r="U26" s="159">
        <f t="shared" si="6"/>
        <v>0</v>
      </c>
      <c r="V26" s="159">
        <f t="shared" si="17"/>
        <v>0</v>
      </c>
      <c r="W26" s="175" t="str">
        <f t="shared" ref="W26" si="61">IF(SUM(T26:T28)=0,"",IFERROR(T26/U26,""))</f>
        <v/>
      </c>
      <c r="X26" s="171">
        <f t="shared" si="7"/>
        <v>0</v>
      </c>
      <c r="Y26" s="159">
        <f t="shared" si="8"/>
        <v>0</v>
      </c>
      <c r="Z26" s="159">
        <f t="shared" si="18"/>
        <v>0</v>
      </c>
      <c r="AA26" s="175" t="str">
        <f t="shared" ref="AA26" si="62">IF(SUM(X26:X28)=0,"",IFERROR(X26/Y26,""))</f>
        <v/>
      </c>
      <c r="AB26" s="171">
        <f t="shared" si="9"/>
        <v>0</v>
      </c>
      <c r="AC26" s="159">
        <f t="shared" si="10"/>
        <v>0</v>
      </c>
      <c r="AD26" s="159">
        <f t="shared" si="19"/>
        <v>0</v>
      </c>
      <c r="AE26" s="175" t="str">
        <f t="shared" ref="AE26" si="63">IF(SUM(AB26:AB28)=0,"",IFERROR(AB26/AC26,""))</f>
        <v/>
      </c>
      <c r="AF26" s="171">
        <f t="shared" si="11"/>
        <v>0</v>
      </c>
      <c r="AG26" s="159">
        <f t="shared" si="12"/>
        <v>0</v>
      </c>
      <c r="AH26" s="159">
        <f t="shared" si="20"/>
        <v>0</v>
      </c>
      <c r="AI26" s="187" t="str">
        <f t="shared" ref="AI26" si="64">IF(SUM(AF26:AF28)=0,"",IFERROR(AF26/AG26,""))</f>
        <v/>
      </c>
      <c r="AJ26" s="157">
        <f t="shared" si="36"/>
        <v>10</v>
      </c>
    </row>
    <row r="27" spans="1:36" ht="24.95" hidden="1" customHeight="1" x14ac:dyDescent="0.25">
      <c r="A27" s="182" t="str">
        <f t="shared" si="26"/>
        <v>فرودگاه هاشمی نژاد</v>
      </c>
      <c r="B27" s="216"/>
      <c r="C27" s="167" t="str">
        <f t="shared" si="27"/>
        <v>بهمن</v>
      </c>
      <c r="D27" s="171">
        <f>SUM('مقایسه بودجه- صادرات'!D27,'مقایسه بودجه- واردات'!D27)</f>
        <v>0</v>
      </c>
      <c r="E27" s="159">
        <f>SUM('مقایسه بودجه- صادرات'!E27,'مقایسه بودجه- واردات'!E27)</f>
        <v>0</v>
      </c>
      <c r="F27" s="159">
        <f t="shared" si="13"/>
        <v>0</v>
      </c>
      <c r="G27" s="175" t="str">
        <f>IF(SUM(D27:D28)=0,"",IFERROR(D27/E27,""))</f>
        <v/>
      </c>
      <c r="H27" s="171">
        <f>SUM('مقایسه بودجه- صادرات'!H27,'مقایسه بودجه- واردات'!H27)</f>
        <v>0</v>
      </c>
      <c r="I27" s="159">
        <f>SUM('مقایسه بودجه- صادرات'!I27,'مقایسه بودجه- واردات'!I27)</f>
        <v>0</v>
      </c>
      <c r="J27" s="159">
        <f t="shared" si="14"/>
        <v>0</v>
      </c>
      <c r="K27" s="175" t="str">
        <f>IF(SUM(H27:H28)=0,"",IFERROR(H27/I27,""))</f>
        <v/>
      </c>
      <c r="L27" s="171">
        <f>SUM('مقایسه بودجه- صادرات'!L27,'مقایسه بودجه- واردات'!L27)</f>
        <v>0</v>
      </c>
      <c r="M27" s="159">
        <f>SUM('مقایسه بودجه- صادرات'!M27,'مقایسه بودجه- واردات'!M27)</f>
        <v>0</v>
      </c>
      <c r="N27" s="159">
        <f t="shared" si="15"/>
        <v>0</v>
      </c>
      <c r="O27" s="175" t="str">
        <f>IF(SUM(L27:L28)=0,"",IFERROR(L27/M27,""))</f>
        <v/>
      </c>
      <c r="P27" s="171">
        <f>SUM('مقایسه بودجه- صادرات'!P27,'مقایسه بودجه- واردات'!P27)</f>
        <v>0</v>
      </c>
      <c r="Q27" s="159">
        <f>SUM('مقایسه بودجه- صادرات'!Q27,'مقایسه بودجه- واردات'!Q27)</f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5"/>
        <v>0</v>
      </c>
      <c r="U27" s="159">
        <f t="shared" si="6"/>
        <v>0</v>
      </c>
      <c r="V27" s="159">
        <f t="shared" si="17"/>
        <v>0</v>
      </c>
      <c r="W27" s="175" t="str">
        <f t="shared" ref="W27" si="65">IF(SUM(T27:T28)=0,"",IFERROR(T27/U27,""))</f>
        <v/>
      </c>
      <c r="X27" s="171">
        <f t="shared" si="7"/>
        <v>0</v>
      </c>
      <c r="Y27" s="159">
        <f t="shared" si="8"/>
        <v>0</v>
      </c>
      <c r="Z27" s="159">
        <f t="shared" si="18"/>
        <v>0</v>
      </c>
      <c r="AA27" s="175" t="str">
        <f t="shared" ref="AA27" si="66">IF(SUM(X27:X28)=0,"",IFERROR(X27/Y27,""))</f>
        <v/>
      </c>
      <c r="AB27" s="171">
        <f t="shared" si="9"/>
        <v>0</v>
      </c>
      <c r="AC27" s="159">
        <f t="shared" si="10"/>
        <v>0</v>
      </c>
      <c r="AD27" s="159">
        <f t="shared" si="19"/>
        <v>0</v>
      </c>
      <c r="AE27" s="175" t="str">
        <f t="shared" ref="AE27" si="67">IF(SUM(AB27:AB28)=0,"",IFERROR(AB27/AC27,""))</f>
        <v/>
      </c>
      <c r="AF27" s="171">
        <f t="shared" si="11"/>
        <v>0</v>
      </c>
      <c r="AG27" s="159">
        <f t="shared" si="12"/>
        <v>0</v>
      </c>
      <c r="AH27" s="159">
        <f t="shared" si="20"/>
        <v>0</v>
      </c>
      <c r="AI27" s="187" t="str">
        <f t="shared" ref="AI27" si="68">IF(SUM(AF27:AF28)=0,"",IFERROR(AF27/AG27,""))</f>
        <v/>
      </c>
      <c r="AJ27" s="157">
        <f t="shared" si="36"/>
        <v>11</v>
      </c>
    </row>
    <row r="28" spans="1:36" ht="24.95" hidden="1" customHeight="1" thickBot="1" x14ac:dyDescent="0.3">
      <c r="A28" s="182" t="str">
        <f t="shared" si="26"/>
        <v>فرودگاه هاشمی نژاد</v>
      </c>
      <c r="B28" s="217"/>
      <c r="C28" s="168" t="str">
        <f t="shared" si="27"/>
        <v>اسفند</v>
      </c>
      <c r="D28" s="172">
        <f>SUM('مقایسه بودجه- صادرات'!D28,'مقایسه بودجه- واردات'!D28)</f>
        <v>0</v>
      </c>
      <c r="E28" s="173">
        <f>SUM('مقایسه بودجه- صادرات'!E28,'مقایسه بودجه- واردات'!E28)</f>
        <v>0</v>
      </c>
      <c r="F28" s="173">
        <f t="shared" si="13"/>
        <v>0</v>
      </c>
      <c r="G28" s="176" t="str">
        <f>IF(SUM(D28)=0,"",IFERROR(D28/E28,""))</f>
        <v/>
      </c>
      <c r="H28" s="172">
        <f>SUM('مقایسه بودجه- صادرات'!H28,'مقایسه بودجه- واردات'!H28)</f>
        <v>0</v>
      </c>
      <c r="I28" s="173">
        <f>SUM('مقایسه بودجه- صادرات'!I28,'مقایسه بودجه- واردات'!I28)</f>
        <v>0</v>
      </c>
      <c r="J28" s="173">
        <f t="shared" si="14"/>
        <v>0</v>
      </c>
      <c r="K28" s="176" t="str">
        <f>IF(SUM(H28)=0,"",IFERROR(H28/I28,""))</f>
        <v/>
      </c>
      <c r="L28" s="172">
        <f>SUM('مقایسه بودجه- صادرات'!L28,'مقایسه بودجه- واردات'!L28)</f>
        <v>0</v>
      </c>
      <c r="M28" s="173">
        <f>SUM('مقایسه بودجه- صادرات'!M28,'مقایسه بودجه- واردات'!M28)</f>
        <v>0</v>
      </c>
      <c r="N28" s="173">
        <f t="shared" si="15"/>
        <v>0</v>
      </c>
      <c r="O28" s="176" t="str">
        <f>IF(SUM(L28)=0,"",IFERROR(L28/M28,""))</f>
        <v/>
      </c>
      <c r="P28" s="172">
        <f>SUM('مقایسه بودجه- صادرات'!P28,'مقایسه بودجه- واردات'!P28)</f>
        <v>0</v>
      </c>
      <c r="Q28" s="173">
        <f>SUM('مقایسه بودجه- صادرات'!Q28,'مقایسه بودجه- واردات'!Q28)</f>
        <v>0</v>
      </c>
      <c r="R28" s="173">
        <f t="shared" si="16"/>
        <v>0</v>
      </c>
      <c r="S28" s="176" t="str">
        <f>IF(SUM(P28)=0,"",IFERROR(P28/Q28,""))</f>
        <v/>
      </c>
      <c r="T28" s="172">
        <f t="shared" si="5"/>
        <v>0</v>
      </c>
      <c r="U28" s="173">
        <f t="shared" si="6"/>
        <v>0</v>
      </c>
      <c r="V28" s="173">
        <f t="shared" si="17"/>
        <v>0</v>
      </c>
      <c r="W28" s="176" t="str">
        <f t="shared" ref="W28" si="69">IF(SUM(T28)=0,"",IFERROR(T28/U28,""))</f>
        <v/>
      </c>
      <c r="X28" s="172">
        <f t="shared" si="7"/>
        <v>0</v>
      </c>
      <c r="Y28" s="173">
        <f t="shared" si="8"/>
        <v>0</v>
      </c>
      <c r="Z28" s="173">
        <f t="shared" si="18"/>
        <v>0</v>
      </c>
      <c r="AA28" s="176" t="str">
        <f t="shared" ref="AA28" si="70">IF(SUM(X28)=0,"",IFERROR(X28/Y28,""))</f>
        <v/>
      </c>
      <c r="AB28" s="172">
        <f t="shared" si="9"/>
        <v>0</v>
      </c>
      <c r="AC28" s="173">
        <f t="shared" si="10"/>
        <v>0</v>
      </c>
      <c r="AD28" s="173">
        <f t="shared" si="19"/>
        <v>0</v>
      </c>
      <c r="AE28" s="176" t="str">
        <f t="shared" ref="AE28" si="71">IF(SUM(AB28)=0,"",IFERROR(AB28/AC28,""))</f>
        <v/>
      </c>
      <c r="AF28" s="172">
        <f t="shared" si="11"/>
        <v>0</v>
      </c>
      <c r="AG28" s="173">
        <f t="shared" si="12"/>
        <v>0</v>
      </c>
      <c r="AH28" s="173">
        <f t="shared" si="20"/>
        <v>0</v>
      </c>
      <c r="AI28" s="188" t="str">
        <f t="shared" ref="AI28" si="72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26"/>
        <v>شهید کاوه</v>
      </c>
      <c r="B29" s="215" t="str">
        <f>واردات!B18</f>
        <v>شهید کاوه</v>
      </c>
      <c r="C29" s="166" t="str">
        <f>C17</f>
        <v>فروردین</v>
      </c>
      <c r="D29" s="170">
        <f>SUM('مقایسه بودجه- صادرات'!D29,'مقایسه بودجه- واردات'!D29)</f>
        <v>1297</v>
      </c>
      <c r="E29" s="160">
        <f>SUM('مقایسه بودجه- صادرات'!E29,'مقایسه بودجه- واردات'!E29)</f>
        <v>12666.512074803122</v>
      </c>
      <c r="F29" s="160">
        <f t="shared" si="13"/>
        <v>-11369.512074803122</v>
      </c>
      <c r="G29" s="185">
        <f>IF(SUM(D29:D40)=0,"",IFERROR(D29/E29,""))</f>
        <v>0.10239598654629313</v>
      </c>
      <c r="H29" s="170">
        <f>SUM('مقایسه بودجه- صادرات'!H29,'مقایسه بودجه- واردات'!H29)</f>
        <v>1101</v>
      </c>
      <c r="I29" s="160">
        <f>SUM('مقایسه بودجه- صادرات'!I29,'مقایسه بودجه- واردات'!I29)</f>
        <v>10015.514260851671</v>
      </c>
      <c r="J29" s="160">
        <f t="shared" si="14"/>
        <v>-8914.5142608516708</v>
      </c>
      <c r="K29" s="185">
        <f>IF(SUM(H29:H40)=0,"",IFERROR(H29/I29,""))</f>
        <v>0.10992945257973966</v>
      </c>
      <c r="L29" s="170">
        <f>SUM('مقایسه بودجه- صادرات'!L29,'مقایسه بودجه- واردات'!L29)</f>
        <v>407</v>
      </c>
      <c r="M29" s="160">
        <f>SUM('مقایسه بودجه- صادرات'!M29,'مقایسه بودجه- واردات'!M29)</f>
        <v>3102.7240802702604</v>
      </c>
      <c r="N29" s="160">
        <f t="shared" si="15"/>
        <v>-2695.7240802702604</v>
      </c>
      <c r="O29" s="185">
        <f>IF(SUM(L29:L40)=0,"",IFERROR(L29/M29,""))</f>
        <v>0.13117505439431423</v>
      </c>
      <c r="P29" s="170">
        <f>SUM('مقایسه بودجه- صادرات'!P29,'مقایسه بودجه- واردات'!P29)</f>
        <v>0</v>
      </c>
      <c r="Q29" s="160">
        <f>SUM('مقایسه بودجه- صادرات'!Q29,'مقایسه بودجه- واردات'!Q29)</f>
        <v>0</v>
      </c>
      <c r="R29" s="160">
        <f t="shared" si="16"/>
        <v>0</v>
      </c>
      <c r="S29" s="185" t="str">
        <f>IF(SUM(P29:P40)=0,"",IFERROR(P29/Q29,""))</f>
        <v/>
      </c>
      <c r="T29" s="183">
        <f t="shared" si="5"/>
        <v>1297</v>
      </c>
      <c r="U29" s="160">
        <f t="shared" si="6"/>
        <v>12666.512074803122</v>
      </c>
      <c r="V29" s="160">
        <f t="shared" si="17"/>
        <v>-11369.512074803122</v>
      </c>
      <c r="W29" s="185">
        <f t="shared" ref="W29" si="73">IF(SUM(T29:T40)=0,"",IFERROR(T29/U29,""))</f>
        <v>0.10239598654629313</v>
      </c>
      <c r="X29" s="183">
        <f t="shared" si="7"/>
        <v>1101</v>
      </c>
      <c r="Y29" s="160">
        <f t="shared" si="8"/>
        <v>10015.514260851671</v>
      </c>
      <c r="Z29" s="160">
        <f t="shared" si="18"/>
        <v>-8914.5142608516708</v>
      </c>
      <c r="AA29" s="185">
        <f t="shared" ref="AA29" si="74">IF(SUM(X29:X40)=0,"",IFERROR(X29/Y29,""))</f>
        <v>0.10992945257973966</v>
      </c>
      <c r="AB29" s="183">
        <f t="shared" si="9"/>
        <v>407</v>
      </c>
      <c r="AC29" s="160">
        <f t="shared" si="10"/>
        <v>3102.7240802702604</v>
      </c>
      <c r="AD29" s="160">
        <f t="shared" si="19"/>
        <v>-2695.7240802702604</v>
      </c>
      <c r="AE29" s="185">
        <f t="shared" ref="AE29" si="75">IF(SUM(AB29:AB40)=0,"",IFERROR(AB29/AC29,""))</f>
        <v>0.13117505439431423</v>
      </c>
      <c r="AF29" s="183">
        <f t="shared" si="11"/>
        <v>0</v>
      </c>
      <c r="AG29" s="160">
        <f t="shared" si="12"/>
        <v>0</v>
      </c>
      <c r="AH29" s="160">
        <f t="shared" si="20"/>
        <v>0</v>
      </c>
      <c r="AI29" s="186" t="str">
        <f t="shared" ref="AI29" si="76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26"/>
        <v>شهید کاوه</v>
      </c>
      <c r="B30" s="216"/>
      <c r="C30" s="167" t="str">
        <f t="shared" si="27"/>
        <v>اردیبهشت</v>
      </c>
      <c r="D30" s="171">
        <f>SUM('مقایسه بودجه- صادرات'!D30,'مقایسه بودجه- واردات'!D30)</f>
        <v>2608</v>
      </c>
      <c r="E30" s="159">
        <f>SUM('مقایسه بودجه- صادرات'!E30,'مقایسه بودجه- واردات'!E30)</f>
        <v>12666.512074803122</v>
      </c>
      <c r="F30" s="159">
        <f t="shared" si="13"/>
        <v>-10058.512074803122</v>
      </c>
      <c r="G30" s="175">
        <f>IF(SUM(D30:D40)=0,"",IFERROR(D30/E30,""))</f>
        <v>0.20589724973996337</v>
      </c>
      <c r="H30" s="171">
        <f>SUM('مقایسه بودجه- صادرات'!H30,'مقایسه بودجه- واردات'!H30)</f>
        <v>1650</v>
      </c>
      <c r="I30" s="159">
        <f>SUM('مقایسه بودجه- صادرات'!I30,'مقایسه بودجه- واردات'!I30)</f>
        <v>10015.514260851671</v>
      </c>
      <c r="J30" s="159">
        <f t="shared" si="14"/>
        <v>-8365.5142608516708</v>
      </c>
      <c r="K30" s="175">
        <f>IF(SUM(H30:H40)=0,"",IFERROR(H30/I30,""))</f>
        <v>0.16474441122304309</v>
      </c>
      <c r="L30" s="171">
        <f>SUM('مقایسه بودجه- صادرات'!L30,'مقایسه بودجه- واردات'!L30)</f>
        <v>578</v>
      </c>
      <c r="M30" s="159">
        <f>SUM('مقایسه بودجه- صادرات'!M30,'مقایسه بودجه- واردات'!M30)</f>
        <v>3102.7240802702604</v>
      </c>
      <c r="N30" s="159">
        <f t="shared" si="15"/>
        <v>-2524.7240802702604</v>
      </c>
      <c r="O30" s="175">
        <f>IF(SUM(L30:L40)=0,"",IFERROR(L30/M30,""))</f>
        <v>0.18628791508578285</v>
      </c>
      <c r="P30" s="171">
        <f>SUM('مقایسه بودجه- صادرات'!P30,'مقایسه بودجه- واردات'!P30)</f>
        <v>0</v>
      </c>
      <c r="Q30" s="159">
        <f>SUM('مقایسه بودجه- صادرات'!Q30,'مقایسه بودجه- واردات'!Q30)</f>
        <v>0</v>
      </c>
      <c r="R30" s="159">
        <f t="shared" si="16"/>
        <v>0</v>
      </c>
      <c r="S30" s="175" t="str">
        <f>IF(SUM(P30:P40)=0,"",IFERROR(P30/Q30,""))</f>
        <v/>
      </c>
      <c r="T30" s="171">
        <f t="shared" si="5"/>
        <v>3905</v>
      </c>
      <c r="U30" s="159">
        <f t="shared" si="6"/>
        <v>25333.024149606244</v>
      </c>
      <c r="V30" s="159">
        <f t="shared" si="17"/>
        <v>-21428.024149606244</v>
      </c>
      <c r="W30" s="175">
        <f t="shared" ref="W30" si="77">IF(SUM(T30:T40)=0,"",IFERROR(T30/U30,""))</f>
        <v>0.15414661814312824</v>
      </c>
      <c r="X30" s="171">
        <f t="shared" si="7"/>
        <v>2751</v>
      </c>
      <c r="Y30" s="159">
        <f t="shared" si="8"/>
        <v>20031.028521703342</v>
      </c>
      <c r="Z30" s="159">
        <f t="shared" si="18"/>
        <v>-17280.028521703342</v>
      </c>
      <c r="AA30" s="175">
        <f t="shared" ref="AA30" si="78">IF(SUM(X30:X40)=0,"",IFERROR(X30/Y30,""))</f>
        <v>0.13733693190139137</v>
      </c>
      <c r="AB30" s="171">
        <f t="shared" si="9"/>
        <v>985</v>
      </c>
      <c r="AC30" s="159">
        <f t="shared" si="10"/>
        <v>6205.4481605405208</v>
      </c>
      <c r="AD30" s="159">
        <f t="shared" si="19"/>
        <v>-5220.4481605405208</v>
      </c>
      <c r="AE30" s="175">
        <f t="shared" ref="AE30" si="79">IF(SUM(AB30:AB40)=0,"",IFERROR(AB30/AC30,""))</f>
        <v>0.15873148474004856</v>
      </c>
      <c r="AF30" s="171">
        <f t="shared" si="11"/>
        <v>0</v>
      </c>
      <c r="AG30" s="159">
        <f t="shared" si="12"/>
        <v>0</v>
      </c>
      <c r="AH30" s="159">
        <f t="shared" si="20"/>
        <v>0</v>
      </c>
      <c r="AI30" s="187" t="str">
        <f t="shared" ref="AI30" si="80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26"/>
        <v>شهید کاوه</v>
      </c>
      <c r="B31" s="216"/>
      <c r="C31" s="167" t="str">
        <f t="shared" si="27"/>
        <v>خرداد</v>
      </c>
      <c r="D31" s="171">
        <f>SUM('مقایسه بودجه- صادرات'!D31,'مقایسه بودجه- واردات'!D31)</f>
        <v>1558</v>
      </c>
      <c r="E31" s="159">
        <f>SUM('مقایسه بودجه- صادرات'!E31,'مقایسه بودجه- واردات'!E31)</f>
        <v>12666.512074803122</v>
      </c>
      <c r="F31" s="159">
        <f t="shared" si="13"/>
        <v>-11108.512074803122</v>
      </c>
      <c r="G31" s="175">
        <f>IF(SUM(D31:D40)=0,"",IFERROR(D31/E31,""))</f>
        <v>0.12300150118668057</v>
      </c>
      <c r="H31" s="171">
        <f>SUM('مقایسه بودجه- صادرات'!H31,'مقایسه بودجه- واردات'!H31)</f>
        <v>2007</v>
      </c>
      <c r="I31" s="159">
        <f>SUM('مقایسه بودجه- صادرات'!I31,'مقایسه بودجه- واردات'!I31)</f>
        <v>10015.514260851671</v>
      </c>
      <c r="J31" s="159">
        <f t="shared" si="14"/>
        <v>-8008.5142608516708</v>
      </c>
      <c r="K31" s="175">
        <f>IF(SUM(H31:H40)=0,"",IFERROR(H31/I31,""))</f>
        <v>0.20038911110584695</v>
      </c>
      <c r="L31" s="171">
        <f>SUM('مقایسه بودجه- صادرات'!L31,'مقایسه بودجه- واردات'!L31)</f>
        <v>863</v>
      </c>
      <c r="M31" s="159">
        <f>SUM('مقایسه بودجه- صادرات'!M31,'مقایسه بودجه- واردات'!M31)</f>
        <v>3102.7240802702604</v>
      </c>
      <c r="N31" s="159">
        <f t="shared" si="15"/>
        <v>-2239.7240802702604</v>
      </c>
      <c r="O31" s="175">
        <f>IF(SUM(L31:L40)=0,"",IFERROR(L31/M31,""))</f>
        <v>0.27814268290489724</v>
      </c>
      <c r="P31" s="171">
        <f>SUM('مقایسه بودجه- صادرات'!P31,'مقایسه بودجه- واردات'!P31)</f>
        <v>0</v>
      </c>
      <c r="Q31" s="159">
        <f>SUM('مقایسه بودجه- صادرات'!Q31,'مقایسه بودجه- واردات'!Q31)</f>
        <v>0</v>
      </c>
      <c r="R31" s="159">
        <f t="shared" si="16"/>
        <v>0</v>
      </c>
      <c r="S31" s="175" t="str">
        <f>IF(SUM(P31:P40)=0,"",IFERROR(P31/Q31,""))</f>
        <v/>
      </c>
      <c r="T31" s="171">
        <f t="shared" si="5"/>
        <v>5463</v>
      </c>
      <c r="U31" s="159">
        <f t="shared" si="6"/>
        <v>37999.53622440937</v>
      </c>
      <c r="V31" s="159">
        <f t="shared" si="17"/>
        <v>-32536.53622440937</v>
      </c>
      <c r="W31" s="175">
        <f t="shared" ref="W31" si="81">IF(SUM(T31:T40)=0,"",IFERROR(T31/U31,""))</f>
        <v>0.143764912490979</v>
      </c>
      <c r="X31" s="171">
        <f t="shared" si="7"/>
        <v>4758</v>
      </c>
      <c r="Y31" s="159">
        <f t="shared" si="8"/>
        <v>30046.542782555014</v>
      </c>
      <c r="Z31" s="159">
        <f t="shared" si="18"/>
        <v>-25288.542782555014</v>
      </c>
      <c r="AA31" s="175">
        <f t="shared" ref="AA31" si="82">IF(SUM(X31:X40)=0,"",IFERROR(X31/Y31,""))</f>
        <v>0.15835432496954321</v>
      </c>
      <c r="AB31" s="171">
        <f t="shared" si="9"/>
        <v>1848</v>
      </c>
      <c r="AC31" s="159">
        <f t="shared" si="10"/>
        <v>9308.1722408107817</v>
      </c>
      <c r="AD31" s="159">
        <f t="shared" si="19"/>
        <v>-7460.1722408107817</v>
      </c>
      <c r="AE31" s="175">
        <f t="shared" ref="AE31" si="83">IF(SUM(AB31:AB40)=0,"",IFERROR(AB31/AC31,""))</f>
        <v>0.19853521746166478</v>
      </c>
      <c r="AF31" s="171">
        <f t="shared" si="11"/>
        <v>0</v>
      </c>
      <c r="AG31" s="159">
        <f t="shared" si="12"/>
        <v>0</v>
      </c>
      <c r="AH31" s="159">
        <f t="shared" si="20"/>
        <v>0</v>
      </c>
      <c r="AI31" s="187" t="str">
        <f t="shared" ref="AI31" si="84">IF(SUM(AF31:AF40)=0,"",IFERROR(AF31/AG31,""))</f>
        <v/>
      </c>
      <c r="AJ31" s="157">
        <f t="shared" ref="AJ31:AJ39" si="85">AJ30+1</f>
        <v>3</v>
      </c>
    </row>
    <row r="32" spans="1:36" ht="24.95" customHeight="1" x14ac:dyDescent="0.25">
      <c r="A32" s="182" t="str">
        <f t="shared" si="26"/>
        <v>شهید کاوه</v>
      </c>
      <c r="B32" s="216"/>
      <c r="C32" s="167" t="str">
        <f t="shared" si="27"/>
        <v>تیر</v>
      </c>
      <c r="D32" s="171">
        <f>SUM('مقایسه بودجه- صادرات'!D32,'مقایسه بودجه- واردات'!D32)</f>
        <v>1861</v>
      </c>
      <c r="E32" s="159">
        <f>SUM('مقایسه بودجه- صادرات'!E32,'مقایسه بودجه- واردات'!E32)</f>
        <v>7863.9293178019361</v>
      </c>
      <c r="F32" s="159">
        <f t="shared" si="13"/>
        <v>-6002.9293178019361</v>
      </c>
      <c r="G32" s="175">
        <f>IF(SUM(D32:D40)=0,"",IFERROR(D32/E32,""))</f>
        <v>0.23665014330522646</v>
      </c>
      <c r="H32" s="171">
        <f>SUM('مقایسه بودجه- صادرات'!H32,'مقایسه بودجه- واردات'!H32)</f>
        <v>2131</v>
      </c>
      <c r="I32" s="159">
        <f>SUM('مقایسه بودجه- صادرات'!I32,'مقایسه بودجه- واردات'!I32)</f>
        <v>10707.909849145002</v>
      </c>
      <c r="J32" s="159">
        <f t="shared" si="14"/>
        <v>-8576.9098491450022</v>
      </c>
      <c r="K32" s="175">
        <f>IF(SUM(H32:H40)=0,"",IFERROR(H32/I32,""))</f>
        <v>0.19901176140086335</v>
      </c>
      <c r="L32" s="171">
        <f>SUM('مقایسه بودجه- صادرات'!L32,'مقایسه بودجه- واردات'!L32)</f>
        <v>293</v>
      </c>
      <c r="M32" s="159">
        <f>SUM('مقایسه بودجه- صادرات'!M32,'مقایسه بودجه- واردات'!M32)</f>
        <v>691.41067331458305</v>
      </c>
      <c r="N32" s="159">
        <f t="shared" si="15"/>
        <v>-398.41067331458305</v>
      </c>
      <c r="O32" s="175">
        <f>IF(SUM(L32:L40)=0,"",IFERROR(L32/M32,""))</f>
        <v>0.4237713001961263</v>
      </c>
      <c r="P32" s="171">
        <f>SUM('مقایسه بودجه- صادرات'!P32,'مقایسه بودجه- واردات'!P32)</f>
        <v>0</v>
      </c>
      <c r="Q32" s="159">
        <f>SUM('مقایسه بودجه- صادرات'!Q32,'مقایسه بودجه- واردات'!Q32)</f>
        <v>0</v>
      </c>
      <c r="R32" s="159">
        <f t="shared" si="16"/>
        <v>0</v>
      </c>
      <c r="S32" s="175" t="str">
        <f>IF(SUM(P32:P40)=0,"",IFERROR(P32/Q32,""))</f>
        <v/>
      </c>
      <c r="T32" s="171">
        <f t="shared" si="5"/>
        <v>7324</v>
      </c>
      <c r="U32" s="159">
        <f t="shared" si="6"/>
        <v>45863.465542211306</v>
      </c>
      <c r="V32" s="159">
        <f t="shared" si="17"/>
        <v>-38539.465542211306</v>
      </c>
      <c r="W32" s="175">
        <f t="shared" ref="W32" si="86">IF(SUM(T32:T40)=0,"",IFERROR(T32/U32,""))</f>
        <v>0.15969137773200368</v>
      </c>
      <c r="X32" s="171">
        <f t="shared" si="7"/>
        <v>6889</v>
      </c>
      <c r="Y32" s="159">
        <f t="shared" si="8"/>
        <v>40754.452631700013</v>
      </c>
      <c r="Z32" s="159">
        <f t="shared" si="18"/>
        <v>-33865.452631700013</v>
      </c>
      <c r="AA32" s="175">
        <f t="shared" ref="AA32" si="87">IF(SUM(X32:X40)=0,"",IFERROR(X32/Y32,""))</f>
        <v>0.1690367445799415</v>
      </c>
      <c r="AB32" s="171">
        <f t="shared" si="9"/>
        <v>2141</v>
      </c>
      <c r="AC32" s="159">
        <f t="shared" si="10"/>
        <v>9999.5829141253653</v>
      </c>
      <c r="AD32" s="159">
        <f t="shared" si="19"/>
        <v>-7858.5829141253653</v>
      </c>
      <c r="AE32" s="175">
        <f t="shared" ref="AE32" si="88">IF(SUM(AB32:AB40)=0,"",IFERROR(AB32/AC32,""))</f>
        <v>0.21410893018104116</v>
      </c>
      <c r="AF32" s="171">
        <f t="shared" si="11"/>
        <v>0</v>
      </c>
      <c r="AG32" s="159">
        <f t="shared" si="12"/>
        <v>0</v>
      </c>
      <c r="AH32" s="159">
        <f t="shared" si="20"/>
        <v>0</v>
      </c>
      <c r="AI32" s="187" t="str">
        <f t="shared" ref="AI32" si="89">IF(SUM(AF32:AF40)=0,"",IFERROR(AF32/AG32,""))</f>
        <v/>
      </c>
      <c r="AJ32" s="157">
        <f t="shared" si="85"/>
        <v>4</v>
      </c>
    </row>
    <row r="33" spans="1:36" ht="24.95" customHeight="1" x14ac:dyDescent="0.25">
      <c r="A33" s="182" t="str">
        <f t="shared" si="26"/>
        <v>شهید کاوه</v>
      </c>
      <c r="B33" s="216"/>
      <c r="C33" s="167" t="str">
        <f t="shared" si="27"/>
        <v>مرداد</v>
      </c>
      <c r="D33" s="171">
        <f>SUM('مقایسه بودجه- صادرات'!D33,'مقایسه بودجه- واردات'!D33)</f>
        <v>1873</v>
      </c>
      <c r="E33" s="159">
        <f>SUM('مقایسه بودجه- صادرات'!E33,'مقایسه بودجه- واردات'!E33)</f>
        <v>7863.9293178019361</v>
      </c>
      <c r="F33" s="159">
        <f t="shared" si="13"/>
        <v>-5990.9293178019361</v>
      </c>
      <c r="G33" s="175">
        <f>IF(SUM(D33:D40)=0,"",IFERROR(D33/E33,""))</f>
        <v>0.23817609801756537</v>
      </c>
      <c r="H33" s="171">
        <f>SUM('مقایسه بودجه- صادرات'!H33,'مقایسه بودجه- واردات'!H33)</f>
        <v>2661</v>
      </c>
      <c r="I33" s="159">
        <f>SUM('مقایسه بودجه- صادرات'!I33,'مقایسه بودجه- واردات'!I33)</f>
        <v>10707.909849145002</v>
      </c>
      <c r="J33" s="159">
        <f t="shared" si="14"/>
        <v>-8046.9098491450022</v>
      </c>
      <c r="K33" s="175">
        <f>IF(SUM(H33:H40)=0,"",IFERROR(H33/I33,""))</f>
        <v>0.24850788225607576</v>
      </c>
      <c r="L33" s="171">
        <f>SUM('مقایسه بودجه- صادرات'!L33,'مقایسه بودجه- واردات'!L33)</f>
        <v>1519</v>
      </c>
      <c r="M33" s="159">
        <f>SUM('مقایسه بودجه- صادرات'!M33,'مقایسه بودجه- واردات'!M33)</f>
        <v>691.41067331458305</v>
      </c>
      <c r="N33" s="159">
        <f t="shared" si="15"/>
        <v>827.58932668541695</v>
      </c>
      <c r="O33" s="175">
        <f>IF(SUM(L33:L40)=0,"",IFERROR(L33/M33,""))</f>
        <v>2.1969576962386208</v>
      </c>
      <c r="P33" s="171">
        <f>SUM('مقایسه بودجه- صادرات'!P33,'مقایسه بودجه- واردات'!P33)</f>
        <v>0</v>
      </c>
      <c r="Q33" s="159">
        <f>SUM('مقایسه بودجه- صادرات'!Q33,'مقایسه بودجه- واردات'!Q33)</f>
        <v>0</v>
      </c>
      <c r="R33" s="159">
        <f t="shared" si="16"/>
        <v>0</v>
      </c>
      <c r="S33" s="175" t="str">
        <f>IF(SUM(P33:P40)=0,"",IFERROR(P33/Q33,""))</f>
        <v/>
      </c>
      <c r="T33" s="171">
        <f t="shared" si="5"/>
        <v>9197</v>
      </c>
      <c r="U33" s="159">
        <f t="shared" si="6"/>
        <v>53727.394860013243</v>
      </c>
      <c r="V33" s="159">
        <f t="shared" si="17"/>
        <v>-44530.394860013243</v>
      </c>
      <c r="W33" s="175">
        <f t="shared" ref="W33" si="90">IF(SUM(T33:T40)=0,"",IFERROR(T33/U33,""))</f>
        <v>0.17117896789827217</v>
      </c>
      <c r="X33" s="171">
        <f t="shared" si="7"/>
        <v>9550</v>
      </c>
      <c r="Y33" s="159">
        <f t="shared" si="8"/>
        <v>51462.362480845011</v>
      </c>
      <c r="Z33" s="159">
        <f t="shared" si="18"/>
        <v>-41912.362480845011</v>
      </c>
      <c r="AA33" s="175">
        <f t="shared" ref="AA33" si="91">IF(SUM(X33:X40)=0,"",IFERROR(X33/Y33,""))</f>
        <v>0.18557251435074787</v>
      </c>
      <c r="AB33" s="171">
        <f t="shared" si="9"/>
        <v>3660</v>
      </c>
      <c r="AC33" s="159">
        <f t="shared" si="10"/>
        <v>10690.993587439949</v>
      </c>
      <c r="AD33" s="159">
        <f t="shared" si="19"/>
        <v>-7030.9935874399489</v>
      </c>
      <c r="AE33" s="175">
        <f t="shared" ref="AE33" si="92">IF(SUM(AB33:AB40)=0,"",IFERROR(AB33/AC33,""))</f>
        <v>0.34234423302805655</v>
      </c>
      <c r="AF33" s="171">
        <f t="shared" si="11"/>
        <v>0</v>
      </c>
      <c r="AG33" s="159">
        <f t="shared" si="12"/>
        <v>0</v>
      </c>
      <c r="AH33" s="159">
        <f t="shared" si="20"/>
        <v>0</v>
      </c>
      <c r="AI33" s="187" t="str">
        <f t="shared" ref="AI33" si="93">IF(SUM(AF33:AF40)=0,"",IFERROR(AF33/AG33,""))</f>
        <v/>
      </c>
      <c r="AJ33" s="157">
        <f t="shared" si="85"/>
        <v>5</v>
      </c>
    </row>
    <row r="34" spans="1:36" ht="24.95" customHeight="1" x14ac:dyDescent="0.25">
      <c r="A34" s="182" t="str">
        <f t="shared" si="26"/>
        <v>شهید کاوه</v>
      </c>
      <c r="B34" s="216"/>
      <c r="C34" s="167" t="str">
        <f t="shared" si="27"/>
        <v>شهریور</v>
      </c>
      <c r="D34" s="171">
        <f>SUM('مقایسه بودجه- صادرات'!D34,'مقایسه بودجه- واردات'!D34)</f>
        <v>1300</v>
      </c>
      <c r="E34" s="159">
        <f>SUM('مقایسه بودجه- صادرات'!E34,'مقایسه بودجه- واردات'!E34)</f>
        <v>7863.9293178019361</v>
      </c>
      <c r="F34" s="159">
        <f t="shared" si="13"/>
        <v>-6563.9293178019361</v>
      </c>
      <c r="G34" s="175">
        <f>IF(SUM(D34:D40)=0,"",IFERROR(D34/E34,""))</f>
        <v>0.16531176050338228</v>
      </c>
      <c r="H34" s="171">
        <f>SUM('مقایسه بودجه- صادرات'!H34,'مقایسه بودجه- واردات'!H34)</f>
        <v>1594</v>
      </c>
      <c r="I34" s="159">
        <f>SUM('مقایسه بودجه- صادرات'!I34,'مقایسه بودجه- واردات'!I34)</f>
        <v>10707.909849145002</v>
      </c>
      <c r="J34" s="159">
        <f t="shared" si="14"/>
        <v>-9113.9098491450022</v>
      </c>
      <c r="K34" s="175">
        <f>IF(SUM(H34:H40)=0,"",IFERROR(H34/I34,""))</f>
        <v>0.14886191819473307</v>
      </c>
      <c r="L34" s="171">
        <f>SUM('مقایسه بودجه- صادرات'!L34,'مقایسه بودجه- واردات'!L34)</f>
        <v>180</v>
      </c>
      <c r="M34" s="159">
        <f>SUM('مقایسه بودجه- صادرات'!M34,'مقایسه بودجه- واردات'!M34)</f>
        <v>691.41067331458305</v>
      </c>
      <c r="N34" s="159">
        <f t="shared" si="15"/>
        <v>-511.41067331458305</v>
      </c>
      <c r="O34" s="175">
        <f>IF(SUM(L34:L40)=0,"",IFERROR(L34/M34,""))</f>
        <v>0.26033731752663053</v>
      </c>
      <c r="P34" s="171">
        <f>SUM('مقایسه بودجه- صادرات'!P34,'مقایسه بودجه- واردات'!P34)</f>
        <v>0</v>
      </c>
      <c r="Q34" s="159">
        <f>SUM('مقایسه بودجه- صادرات'!Q34,'مقایسه بودجه- واردات'!Q34)</f>
        <v>0</v>
      </c>
      <c r="R34" s="159">
        <f t="shared" si="16"/>
        <v>0</v>
      </c>
      <c r="S34" s="175" t="str">
        <f>IF(SUM(P34:P40)=0,"",IFERROR(P34/Q34,""))</f>
        <v/>
      </c>
      <c r="T34" s="171">
        <f t="shared" si="5"/>
        <v>10497</v>
      </c>
      <c r="U34" s="159">
        <f t="shared" si="6"/>
        <v>61591.324177815179</v>
      </c>
      <c r="V34" s="159">
        <f t="shared" si="17"/>
        <v>-51094.324177815179</v>
      </c>
      <c r="W34" s="175">
        <f t="shared" ref="W34" si="94">IF(SUM(T34:T40)=0,"",IFERROR(T34/U34,""))</f>
        <v>0.17042984771191128</v>
      </c>
      <c r="X34" s="171">
        <f t="shared" si="7"/>
        <v>11144</v>
      </c>
      <c r="Y34" s="159">
        <f t="shared" si="8"/>
        <v>62170.27232999001</v>
      </c>
      <c r="Z34" s="159">
        <f t="shared" si="18"/>
        <v>-51026.27232999001</v>
      </c>
      <c r="AA34" s="175">
        <f t="shared" ref="AA34" si="95">IF(SUM(X34:X40)=0,"",IFERROR(X34/Y34,""))</f>
        <v>0.17924965714882837</v>
      </c>
      <c r="AB34" s="171">
        <f t="shared" si="9"/>
        <v>3840</v>
      </c>
      <c r="AC34" s="159">
        <f t="shared" si="10"/>
        <v>11382.404260754533</v>
      </c>
      <c r="AD34" s="159">
        <f t="shared" si="19"/>
        <v>-7542.4042607545325</v>
      </c>
      <c r="AE34" s="175">
        <f t="shared" ref="AE34" si="96">IF(SUM(AB34:AB40)=0,"",IFERROR(AB34/AC34,""))</f>
        <v>0.33736282001861079</v>
      </c>
      <c r="AF34" s="171">
        <f t="shared" si="11"/>
        <v>0</v>
      </c>
      <c r="AG34" s="159">
        <f t="shared" si="12"/>
        <v>0</v>
      </c>
      <c r="AH34" s="159">
        <f t="shared" si="20"/>
        <v>0</v>
      </c>
      <c r="AI34" s="187" t="str">
        <f t="shared" ref="AI34" si="97">IF(SUM(AF34:AF40)=0,"",IFERROR(AF34/AG34,""))</f>
        <v/>
      </c>
      <c r="AJ34" s="157">
        <f t="shared" si="85"/>
        <v>6</v>
      </c>
    </row>
    <row r="35" spans="1:36" ht="24.95" customHeight="1" x14ac:dyDescent="0.25">
      <c r="A35" s="182" t="str">
        <f t="shared" si="26"/>
        <v>شهید کاوه</v>
      </c>
      <c r="B35" s="216"/>
      <c r="C35" s="167" t="str">
        <f t="shared" si="27"/>
        <v>مهر</v>
      </c>
      <c r="D35" s="171">
        <f>SUM('مقایسه بودجه- صادرات'!D35,'مقایسه بودجه- واردات'!D35)</f>
        <v>1603</v>
      </c>
      <c r="E35" s="159">
        <f>SUM('مقایسه بودجه- صادرات'!E35,'مقایسه بودجه- واردات'!E35)</f>
        <v>6828.5168949652534</v>
      </c>
      <c r="F35" s="159">
        <f t="shared" si="13"/>
        <v>-5225.5168949652534</v>
      </c>
      <c r="G35" s="175">
        <f>IF(SUM(D35:D40)=0,"",IFERROR(D35/E35,""))</f>
        <v>0.23475082871683467</v>
      </c>
      <c r="H35" s="171">
        <f>SUM('مقایسه بودجه- صادرات'!H35,'مقایسه بودجه- واردات'!H35)</f>
        <v>1763</v>
      </c>
      <c r="I35" s="159">
        <f>SUM('مقایسه بودجه- صادرات'!I35,'مقایسه بودجه- واردات'!I35)</f>
        <v>6547.9635689701945</v>
      </c>
      <c r="J35" s="159">
        <f t="shared" si="14"/>
        <v>-4784.9635689701945</v>
      </c>
      <c r="K35" s="175">
        <f>IF(SUM(H35:H40)=0,"",IFERROR(H35/I35,""))</f>
        <v>0.26924401478874888</v>
      </c>
      <c r="L35" s="171">
        <f>SUM('مقایسه بودجه- صادرات'!L35,'مقایسه بودجه- واردات'!L35)</f>
        <v>0</v>
      </c>
      <c r="M35" s="159">
        <f>SUM('مقایسه بودجه- صادرات'!M35,'مقایسه بودجه- واردات'!M35)</f>
        <v>106.83561678552675</v>
      </c>
      <c r="N35" s="159">
        <f t="shared" si="15"/>
        <v>-106.83561678552675</v>
      </c>
      <c r="O35" s="175">
        <f>IF(SUM(L35:L40)=0,"",IFERROR(L35/M35,""))</f>
        <v>0</v>
      </c>
      <c r="P35" s="171">
        <f>SUM('مقایسه بودجه- صادرات'!P35,'مقایسه بودجه- واردات'!P35)</f>
        <v>0</v>
      </c>
      <c r="Q35" s="159">
        <f>SUM('مقایسه بودجه- صادرات'!Q35,'مقایسه بودجه- واردات'!Q35)</f>
        <v>0</v>
      </c>
      <c r="R35" s="159">
        <f t="shared" si="16"/>
        <v>0</v>
      </c>
      <c r="S35" s="175" t="str">
        <f>IF(SUM(P35:P40)=0,"",IFERROR(P35/Q35,""))</f>
        <v/>
      </c>
      <c r="T35" s="171">
        <f t="shared" si="5"/>
        <v>12100</v>
      </c>
      <c r="U35" s="159">
        <f t="shared" si="6"/>
        <v>68419.841072780429</v>
      </c>
      <c r="V35" s="159">
        <f t="shared" si="17"/>
        <v>-56319.841072780429</v>
      </c>
      <c r="W35" s="175">
        <f t="shared" ref="W35" si="98">IF(SUM(T35:T40)=0,"",IFERROR(T35/U35,""))</f>
        <v>0.17684928538680517</v>
      </c>
      <c r="X35" s="171">
        <f t="shared" si="7"/>
        <v>12907</v>
      </c>
      <c r="Y35" s="159">
        <f t="shared" si="8"/>
        <v>68718.235898960207</v>
      </c>
      <c r="Z35" s="159">
        <f t="shared" si="18"/>
        <v>-55811.235898960207</v>
      </c>
      <c r="AA35" s="175">
        <f t="shared" ref="AA35" si="99">IF(SUM(X35:X40)=0,"",IFERROR(X35/Y35,""))</f>
        <v>0.18782496132435347</v>
      </c>
      <c r="AB35" s="171">
        <f t="shared" si="9"/>
        <v>3840</v>
      </c>
      <c r="AC35" s="159">
        <f t="shared" si="10"/>
        <v>11489.23987754006</v>
      </c>
      <c r="AD35" s="159">
        <f t="shared" si="19"/>
        <v>-7649.2398775400598</v>
      </c>
      <c r="AE35" s="175">
        <f t="shared" ref="AE35" si="100">IF(SUM(AB35:AB40)=0,"",IFERROR(AB35/AC35,""))</f>
        <v>0.33422576610195864</v>
      </c>
      <c r="AF35" s="171">
        <f t="shared" si="11"/>
        <v>0</v>
      </c>
      <c r="AG35" s="159">
        <f t="shared" si="12"/>
        <v>0</v>
      </c>
      <c r="AH35" s="159">
        <f t="shared" si="20"/>
        <v>0</v>
      </c>
      <c r="AI35" s="187" t="str">
        <f t="shared" ref="AI35" si="101">IF(SUM(AF35:AF40)=0,"",IFERROR(AF35/AG35,""))</f>
        <v/>
      </c>
      <c r="AJ35" s="157">
        <f t="shared" si="85"/>
        <v>7</v>
      </c>
    </row>
    <row r="36" spans="1:36" ht="24.95" customHeight="1" x14ac:dyDescent="0.25">
      <c r="A36" s="182" t="str">
        <f t="shared" si="26"/>
        <v>شهید کاوه</v>
      </c>
      <c r="B36" s="216"/>
      <c r="C36" s="167" t="str">
        <f t="shared" si="27"/>
        <v>آبان</v>
      </c>
      <c r="D36" s="171">
        <f>SUM('مقایسه بودجه- صادرات'!D36,'مقایسه بودجه- واردات'!D36)</f>
        <v>1252</v>
      </c>
      <c r="E36" s="159">
        <f>SUM('مقایسه بودجه- صادرات'!E36,'مقایسه بودجه- واردات'!E36)</f>
        <v>6828.5168949652534</v>
      </c>
      <c r="F36" s="159">
        <f t="shared" si="13"/>
        <v>-5576.5168949652534</v>
      </c>
      <c r="G36" s="175">
        <f>IF(SUM(D36:D40)=0,"",IFERROR(D36/E36,""))</f>
        <v>0.18334874457484529</v>
      </c>
      <c r="H36" s="171">
        <f>SUM('مقایسه بودجه- صادرات'!H36,'مقایسه بودجه- واردات'!H36)</f>
        <v>1578</v>
      </c>
      <c r="I36" s="159">
        <f>SUM('مقایسه بودجه- صادرات'!I36,'مقایسه بودجه- واردات'!I36)</f>
        <v>6547.9635689701945</v>
      </c>
      <c r="J36" s="159">
        <f t="shared" si="14"/>
        <v>-4969.9635689701945</v>
      </c>
      <c r="K36" s="175">
        <f>IF(SUM(H36:H40)=0,"",IFERROR(H36/I36,""))</f>
        <v>0.24099095594818251</v>
      </c>
      <c r="L36" s="171">
        <f>SUM('مقایسه بودجه- صادرات'!L36,'مقایسه بودجه- واردات'!L36)</f>
        <v>0</v>
      </c>
      <c r="M36" s="159">
        <f>SUM('مقایسه بودجه- صادرات'!M36,'مقایسه بودجه- واردات'!M36)</f>
        <v>106.83561678552675</v>
      </c>
      <c r="N36" s="159">
        <f t="shared" si="15"/>
        <v>-106.83561678552675</v>
      </c>
      <c r="O36" s="175">
        <f>IF(SUM(L36:L40)=0,"",IFERROR(L36/M36,""))</f>
        <v>0</v>
      </c>
      <c r="P36" s="171">
        <f>SUM('مقایسه بودجه- صادرات'!P36,'مقایسه بودجه- واردات'!P36)</f>
        <v>0</v>
      </c>
      <c r="Q36" s="159">
        <f>SUM('مقایسه بودجه- صادرات'!Q36,'مقایسه بودجه- واردات'!Q36)</f>
        <v>0</v>
      </c>
      <c r="R36" s="159">
        <f t="shared" si="16"/>
        <v>0</v>
      </c>
      <c r="S36" s="175" t="str">
        <f>IF(SUM(P36:P40)=0,"",IFERROR(P36/Q36,""))</f>
        <v/>
      </c>
      <c r="T36" s="171">
        <f t="shared" si="5"/>
        <v>13352</v>
      </c>
      <c r="U36" s="159">
        <f t="shared" si="6"/>
        <v>75248.357967745687</v>
      </c>
      <c r="V36" s="159">
        <f t="shared" si="17"/>
        <v>-61896.357967745687</v>
      </c>
      <c r="W36" s="175">
        <f t="shared" ref="W36" si="102">IF(SUM(T36:T40)=0,"",IFERROR(T36/U36,""))</f>
        <v>0.17743908784990597</v>
      </c>
      <c r="X36" s="171">
        <f t="shared" si="7"/>
        <v>14485</v>
      </c>
      <c r="Y36" s="159">
        <f t="shared" si="8"/>
        <v>75266.199467930404</v>
      </c>
      <c r="Z36" s="159">
        <f t="shared" si="18"/>
        <v>-60781.199467930404</v>
      </c>
      <c r="AA36" s="175">
        <f t="shared" ref="AA36" si="103">IF(SUM(X36:X40)=0,"",IFERROR(X36/Y36,""))</f>
        <v>0.19245026455961553</v>
      </c>
      <c r="AB36" s="171">
        <f t="shared" si="9"/>
        <v>3840</v>
      </c>
      <c r="AC36" s="159">
        <f t="shared" si="10"/>
        <v>11596.075494325587</v>
      </c>
      <c r="AD36" s="159">
        <f t="shared" si="19"/>
        <v>-7756.075494325587</v>
      </c>
      <c r="AE36" s="175">
        <f t="shared" ref="AE36" si="104">IF(SUM(AB36:AB40)=0,"",IFERROR(AB36/AC36,""))</f>
        <v>0.33114651606735934</v>
      </c>
      <c r="AF36" s="171">
        <f t="shared" si="11"/>
        <v>0</v>
      </c>
      <c r="AG36" s="159">
        <f t="shared" si="12"/>
        <v>0</v>
      </c>
      <c r="AH36" s="159">
        <f t="shared" si="20"/>
        <v>0</v>
      </c>
      <c r="AI36" s="187" t="str">
        <f t="shared" ref="AI36" si="105">IF(SUM(AF36:AF40)=0,"",IFERROR(AF36/AG36,""))</f>
        <v/>
      </c>
      <c r="AJ36" s="157">
        <f t="shared" si="85"/>
        <v>8</v>
      </c>
    </row>
    <row r="37" spans="1:36" ht="24.95" customHeight="1" x14ac:dyDescent="0.25">
      <c r="A37" s="182" t="str">
        <f t="shared" si="26"/>
        <v>شهید کاوه</v>
      </c>
      <c r="B37" s="216"/>
      <c r="C37" s="167" t="str">
        <f t="shared" si="27"/>
        <v>آذر</v>
      </c>
      <c r="D37" s="171">
        <f>SUM('مقایسه بودجه- صادرات'!D37,'مقایسه بودجه- واردات'!D37)</f>
        <v>1289</v>
      </c>
      <c r="E37" s="159">
        <f>SUM('مقایسه بودجه- صادرات'!E37,'مقایسه بودجه- واردات'!E37)</f>
        <v>6828.5168949652534</v>
      </c>
      <c r="F37" s="159">
        <f t="shared" si="13"/>
        <v>-5539.5168949652534</v>
      </c>
      <c r="G37" s="175">
        <f>IF(SUM(D37:D40)=0,"",IFERROR(D37/E37,""))</f>
        <v>0.18876719788895815</v>
      </c>
      <c r="H37" s="171">
        <f>SUM('مقایسه بودجه- صادرات'!H37,'مقایسه بودجه- واردات'!H37)</f>
        <v>1006</v>
      </c>
      <c r="I37" s="159">
        <f>SUM('مقایسه بودجه- صادرات'!I37,'مقایسه بودجه- واردات'!I37)</f>
        <v>6547.9635689701945</v>
      </c>
      <c r="J37" s="159">
        <f t="shared" si="14"/>
        <v>-5541.9635689701945</v>
      </c>
      <c r="K37" s="175">
        <f>IF(SUM(H37:H40)=0,"",IFERROR(H37/I37,""))</f>
        <v>0.15363555239789076</v>
      </c>
      <c r="L37" s="171">
        <f>SUM('مقایسه بودجه- صادرات'!L37,'مقایسه بودجه- واردات'!L37)</f>
        <v>4</v>
      </c>
      <c r="M37" s="159">
        <f>SUM('مقایسه بودجه- صادرات'!M37,'مقایسه بودجه- واردات'!M37)</f>
        <v>106.83561678552675</v>
      </c>
      <c r="N37" s="159">
        <f t="shared" si="15"/>
        <v>-102.83561678552675</v>
      </c>
      <c r="O37" s="175">
        <f>IF(SUM(L37:L40)=0,"",IFERROR(L37/M37,""))</f>
        <v>3.7440697403657318E-2</v>
      </c>
      <c r="P37" s="171">
        <f>SUM('مقایسه بودجه- صادرات'!P37,'مقایسه بودجه- واردات'!P37)</f>
        <v>0</v>
      </c>
      <c r="Q37" s="159">
        <f>SUM('مقایسه بودجه- صادرات'!Q37,'مقایسه بودجه- واردات'!Q37)</f>
        <v>0</v>
      </c>
      <c r="R37" s="159">
        <f t="shared" si="16"/>
        <v>0</v>
      </c>
      <c r="S37" s="175" t="str">
        <f>IF(SUM(P37:P40)=0,"",IFERROR(P37/Q37,""))</f>
        <v/>
      </c>
      <c r="T37" s="171">
        <f t="shared" ref="T37:T68" si="106">IF(OR($C$1="",$AJ37&gt;$C$1),"",IFERROR(SUMIFS(D$5:D$5012,$A$5:$A$5012,$A37,$AJ$5:$AJ$5012,"&lt;"&amp;$AJ37+1),""))</f>
        <v>14641</v>
      </c>
      <c r="U37" s="159">
        <f t="shared" ref="U37:U68" si="107">IF($C$1="","",IFERROR(SUMIFS(E$5:E$5012,$A$5:$A$5012,$A37,$AJ$5:$AJ$5012,"&lt;"&amp;$AJ37+1),""))</f>
        <v>82076.874862710945</v>
      </c>
      <c r="V37" s="159">
        <f t="shared" si="17"/>
        <v>-67435.874862710945</v>
      </c>
      <c r="W37" s="175">
        <f t="shared" ref="W37" si="108">IF(SUM(T37:T40)=0,"",IFERROR(T37/U37,""))</f>
        <v>0.17838154808513157</v>
      </c>
      <c r="X37" s="171">
        <f t="shared" ref="X37:X68" si="109">IF(OR($C$1="",$AJ37&gt;$C$1),"",IFERROR(SUMIFS(H$5:H$5012,$A$5:$A$5012,$A37,$AJ$5:$AJ$5012,"&lt;"&amp;$AJ37+1),""))</f>
        <v>15491</v>
      </c>
      <c r="Y37" s="159">
        <f t="shared" ref="Y37:Y68" si="110">IF($C$1="","",IFERROR(SUMIFS(I$5:I$5012,$A$5:$A$5012,$A37,$AJ$5:$AJ$5012,"&lt;"&amp;$AJ37+1),""))</f>
        <v>81814.163036900602</v>
      </c>
      <c r="Z37" s="159">
        <f t="shared" si="18"/>
        <v>-66323.163036900602</v>
      </c>
      <c r="AA37" s="175">
        <f t="shared" ref="AA37" si="111">IF(SUM(X37:X40)=0,"",IFERROR(X37/Y37,""))</f>
        <v>0.1893437447134074</v>
      </c>
      <c r="AB37" s="171">
        <f t="shared" ref="AB37:AB68" si="112">IF(OR($C$1="",$AJ37&gt;$C$1),"",IFERROR(SUMIFS(L$5:L$5012,$A$5:$A$5012,$A37,$AJ$5:$AJ$5012,"&lt;"&amp;$AJ37+1),""))</f>
        <v>3844</v>
      </c>
      <c r="AC37" s="159">
        <f t="shared" ref="AC37:AC68" si="113">IF($C$1="","",IFERROR(SUMIFS(M$5:M$5012,$A$5:$A$5012,$A37,$AJ$5:$AJ$5012,"&lt;"&amp;$AJ37+1),""))</f>
        <v>11702.911111111114</v>
      </c>
      <c r="AD37" s="159">
        <f t="shared" si="19"/>
        <v>-7858.9111111111142</v>
      </c>
      <c r="AE37" s="175">
        <f t="shared" ref="AE37" si="114">IF(SUM(AB37:AB40)=0,"",IFERROR(AB37/AC37,""))</f>
        <v>0.32846528214252474</v>
      </c>
      <c r="AF37" s="171">
        <f t="shared" ref="AF37:AF68" si="115">IF(OR($C$1="",$AJ37&gt;$C$1),"",IFERROR(SUMIFS(P$5:P$5012,$A$5:$A$5012,$A37,$AJ$5:$AJ$5012,"&lt;"&amp;$AJ37+1),""))</f>
        <v>0</v>
      </c>
      <c r="AG37" s="159">
        <f t="shared" ref="AG37:AG68" si="116">IF($C$1="","",IFERROR(SUMIFS(Q$5:Q$5012,$A$5:$A$5012,$A37,$AJ$5:$AJ$5012,"&lt;"&amp;$AJ37+1),""))</f>
        <v>0</v>
      </c>
      <c r="AH37" s="159">
        <f t="shared" si="20"/>
        <v>0</v>
      </c>
      <c r="AI37" s="187" t="str">
        <f t="shared" ref="AI37" si="117">IF(SUM(AF37:AF40)=0,"",IFERROR(AF37/AG37,""))</f>
        <v/>
      </c>
      <c r="AJ37" s="157">
        <f t="shared" si="85"/>
        <v>9</v>
      </c>
    </row>
    <row r="38" spans="1:36" ht="24.95" customHeight="1" x14ac:dyDescent="0.25">
      <c r="A38" s="182" t="str">
        <f t="shared" si="26"/>
        <v>شهید کاوه</v>
      </c>
      <c r="B38" s="216"/>
      <c r="C38" s="167" t="str">
        <f t="shared" si="27"/>
        <v>دی</v>
      </c>
      <c r="D38" s="171">
        <f>SUM('مقایسه بودجه- صادرات'!D38,'مقایسه بودجه- واردات'!D38)</f>
        <v>683</v>
      </c>
      <c r="E38" s="159">
        <f>SUM('مقایسه بودجه- صادرات'!E38,'مقایسه بودجه- واردات'!E38)</f>
        <v>5752.8947598132236</v>
      </c>
      <c r="F38" s="159">
        <f t="shared" si="13"/>
        <v>-5069.8947598132236</v>
      </c>
      <c r="G38" s="175">
        <f>IF(SUM(D38:D40)=0,"",IFERROR(D38/E38,""))</f>
        <v>0.11872283928624737</v>
      </c>
      <c r="H38" s="171">
        <f>SUM('مقایسه بودجه- صادرات'!H38,'مقایسه بودجه- واردات'!H38)</f>
        <v>1363</v>
      </c>
      <c r="I38" s="159">
        <f>SUM('مقایسه بودجه- صادرات'!I38,'مقایسه بودجه- واردات'!I38)</f>
        <v>4541.0663315442434</v>
      </c>
      <c r="J38" s="159">
        <f t="shared" si="14"/>
        <v>-3178.0663315442434</v>
      </c>
      <c r="K38" s="175">
        <f>IF(SUM(H38:H40)=0,"",IFERROR(H38/I38,""))</f>
        <v>0.3001497667039133</v>
      </c>
      <c r="L38" s="171">
        <f>SUM('مقایسه بودجه- صادرات'!L38,'مقایسه بودجه- واردات'!L38)</f>
        <v>20</v>
      </c>
      <c r="M38" s="159">
        <f>SUM('مقایسه بودجه- صادرات'!M38,'مقایسه بودجه- واردات'!M38)</f>
        <v>4181.1076165270415</v>
      </c>
      <c r="N38" s="159">
        <f t="shared" si="15"/>
        <v>-4161.1076165270415</v>
      </c>
      <c r="O38" s="175">
        <f>IF(SUM(L38:L40)=0,"",IFERROR(L38/M38,""))</f>
        <v>4.7834214840450874E-3</v>
      </c>
      <c r="P38" s="171">
        <f>SUM('مقایسه بودجه- صادرات'!P38,'مقایسه بودجه- واردات'!P38)</f>
        <v>0</v>
      </c>
      <c r="Q38" s="159">
        <f>SUM('مقایسه بودجه- صادرات'!Q38,'مقایسه بودجه- واردات'!Q38)</f>
        <v>0</v>
      </c>
      <c r="R38" s="159">
        <f t="shared" si="16"/>
        <v>0</v>
      </c>
      <c r="S38" s="175" t="str">
        <f>IF(SUM(P38:P40)=0,"",IFERROR(P38/Q38,""))</f>
        <v/>
      </c>
      <c r="T38" s="171">
        <f t="shared" si="106"/>
        <v>15324</v>
      </c>
      <c r="U38" s="159">
        <f t="shared" si="107"/>
        <v>87829.769622524167</v>
      </c>
      <c r="V38" s="159">
        <f t="shared" si="17"/>
        <v>-72505.769622524167</v>
      </c>
      <c r="W38" s="175">
        <f t="shared" ref="W38" si="118">IF(SUM(T38:T40)=0,"",IFERROR(T38/U38,""))</f>
        <v>0.17447387219458357</v>
      </c>
      <c r="X38" s="171">
        <f t="shared" si="109"/>
        <v>16854</v>
      </c>
      <c r="Y38" s="159">
        <f t="shared" si="110"/>
        <v>86355.229368444852</v>
      </c>
      <c r="Z38" s="159">
        <f t="shared" si="18"/>
        <v>-69501.229368444852</v>
      </c>
      <c r="AA38" s="175">
        <f t="shared" ref="AA38" si="119">IF(SUM(X38:X40)=0,"",IFERROR(X38/Y38,""))</f>
        <v>0.19517057766230236</v>
      </c>
      <c r="AB38" s="171">
        <f t="shared" si="112"/>
        <v>3864</v>
      </c>
      <c r="AC38" s="159">
        <f t="shared" si="113"/>
        <v>15884.018727638155</v>
      </c>
      <c r="AD38" s="159">
        <f t="shared" si="19"/>
        <v>-12020.018727638155</v>
      </c>
      <c r="AE38" s="175">
        <f t="shared" ref="AE38" si="120">IF(SUM(AB38:AB40)=0,"",IFERROR(AB38/AC38,""))</f>
        <v>0.24326337473253221</v>
      </c>
      <c r="AF38" s="171">
        <f t="shared" si="115"/>
        <v>0</v>
      </c>
      <c r="AG38" s="159">
        <f t="shared" si="116"/>
        <v>0</v>
      </c>
      <c r="AH38" s="159">
        <f t="shared" si="20"/>
        <v>0</v>
      </c>
      <c r="AI38" s="187" t="str">
        <f t="shared" ref="AI38" si="121">IF(SUM(AF38:AF40)=0,"",IFERROR(AF38/AG38,""))</f>
        <v/>
      </c>
      <c r="AJ38" s="157">
        <f t="shared" si="85"/>
        <v>10</v>
      </c>
    </row>
    <row r="39" spans="1:36" ht="24.95" customHeight="1" x14ac:dyDescent="0.25">
      <c r="A39" s="182" t="str">
        <f t="shared" si="26"/>
        <v>شهید کاوه</v>
      </c>
      <c r="B39" s="216"/>
      <c r="C39" s="167" t="str">
        <f t="shared" si="27"/>
        <v>بهمن</v>
      </c>
      <c r="D39" s="171">
        <f>SUM('مقایسه بودجه- صادرات'!D39,'مقایسه بودجه- واردات'!D39)</f>
        <v>155</v>
      </c>
      <c r="E39" s="159">
        <f>SUM('مقایسه بودجه- صادرات'!E39,'مقایسه بودجه- واردات'!E39)</f>
        <v>5752.8947598132236</v>
      </c>
      <c r="F39" s="159">
        <f t="shared" si="13"/>
        <v>-5597.8947598132236</v>
      </c>
      <c r="G39" s="175">
        <f>IF(SUM(D39:D40)=0,"",IFERROR(D39/E39,""))</f>
        <v>2.694295767111031E-2</v>
      </c>
      <c r="H39" s="171">
        <f>SUM('مقایسه بودجه- صادرات'!H39,'مقایسه بودجه- واردات'!H39)</f>
        <v>626</v>
      </c>
      <c r="I39" s="159">
        <f>SUM('مقایسه بودجه- صادرات'!I39,'مقایسه بودجه- واردات'!I39)</f>
        <v>4541.0663315442434</v>
      </c>
      <c r="J39" s="159">
        <f t="shared" si="14"/>
        <v>-3915.0663315442434</v>
      </c>
      <c r="K39" s="175">
        <f>IF(SUM(H39:H40)=0,"",IFERROR(H39/I39,""))</f>
        <v>0.13785308434090221</v>
      </c>
      <c r="L39" s="171">
        <f>SUM('مقایسه بودجه- صادرات'!L39,'مقایسه بودجه- واردات'!L39)</f>
        <v>0</v>
      </c>
      <c r="M39" s="159">
        <f>SUM('مقایسه بودجه- صادرات'!M39,'مقایسه بودجه- واردات'!M39)</f>
        <v>4181.1076165270415</v>
      </c>
      <c r="N39" s="159">
        <f t="shared" si="15"/>
        <v>-4181.1076165270415</v>
      </c>
      <c r="O39" s="175" t="str">
        <f>IF(SUM(L39:L40)=0,"",IFERROR(L39/M39,""))</f>
        <v/>
      </c>
      <c r="P39" s="171">
        <f>SUM('مقایسه بودجه- صادرات'!P39,'مقایسه بودجه- واردات'!P39)</f>
        <v>0</v>
      </c>
      <c r="Q39" s="159">
        <f>SUM('مقایسه بودجه- صادرات'!Q39,'مقایسه بودجه- واردات'!Q39)</f>
        <v>0</v>
      </c>
      <c r="R39" s="159">
        <f t="shared" si="16"/>
        <v>0</v>
      </c>
      <c r="S39" s="175" t="str">
        <f>IF(SUM(P39:P40)=0,"",IFERROR(P39/Q39,""))</f>
        <v/>
      </c>
      <c r="T39" s="171">
        <f t="shared" si="106"/>
        <v>15479</v>
      </c>
      <c r="U39" s="159">
        <f t="shared" si="107"/>
        <v>93582.664382337389</v>
      </c>
      <c r="V39" s="159">
        <f t="shared" si="17"/>
        <v>-78103.664382337389</v>
      </c>
      <c r="W39" s="175">
        <f t="shared" ref="W39" si="122">IF(SUM(T39:T40)=0,"",IFERROR(T39/U39,""))</f>
        <v>0.16540456613587801</v>
      </c>
      <c r="X39" s="171">
        <f t="shared" si="109"/>
        <v>17480</v>
      </c>
      <c r="Y39" s="159">
        <f t="shared" si="110"/>
        <v>90896.295699989103</v>
      </c>
      <c r="Z39" s="159">
        <f t="shared" si="18"/>
        <v>-73416.295699989103</v>
      </c>
      <c r="AA39" s="175">
        <f t="shared" ref="AA39" si="123">IF(SUM(X39:X40)=0,"",IFERROR(X39/Y39,""))</f>
        <v>0.19230706670043204</v>
      </c>
      <c r="AB39" s="171">
        <f t="shared" si="112"/>
        <v>3864</v>
      </c>
      <c r="AC39" s="159">
        <f t="shared" si="113"/>
        <v>20065.126344165197</v>
      </c>
      <c r="AD39" s="159">
        <f t="shared" si="19"/>
        <v>-16201.126344165197</v>
      </c>
      <c r="AE39" s="175">
        <f t="shared" ref="AE39" si="124">IF(SUM(AB39:AB40)=0,"",IFERROR(AB39/AC39,""))</f>
        <v>0.1925729214819335</v>
      </c>
      <c r="AF39" s="171">
        <f t="shared" si="115"/>
        <v>0</v>
      </c>
      <c r="AG39" s="159">
        <f t="shared" si="116"/>
        <v>0</v>
      </c>
      <c r="AH39" s="159">
        <f t="shared" si="20"/>
        <v>0</v>
      </c>
      <c r="AI39" s="187" t="str">
        <f t="shared" ref="AI39" si="125">IF(SUM(AF39:AF40)=0,"",IFERROR(AF39/AG39,""))</f>
        <v/>
      </c>
      <c r="AJ39" s="157">
        <f t="shared" si="85"/>
        <v>11</v>
      </c>
    </row>
    <row r="40" spans="1:36" ht="24.95" customHeight="1" thickBot="1" x14ac:dyDescent="0.3">
      <c r="A40" s="182" t="str">
        <f t="shared" si="26"/>
        <v>شهید کاوه</v>
      </c>
      <c r="B40" s="217"/>
      <c r="C40" s="168" t="str">
        <f t="shared" si="27"/>
        <v>اسفند</v>
      </c>
      <c r="D40" s="172">
        <f>SUM('مقایسه بودجه- صادرات'!D40,'مقایسه بودجه- واردات'!D40)</f>
        <v>104</v>
      </c>
      <c r="E40" s="173">
        <f>SUM('مقایسه بودجه- صادرات'!E40,'مقایسه بودجه- واردات'!E40)</f>
        <v>5752.8947598132236</v>
      </c>
      <c r="F40" s="173">
        <f t="shared" si="13"/>
        <v>-5648.8947598132236</v>
      </c>
      <c r="G40" s="176">
        <f>IF(SUM(D40)=0,"",IFERROR(D40/E40,""))</f>
        <v>1.807785546964821E-2</v>
      </c>
      <c r="H40" s="172">
        <f>SUM('مقایسه بودجه- صادرات'!H40,'مقایسه بودجه- واردات'!H40)</f>
        <v>912</v>
      </c>
      <c r="I40" s="173">
        <f>SUM('مقایسه بودجه- صادرات'!I40,'مقایسه بودجه- واردات'!I40)</f>
        <v>4541.0663315442434</v>
      </c>
      <c r="J40" s="173">
        <f t="shared" si="14"/>
        <v>-3629.0663315442434</v>
      </c>
      <c r="K40" s="176">
        <f>IF(SUM(H40)=0,"",IFERROR(H40/I40,""))</f>
        <v>0.20083388645192143</v>
      </c>
      <c r="L40" s="172">
        <f>SUM('مقایسه بودجه- صادرات'!L40,'مقایسه بودجه- واردات'!L40)</f>
        <v>0</v>
      </c>
      <c r="M40" s="173">
        <f>SUM('مقایسه بودجه- صادرات'!M40,'مقایسه بودجه- واردات'!M40)</f>
        <v>4181.1076165270415</v>
      </c>
      <c r="N40" s="173">
        <f t="shared" si="15"/>
        <v>-4181.1076165270415</v>
      </c>
      <c r="O40" s="176" t="str">
        <f>IF(SUM(L40)=0,"",IFERROR(L40/M40,""))</f>
        <v/>
      </c>
      <c r="P40" s="172">
        <f>SUM('مقایسه بودجه- صادرات'!P40,'مقایسه بودجه- واردات'!P40)</f>
        <v>0</v>
      </c>
      <c r="Q40" s="173">
        <f>SUM('مقایسه بودجه- صادرات'!Q40,'مقایسه بودجه- واردات'!Q40)</f>
        <v>0</v>
      </c>
      <c r="R40" s="173">
        <f t="shared" si="16"/>
        <v>0</v>
      </c>
      <c r="S40" s="176" t="str">
        <f>IF(SUM(P40)=0,"",IFERROR(P40/Q40,""))</f>
        <v/>
      </c>
      <c r="T40" s="172">
        <f t="shared" si="106"/>
        <v>15583</v>
      </c>
      <c r="U40" s="173">
        <f t="shared" si="107"/>
        <v>99335.559142150611</v>
      </c>
      <c r="V40" s="173">
        <f t="shared" si="17"/>
        <v>-83752.559142150611</v>
      </c>
      <c r="W40" s="176">
        <f t="shared" ref="W40" si="126">IF(SUM(T40)=0,"",IFERROR(T40/U40,""))</f>
        <v>0.15687232381407853</v>
      </c>
      <c r="X40" s="172">
        <f t="shared" si="109"/>
        <v>18392</v>
      </c>
      <c r="Y40" s="173">
        <f t="shared" si="110"/>
        <v>95437.362031533354</v>
      </c>
      <c r="Z40" s="173">
        <f t="shared" si="18"/>
        <v>-77045.362031533354</v>
      </c>
      <c r="AA40" s="176">
        <f t="shared" ref="AA40" si="127">IF(SUM(X40)=0,"",IFERROR(X40/Y40,""))</f>
        <v>0.1927127867797008</v>
      </c>
      <c r="AB40" s="172">
        <f t="shared" si="112"/>
        <v>3864</v>
      </c>
      <c r="AC40" s="173">
        <f t="shared" si="113"/>
        <v>24246.23396069224</v>
      </c>
      <c r="AD40" s="173">
        <f t="shared" si="19"/>
        <v>-20382.23396069224</v>
      </c>
      <c r="AE40" s="176">
        <f t="shared" ref="AE40" si="128">IF(SUM(AB40)=0,"",IFERROR(AB40/AC40,""))</f>
        <v>0.1593649556572076</v>
      </c>
      <c r="AF40" s="172">
        <f t="shared" si="115"/>
        <v>0</v>
      </c>
      <c r="AG40" s="173">
        <f t="shared" si="116"/>
        <v>0</v>
      </c>
      <c r="AH40" s="173">
        <f t="shared" si="20"/>
        <v>0</v>
      </c>
      <c r="AI40" s="188" t="str">
        <f t="shared" ref="AI40" si="129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26"/>
        <v>مطهری</v>
      </c>
      <c r="B41" s="215" t="str">
        <f>واردات!J18</f>
        <v>مطهری</v>
      </c>
      <c r="C41" s="166" t="str">
        <f>C29</f>
        <v>فروردین</v>
      </c>
      <c r="D41" s="170">
        <f>SUM('مقایسه بودجه- صادرات'!D41,'مقایسه بودجه- واردات'!D41)</f>
        <v>3435</v>
      </c>
      <c r="E41" s="160">
        <f>SUM('مقایسه بودجه- صادرات'!E41,'مقایسه بودجه- واردات'!E41)</f>
        <v>6716.834597923842</v>
      </c>
      <c r="F41" s="160">
        <f t="shared" si="13"/>
        <v>-3281.834597923842</v>
      </c>
      <c r="G41" s="185">
        <f>IF(SUM(D41:D52)=0,"",IFERROR(D41/E41,""))</f>
        <v>0.51140160590849604</v>
      </c>
      <c r="H41" s="170">
        <f>SUM('مقایسه بودجه- صادرات'!H41,'مقایسه بودجه- واردات'!H41)</f>
        <v>4224</v>
      </c>
      <c r="I41" s="160">
        <f>SUM('مقایسه بودجه- صادرات'!I41,'مقایسه بودجه- واردات'!I41)</f>
        <v>7316.58989138795</v>
      </c>
      <c r="J41" s="160">
        <f t="shared" si="14"/>
        <v>-3092.58989138795</v>
      </c>
      <c r="K41" s="185">
        <f>IF(SUM(H41:H52)=0,"",IFERROR(H41/I41,""))</f>
        <v>0.57731813081007755</v>
      </c>
      <c r="L41" s="170">
        <f>SUM('مقایسه بودجه- صادرات'!L41,'مقایسه بودجه- واردات'!L41)</f>
        <v>0</v>
      </c>
      <c r="M41" s="160">
        <f>SUM('مقایسه بودجه- صادرات'!M41,'مقایسه بودجه- واردات'!M41)</f>
        <v>0</v>
      </c>
      <c r="N41" s="160">
        <f t="shared" si="15"/>
        <v>0</v>
      </c>
      <c r="O41" s="185" t="str">
        <f>IF(SUM(L41:L52)=0,"",IFERROR(L41/M41,""))</f>
        <v/>
      </c>
      <c r="P41" s="170">
        <f>SUM('مقایسه بودجه- صادرات'!P41,'مقایسه بودجه- واردات'!P41)</f>
        <v>34498</v>
      </c>
      <c r="Q41" s="160">
        <f>SUM('مقایسه بودجه- صادرات'!Q41,'مقایسه بودجه- واردات'!Q41)</f>
        <v>65801.030669524989</v>
      </c>
      <c r="R41" s="160">
        <f t="shared" si="16"/>
        <v>-31303.030669524989</v>
      </c>
      <c r="S41" s="185">
        <f>IF(SUM(P41:P52)=0,"",IFERROR(P41/Q41,""))</f>
        <v>0.52427750217562108</v>
      </c>
      <c r="T41" s="183">
        <f t="shared" si="106"/>
        <v>3435</v>
      </c>
      <c r="U41" s="160">
        <f t="shared" si="107"/>
        <v>6716.834597923842</v>
      </c>
      <c r="V41" s="160">
        <f t="shared" si="17"/>
        <v>-3281.834597923842</v>
      </c>
      <c r="W41" s="185">
        <f t="shared" ref="W41" si="130">IF(SUM(T41:T52)=0,"",IFERROR(T41/U41,""))</f>
        <v>0.51140160590849604</v>
      </c>
      <c r="X41" s="183">
        <f t="shared" si="109"/>
        <v>4224</v>
      </c>
      <c r="Y41" s="160">
        <f t="shared" si="110"/>
        <v>7316.58989138795</v>
      </c>
      <c r="Z41" s="160">
        <f t="shared" si="18"/>
        <v>-3092.58989138795</v>
      </c>
      <c r="AA41" s="185">
        <f t="shared" ref="AA41" si="131">IF(SUM(X41:X52)=0,"",IFERROR(X41/Y41,""))</f>
        <v>0.57731813081007755</v>
      </c>
      <c r="AB41" s="183">
        <f t="shared" si="112"/>
        <v>0</v>
      </c>
      <c r="AC41" s="160">
        <f t="shared" si="113"/>
        <v>0</v>
      </c>
      <c r="AD41" s="160">
        <f t="shared" si="19"/>
        <v>0</v>
      </c>
      <c r="AE41" s="185" t="str">
        <f t="shared" ref="AE41" si="132">IF(SUM(AB41:AB52)=0,"",IFERROR(AB41/AC41,""))</f>
        <v/>
      </c>
      <c r="AF41" s="183">
        <f t="shared" si="115"/>
        <v>34498</v>
      </c>
      <c r="AG41" s="160">
        <f t="shared" si="116"/>
        <v>65801.030669524989</v>
      </c>
      <c r="AH41" s="160">
        <f t="shared" si="20"/>
        <v>-31303.030669524989</v>
      </c>
      <c r="AI41" s="186">
        <f t="shared" ref="AI41" si="133">IF(SUM(AF41:AF52)=0,"",IFERROR(AF41/AG41,""))</f>
        <v>0.52427750217562108</v>
      </c>
      <c r="AJ41" s="157">
        <v>1</v>
      </c>
    </row>
    <row r="42" spans="1:36" ht="24.95" customHeight="1" x14ac:dyDescent="0.25">
      <c r="A42" s="182" t="str">
        <f t="shared" si="26"/>
        <v>مطهری</v>
      </c>
      <c r="B42" s="216"/>
      <c r="C42" s="167" t="str">
        <f t="shared" si="27"/>
        <v>اردیبهشت</v>
      </c>
      <c r="D42" s="171">
        <f>SUM('مقایسه بودجه- صادرات'!D42,'مقایسه بودجه- واردات'!D42)</f>
        <v>3480</v>
      </c>
      <c r="E42" s="159">
        <f>SUM('مقایسه بودجه- صادرات'!E42,'مقایسه بودجه- واردات'!E42)</f>
        <v>6716.834597923842</v>
      </c>
      <c r="F42" s="159">
        <f t="shared" si="13"/>
        <v>-3236.834597923842</v>
      </c>
      <c r="G42" s="175">
        <f>IF(SUM(D42:D52)=0,"",IFERROR(D42/E42,""))</f>
        <v>0.51810119026537593</v>
      </c>
      <c r="H42" s="171">
        <f>SUM('مقایسه بودجه- صادرات'!H42,'مقایسه بودجه- واردات'!H42)</f>
        <v>4724</v>
      </c>
      <c r="I42" s="159">
        <f>SUM('مقایسه بودجه- صادرات'!I42,'مقایسه بودجه- واردات'!I42)</f>
        <v>7316.58989138795</v>
      </c>
      <c r="J42" s="159">
        <f t="shared" si="14"/>
        <v>-2592.58989138795</v>
      </c>
      <c r="K42" s="175">
        <f>IF(SUM(H42:H52)=0,"",IFERROR(H42/I42,""))</f>
        <v>0.64565597773361894</v>
      </c>
      <c r="L42" s="171">
        <f>SUM('مقایسه بودجه- صادرات'!L42,'مقایسه بودجه- واردات'!L42)</f>
        <v>0</v>
      </c>
      <c r="M42" s="159">
        <f>SUM('مقایسه بودجه- صادرات'!M42,'مقایسه بودجه- واردات'!M42)</f>
        <v>0</v>
      </c>
      <c r="N42" s="159">
        <f t="shared" si="15"/>
        <v>0</v>
      </c>
      <c r="O42" s="175" t="str">
        <f>IF(SUM(L42:L52)=0,"",IFERROR(L42/M42,""))</f>
        <v/>
      </c>
      <c r="P42" s="171">
        <f>SUM('مقایسه بودجه- صادرات'!P42,'مقایسه بودجه- واردات'!P42)</f>
        <v>50468</v>
      </c>
      <c r="Q42" s="159">
        <f>SUM('مقایسه بودجه- صادرات'!Q42,'مقایسه بودجه- واردات'!Q42)</f>
        <v>65801.030669524989</v>
      </c>
      <c r="R42" s="159">
        <f t="shared" si="16"/>
        <v>-15333.030669524989</v>
      </c>
      <c r="S42" s="175">
        <f>IF(SUM(P42:P52)=0,"",IFERROR(P42/Q42,""))</f>
        <v>0.76697886775463064</v>
      </c>
      <c r="T42" s="171">
        <f t="shared" si="106"/>
        <v>6915</v>
      </c>
      <c r="U42" s="159">
        <f t="shared" si="107"/>
        <v>13433.669195847684</v>
      </c>
      <c r="V42" s="159">
        <f t="shared" si="17"/>
        <v>-6518.669195847684</v>
      </c>
      <c r="W42" s="175">
        <f t="shared" ref="W42" si="134">IF(SUM(T42:T52)=0,"",IFERROR(T42/U42,""))</f>
        <v>0.51475139808693593</v>
      </c>
      <c r="X42" s="171">
        <f t="shared" si="109"/>
        <v>8948</v>
      </c>
      <c r="Y42" s="159">
        <f t="shared" si="110"/>
        <v>14633.1797827759</v>
      </c>
      <c r="Z42" s="159">
        <f t="shared" si="18"/>
        <v>-5685.1797827759001</v>
      </c>
      <c r="AA42" s="175">
        <f t="shared" ref="AA42" si="135">IF(SUM(X42:X52)=0,"",IFERROR(X42/Y42,""))</f>
        <v>0.61148705427184824</v>
      </c>
      <c r="AB42" s="171">
        <f t="shared" si="112"/>
        <v>0</v>
      </c>
      <c r="AC42" s="159">
        <f t="shared" si="113"/>
        <v>0</v>
      </c>
      <c r="AD42" s="159">
        <f t="shared" si="19"/>
        <v>0</v>
      </c>
      <c r="AE42" s="175" t="str">
        <f t="shared" ref="AE42" si="136">IF(SUM(AB42:AB52)=0,"",IFERROR(AB42/AC42,""))</f>
        <v/>
      </c>
      <c r="AF42" s="171">
        <f t="shared" si="115"/>
        <v>84966</v>
      </c>
      <c r="AG42" s="159">
        <f t="shared" si="116"/>
        <v>131602.06133904998</v>
      </c>
      <c r="AH42" s="159">
        <f t="shared" si="20"/>
        <v>-46636.061339049978</v>
      </c>
      <c r="AI42" s="187">
        <f t="shared" ref="AI42" si="137">IF(SUM(AF42:AF52)=0,"",IFERROR(AF42/AG42,""))</f>
        <v>0.64562818496512586</v>
      </c>
      <c r="AJ42" s="157">
        <f>AJ41+1</f>
        <v>2</v>
      </c>
    </row>
    <row r="43" spans="1:36" ht="24.95" customHeight="1" x14ac:dyDescent="0.25">
      <c r="A43" s="182" t="str">
        <f t="shared" si="26"/>
        <v>مطهری</v>
      </c>
      <c r="B43" s="216"/>
      <c r="C43" s="167" t="str">
        <f t="shared" si="27"/>
        <v>خرداد</v>
      </c>
      <c r="D43" s="171">
        <f>SUM('مقایسه بودجه- صادرات'!D43,'مقایسه بودجه- واردات'!D43)</f>
        <v>4745</v>
      </c>
      <c r="E43" s="159">
        <f>SUM('مقایسه بودجه- صادرات'!E43,'مقایسه بودجه- واردات'!E43)</f>
        <v>6716.834597923842</v>
      </c>
      <c r="F43" s="159">
        <f t="shared" si="13"/>
        <v>-1971.834597923842</v>
      </c>
      <c r="G43" s="175">
        <f>IF(SUM(D43:D52)=0,"",IFERROR(D43/E43,""))</f>
        <v>0.70643395051988755</v>
      </c>
      <c r="H43" s="171">
        <f>SUM('مقایسه بودجه- صادرات'!H43,'مقایسه بودجه- واردات'!H43)</f>
        <v>3614</v>
      </c>
      <c r="I43" s="159">
        <f>SUM('مقایسه بودجه- صادرات'!I43,'مقایسه بودجه- واردات'!I43)</f>
        <v>7316.58989138795</v>
      </c>
      <c r="J43" s="159">
        <f t="shared" si="14"/>
        <v>-3702.58989138795</v>
      </c>
      <c r="K43" s="175">
        <f>IF(SUM(H43:H52)=0,"",IFERROR(H43/I43,""))</f>
        <v>0.49394595756335713</v>
      </c>
      <c r="L43" s="171">
        <f>SUM('مقایسه بودجه- صادرات'!L43,'مقایسه بودجه- واردات'!L43)</f>
        <v>0</v>
      </c>
      <c r="M43" s="159">
        <f>SUM('مقایسه بودجه- صادرات'!M43,'مقایسه بودجه- واردات'!M43)</f>
        <v>0</v>
      </c>
      <c r="N43" s="159">
        <f t="shared" si="15"/>
        <v>0</v>
      </c>
      <c r="O43" s="175" t="str">
        <f>IF(SUM(L43:L52)=0,"",IFERROR(L43/M43,""))</f>
        <v/>
      </c>
      <c r="P43" s="171">
        <f>SUM('مقایسه بودجه- صادرات'!P43,'مقایسه بودجه- واردات'!P43)</f>
        <v>42125</v>
      </c>
      <c r="Q43" s="159">
        <f>SUM('مقایسه بودجه- صادرات'!Q43,'مقایسه بودجه- واردات'!Q43)</f>
        <v>65801.030669524989</v>
      </c>
      <c r="R43" s="159">
        <f t="shared" si="16"/>
        <v>-23676.030669524989</v>
      </c>
      <c r="S43" s="175">
        <f>IF(SUM(P43:P52)=0,"",IFERROR(P43/Q43,""))</f>
        <v>0.64018754070230277</v>
      </c>
      <c r="T43" s="171">
        <f t="shared" si="106"/>
        <v>11660</v>
      </c>
      <c r="U43" s="159">
        <f t="shared" si="107"/>
        <v>20150.503793771524</v>
      </c>
      <c r="V43" s="159">
        <f t="shared" si="17"/>
        <v>-8490.5037937715242</v>
      </c>
      <c r="W43" s="175">
        <f t="shared" ref="W43" si="138">IF(SUM(T43:T52)=0,"",IFERROR(T43/U43,""))</f>
        <v>0.57864558223125317</v>
      </c>
      <c r="X43" s="171">
        <f t="shared" si="109"/>
        <v>12562</v>
      </c>
      <c r="Y43" s="159">
        <f t="shared" si="110"/>
        <v>21949.76967416385</v>
      </c>
      <c r="Z43" s="159">
        <f t="shared" si="18"/>
        <v>-9387.7696741638501</v>
      </c>
      <c r="AA43" s="175">
        <f t="shared" ref="AA43" si="139">IF(SUM(X43:X52)=0,"",IFERROR(X43/Y43,""))</f>
        <v>0.57230668870235124</v>
      </c>
      <c r="AB43" s="171">
        <f t="shared" si="112"/>
        <v>0</v>
      </c>
      <c r="AC43" s="159">
        <f t="shared" si="113"/>
        <v>0</v>
      </c>
      <c r="AD43" s="159">
        <f t="shared" si="19"/>
        <v>0</v>
      </c>
      <c r="AE43" s="175" t="str">
        <f t="shared" ref="AE43" si="140">IF(SUM(AB43:AB52)=0,"",IFERROR(AB43/AC43,""))</f>
        <v/>
      </c>
      <c r="AF43" s="171">
        <f t="shared" si="115"/>
        <v>127091</v>
      </c>
      <c r="AG43" s="159">
        <f t="shared" si="116"/>
        <v>197403.09200857498</v>
      </c>
      <c r="AH43" s="159">
        <f t="shared" si="20"/>
        <v>-70312.092008574982</v>
      </c>
      <c r="AI43" s="187">
        <f t="shared" ref="AI43" si="141">IF(SUM(AF43:AF52)=0,"",IFERROR(AF43/AG43,""))</f>
        <v>0.64381463687751816</v>
      </c>
      <c r="AJ43" s="157">
        <f t="shared" ref="AJ43:AJ51" si="142">AJ42+1</f>
        <v>3</v>
      </c>
    </row>
    <row r="44" spans="1:36" ht="24.95" customHeight="1" x14ac:dyDescent="0.25">
      <c r="A44" s="182" t="str">
        <f t="shared" si="26"/>
        <v>مطهری</v>
      </c>
      <c r="B44" s="216"/>
      <c r="C44" s="167" t="str">
        <f t="shared" si="27"/>
        <v>تیر</v>
      </c>
      <c r="D44" s="171">
        <f>SUM('مقایسه بودجه- صادرات'!D44,'مقایسه بودجه- واردات'!D44)</f>
        <v>2796</v>
      </c>
      <c r="E44" s="159">
        <f>SUM('مقایسه بودجه- صادرات'!E44,'مقایسه بودجه- واردات'!E44)</f>
        <v>4894.2826289449158</v>
      </c>
      <c r="F44" s="159">
        <f t="shared" si="13"/>
        <v>-2098.2826289449158</v>
      </c>
      <c r="G44" s="175">
        <f>IF(SUM(D44:D52)=0,"",IFERROR(D44/E44,""))</f>
        <v>0.57127881897632615</v>
      </c>
      <c r="H44" s="171">
        <f>SUM('مقایسه بودجه- صادرات'!H44,'مقایسه بودجه- واردات'!H44)</f>
        <v>4653</v>
      </c>
      <c r="I44" s="159">
        <f>SUM('مقایسه بودجه- صادرات'!I44,'مقایسه بودجه- واردات'!I44)</f>
        <v>6161.2118502326539</v>
      </c>
      <c r="J44" s="159">
        <f t="shared" si="14"/>
        <v>-1508.2118502326539</v>
      </c>
      <c r="K44" s="175">
        <f>IF(SUM(H44:H52)=0,"",IFERROR(H44/I44,""))</f>
        <v>0.75520857148002429</v>
      </c>
      <c r="L44" s="171">
        <f>SUM('مقایسه بودجه- صادرات'!L44,'مقایسه بودجه- واردات'!L44)</f>
        <v>0</v>
      </c>
      <c r="M44" s="159">
        <f>SUM('مقایسه بودجه- صادرات'!M44,'مقایسه بودجه- واردات'!M44)</f>
        <v>0</v>
      </c>
      <c r="N44" s="159">
        <f t="shared" si="15"/>
        <v>0</v>
      </c>
      <c r="O44" s="175" t="str">
        <f>IF(SUM(L44:L52)=0,"",IFERROR(L44/M44,""))</f>
        <v/>
      </c>
      <c r="P44" s="171">
        <f>SUM('مقایسه بودجه- صادرات'!P44,'مقایسه بودجه- واردات'!P44)</f>
        <v>80132</v>
      </c>
      <c r="Q44" s="159">
        <f>SUM('مقایسه بودجه- صادرات'!Q44,'مقایسه بودجه- واردات'!Q44)</f>
        <v>49497.472014474493</v>
      </c>
      <c r="R44" s="159">
        <f t="shared" si="16"/>
        <v>30634.527985525507</v>
      </c>
      <c r="S44" s="175">
        <f>IF(SUM(P44:P52)=0,"",IFERROR(P44/Q44,""))</f>
        <v>1.6189109612823678</v>
      </c>
      <c r="T44" s="171">
        <f t="shared" si="106"/>
        <v>14456</v>
      </c>
      <c r="U44" s="159">
        <f t="shared" si="107"/>
        <v>25044.786422716439</v>
      </c>
      <c r="V44" s="159">
        <f t="shared" si="17"/>
        <v>-10588.786422716439</v>
      </c>
      <c r="W44" s="175">
        <f t="shared" ref="W44" si="143">IF(SUM(T44:T52)=0,"",IFERROR(T44/U44,""))</f>
        <v>0.57720596039453287</v>
      </c>
      <c r="X44" s="171">
        <f t="shared" si="109"/>
        <v>17215</v>
      </c>
      <c r="Y44" s="159">
        <f t="shared" si="110"/>
        <v>28110.981524396506</v>
      </c>
      <c r="Z44" s="159">
        <f t="shared" si="18"/>
        <v>-10895.981524396506</v>
      </c>
      <c r="AA44" s="175">
        <f t="shared" ref="AA44" si="144">IF(SUM(X44:X52)=0,"",IFERROR(X44/Y44,""))</f>
        <v>0.61239412736477106</v>
      </c>
      <c r="AB44" s="171">
        <f t="shared" si="112"/>
        <v>0</v>
      </c>
      <c r="AC44" s="159">
        <f t="shared" si="113"/>
        <v>0</v>
      </c>
      <c r="AD44" s="159">
        <f t="shared" si="19"/>
        <v>0</v>
      </c>
      <c r="AE44" s="175" t="str">
        <f t="shared" ref="AE44" si="145">IF(SUM(AB44:AB52)=0,"",IFERROR(AB44/AC44,""))</f>
        <v/>
      </c>
      <c r="AF44" s="171">
        <f t="shared" si="115"/>
        <v>207223</v>
      </c>
      <c r="AG44" s="159">
        <f t="shared" si="116"/>
        <v>246900.56402304949</v>
      </c>
      <c r="AH44" s="159">
        <f t="shared" si="20"/>
        <v>-39677.56402304949</v>
      </c>
      <c r="AI44" s="187">
        <f t="shared" ref="AI44" si="146">IF(SUM(AF44:AF52)=0,"",IFERROR(AF44/AG44,""))</f>
        <v>0.83929739415522198</v>
      </c>
      <c r="AJ44" s="157">
        <f t="shared" si="142"/>
        <v>4</v>
      </c>
    </row>
    <row r="45" spans="1:36" ht="24.95" customHeight="1" x14ac:dyDescent="0.25">
      <c r="A45" s="182" t="str">
        <f t="shared" si="26"/>
        <v>مطهری</v>
      </c>
      <c r="B45" s="216"/>
      <c r="C45" s="167" t="str">
        <f t="shared" si="27"/>
        <v>مرداد</v>
      </c>
      <c r="D45" s="171">
        <f>SUM('مقایسه بودجه- صادرات'!D45,'مقایسه بودجه- واردات'!D45)</f>
        <v>4913</v>
      </c>
      <c r="E45" s="159">
        <f>SUM('مقایسه بودجه- صادرات'!E45,'مقایسه بودجه- واردات'!E45)</f>
        <v>4894.2826289449158</v>
      </c>
      <c r="F45" s="159">
        <f t="shared" si="13"/>
        <v>18.717371055084186</v>
      </c>
      <c r="G45" s="175">
        <f>IF(SUM(D45:D52)=0,"",IFERROR(D45/E45,""))</f>
        <v>1.0038243339165558</v>
      </c>
      <c r="H45" s="171">
        <f>SUM('مقایسه بودجه- صادرات'!H45,'مقایسه بودجه- واردات'!H45)</f>
        <v>4653</v>
      </c>
      <c r="I45" s="159">
        <f>SUM('مقایسه بودجه- صادرات'!I45,'مقایسه بودجه- واردات'!I45)</f>
        <v>6161.2118502326539</v>
      </c>
      <c r="J45" s="159">
        <f t="shared" si="14"/>
        <v>-1508.2118502326539</v>
      </c>
      <c r="K45" s="175">
        <f>IF(SUM(H45:H52)=0,"",IFERROR(H45/I45,""))</f>
        <v>0.75520857148002429</v>
      </c>
      <c r="L45" s="171">
        <f>SUM('مقایسه بودجه- صادرات'!L45,'مقایسه بودجه- واردات'!L45)</f>
        <v>0</v>
      </c>
      <c r="M45" s="159">
        <f>SUM('مقایسه بودجه- صادرات'!M45,'مقایسه بودجه- واردات'!M45)</f>
        <v>0</v>
      </c>
      <c r="N45" s="159">
        <f t="shared" si="15"/>
        <v>0</v>
      </c>
      <c r="O45" s="175" t="str">
        <f>IF(SUM(L45:L52)=0,"",IFERROR(L45/M45,""))</f>
        <v/>
      </c>
      <c r="P45" s="171">
        <f>SUM('مقایسه بودجه- صادرات'!P45,'مقایسه بودجه- واردات'!P45)</f>
        <v>72070</v>
      </c>
      <c r="Q45" s="159">
        <f>SUM('مقایسه بودجه- صادرات'!Q45,'مقایسه بودجه- واردات'!Q45)</f>
        <v>49497.472014474493</v>
      </c>
      <c r="R45" s="159">
        <f t="shared" si="16"/>
        <v>22572.527985525507</v>
      </c>
      <c r="S45" s="175">
        <f>IF(SUM(P45:P52)=0,"",IFERROR(P45/Q45,""))</f>
        <v>1.4560339562174942</v>
      </c>
      <c r="T45" s="171">
        <f t="shared" si="106"/>
        <v>19369</v>
      </c>
      <c r="U45" s="159">
        <f t="shared" si="107"/>
        <v>29939.069051661354</v>
      </c>
      <c r="V45" s="159">
        <f t="shared" si="17"/>
        <v>-10570.069051661354</v>
      </c>
      <c r="W45" s="175">
        <f t="shared" ref="W45" si="147">IF(SUM(T45:T52)=0,"",IFERROR(T45/U45,""))</f>
        <v>0.64694730375810372</v>
      </c>
      <c r="X45" s="171">
        <f t="shared" si="109"/>
        <v>21868</v>
      </c>
      <c r="Y45" s="159">
        <f t="shared" si="110"/>
        <v>34272.193374629162</v>
      </c>
      <c r="Z45" s="159">
        <f t="shared" si="18"/>
        <v>-12404.193374629162</v>
      </c>
      <c r="AA45" s="175">
        <f t="shared" ref="AA45" si="148">IF(SUM(X45:X52)=0,"",IFERROR(X45/Y45,""))</f>
        <v>0.63806829522000563</v>
      </c>
      <c r="AB45" s="171">
        <f t="shared" si="112"/>
        <v>0</v>
      </c>
      <c r="AC45" s="159">
        <f t="shared" si="113"/>
        <v>0</v>
      </c>
      <c r="AD45" s="159">
        <f t="shared" si="19"/>
        <v>0</v>
      </c>
      <c r="AE45" s="175" t="str">
        <f t="shared" ref="AE45" si="149">IF(SUM(AB45:AB52)=0,"",IFERROR(AB45/AC45,""))</f>
        <v/>
      </c>
      <c r="AF45" s="171">
        <f t="shared" si="115"/>
        <v>279293</v>
      </c>
      <c r="AG45" s="159">
        <f t="shared" si="116"/>
        <v>296398.036037524</v>
      </c>
      <c r="AH45" s="159">
        <f t="shared" si="20"/>
        <v>-17105.036037523998</v>
      </c>
      <c r="AI45" s="187">
        <f t="shared" ref="AI45" si="150">IF(SUM(AF45:AF52)=0,"",IFERROR(AF45/AG45,""))</f>
        <v>0.94229031924031204</v>
      </c>
      <c r="AJ45" s="157">
        <f t="shared" si="142"/>
        <v>5</v>
      </c>
    </row>
    <row r="46" spans="1:36" ht="24.95" customHeight="1" x14ac:dyDescent="0.25">
      <c r="A46" s="182" t="str">
        <f t="shared" si="26"/>
        <v>مطهری</v>
      </c>
      <c r="B46" s="216"/>
      <c r="C46" s="167" t="str">
        <f t="shared" si="27"/>
        <v>شهریور</v>
      </c>
      <c r="D46" s="171">
        <f>SUM('مقایسه بودجه- صادرات'!D46,'مقایسه بودجه- واردات'!D46)</f>
        <v>8812</v>
      </c>
      <c r="E46" s="159">
        <f>SUM('مقایسه بودجه- صادرات'!E46,'مقایسه بودجه- واردات'!E46)</f>
        <v>4894.2826289449158</v>
      </c>
      <c r="F46" s="159">
        <f t="shared" si="13"/>
        <v>3917.7173710550842</v>
      </c>
      <c r="G46" s="175">
        <f>IF(SUM(D46:D52)=0,"",IFERROR(D46/E46,""))</f>
        <v>1.8004681519382639</v>
      </c>
      <c r="H46" s="171">
        <f>SUM('مقایسه بودجه- صادرات'!H46,'مقایسه بودجه- واردات'!H46)</f>
        <v>5719</v>
      </c>
      <c r="I46" s="159">
        <f>SUM('مقایسه بودجه- صادرات'!I46,'مقایسه بودجه- واردات'!I46)</f>
        <v>6161.2118502326539</v>
      </c>
      <c r="J46" s="159">
        <f t="shared" si="14"/>
        <v>-442.21185023265389</v>
      </c>
      <c r="K46" s="175">
        <f>IF(SUM(H46:H52)=0,"",IFERROR(H46/I46,""))</f>
        <v>0.92822648190291401</v>
      </c>
      <c r="L46" s="171">
        <f>SUM('مقایسه بودجه- صادرات'!L46,'مقایسه بودجه- واردات'!L46)</f>
        <v>0</v>
      </c>
      <c r="M46" s="159">
        <f>SUM('مقایسه بودجه- صادرات'!M46,'مقایسه بودجه- واردات'!M46)</f>
        <v>0</v>
      </c>
      <c r="N46" s="159">
        <f t="shared" si="15"/>
        <v>0</v>
      </c>
      <c r="O46" s="175" t="str">
        <f>IF(SUM(L46:L52)=0,"",IFERROR(L46/M46,""))</f>
        <v/>
      </c>
      <c r="P46" s="171">
        <f>SUM('مقایسه بودجه- صادرات'!P46,'مقایسه بودجه- واردات'!P46)</f>
        <v>72358</v>
      </c>
      <c r="Q46" s="159">
        <f>SUM('مقایسه بودجه- صادرات'!Q46,'مقایسه بودجه- واردات'!Q46)</f>
        <v>49497.472014474493</v>
      </c>
      <c r="R46" s="159">
        <f t="shared" si="16"/>
        <v>22860.527985525507</v>
      </c>
      <c r="S46" s="175">
        <f>IF(SUM(P46:P52)=0,"",IFERROR(P46/Q46,""))</f>
        <v>1.4618524351878097</v>
      </c>
      <c r="T46" s="171">
        <f t="shared" si="106"/>
        <v>28181</v>
      </c>
      <c r="U46" s="159">
        <f t="shared" si="107"/>
        <v>34833.351680606269</v>
      </c>
      <c r="V46" s="159">
        <f t="shared" si="17"/>
        <v>-6652.3516806062689</v>
      </c>
      <c r="W46" s="175">
        <f t="shared" ref="W46" si="151">IF(SUM(T46:T52)=0,"",IFERROR(T46/U46,""))</f>
        <v>0.80902349731938039</v>
      </c>
      <c r="X46" s="171">
        <f t="shared" si="109"/>
        <v>27587</v>
      </c>
      <c r="Y46" s="159">
        <f t="shared" si="110"/>
        <v>40433.405224861817</v>
      </c>
      <c r="Z46" s="159">
        <f t="shared" si="18"/>
        <v>-12846.405224861817</v>
      </c>
      <c r="AA46" s="175">
        <f t="shared" ref="AA46" si="152">IF(SUM(X46:X52)=0,"",IFERROR(X46/Y46,""))</f>
        <v>0.68228238127807306</v>
      </c>
      <c r="AB46" s="171">
        <f t="shared" si="112"/>
        <v>0</v>
      </c>
      <c r="AC46" s="159">
        <f t="shared" si="113"/>
        <v>0</v>
      </c>
      <c r="AD46" s="159">
        <f t="shared" si="19"/>
        <v>0</v>
      </c>
      <c r="AE46" s="175" t="str">
        <f t="shared" ref="AE46" si="153">IF(SUM(AB46:AB52)=0,"",IFERROR(AB46/AC46,""))</f>
        <v/>
      </c>
      <c r="AF46" s="171">
        <f t="shared" si="115"/>
        <v>351651</v>
      </c>
      <c r="AG46" s="159">
        <f t="shared" si="116"/>
        <v>345895.50805199851</v>
      </c>
      <c r="AH46" s="159">
        <f t="shared" si="20"/>
        <v>5755.4919480014942</v>
      </c>
      <c r="AI46" s="187">
        <f t="shared" ref="AI46" si="154">IF(SUM(AF46:AF52)=0,"",IFERROR(AF46/AG46,""))</f>
        <v>1.016639394886667</v>
      </c>
      <c r="AJ46" s="157">
        <f t="shared" si="142"/>
        <v>6</v>
      </c>
    </row>
    <row r="47" spans="1:36" ht="24.95" customHeight="1" x14ac:dyDescent="0.25">
      <c r="A47" s="182" t="str">
        <f t="shared" si="26"/>
        <v>مطهری</v>
      </c>
      <c r="B47" s="216"/>
      <c r="C47" s="167" t="str">
        <f t="shared" si="27"/>
        <v>مهر</v>
      </c>
      <c r="D47" s="171">
        <f>SUM('مقایسه بودجه- صادرات'!D47,'مقایسه بودجه- واردات'!D47)</f>
        <v>5049</v>
      </c>
      <c r="E47" s="159">
        <f>SUM('مقایسه بودجه- صادرات'!E47,'مقایسه بودجه- واردات'!E47)</f>
        <v>5591.5983683943268</v>
      </c>
      <c r="F47" s="159">
        <f t="shared" si="13"/>
        <v>-542.59836839432683</v>
      </c>
      <c r="G47" s="175">
        <f>IF(SUM(D47:D52)=0,"",IFERROR(D47/E47,""))</f>
        <v>0.90296184871551521</v>
      </c>
      <c r="H47" s="171">
        <f>SUM('مقایسه بودجه- صادرات'!H47,'مقایسه بودجه- واردات'!H47)</f>
        <v>6537</v>
      </c>
      <c r="I47" s="159">
        <f>SUM('مقایسه بودجه- صادرات'!I47,'مقایسه بودجه- واردات'!I47)</f>
        <v>5481.3703672894317</v>
      </c>
      <c r="J47" s="159">
        <f t="shared" si="14"/>
        <v>1055.6296327105683</v>
      </c>
      <c r="K47" s="175">
        <f>IF(SUM(H47:H52)=0,"",IFERROR(H47/I47,""))</f>
        <v>1.1925849855010953</v>
      </c>
      <c r="L47" s="171">
        <f>SUM('مقایسه بودجه- صادرات'!L47,'مقایسه بودجه- واردات'!L47)</f>
        <v>0</v>
      </c>
      <c r="M47" s="159">
        <f>SUM('مقایسه بودجه- صادرات'!M47,'مقایسه بودجه- واردات'!M47)</f>
        <v>0</v>
      </c>
      <c r="N47" s="159">
        <f t="shared" si="15"/>
        <v>0</v>
      </c>
      <c r="O47" s="175" t="str">
        <f>IF(SUM(L47:L52)=0,"",IFERROR(L47/M47,""))</f>
        <v/>
      </c>
      <c r="P47" s="171">
        <f>SUM('مقایسه بودجه- صادرات'!P47,'مقایسه بودجه- واردات'!P47)</f>
        <v>73749</v>
      </c>
      <c r="Q47" s="159">
        <f>SUM('مقایسه بودجه- صادرات'!Q47,'مقایسه بودجه- واردات'!Q47)</f>
        <v>64501.6306493339</v>
      </c>
      <c r="R47" s="159">
        <f t="shared" si="16"/>
        <v>9247.3693506661002</v>
      </c>
      <c r="S47" s="175">
        <f>IF(SUM(P47:P52)=0,"",IFERROR(P47/Q47,""))</f>
        <v>1.1433664429499442</v>
      </c>
      <c r="T47" s="171">
        <f t="shared" si="106"/>
        <v>33230</v>
      </c>
      <c r="U47" s="159">
        <f t="shared" si="107"/>
        <v>40424.950049000596</v>
      </c>
      <c r="V47" s="159">
        <f t="shared" si="17"/>
        <v>-7194.9500490005958</v>
      </c>
      <c r="W47" s="175">
        <f t="shared" ref="W47" si="155">IF(SUM(T47:T52)=0,"",IFERROR(T47/U47,""))</f>
        <v>0.82201709488127195</v>
      </c>
      <c r="X47" s="171">
        <f t="shared" si="109"/>
        <v>34124</v>
      </c>
      <c r="Y47" s="159">
        <f t="shared" si="110"/>
        <v>45914.775592151251</v>
      </c>
      <c r="Z47" s="159">
        <f t="shared" si="18"/>
        <v>-11790.775592151251</v>
      </c>
      <c r="AA47" s="175">
        <f t="shared" ref="AA47" si="156">IF(SUM(X47:X52)=0,"",IFERROR(X47/Y47,""))</f>
        <v>0.74320302255453496</v>
      </c>
      <c r="AB47" s="171">
        <f t="shared" si="112"/>
        <v>0</v>
      </c>
      <c r="AC47" s="159">
        <f t="shared" si="113"/>
        <v>0</v>
      </c>
      <c r="AD47" s="159">
        <f t="shared" si="19"/>
        <v>0</v>
      </c>
      <c r="AE47" s="175" t="str">
        <f t="shared" ref="AE47" si="157">IF(SUM(AB47:AB52)=0,"",IFERROR(AB47/AC47,""))</f>
        <v/>
      </c>
      <c r="AF47" s="171">
        <f t="shared" si="115"/>
        <v>425400</v>
      </c>
      <c r="AG47" s="159">
        <f t="shared" si="116"/>
        <v>410397.13870133238</v>
      </c>
      <c r="AH47" s="159">
        <f t="shared" si="20"/>
        <v>15002.861298667616</v>
      </c>
      <c r="AI47" s="187">
        <f t="shared" ref="AI47" si="158">IF(SUM(AF47:AF52)=0,"",IFERROR(AF47/AG47,""))</f>
        <v>1.0365569344516945</v>
      </c>
      <c r="AJ47" s="157">
        <f t="shared" si="142"/>
        <v>7</v>
      </c>
    </row>
    <row r="48" spans="1:36" ht="24.95" customHeight="1" x14ac:dyDescent="0.25">
      <c r="A48" s="182" t="str">
        <f t="shared" si="26"/>
        <v>مطهری</v>
      </c>
      <c r="B48" s="216"/>
      <c r="C48" s="167" t="str">
        <f t="shared" si="27"/>
        <v>آبان</v>
      </c>
      <c r="D48" s="171">
        <f>SUM('مقایسه بودجه- صادرات'!D48,'مقایسه بودجه- واردات'!D48)</f>
        <v>2656</v>
      </c>
      <c r="E48" s="159">
        <f>SUM('مقایسه بودجه- صادرات'!E48,'مقایسه بودجه- واردات'!E48)</f>
        <v>5591.5983683943268</v>
      </c>
      <c r="F48" s="159">
        <f t="shared" si="13"/>
        <v>-2935.5983683943268</v>
      </c>
      <c r="G48" s="175">
        <f>IF(SUM(D48:D52)=0,"",IFERROR(D48/E48,""))</f>
        <v>0.47499835020566616</v>
      </c>
      <c r="H48" s="171">
        <f>SUM('مقایسه بودجه- صادرات'!H48,'مقایسه بودجه- واردات'!H48)</f>
        <v>4453</v>
      </c>
      <c r="I48" s="159">
        <f>SUM('مقایسه بودجه- صادرات'!I48,'مقایسه بودجه- واردات'!I48)</f>
        <v>5481.3703672894317</v>
      </c>
      <c r="J48" s="159">
        <f t="shared" si="14"/>
        <v>-1028.3703672894317</v>
      </c>
      <c r="K48" s="175">
        <f>IF(SUM(H48:H52)=0,"",IFERROR(H48/I48,""))</f>
        <v>0.81238808940437157</v>
      </c>
      <c r="L48" s="171">
        <f>SUM('مقایسه بودجه- صادرات'!L48,'مقایسه بودجه- واردات'!L48)</f>
        <v>0</v>
      </c>
      <c r="M48" s="159">
        <f>SUM('مقایسه بودجه- صادرات'!M48,'مقایسه بودجه- واردات'!M48)</f>
        <v>0</v>
      </c>
      <c r="N48" s="159">
        <f t="shared" si="15"/>
        <v>0</v>
      </c>
      <c r="O48" s="175" t="str">
        <f>IF(SUM(L48:L52)=0,"",IFERROR(L48/M48,""))</f>
        <v/>
      </c>
      <c r="P48" s="171">
        <f>SUM('مقایسه بودجه- صادرات'!P48,'مقایسه بودجه- واردات'!P48)</f>
        <v>69673</v>
      </c>
      <c r="Q48" s="159">
        <f>SUM('مقایسه بودجه- صادرات'!Q48,'مقایسه بودجه- واردات'!Q48)</f>
        <v>64501.6306493339</v>
      </c>
      <c r="R48" s="159">
        <f t="shared" si="16"/>
        <v>5171.3693506661002</v>
      </c>
      <c r="S48" s="175">
        <f>IF(SUM(P48:P52)=0,"",IFERROR(P48/Q48,""))</f>
        <v>1.0801742420866922</v>
      </c>
      <c r="T48" s="171">
        <f t="shared" si="106"/>
        <v>35886</v>
      </c>
      <c r="U48" s="159">
        <f t="shared" si="107"/>
        <v>46016.548417394923</v>
      </c>
      <c r="V48" s="159">
        <f t="shared" si="17"/>
        <v>-10130.548417394923</v>
      </c>
      <c r="W48" s="175">
        <f t="shared" ref="W48" si="159">IF(SUM(T48:T52)=0,"",IFERROR(T48/U48,""))</f>
        <v>0.77984988518683795</v>
      </c>
      <c r="X48" s="171">
        <f t="shared" si="109"/>
        <v>38577</v>
      </c>
      <c r="Y48" s="159">
        <f t="shared" si="110"/>
        <v>51396.145959440684</v>
      </c>
      <c r="Z48" s="159">
        <f t="shared" si="18"/>
        <v>-12819.145959440684</v>
      </c>
      <c r="AA48" s="175">
        <f t="shared" ref="AA48" si="160">IF(SUM(X48:X52)=0,"",IFERROR(X48/Y48,""))</f>
        <v>0.75058157143617488</v>
      </c>
      <c r="AB48" s="171">
        <f t="shared" si="112"/>
        <v>0</v>
      </c>
      <c r="AC48" s="159">
        <f t="shared" si="113"/>
        <v>0</v>
      </c>
      <c r="AD48" s="159">
        <f t="shared" si="19"/>
        <v>0</v>
      </c>
      <c r="AE48" s="175" t="str">
        <f t="shared" ref="AE48" si="161">IF(SUM(AB48:AB52)=0,"",IFERROR(AB48/AC48,""))</f>
        <v/>
      </c>
      <c r="AF48" s="171">
        <f t="shared" si="115"/>
        <v>495073</v>
      </c>
      <c r="AG48" s="159">
        <f t="shared" si="116"/>
        <v>474898.76935066626</v>
      </c>
      <c r="AH48" s="159">
        <f t="shared" si="20"/>
        <v>20174.230649333738</v>
      </c>
      <c r="AI48" s="187">
        <f t="shared" ref="AI48" si="162">IF(SUM(AF48:AF52)=0,"",IFERROR(AF48/AG48,""))</f>
        <v>1.0424811179799816</v>
      </c>
      <c r="AJ48" s="157">
        <f t="shared" si="142"/>
        <v>8</v>
      </c>
    </row>
    <row r="49" spans="1:36" ht="24.95" customHeight="1" x14ac:dyDescent="0.25">
      <c r="A49" s="182" t="str">
        <f t="shared" si="26"/>
        <v>مطهری</v>
      </c>
      <c r="B49" s="216"/>
      <c r="C49" s="167" t="str">
        <f t="shared" si="27"/>
        <v>آذر</v>
      </c>
      <c r="D49" s="171">
        <f>SUM('مقایسه بودجه- صادرات'!D49,'مقایسه بودجه- واردات'!D49)</f>
        <v>4671</v>
      </c>
      <c r="E49" s="159">
        <f>SUM('مقایسه بودجه- صادرات'!E49,'مقایسه بودجه- واردات'!E49)</f>
        <v>5591.5983683943268</v>
      </c>
      <c r="F49" s="159">
        <f t="shared" si="13"/>
        <v>-920.59836839432683</v>
      </c>
      <c r="G49" s="175">
        <f>IF(SUM(D49:D52)=0,"",IFERROR(D49/E49,""))</f>
        <v>0.83536042688654621</v>
      </c>
      <c r="H49" s="171">
        <f>SUM('مقایسه بودجه- صادرات'!H49,'مقایسه بودجه- واردات'!H49)</f>
        <v>2940</v>
      </c>
      <c r="I49" s="159">
        <f>SUM('مقایسه بودجه- صادرات'!I49,'مقایسه بودجه- واردات'!I49)</f>
        <v>5481.3703672894317</v>
      </c>
      <c r="J49" s="159">
        <f t="shared" si="14"/>
        <v>-2541.3703672894317</v>
      </c>
      <c r="K49" s="175">
        <f>IF(SUM(H49:H52)=0,"",IFERROR(H49/I49,""))</f>
        <v>0.53636222386006116</v>
      </c>
      <c r="L49" s="171">
        <f>SUM('مقایسه بودجه- صادرات'!L49,'مقایسه بودجه- واردات'!L49)</f>
        <v>0</v>
      </c>
      <c r="M49" s="159">
        <f>SUM('مقایسه بودجه- صادرات'!M49,'مقایسه بودجه- واردات'!M49)</f>
        <v>0</v>
      </c>
      <c r="N49" s="159">
        <f t="shared" si="15"/>
        <v>0</v>
      </c>
      <c r="O49" s="175" t="str">
        <f>IF(SUM(L49:L52)=0,"",IFERROR(L49/M49,""))</f>
        <v/>
      </c>
      <c r="P49" s="171">
        <f>SUM('مقایسه بودجه- صادرات'!P49,'مقایسه بودجه- واردات'!P49)</f>
        <v>47213</v>
      </c>
      <c r="Q49" s="159">
        <f>SUM('مقایسه بودجه- صادرات'!Q49,'مقایسه بودجه- واردات'!Q49)</f>
        <v>64501.6306493339</v>
      </c>
      <c r="R49" s="159">
        <f t="shared" si="16"/>
        <v>-17288.6306493339</v>
      </c>
      <c r="S49" s="175">
        <f>IF(SUM(P49:P52)=0,"",IFERROR(P49/Q49,""))</f>
        <v>0.73196599100998949</v>
      </c>
      <c r="T49" s="171">
        <f t="shared" si="106"/>
        <v>40557</v>
      </c>
      <c r="U49" s="159">
        <f t="shared" si="107"/>
        <v>51608.146785789249</v>
      </c>
      <c r="V49" s="159">
        <f t="shared" si="17"/>
        <v>-11051.146785789249</v>
      </c>
      <c r="W49" s="175">
        <f t="shared" ref="W49" si="163">IF(SUM(T49:T52)=0,"",IFERROR(T49/U49,""))</f>
        <v>0.78586429713007488</v>
      </c>
      <c r="X49" s="171">
        <f t="shared" si="109"/>
        <v>41517</v>
      </c>
      <c r="Y49" s="159">
        <f t="shared" si="110"/>
        <v>56877.516326730118</v>
      </c>
      <c r="Z49" s="159">
        <f t="shared" si="18"/>
        <v>-15360.516326730118</v>
      </c>
      <c r="AA49" s="175">
        <f t="shared" ref="AA49" si="164">IF(SUM(X49:X52)=0,"",IFERROR(X49/Y49,""))</f>
        <v>0.72993693609101384</v>
      </c>
      <c r="AB49" s="171">
        <f t="shared" si="112"/>
        <v>0</v>
      </c>
      <c r="AC49" s="159">
        <f t="shared" si="113"/>
        <v>0</v>
      </c>
      <c r="AD49" s="159">
        <f t="shared" si="19"/>
        <v>0</v>
      </c>
      <c r="AE49" s="175" t="str">
        <f t="shared" ref="AE49" si="165">IF(SUM(AB49:AB52)=0,"",IFERROR(AB49/AC49,""))</f>
        <v/>
      </c>
      <c r="AF49" s="171">
        <f t="shared" si="115"/>
        <v>542286</v>
      </c>
      <c r="AG49" s="159">
        <f t="shared" si="116"/>
        <v>539400.40000000014</v>
      </c>
      <c r="AH49" s="159">
        <f t="shared" si="20"/>
        <v>2885.5999999998603</v>
      </c>
      <c r="AI49" s="187">
        <f t="shared" ref="AI49" si="166">IF(SUM(AF49:AF52)=0,"",IFERROR(AF49/AG49,""))</f>
        <v>1.0053496437896594</v>
      </c>
      <c r="AJ49" s="157">
        <f t="shared" si="142"/>
        <v>9</v>
      </c>
    </row>
    <row r="50" spans="1:36" ht="24.95" customHeight="1" x14ac:dyDescent="0.25">
      <c r="A50" s="182" t="str">
        <f t="shared" si="26"/>
        <v>مطهری</v>
      </c>
      <c r="B50" s="216"/>
      <c r="C50" s="167" t="str">
        <f t="shared" si="27"/>
        <v>دی</v>
      </c>
      <c r="D50" s="171">
        <f>SUM('مقایسه بودجه- صادرات'!D50,'مقایسه بودجه- واردات'!D50)</f>
        <v>2940</v>
      </c>
      <c r="E50" s="159">
        <f>SUM('مقایسه بودجه- صادرات'!E50,'مقایسه بودجه- واردات'!E50)</f>
        <v>7176.9137827820168</v>
      </c>
      <c r="F50" s="159">
        <f t="shared" si="13"/>
        <v>-4236.9137827820168</v>
      </c>
      <c r="G50" s="175">
        <f>IF(SUM(D50:D52)=0,"",IFERROR(D50/E50,""))</f>
        <v>0.40964683274491775</v>
      </c>
      <c r="H50" s="171">
        <f>SUM('مقایسه بودجه- صادرات'!H50,'مقایسه بودجه- واردات'!H50)</f>
        <v>3130</v>
      </c>
      <c r="I50" s="159">
        <f>SUM('مقایسه بودجه- صادرات'!I50,'مقایسه بودجه- واردات'!I50)</f>
        <v>6640.1290178396093</v>
      </c>
      <c r="J50" s="159">
        <f t="shared" si="14"/>
        <v>-3510.1290178396093</v>
      </c>
      <c r="K50" s="175">
        <f>IF(SUM(H50:H52)=0,"",IFERROR(H50/I50,""))</f>
        <v>0.47137638313816332</v>
      </c>
      <c r="L50" s="171">
        <f>SUM('مقایسه بودجه- صادرات'!L50,'مقایسه بودجه- واردات'!L50)</f>
        <v>0</v>
      </c>
      <c r="M50" s="159">
        <f>SUM('مقایسه بودجه- صادرات'!M50,'مقایسه بودجه- واردات'!M50)</f>
        <v>0</v>
      </c>
      <c r="N50" s="159">
        <f t="shared" si="15"/>
        <v>0</v>
      </c>
      <c r="O50" s="175" t="str">
        <f>IF(SUM(L50:L52)=0,"",IFERROR(L50/M50,""))</f>
        <v/>
      </c>
      <c r="P50" s="171">
        <f>SUM('مقایسه بودجه- صادرات'!P50,'مقایسه بودجه- واردات'!P50)</f>
        <v>39588</v>
      </c>
      <c r="Q50" s="159">
        <f>SUM('مقایسه بودجه- صادرات'!Q50,'مقایسه بودجه- واردات'!Q50)</f>
        <v>104048.90450712104</v>
      </c>
      <c r="R50" s="159">
        <f t="shared" si="16"/>
        <v>-64460.904507121042</v>
      </c>
      <c r="S50" s="175">
        <f>IF(SUM(P50:P52)=0,"",IFERROR(P50/Q50,""))</f>
        <v>0.38047493327803966</v>
      </c>
      <c r="T50" s="171">
        <f t="shared" si="106"/>
        <v>43497</v>
      </c>
      <c r="U50" s="159">
        <f t="shared" si="107"/>
        <v>58785.060568571265</v>
      </c>
      <c r="V50" s="159">
        <f t="shared" si="17"/>
        <v>-15288.060568571265</v>
      </c>
      <c r="W50" s="175">
        <f t="shared" ref="W50" si="167">IF(SUM(T50:T52)=0,"",IFERROR(T50/U50,""))</f>
        <v>0.73993289416214625</v>
      </c>
      <c r="X50" s="171">
        <f t="shared" si="109"/>
        <v>44647</v>
      </c>
      <c r="Y50" s="159">
        <f t="shared" si="110"/>
        <v>63517.645344569726</v>
      </c>
      <c r="Z50" s="159">
        <f t="shared" si="18"/>
        <v>-18870.645344569726</v>
      </c>
      <c r="AA50" s="175">
        <f t="shared" ref="AA50" si="168">IF(SUM(X50:X52)=0,"",IFERROR(X50/Y50,""))</f>
        <v>0.70290703878897765</v>
      </c>
      <c r="AB50" s="171">
        <f t="shared" si="112"/>
        <v>0</v>
      </c>
      <c r="AC50" s="159">
        <f t="shared" si="113"/>
        <v>0</v>
      </c>
      <c r="AD50" s="159">
        <f t="shared" si="19"/>
        <v>0</v>
      </c>
      <c r="AE50" s="175" t="str">
        <f t="shared" ref="AE50" si="169">IF(SUM(AB50:AB52)=0,"",IFERROR(AB50/AC50,""))</f>
        <v/>
      </c>
      <c r="AF50" s="171">
        <f t="shared" si="115"/>
        <v>581874</v>
      </c>
      <c r="AG50" s="159">
        <f t="shared" si="116"/>
        <v>643449.30450712121</v>
      </c>
      <c r="AH50" s="159">
        <f t="shared" si="20"/>
        <v>-61575.304507121211</v>
      </c>
      <c r="AI50" s="187">
        <f t="shared" ref="AI50" si="170">IF(SUM(AF50:AF52)=0,"",IFERROR(AF50/AG50,""))</f>
        <v>0.90430434212018063</v>
      </c>
      <c r="AJ50" s="157">
        <f t="shared" si="142"/>
        <v>10</v>
      </c>
    </row>
    <row r="51" spans="1:36" ht="24.95" customHeight="1" x14ac:dyDescent="0.25">
      <c r="A51" s="182" t="str">
        <f t="shared" si="26"/>
        <v>مطهری</v>
      </c>
      <c r="B51" s="216"/>
      <c r="C51" s="167" t="str">
        <f t="shared" si="27"/>
        <v>بهمن</v>
      </c>
      <c r="D51" s="171">
        <f>SUM('مقایسه بودجه- صادرات'!D51,'مقایسه بودجه- واردات'!D51)</f>
        <v>1976</v>
      </c>
      <c r="E51" s="159">
        <f>SUM('مقایسه بودجه- صادرات'!E51,'مقایسه بودجه- واردات'!E51)</f>
        <v>7176.9137827820168</v>
      </c>
      <c r="F51" s="159">
        <f t="shared" si="13"/>
        <v>-5200.9137827820168</v>
      </c>
      <c r="G51" s="175">
        <f>IF(SUM(D51:D52)=0,"",IFERROR(D51/E51,""))</f>
        <v>0.27532725901495153</v>
      </c>
      <c r="H51" s="171">
        <f>SUM('مقایسه بودجه- صادرات'!H51,'مقایسه بودجه- واردات'!H51)</f>
        <v>3633</v>
      </c>
      <c r="I51" s="159">
        <f>SUM('مقایسه بودجه- صادرات'!I51,'مقایسه بودجه- واردات'!I51)</f>
        <v>6640.1290178396093</v>
      </c>
      <c r="J51" s="159">
        <f t="shared" si="14"/>
        <v>-3007.1290178396093</v>
      </c>
      <c r="K51" s="175">
        <f>IF(SUM(H51:H52)=0,"",IFERROR(H51/I51,""))</f>
        <v>0.5471279233038171</v>
      </c>
      <c r="L51" s="171">
        <f>SUM('مقایسه بودجه- صادرات'!L51,'مقایسه بودجه- واردات'!L51)</f>
        <v>0</v>
      </c>
      <c r="M51" s="159">
        <f>SUM('مقایسه بودجه- صادرات'!M51,'مقایسه بودجه- واردات'!M51)</f>
        <v>0</v>
      </c>
      <c r="N51" s="159">
        <f t="shared" si="15"/>
        <v>0</v>
      </c>
      <c r="O51" s="175" t="str">
        <f>IF(SUM(L51:L52)=0,"",IFERROR(L51/M51,""))</f>
        <v/>
      </c>
      <c r="P51" s="171">
        <f>SUM('مقایسه بودجه- صادرات'!P51,'مقایسه بودجه- واردات'!P51)</f>
        <v>64157</v>
      </c>
      <c r="Q51" s="159">
        <f>SUM('مقایسه بودجه- صادرات'!Q51,'مقایسه بودجه- واردات'!Q51)</f>
        <v>104048.90450712104</v>
      </c>
      <c r="R51" s="159">
        <f t="shared" si="16"/>
        <v>-39891.904507121042</v>
      </c>
      <c r="S51" s="175">
        <f>IF(SUM(P51:P52)=0,"",IFERROR(P51/Q51,""))</f>
        <v>0.61660428145698676</v>
      </c>
      <c r="T51" s="171">
        <f t="shared" si="106"/>
        <v>45473</v>
      </c>
      <c r="U51" s="159">
        <f t="shared" si="107"/>
        <v>65961.974351353289</v>
      </c>
      <c r="V51" s="159">
        <f t="shared" si="17"/>
        <v>-20488.974351353289</v>
      </c>
      <c r="W51" s="175">
        <f t="shared" ref="W51" si="171">IF(SUM(T51:T52)=0,"",IFERROR(T51/U51,""))</f>
        <v>0.6893820333179137</v>
      </c>
      <c r="X51" s="171">
        <f t="shared" si="109"/>
        <v>48280</v>
      </c>
      <c r="Y51" s="159">
        <f t="shared" si="110"/>
        <v>70157.774362409342</v>
      </c>
      <c r="Z51" s="159">
        <f t="shared" si="18"/>
        <v>-21877.774362409342</v>
      </c>
      <c r="AA51" s="175">
        <f t="shared" ref="AA51" si="172">IF(SUM(X51:X52)=0,"",IFERROR(X51/Y51,""))</f>
        <v>0.68816322123622709</v>
      </c>
      <c r="AB51" s="171">
        <f t="shared" si="112"/>
        <v>0</v>
      </c>
      <c r="AC51" s="159">
        <f t="shared" si="113"/>
        <v>0</v>
      </c>
      <c r="AD51" s="159">
        <f t="shared" si="19"/>
        <v>0</v>
      </c>
      <c r="AE51" s="175" t="str">
        <f t="shared" ref="AE51" si="173">IF(SUM(AB51:AB52)=0,"",IFERROR(AB51/AC51,""))</f>
        <v/>
      </c>
      <c r="AF51" s="171">
        <f t="shared" si="115"/>
        <v>646031</v>
      </c>
      <c r="AG51" s="159">
        <f t="shared" si="116"/>
        <v>747498.20901424228</v>
      </c>
      <c r="AH51" s="159">
        <f t="shared" si="20"/>
        <v>-101467.20901424228</v>
      </c>
      <c r="AI51" s="187">
        <f t="shared" ref="AI51" si="174">IF(SUM(AF51:AF52)=0,"",IFERROR(AF51/AG51,""))</f>
        <v>0.86425758912780348</v>
      </c>
      <c r="AJ51" s="157">
        <f t="shared" si="142"/>
        <v>11</v>
      </c>
    </row>
    <row r="52" spans="1:36" ht="24.95" customHeight="1" thickBot="1" x14ac:dyDescent="0.3">
      <c r="A52" s="182" t="str">
        <f t="shared" si="26"/>
        <v>مطهری</v>
      </c>
      <c r="B52" s="217"/>
      <c r="C52" s="168" t="str">
        <f t="shared" si="27"/>
        <v>اسفند</v>
      </c>
      <c r="D52" s="172">
        <f>SUM('مقایسه بودجه- صادرات'!D52,'مقایسه بودجه- واردات'!D52)</f>
        <v>3320</v>
      </c>
      <c r="E52" s="173">
        <f>SUM('مقایسه بودجه- صادرات'!E52,'مقایسه بودجه- واردات'!E52)</f>
        <v>7176.9137827820168</v>
      </c>
      <c r="F52" s="173">
        <f t="shared" si="13"/>
        <v>-3856.9137827820168</v>
      </c>
      <c r="G52" s="176">
        <f>IF(SUM(D52)=0,"",IFERROR(D52/E52,""))</f>
        <v>0.46259438255548541</v>
      </c>
      <c r="H52" s="172">
        <f>SUM('مقایسه بودجه- صادرات'!H52,'مقایسه بودجه- واردات'!H52)</f>
        <v>3155</v>
      </c>
      <c r="I52" s="173">
        <f>SUM('مقایسه بودجه- صادرات'!I52,'مقایسه بودجه- واردات'!I52)</f>
        <v>6640.1290178396093</v>
      </c>
      <c r="J52" s="173">
        <f t="shared" si="14"/>
        <v>-3485.1290178396093</v>
      </c>
      <c r="K52" s="176">
        <f>IF(SUM(H52)=0,"",IFERROR(H52/I52,""))</f>
        <v>0.47514137022393144</v>
      </c>
      <c r="L52" s="172">
        <f>SUM('مقایسه بودجه- صادرات'!L52,'مقایسه بودجه- واردات'!L52)</f>
        <v>0</v>
      </c>
      <c r="M52" s="173">
        <f>SUM('مقایسه بودجه- صادرات'!M52,'مقایسه بودجه- واردات'!M52)</f>
        <v>0</v>
      </c>
      <c r="N52" s="173">
        <f t="shared" si="15"/>
        <v>0</v>
      </c>
      <c r="O52" s="176" t="str">
        <f>IF(SUM(L52)=0,"",IFERROR(L52/M52,""))</f>
        <v/>
      </c>
      <c r="P52" s="172">
        <f>SUM('مقایسه بودجه- صادرات'!P52,'مقایسه بودجه- واردات'!P52)</f>
        <v>47203</v>
      </c>
      <c r="Q52" s="173">
        <f>SUM('مقایسه بودجه- صادرات'!Q52,'مقایسه بودجه- واردات'!Q52)</f>
        <v>104048.90450712104</v>
      </c>
      <c r="R52" s="173">
        <f t="shared" si="16"/>
        <v>-56845.904507121042</v>
      </c>
      <c r="S52" s="176">
        <f>IF(SUM(P52)=0,"",IFERROR(P52/Q52,""))</f>
        <v>0.45366167211082414</v>
      </c>
      <c r="T52" s="172">
        <f t="shared" si="106"/>
        <v>48793</v>
      </c>
      <c r="U52" s="173">
        <f t="shared" si="107"/>
        <v>73138.888134135312</v>
      </c>
      <c r="V52" s="173">
        <f t="shared" si="17"/>
        <v>-24345.888134135312</v>
      </c>
      <c r="W52" s="176">
        <f t="shared" ref="W52" si="175">IF(SUM(T52)=0,"",IFERROR(T52/U52,""))</f>
        <v>0.66712799776932041</v>
      </c>
      <c r="X52" s="172">
        <f t="shared" si="109"/>
        <v>51435</v>
      </c>
      <c r="Y52" s="173">
        <f t="shared" si="110"/>
        <v>76797.903380248958</v>
      </c>
      <c r="Z52" s="173">
        <f t="shared" si="18"/>
        <v>-25362.903380248958</v>
      </c>
      <c r="AA52" s="176">
        <f t="shared" ref="AA52" si="176">IF(SUM(X52)=0,"",IFERROR(X52/Y52,""))</f>
        <v>0.6697448463577218</v>
      </c>
      <c r="AB52" s="172">
        <f t="shared" si="112"/>
        <v>0</v>
      </c>
      <c r="AC52" s="173">
        <f t="shared" si="113"/>
        <v>0</v>
      </c>
      <c r="AD52" s="173">
        <f t="shared" si="19"/>
        <v>0</v>
      </c>
      <c r="AE52" s="176" t="str">
        <f t="shared" ref="AE52" si="177">IF(SUM(AB52)=0,"",IFERROR(AB52/AC52,""))</f>
        <v/>
      </c>
      <c r="AF52" s="172">
        <f t="shared" si="115"/>
        <v>693234</v>
      </c>
      <c r="AG52" s="173">
        <f t="shared" si="116"/>
        <v>851547.11352136335</v>
      </c>
      <c r="AH52" s="173">
        <f t="shared" si="20"/>
        <v>-158313.11352136335</v>
      </c>
      <c r="AI52" s="188">
        <f t="shared" ref="AI52" si="178">IF(SUM(AF52)=0,"",IFERROR(AF52/AG52,""))</f>
        <v>0.81408766349204276</v>
      </c>
      <c r="AJ52" s="157">
        <f>AJ51+1</f>
        <v>12</v>
      </c>
    </row>
    <row r="53" spans="1:36" ht="24.95" customHeight="1" x14ac:dyDescent="0.25">
      <c r="A53" s="182" t="str">
        <f t="shared" si="26"/>
        <v>سرخس</v>
      </c>
      <c r="B53" s="215" t="str">
        <f>واردات!B34</f>
        <v>سرخس</v>
      </c>
      <c r="C53" s="166" t="str">
        <f>C41</f>
        <v>فروردین</v>
      </c>
      <c r="D53" s="170">
        <f>SUM('مقایسه بودجه- صادرات'!D53,'مقایسه بودجه- واردات'!D53)</f>
        <v>1869</v>
      </c>
      <c r="E53" s="160">
        <f>SUM('مقایسه بودجه- صادرات'!E53,'مقایسه بودجه- واردات'!E53)</f>
        <v>2061.6431387454322</v>
      </c>
      <c r="F53" s="160">
        <f t="shared" si="13"/>
        <v>-192.64313874543222</v>
      </c>
      <c r="G53" s="185">
        <f>IF(SUM(D53:D64)=0,"",IFERROR(D53/E53,""))</f>
        <v>0.90655844596720025</v>
      </c>
      <c r="H53" s="170">
        <f>SUM('مقایسه بودجه- صادرات'!H53,'مقایسه بودجه- واردات'!H53)</f>
        <v>1026</v>
      </c>
      <c r="I53" s="160">
        <f>SUM('مقایسه بودجه- صادرات'!I53,'مقایسه بودجه- واردات'!I53)</f>
        <v>2074.1509328985808</v>
      </c>
      <c r="J53" s="160">
        <f t="shared" si="14"/>
        <v>-1048.1509328985808</v>
      </c>
      <c r="K53" s="185">
        <f>IF(SUM(H53:H64)=0,"",IFERROR(H53/I53,""))</f>
        <v>0.49466024083704813</v>
      </c>
      <c r="L53" s="170">
        <f>SUM('مقایسه بودجه- صادرات'!L53,'مقایسه بودجه- واردات'!L53)</f>
        <v>0</v>
      </c>
      <c r="M53" s="160">
        <f>SUM('مقایسه بودجه- صادرات'!M53,'مقایسه بودجه- واردات'!M53)</f>
        <v>0</v>
      </c>
      <c r="N53" s="160">
        <f t="shared" si="15"/>
        <v>0</v>
      </c>
      <c r="O53" s="185" t="str">
        <f>IF(SUM(L53:L64)=0,"",IFERROR(L53/M53,""))</f>
        <v/>
      </c>
      <c r="P53" s="170">
        <f>SUM('مقایسه بودجه- صادرات'!P53,'مقایسه بودجه- واردات'!P53)</f>
        <v>4981</v>
      </c>
      <c r="Q53" s="160">
        <f>SUM('مقایسه بودجه- صادرات'!Q53,'مقایسه بودجه- واردات'!Q53)</f>
        <v>10905.701090747923</v>
      </c>
      <c r="R53" s="160">
        <f t="shared" si="16"/>
        <v>-5924.7010907479234</v>
      </c>
      <c r="S53" s="185">
        <f>IF(SUM(P53:P64)=0,"",IFERROR(P53/Q53,""))</f>
        <v>0.45673358902397704</v>
      </c>
      <c r="T53" s="183">
        <f t="shared" si="106"/>
        <v>1869</v>
      </c>
      <c r="U53" s="160">
        <f t="shared" si="107"/>
        <v>2061.6431387454322</v>
      </c>
      <c r="V53" s="160">
        <f t="shared" si="17"/>
        <v>-192.64313874543222</v>
      </c>
      <c r="W53" s="185">
        <f t="shared" ref="W53" si="179">IF(SUM(T53:T64)=0,"",IFERROR(T53/U53,""))</f>
        <v>0.90655844596720025</v>
      </c>
      <c r="X53" s="183">
        <f t="shared" si="109"/>
        <v>1026</v>
      </c>
      <c r="Y53" s="160">
        <f t="shared" si="110"/>
        <v>2074.1509328985808</v>
      </c>
      <c r="Z53" s="160">
        <f t="shared" si="18"/>
        <v>-1048.1509328985808</v>
      </c>
      <c r="AA53" s="185">
        <f t="shared" ref="AA53" si="180">IF(SUM(X53:X64)=0,"",IFERROR(X53/Y53,""))</f>
        <v>0.49466024083704813</v>
      </c>
      <c r="AB53" s="183">
        <f t="shared" si="112"/>
        <v>0</v>
      </c>
      <c r="AC53" s="160">
        <f t="shared" si="113"/>
        <v>0</v>
      </c>
      <c r="AD53" s="160">
        <f t="shared" si="19"/>
        <v>0</v>
      </c>
      <c r="AE53" s="185" t="str">
        <f t="shared" ref="AE53" si="181">IF(SUM(AB53:AB64)=0,"",IFERROR(AB53/AC53,""))</f>
        <v/>
      </c>
      <c r="AF53" s="183">
        <f t="shared" si="115"/>
        <v>4981</v>
      </c>
      <c r="AG53" s="160">
        <f t="shared" si="116"/>
        <v>10905.701090747923</v>
      </c>
      <c r="AH53" s="160">
        <f t="shared" si="20"/>
        <v>-5924.7010907479234</v>
      </c>
      <c r="AI53" s="186">
        <f t="shared" ref="AI53" si="182">IF(SUM(AF53:AF64)=0,"",IFERROR(AF53/AG53,""))</f>
        <v>0.45673358902397704</v>
      </c>
      <c r="AJ53" s="157">
        <v>1</v>
      </c>
    </row>
    <row r="54" spans="1:36" ht="24.95" customHeight="1" x14ac:dyDescent="0.25">
      <c r="A54" s="182" t="str">
        <f t="shared" si="26"/>
        <v>سرخس</v>
      </c>
      <c r="B54" s="216"/>
      <c r="C54" s="167" t="str">
        <f t="shared" si="27"/>
        <v>اردیبهشت</v>
      </c>
      <c r="D54" s="171">
        <f>SUM('مقایسه بودجه- صادرات'!D54,'مقایسه بودجه- واردات'!D54)</f>
        <v>2531</v>
      </c>
      <c r="E54" s="159">
        <f>SUM('مقایسه بودجه- صادرات'!E54,'مقایسه بودجه- واردات'!E54)</f>
        <v>2061.6431387454322</v>
      </c>
      <c r="F54" s="159">
        <f t="shared" si="13"/>
        <v>469.35686125456778</v>
      </c>
      <c r="G54" s="175">
        <f>IF(SUM(D54:D64)=0,"",IFERROR(D54/E54,""))</f>
        <v>1.2276615445387822</v>
      </c>
      <c r="H54" s="171">
        <f>SUM('مقایسه بودجه- صادرات'!H54,'مقایسه بودجه- واردات'!H54)</f>
        <v>2584</v>
      </c>
      <c r="I54" s="159">
        <f>SUM('مقایسه بودجه- صادرات'!I54,'مقایسه بودجه- واردات'!I54)</f>
        <v>2074.1509328985808</v>
      </c>
      <c r="J54" s="159">
        <f t="shared" si="14"/>
        <v>509.84906710141922</v>
      </c>
      <c r="K54" s="175">
        <f>IF(SUM(H54:H64)=0,"",IFERROR(H54/I54,""))</f>
        <v>1.245810976922936</v>
      </c>
      <c r="L54" s="171">
        <f>SUM('مقایسه بودجه- صادرات'!L54,'مقایسه بودجه- واردات'!L54)</f>
        <v>0</v>
      </c>
      <c r="M54" s="159">
        <f>SUM('مقایسه بودجه- صادرات'!M54,'مقایسه بودجه- واردات'!M54)</f>
        <v>0</v>
      </c>
      <c r="N54" s="159">
        <f t="shared" si="15"/>
        <v>0</v>
      </c>
      <c r="O54" s="175" t="str">
        <f>IF(SUM(L54:L64)=0,"",IFERROR(L54/M54,""))</f>
        <v/>
      </c>
      <c r="P54" s="171">
        <f>SUM('مقایسه بودجه- صادرات'!P54,'مقایسه بودجه- واردات'!P54)</f>
        <v>8515</v>
      </c>
      <c r="Q54" s="159">
        <f>SUM('مقایسه بودجه- صادرات'!Q54,'مقایسه بودجه- واردات'!Q54)</f>
        <v>10905.701090747923</v>
      </c>
      <c r="R54" s="159">
        <f t="shared" si="16"/>
        <v>-2390.7010907479234</v>
      </c>
      <c r="S54" s="175">
        <f>IF(SUM(P54:P64)=0,"",IFERROR(P54/Q54,""))</f>
        <v>0.78078428238088027</v>
      </c>
      <c r="T54" s="171">
        <f t="shared" si="106"/>
        <v>4400</v>
      </c>
      <c r="U54" s="159">
        <f t="shared" si="107"/>
        <v>4123.2862774908644</v>
      </c>
      <c r="V54" s="159">
        <f t="shared" si="17"/>
        <v>276.71372250913555</v>
      </c>
      <c r="W54" s="175">
        <f t="shared" ref="W54" si="183">IF(SUM(T54:T64)=0,"",IFERROR(T54/U54,""))</f>
        <v>1.0671099952529912</v>
      </c>
      <c r="X54" s="171">
        <f t="shared" si="109"/>
        <v>3610</v>
      </c>
      <c r="Y54" s="159">
        <f t="shared" si="110"/>
        <v>4148.3018657971616</v>
      </c>
      <c r="Z54" s="159">
        <f t="shared" si="18"/>
        <v>-538.30186579716155</v>
      </c>
      <c r="AA54" s="175">
        <f t="shared" ref="AA54" si="184">IF(SUM(X54:X64)=0,"",IFERROR(X54/Y54,""))</f>
        <v>0.87023560887999207</v>
      </c>
      <c r="AB54" s="171">
        <f t="shared" si="112"/>
        <v>0</v>
      </c>
      <c r="AC54" s="159">
        <f t="shared" si="113"/>
        <v>0</v>
      </c>
      <c r="AD54" s="159">
        <f t="shared" si="19"/>
        <v>0</v>
      </c>
      <c r="AE54" s="175" t="str">
        <f t="shared" ref="AE54" si="185">IF(SUM(AB54:AB64)=0,"",IFERROR(AB54/AC54,""))</f>
        <v/>
      </c>
      <c r="AF54" s="171">
        <f t="shared" si="115"/>
        <v>13496</v>
      </c>
      <c r="AG54" s="159">
        <f t="shared" si="116"/>
        <v>21811.402181495847</v>
      </c>
      <c r="AH54" s="159">
        <f t="shared" si="20"/>
        <v>-8315.4021814958469</v>
      </c>
      <c r="AI54" s="187">
        <f t="shared" ref="AI54" si="186">IF(SUM(AF54:AF64)=0,"",IFERROR(AF54/AG54,""))</f>
        <v>0.61875893570242857</v>
      </c>
      <c r="AJ54" s="157">
        <f>AJ53+1</f>
        <v>2</v>
      </c>
    </row>
    <row r="55" spans="1:36" ht="24.95" customHeight="1" x14ac:dyDescent="0.25">
      <c r="A55" s="182" t="str">
        <f t="shared" si="26"/>
        <v>سرخس</v>
      </c>
      <c r="B55" s="216"/>
      <c r="C55" s="167" t="str">
        <f t="shared" si="27"/>
        <v>خرداد</v>
      </c>
      <c r="D55" s="171">
        <f>SUM('مقایسه بودجه- صادرات'!D55,'مقایسه بودجه- واردات'!D55)</f>
        <v>1484</v>
      </c>
      <c r="E55" s="159">
        <f>SUM('مقایسه بودجه- صادرات'!E55,'مقایسه بودجه- واردات'!E55)</f>
        <v>2061.6431387454322</v>
      </c>
      <c r="F55" s="159">
        <f t="shared" si="13"/>
        <v>-577.64313874543222</v>
      </c>
      <c r="G55" s="175">
        <f>IF(SUM(D55:D64)=0,"",IFERROR(D55/E55,""))</f>
        <v>0.7198141967979268</v>
      </c>
      <c r="H55" s="171">
        <f>SUM('مقایسه بودجه- صادرات'!H55,'مقایسه بودجه- واردات'!H55)</f>
        <v>1871</v>
      </c>
      <c r="I55" s="159">
        <f>SUM('مقایسه بودجه- صادرات'!I55,'مقایسه بودجه- واردات'!I55)</f>
        <v>2074.1509328985808</v>
      </c>
      <c r="J55" s="159">
        <f t="shared" si="14"/>
        <v>-203.15093289858078</v>
      </c>
      <c r="K55" s="175">
        <f>IF(SUM(H55:H64)=0,"",IFERROR(H55/I55,""))</f>
        <v>0.90205585829056245</v>
      </c>
      <c r="L55" s="171">
        <f>SUM('مقایسه بودجه- صادرات'!L55,'مقایسه بودجه- واردات'!L55)</f>
        <v>0</v>
      </c>
      <c r="M55" s="159">
        <f>SUM('مقایسه بودجه- صادرات'!M55,'مقایسه بودجه- واردات'!M55)</f>
        <v>0</v>
      </c>
      <c r="N55" s="159">
        <f t="shared" si="15"/>
        <v>0</v>
      </c>
      <c r="O55" s="175" t="str">
        <f>IF(SUM(L55:L64)=0,"",IFERROR(L55/M55,""))</f>
        <v/>
      </c>
      <c r="P55" s="171">
        <f>SUM('مقایسه بودجه- صادرات'!P55,'مقایسه بودجه- واردات'!P55)</f>
        <v>8339</v>
      </c>
      <c r="Q55" s="159">
        <f>SUM('مقایسه بودجه- صادرات'!Q55,'مقایسه بودجه- واردات'!Q55)</f>
        <v>10905.701090747923</v>
      </c>
      <c r="R55" s="159">
        <f t="shared" si="16"/>
        <v>-2566.7010907479234</v>
      </c>
      <c r="S55" s="175">
        <f>IF(SUM(P55:P64)=0,"",IFERROR(P55/Q55,""))</f>
        <v>0.76464593432462247</v>
      </c>
      <c r="T55" s="171">
        <f t="shared" si="106"/>
        <v>5884</v>
      </c>
      <c r="U55" s="159">
        <f t="shared" si="107"/>
        <v>6184.9294162362967</v>
      </c>
      <c r="V55" s="159">
        <f t="shared" si="17"/>
        <v>-300.92941623629667</v>
      </c>
      <c r="W55" s="175">
        <f t="shared" ref="W55" si="187">IF(SUM(T55:T64)=0,"",IFERROR(T55/U55,""))</f>
        <v>0.95134472910130308</v>
      </c>
      <c r="X55" s="171">
        <f t="shared" si="109"/>
        <v>5481</v>
      </c>
      <c r="Y55" s="159">
        <f t="shared" si="110"/>
        <v>6222.4527986957419</v>
      </c>
      <c r="Z55" s="159">
        <f t="shared" si="18"/>
        <v>-741.45279869574188</v>
      </c>
      <c r="AA55" s="175">
        <f t="shared" ref="AA55" si="188">IF(SUM(X55:X64)=0,"",IFERROR(X55/Y55,""))</f>
        <v>0.88084235868351557</v>
      </c>
      <c r="AB55" s="171">
        <f t="shared" si="112"/>
        <v>0</v>
      </c>
      <c r="AC55" s="159">
        <f t="shared" si="113"/>
        <v>0</v>
      </c>
      <c r="AD55" s="159">
        <f t="shared" si="19"/>
        <v>0</v>
      </c>
      <c r="AE55" s="175" t="str">
        <f t="shared" ref="AE55" si="189">IF(SUM(AB55:AB64)=0,"",IFERROR(AB55/AC55,""))</f>
        <v/>
      </c>
      <c r="AF55" s="171">
        <f t="shared" si="115"/>
        <v>21835</v>
      </c>
      <c r="AG55" s="159">
        <f t="shared" si="116"/>
        <v>32717.10327224377</v>
      </c>
      <c r="AH55" s="159">
        <f t="shared" si="20"/>
        <v>-10882.10327224377</v>
      </c>
      <c r="AI55" s="187">
        <f t="shared" ref="AI55" si="190">IF(SUM(AF55:AF64)=0,"",IFERROR(AF55/AG55,""))</f>
        <v>0.66738793524315987</v>
      </c>
      <c r="AJ55" s="157">
        <f t="shared" ref="AJ55:AJ63" si="191">AJ54+1</f>
        <v>3</v>
      </c>
    </row>
    <row r="56" spans="1:36" ht="24.95" customHeight="1" x14ac:dyDescent="0.25">
      <c r="A56" s="182" t="str">
        <f t="shared" si="26"/>
        <v>سرخس</v>
      </c>
      <c r="B56" s="216"/>
      <c r="C56" s="167" t="str">
        <f t="shared" si="27"/>
        <v>تیر</v>
      </c>
      <c r="D56" s="171">
        <f>SUM('مقایسه بودجه- صادرات'!D56,'مقایسه بودجه- واردات'!D56)</f>
        <v>1396</v>
      </c>
      <c r="E56" s="159">
        <f>SUM('مقایسه بودجه- صادرات'!E56,'مقایسه بودجه- واردات'!E56)</f>
        <v>2701.8301620631669</v>
      </c>
      <c r="F56" s="159">
        <f t="shared" si="13"/>
        <v>-1305.8301620631669</v>
      </c>
      <c r="G56" s="175">
        <f>IF(SUM(D56:D64)=0,"",IFERROR(D56/E56,""))</f>
        <v>0.51668680718775784</v>
      </c>
      <c r="H56" s="171">
        <f>SUM('مقایسه بودجه- صادرات'!H56,'مقایسه بودجه- واردات'!H56)</f>
        <v>2028</v>
      </c>
      <c r="I56" s="159">
        <f>SUM('مقایسه بودجه- صادرات'!I56,'مقایسه بودجه- واردات'!I56)</f>
        <v>2542.7031058118337</v>
      </c>
      <c r="J56" s="159">
        <f t="shared" si="14"/>
        <v>-514.70310581183367</v>
      </c>
      <c r="K56" s="175">
        <f>IF(SUM(H56:H64)=0,"",IFERROR(H56/I56,""))</f>
        <v>0.7975764041679182</v>
      </c>
      <c r="L56" s="171">
        <f>SUM('مقایسه بودجه- صادرات'!L56,'مقایسه بودجه- واردات'!L56)</f>
        <v>0</v>
      </c>
      <c r="M56" s="159">
        <f>SUM('مقایسه بودجه- صادرات'!M56,'مقایسه بودجه- واردات'!M56)</f>
        <v>0</v>
      </c>
      <c r="N56" s="159">
        <f t="shared" si="15"/>
        <v>0</v>
      </c>
      <c r="O56" s="175" t="str">
        <f>IF(SUM(L56:L64)=0,"",IFERROR(L56/M56,""))</f>
        <v/>
      </c>
      <c r="P56" s="171">
        <f>SUM('مقایسه بودجه- صادرات'!P56,'مقایسه بودجه- واردات'!P56)</f>
        <v>8352</v>
      </c>
      <c r="Q56" s="159">
        <f>SUM('مقایسه بودجه- صادرات'!Q56,'مقایسه بودجه- واردات'!Q56)</f>
        <v>3549.0901091480987</v>
      </c>
      <c r="R56" s="159">
        <f t="shared" si="16"/>
        <v>4802.9098908519009</v>
      </c>
      <c r="S56" s="175">
        <f>IF(SUM(P56:P64)=0,"",IFERROR(P56/Q56,""))</f>
        <v>2.3532792189389529</v>
      </c>
      <c r="T56" s="171">
        <f t="shared" si="106"/>
        <v>7280</v>
      </c>
      <c r="U56" s="159">
        <f t="shared" si="107"/>
        <v>8886.7595782994631</v>
      </c>
      <c r="V56" s="159">
        <f t="shared" si="17"/>
        <v>-1606.7595782994631</v>
      </c>
      <c r="W56" s="175">
        <f t="shared" ref="W56" si="192">IF(SUM(T56:T64)=0,"",IFERROR(T56/U56,""))</f>
        <v>0.81919623636235173</v>
      </c>
      <c r="X56" s="171">
        <f t="shared" si="109"/>
        <v>7509</v>
      </c>
      <c r="Y56" s="159">
        <f t="shared" si="110"/>
        <v>8765.1559045075755</v>
      </c>
      <c r="Z56" s="159">
        <f t="shared" si="18"/>
        <v>-1256.1559045075755</v>
      </c>
      <c r="AA56" s="175">
        <f t="shared" ref="AA56" si="193">IF(SUM(X56:X64)=0,"",IFERROR(X56/Y56,""))</f>
        <v>0.85668755716466105</v>
      </c>
      <c r="AB56" s="171">
        <f t="shared" si="112"/>
        <v>0</v>
      </c>
      <c r="AC56" s="159">
        <f t="shared" si="113"/>
        <v>0</v>
      </c>
      <c r="AD56" s="159">
        <f t="shared" si="19"/>
        <v>0</v>
      </c>
      <c r="AE56" s="175" t="str">
        <f t="shared" ref="AE56" si="194">IF(SUM(AB56:AB64)=0,"",IFERROR(AB56/AC56,""))</f>
        <v/>
      </c>
      <c r="AF56" s="171">
        <f t="shared" si="115"/>
        <v>30187</v>
      </c>
      <c r="AG56" s="159">
        <f t="shared" si="116"/>
        <v>36266.193381391866</v>
      </c>
      <c r="AH56" s="159">
        <f t="shared" si="20"/>
        <v>-6079.1933813918658</v>
      </c>
      <c r="AI56" s="187">
        <f t="shared" ref="AI56" si="195">IF(SUM(AF56:AF64)=0,"",IFERROR(AF56/AG56,""))</f>
        <v>0.83237299494158956</v>
      </c>
      <c r="AJ56" s="157">
        <f t="shared" si="191"/>
        <v>4</v>
      </c>
    </row>
    <row r="57" spans="1:36" ht="24.95" customHeight="1" x14ac:dyDescent="0.25">
      <c r="A57" s="182" t="str">
        <f t="shared" si="26"/>
        <v>سرخس</v>
      </c>
      <c r="B57" s="216"/>
      <c r="C57" s="167" t="str">
        <f t="shared" si="27"/>
        <v>مرداد</v>
      </c>
      <c r="D57" s="171">
        <f>SUM('مقایسه بودجه- صادرات'!D57,'مقایسه بودجه- واردات'!D57)</f>
        <v>4003</v>
      </c>
      <c r="E57" s="159">
        <f>SUM('مقایسه بودجه- صادرات'!E57,'مقایسه بودجه- واردات'!E57)</f>
        <v>2701.8301620631669</v>
      </c>
      <c r="F57" s="159">
        <f t="shared" si="13"/>
        <v>1301.1698379368331</v>
      </c>
      <c r="G57" s="175">
        <f>IF(SUM(D57:D64)=0,"",IFERROR(D57/E57,""))</f>
        <v>1.481588316026214</v>
      </c>
      <c r="H57" s="171">
        <f>SUM('مقایسه بودجه- صادرات'!H57,'مقایسه بودجه- واردات'!H57)</f>
        <v>2096</v>
      </c>
      <c r="I57" s="159">
        <f>SUM('مقایسه بودجه- صادرات'!I57,'مقایسه بودجه- واردات'!I57)</f>
        <v>2542.7031058118337</v>
      </c>
      <c r="J57" s="159">
        <f t="shared" si="14"/>
        <v>-446.70310581183367</v>
      </c>
      <c r="K57" s="175">
        <f>IF(SUM(H57:H64)=0,"",IFERROR(H57/I57,""))</f>
        <v>0.82431959720707915</v>
      </c>
      <c r="L57" s="171">
        <f>SUM('مقایسه بودجه- صادرات'!L57,'مقایسه بودجه- واردات'!L57)</f>
        <v>0</v>
      </c>
      <c r="M57" s="159">
        <f>SUM('مقایسه بودجه- صادرات'!M57,'مقایسه بودجه- واردات'!M57)</f>
        <v>0</v>
      </c>
      <c r="N57" s="159">
        <f t="shared" si="15"/>
        <v>0</v>
      </c>
      <c r="O57" s="175" t="str">
        <f>IF(SUM(L57:L64)=0,"",IFERROR(L57/M57,""))</f>
        <v/>
      </c>
      <c r="P57" s="171">
        <f>SUM('مقایسه بودجه- صادرات'!P57,'مقایسه بودجه- واردات'!P57)</f>
        <v>11957</v>
      </c>
      <c r="Q57" s="159">
        <f>SUM('مقایسه بودجه- صادرات'!Q57,'مقایسه بودجه- واردات'!Q57)</f>
        <v>3549.0901091480987</v>
      </c>
      <c r="R57" s="159">
        <f t="shared" si="16"/>
        <v>8407.9098908519009</v>
      </c>
      <c r="S57" s="175">
        <f>IF(SUM(P57:P64)=0,"",IFERROR(P57/Q57,""))</f>
        <v>3.3690325216538621</v>
      </c>
      <c r="T57" s="171">
        <f t="shared" si="106"/>
        <v>11283</v>
      </c>
      <c r="U57" s="159">
        <f t="shared" si="107"/>
        <v>11588.58974036263</v>
      </c>
      <c r="V57" s="159">
        <f t="shared" si="17"/>
        <v>-305.58974036262953</v>
      </c>
      <c r="W57" s="175">
        <f t="shared" ref="W57" si="196">IF(SUM(T57:T64)=0,"",IFERROR(T57/U57,""))</f>
        <v>0.9736301183138556</v>
      </c>
      <c r="X57" s="171">
        <f t="shared" si="109"/>
        <v>9605</v>
      </c>
      <c r="Y57" s="159">
        <f t="shared" si="110"/>
        <v>11307.859010319409</v>
      </c>
      <c r="Z57" s="159">
        <f t="shared" si="18"/>
        <v>-1702.8590103194092</v>
      </c>
      <c r="AA57" s="175">
        <f t="shared" ref="AA57" si="197">IF(SUM(X57:X64)=0,"",IFERROR(X57/Y57,""))</f>
        <v>0.84940924636879522</v>
      </c>
      <c r="AB57" s="171">
        <f t="shared" si="112"/>
        <v>0</v>
      </c>
      <c r="AC57" s="159">
        <f t="shared" si="113"/>
        <v>0</v>
      </c>
      <c r="AD57" s="159">
        <f t="shared" si="19"/>
        <v>0</v>
      </c>
      <c r="AE57" s="175" t="str">
        <f t="shared" ref="AE57" si="198">IF(SUM(AB57:AB64)=0,"",IFERROR(AB57/AC57,""))</f>
        <v/>
      </c>
      <c r="AF57" s="171">
        <f t="shared" si="115"/>
        <v>42144</v>
      </c>
      <c r="AG57" s="159">
        <f t="shared" si="116"/>
        <v>39815.283490539965</v>
      </c>
      <c r="AH57" s="159">
        <f t="shared" si="20"/>
        <v>2328.716509460035</v>
      </c>
      <c r="AI57" s="187">
        <f t="shared" ref="AI57" si="199">IF(SUM(AF57:AF64)=0,"",IFERROR(AF57/AG57,""))</f>
        <v>1.058488005240835</v>
      </c>
      <c r="AJ57" s="157">
        <f t="shared" si="191"/>
        <v>5</v>
      </c>
    </row>
    <row r="58" spans="1:36" ht="24.95" customHeight="1" x14ac:dyDescent="0.25">
      <c r="A58" s="182" t="str">
        <f t="shared" si="26"/>
        <v>سرخس</v>
      </c>
      <c r="B58" s="216"/>
      <c r="C58" s="167" t="str">
        <f t="shared" si="27"/>
        <v>شهریور</v>
      </c>
      <c r="D58" s="171">
        <f>SUM('مقایسه بودجه- صادرات'!D58,'مقایسه بودجه- واردات'!D58)</f>
        <v>2703</v>
      </c>
      <c r="E58" s="159">
        <f>SUM('مقایسه بودجه- صادرات'!E58,'مقایسه بودجه- واردات'!E58)</f>
        <v>2701.8301620631669</v>
      </c>
      <c r="F58" s="159">
        <f t="shared" si="13"/>
        <v>1.1698379368331189</v>
      </c>
      <c r="G58" s="175">
        <f>IF(SUM(D58:D64)=0,"",IFERROR(D58/E58,""))</f>
        <v>1.0004329798198492</v>
      </c>
      <c r="H58" s="171">
        <f>SUM('مقایسه بودجه- صادرات'!H58,'مقایسه بودجه- واردات'!H58)</f>
        <v>3423</v>
      </c>
      <c r="I58" s="159">
        <f>SUM('مقایسه بودجه- صادرات'!I58,'مقایسه بودجه- واردات'!I58)</f>
        <v>2542.7031058118337</v>
      </c>
      <c r="J58" s="159">
        <f t="shared" si="14"/>
        <v>880.29689418816633</v>
      </c>
      <c r="K58" s="175">
        <f>IF(SUM(H58:H64)=0,"",IFERROR(H58/I58,""))</f>
        <v>1.3462051437212939</v>
      </c>
      <c r="L58" s="171">
        <f>SUM('مقایسه بودجه- صادرات'!L58,'مقایسه بودجه- واردات'!L58)</f>
        <v>0</v>
      </c>
      <c r="M58" s="159">
        <f>SUM('مقایسه بودجه- صادرات'!M58,'مقایسه بودجه- واردات'!M58)</f>
        <v>0</v>
      </c>
      <c r="N58" s="159">
        <f t="shared" si="15"/>
        <v>0</v>
      </c>
      <c r="O58" s="175" t="str">
        <f>IF(SUM(L58:L64)=0,"",IFERROR(L58/M58,""))</f>
        <v/>
      </c>
      <c r="P58" s="171">
        <f>SUM('مقایسه بودجه- صادرات'!P58,'مقایسه بودجه- واردات'!P58)</f>
        <v>14592</v>
      </c>
      <c r="Q58" s="159">
        <f>SUM('مقایسه بودجه- صادرات'!Q58,'مقایسه بودجه- واردات'!Q58)</f>
        <v>3549.0901091480987</v>
      </c>
      <c r="R58" s="159">
        <f t="shared" si="16"/>
        <v>11042.909890851901</v>
      </c>
      <c r="S58" s="175">
        <f>IF(SUM(P58:P64)=0,"",IFERROR(P58/Q58,""))</f>
        <v>4.111476336537021</v>
      </c>
      <c r="T58" s="171">
        <f t="shared" si="106"/>
        <v>13986</v>
      </c>
      <c r="U58" s="159">
        <f t="shared" si="107"/>
        <v>14290.419902425796</v>
      </c>
      <c r="V58" s="159">
        <f t="shared" si="17"/>
        <v>-304.41990242579595</v>
      </c>
      <c r="W58" s="175">
        <f t="shared" ref="W58" si="200">IF(SUM(T58:T64)=0,"",IFERROR(T58/U58,""))</f>
        <v>0.97869762368745228</v>
      </c>
      <c r="X58" s="171">
        <f t="shared" si="109"/>
        <v>13028</v>
      </c>
      <c r="Y58" s="159">
        <f t="shared" si="110"/>
        <v>13850.562116131243</v>
      </c>
      <c r="Z58" s="159">
        <f t="shared" si="18"/>
        <v>-822.56211613124287</v>
      </c>
      <c r="AA58" s="175">
        <f t="shared" ref="AA58" si="201">IF(SUM(X58:X64)=0,"",IFERROR(X58/Y58,""))</f>
        <v>0.94061164382828655</v>
      </c>
      <c r="AB58" s="171">
        <f t="shared" si="112"/>
        <v>0</v>
      </c>
      <c r="AC58" s="159">
        <f t="shared" si="113"/>
        <v>0</v>
      </c>
      <c r="AD58" s="159">
        <f t="shared" si="19"/>
        <v>0</v>
      </c>
      <c r="AE58" s="175" t="str">
        <f t="shared" ref="AE58" si="202">IF(SUM(AB58:AB64)=0,"",IFERROR(AB58/AC58,""))</f>
        <v/>
      </c>
      <c r="AF58" s="171">
        <f t="shared" si="115"/>
        <v>56736</v>
      </c>
      <c r="AG58" s="159">
        <f t="shared" si="116"/>
        <v>43364.373599688064</v>
      </c>
      <c r="AH58" s="159">
        <f t="shared" si="20"/>
        <v>13371.626400311936</v>
      </c>
      <c r="AI58" s="187">
        <f t="shared" ref="AI58" si="203">IF(SUM(AF58:AF64)=0,"",IFERROR(AF58/AG58,""))</f>
        <v>1.308355114817296</v>
      </c>
      <c r="AJ58" s="157">
        <f t="shared" si="191"/>
        <v>6</v>
      </c>
    </row>
    <row r="59" spans="1:36" ht="24.95" customHeight="1" x14ac:dyDescent="0.25">
      <c r="A59" s="182" t="str">
        <f t="shared" si="26"/>
        <v>سرخس</v>
      </c>
      <c r="B59" s="216"/>
      <c r="C59" s="167" t="str">
        <f t="shared" si="27"/>
        <v>مهر</v>
      </c>
      <c r="D59" s="171">
        <f>SUM('مقایسه بودجه- صادرات'!D59,'مقایسه بودجه- واردات'!D59)</f>
        <v>3183</v>
      </c>
      <c r="E59" s="159">
        <f>SUM('مقایسه بودجه- صادرات'!E59,'مقایسه بودجه- واردات'!E59)</f>
        <v>3422.751389702833</v>
      </c>
      <c r="F59" s="159">
        <f t="shared" si="13"/>
        <v>-239.75138970283297</v>
      </c>
      <c r="G59" s="175">
        <f>IF(SUM(D59:D64)=0,"",IFERROR(D59/E59,""))</f>
        <v>0.92995360679010686</v>
      </c>
      <c r="H59" s="171">
        <f>SUM('مقایسه بودجه- صادرات'!H59,'مقایسه بودجه- واردات'!H59)</f>
        <v>2946</v>
      </c>
      <c r="I59" s="159">
        <f>SUM('مقایسه بودجه- صادرات'!I59,'مقایسه بودجه- واردات'!I59)</f>
        <v>2849.4769874139329</v>
      </c>
      <c r="J59" s="159">
        <f t="shared" si="14"/>
        <v>96.523012586067125</v>
      </c>
      <c r="K59" s="175">
        <f>IF(SUM(H59:H64)=0,"",IFERROR(H59/I59,""))</f>
        <v>1.0338739400291375</v>
      </c>
      <c r="L59" s="171">
        <f>SUM('مقایسه بودجه- صادرات'!L59,'مقایسه بودجه- واردات'!L59)</f>
        <v>0</v>
      </c>
      <c r="M59" s="159">
        <f>SUM('مقایسه بودجه- صادرات'!M59,'مقایسه بودجه- واردات'!M59)</f>
        <v>0</v>
      </c>
      <c r="N59" s="159">
        <f t="shared" si="15"/>
        <v>0</v>
      </c>
      <c r="O59" s="175" t="str">
        <f>IF(SUM(L59:L64)=0,"",IFERROR(L59/M59,""))</f>
        <v/>
      </c>
      <c r="P59" s="171">
        <f>SUM('مقایسه بودجه- صادرات'!P59,'مقایسه بودجه- واردات'!P59)</f>
        <v>14671</v>
      </c>
      <c r="Q59" s="159">
        <f>SUM('مقایسه بودجه- صادرات'!Q59,'مقایسه بودجه- واردات'!Q59)</f>
        <v>4449.4421334373119</v>
      </c>
      <c r="R59" s="159">
        <f t="shared" si="16"/>
        <v>10221.557866562689</v>
      </c>
      <c r="S59" s="175">
        <f>IF(SUM(P59:P64)=0,"",IFERROR(P59/Q59,""))</f>
        <v>3.2972672888019479</v>
      </c>
      <c r="T59" s="171">
        <f t="shared" si="106"/>
        <v>17169</v>
      </c>
      <c r="U59" s="159">
        <f t="shared" si="107"/>
        <v>17713.171292128631</v>
      </c>
      <c r="V59" s="159">
        <f t="shared" si="17"/>
        <v>-544.17129212863074</v>
      </c>
      <c r="W59" s="175">
        <f t="shared" ref="W59" si="204">IF(SUM(T59:T64)=0,"",IFERROR(T59/U59,""))</f>
        <v>0.96927872015947536</v>
      </c>
      <c r="X59" s="171">
        <f t="shared" si="109"/>
        <v>15974</v>
      </c>
      <c r="Y59" s="159">
        <f t="shared" si="110"/>
        <v>16700.039103545176</v>
      </c>
      <c r="Z59" s="159">
        <f t="shared" si="18"/>
        <v>-726.03910354517575</v>
      </c>
      <c r="AA59" s="175">
        <f t="shared" ref="AA59" si="205">IF(SUM(X59:X64)=0,"",IFERROR(X59/Y59,""))</f>
        <v>0.9565247063768223</v>
      </c>
      <c r="AB59" s="171">
        <f t="shared" si="112"/>
        <v>0</v>
      </c>
      <c r="AC59" s="159">
        <f t="shared" si="113"/>
        <v>0</v>
      </c>
      <c r="AD59" s="159">
        <f t="shared" si="19"/>
        <v>0</v>
      </c>
      <c r="AE59" s="175" t="str">
        <f t="shared" ref="AE59" si="206">IF(SUM(AB59:AB64)=0,"",IFERROR(AB59/AC59,""))</f>
        <v/>
      </c>
      <c r="AF59" s="171">
        <f t="shared" si="115"/>
        <v>71407</v>
      </c>
      <c r="AG59" s="159">
        <f t="shared" si="116"/>
        <v>47813.815733125375</v>
      </c>
      <c r="AH59" s="159">
        <f t="shared" si="20"/>
        <v>23593.184266874625</v>
      </c>
      <c r="AI59" s="187">
        <f t="shared" ref="AI59" si="207">IF(SUM(AF59:AF64)=0,"",IFERROR(AF59/AG59,""))</f>
        <v>1.4934386412195353</v>
      </c>
      <c r="AJ59" s="157">
        <f t="shared" si="191"/>
        <v>7</v>
      </c>
    </row>
    <row r="60" spans="1:36" ht="24.95" customHeight="1" x14ac:dyDescent="0.25">
      <c r="A60" s="182" t="str">
        <f t="shared" si="26"/>
        <v>سرخس</v>
      </c>
      <c r="B60" s="216"/>
      <c r="C60" s="167" t="str">
        <f t="shared" si="27"/>
        <v>آبان</v>
      </c>
      <c r="D60" s="171">
        <f>SUM('مقایسه بودجه- صادرات'!D60,'مقایسه بودجه- واردات'!D60)</f>
        <v>4223</v>
      </c>
      <c r="E60" s="159">
        <f>SUM('مقایسه بودجه- صادرات'!E60,'مقایسه بودجه- واردات'!E60)</f>
        <v>3422.751389702833</v>
      </c>
      <c r="F60" s="159">
        <f t="shared" si="13"/>
        <v>800.24861029716703</v>
      </c>
      <c r="G60" s="175">
        <f>IF(SUM(D60:D64)=0,"",IFERROR(D60/E60,""))</f>
        <v>1.2338027274503993</v>
      </c>
      <c r="H60" s="171">
        <f>SUM('مقایسه بودجه- صادرات'!H60,'مقایسه بودجه- واردات'!H60)</f>
        <v>3815</v>
      </c>
      <c r="I60" s="159">
        <f>SUM('مقایسه بودجه- صادرات'!I60,'مقایسه بودجه- واردات'!I60)</f>
        <v>2849.4769874139329</v>
      </c>
      <c r="J60" s="159">
        <f t="shared" si="14"/>
        <v>965.52301258606713</v>
      </c>
      <c r="K60" s="175">
        <f>IF(SUM(H60:H64)=0,"",IFERROR(H60/I60,""))</f>
        <v>1.3388421864260556</v>
      </c>
      <c r="L60" s="171">
        <f>SUM('مقایسه بودجه- صادرات'!L60,'مقایسه بودجه- واردات'!L60)</f>
        <v>0</v>
      </c>
      <c r="M60" s="159">
        <f>SUM('مقایسه بودجه- صادرات'!M60,'مقایسه بودجه- واردات'!M60)</f>
        <v>0</v>
      </c>
      <c r="N60" s="159">
        <f t="shared" si="15"/>
        <v>0</v>
      </c>
      <c r="O60" s="175" t="str">
        <f>IF(SUM(L60:L64)=0,"",IFERROR(L60/M60,""))</f>
        <v/>
      </c>
      <c r="P60" s="171">
        <f>SUM('مقایسه بودجه- صادرات'!P60,'مقایسه بودجه- واردات'!P60)</f>
        <v>14098</v>
      </c>
      <c r="Q60" s="159">
        <f>SUM('مقایسه بودجه- صادرات'!Q60,'مقایسه بودجه- واردات'!Q60)</f>
        <v>4449.4421334373119</v>
      </c>
      <c r="R60" s="159">
        <f t="shared" si="16"/>
        <v>9648.557866562689</v>
      </c>
      <c r="S60" s="175">
        <f>IF(SUM(P60:P64)=0,"",IFERROR(P60/Q60,""))</f>
        <v>3.1684870995521681</v>
      </c>
      <c r="T60" s="171">
        <f t="shared" si="106"/>
        <v>21392</v>
      </c>
      <c r="U60" s="159">
        <f t="shared" si="107"/>
        <v>21135.922681831464</v>
      </c>
      <c r="V60" s="159">
        <f t="shared" si="17"/>
        <v>256.07731816853629</v>
      </c>
      <c r="W60" s="175">
        <f t="shared" ref="W60" si="208">IF(SUM(T60:T64)=0,"",IFERROR(T60/U60,""))</f>
        <v>1.0121157387838413</v>
      </c>
      <c r="X60" s="171">
        <f t="shared" si="109"/>
        <v>19789</v>
      </c>
      <c r="Y60" s="159">
        <f t="shared" si="110"/>
        <v>19549.516090959107</v>
      </c>
      <c r="Z60" s="159">
        <f t="shared" si="18"/>
        <v>239.4839090408932</v>
      </c>
      <c r="AA60" s="175">
        <f t="shared" ref="AA60" si="209">IF(SUM(X60:X64)=0,"",IFERROR(X60/Y60,""))</f>
        <v>1.0122501195388487</v>
      </c>
      <c r="AB60" s="171">
        <f t="shared" si="112"/>
        <v>0</v>
      </c>
      <c r="AC60" s="159">
        <f t="shared" si="113"/>
        <v>0</v>
      </c>
      <c r="AD60" s="159">
        <f t="shared" si="19"/>
        <v>0</v>
      </c>
      <c r="AE60" s="175" t="str">
        <f t="shared" ref="AE60" si="210">IF(SUM(AB60:AB64)=0,"",IFERROR(AB60/AC60,""))</f>
        <v/>
      </c>
      <c r="AF60" s="171">
        <f t="shared" si="115"/>
        <v>85505</v>
      </c>
      <c r="AG60" s="159">
        <f t="shared" si="116"/>
        <v>52263.257866562686</v>
      </c>
      <c r="AH60" s="159">
        <f t="shared" si="20"/>
        <v>33241.742133437314</v>
      </c>
      <c r="AI60" s="187">
        <f t="shared" ref="AI60" si="211">IF(SUM(AF60:AF64)=0,"",IFERROR(AF60/AG60,""))</f>
        <v>1.6360442018044368</v>
      </c>
      <c r="AJ60" s="157">
        <f t="shared" si="191"/>
        <v>8</v>
      </c>
    </row>
    <row r="61" spans="1:36" ht="24.95" customHeight="1" x14ac:dyDescent="0.25">
      <c r="A61" s="182" t="str">
        <f t="shared" si="26"/>
        <v>سرخس</v>
      </c>
      <c r="B61" s="216"/>
      <c r="C61" s="167" t="str">
        <f t="shared" si="27"/>
        <v>آذر</v>
      </c>
      <c r="D61" s="171">
        <f>SUM('مقایسه بودجه- صادرات'!D61,'مقایسه بودجه- واردات'!D61)</f>
        <v>2828</v>
      </c>
      <c r="E61" s="159">
        <f>SUM('مقایسه بودجه- صادرات'!E61,'مقایسه بودجه- واردات'!E61)</f>
        <v>3422.751389702833</v>
      </c>
      <c r="F61" s="159">
        <f t="shared" si="13"/>
        <v>-594.75138970283297</v>
      </c>
      <c r="G61" s="175">
        <f>IF(SUM(D61:D64)=0,"",IFERROR(D61/E61,""))</f>
        <v>0.82623587810318</v>
      </c>
      <c r="H61" s="171">
        <f>SUM('مقایسه بودجه- صادرات'!H61,'مقایسه بودجه- واردات'!H61)</f>
        <v>3613</v>
      </c>
      <c r="I61" s="159">
        <f>SUM('مقایسه بودجه- صادرات'!I61,'مقایسه بودجه- واردات'!I61)</f>
        <v>2849.4769874139329</v>
      </c>
      <c r="J61" s="159">
        <f t="shared" si="14"/>
        <v>763.52301258606713</v>
      </c>
      <c r="K61" s="175">
        <f>IF(SUM(H61:H64)=0,"",IFERROR(H61/I61,""))</f>
        <v>1.2679519841565763</v>
      </c>
      <c r="L61" s="171">
        <f>SUM('مقایسه بودجه- صادرات'!L61,'مقایسه بودجه- واردات'!L61)</f>
        <v>0</v>
      </c>
      <c r="M61" s="159">
        <f>SUM('مقایسه بودجه- صادرات'!M61,'مقایسه بودجه- واردات'!M61)</f>
        <v>0</v>
      </c>
      <c r="N61" s="159">
        <f t="shared" si="15"/>
        <v>0</v>
      </c>
      <c r="O61" s="175" t="str">
        <f>IF(SUM(L61:L64)=0,"",IFERROR(L61/M61,""))</f>
        <v/>
      </c>
      <c r="P61" s="171">
        <f>SUM('مقایسه بودجه- صادرات'!P61,'مقایسه بودجه- واردات'!P61)</f>
        <v>14619</v>
      </c>
      <c r="Q61" s="159">
        <f>SUM('مقایسه بودجه- صادرات'!Q61,'مقایسه بودجه- واردات'!Q61)</f>
        <v>4449.4421334373119</v>
      </c>
      <c r="R61" s="159">
        <f t="shared" si="16"/>
        <v>10169.557866562689</v>
      </c>
      <c r="S61" s="175">
        <f>IF(SUM(P61:P64)=0,"",IFERROR(P61/Q61,""))</f>
        <v>3.2855804304407115</v>
      </c>
      <c r="T61" s="171">
        <f t="shared" si="106"/>
        <v>24220</v>
      </c>
      <c r="U61" s="159">
        <f t="shared" si="107"/>
        <v>24558.674071534297</v>
      </c>
      <c r="V61" s="159">
        <f t="shared" si="17"/>
        <v>-338.67407153429667</v>
      </c>
      <c r="W61" s="175">
        <f t="shared" ref="W61" si="212">IF(SUM(T61:T64)=0,"",IFERROR(T61/U61,""))</f>
        <v>0.98620959459994417</v>
      </c>
      <c r="X61" s="171">
        <f t="shared" si="109"/>
        <v>23402</v>
      </c>
      <c r="Y61" s="159">
        <f t="shared" si="110"/>
        <v>22398.993078373038</v>
      </c>
      <c r="Z61" s="159">
        <f t="shared" si="18"/>
        <v>1003.0069216269621</v>
      </c>
      <c r="AA61" s="175">
        <f t="shared" ref="AA61" si="213">IF(SUM(X61:X64)=0,"",IFERROR(X61/Y61,""))</f>
        <v>1.044779107619592</v>
      </c>
      <c r="AB61" s="171">
        <f t="shared" si="112"/>
        <v>0</v>
      </c>
      <c r="AC61" s="159">
        <f t="shared" si="113"/>
        <v>0</v>
      </c>
      <c r="AD61" s="159">
        <f t="shared" si="19"/>
        <v>0</v>
      </c>
      <c r="AE61" s="175" t="str">
        <f t="shared" ref="AE61" si="214">IF(SUM(AB61:AB64)=0,"",IFERROR(AB61/AC61,""))</f>
        <v/>
      </c>
      <c r="AF61" s="171">
        <f t="shared" si="115"/>
        <v>100124</v>
      </c>
      <c r="AG61" s="159">
        <f t="shared" si="116"/>
        <v>56712.7</v>
      </c>
      <c r="AH61" s="159">
        <f t="shared" si="20"/>
        <v>43411.3</v>
      </c>
      <c r="AI61" s="187">
        <f t="shared" ref="AI61" si="215">IF(SUM(AF61:AF64)=0,"",IFERROR(AF61/AG61,""))</f>
        <v>1.7654599410714003</v>
      </c>
      <c r="AJ61" s="157">
        <f t="shared" si="191"/>
        <v>9</v>
      </c>
    </row>
    <row r="62" spans="1:36" ht="24.95" customHeight="1" x14ac:dyDescent="0.25">
      <c r="A62" s="182" t="str">
        <f t="shared" si="26"/>
        <v>سرخس</v>
      </c>
      <c r="B62" s="216"/>
      <c r="C62" s="167" t="str">
        <f t="shared" si="27"/>
        <v>دی</v>
      </c>
      <c r="D62" s="171">
        <f>SUM('مقایسه بودجه- صادرات'!D62,'مقایسه بودجه- واردات'!D62)</f>
        <v>2009</v>
      </c>
      <c r="E62" s="159">
        <f>SUM('مقایسه بودجه- صادرات'!E62,'مقایسه بودجه- واردات'!E62)</f>
        <v>1943.6228051901446</v>
      </c>
      <c r="F62" s="159">
        <f t="shared" si="13"/>
        <v>65.377194809855382</v>
      </c>
      <c r="G62" s="175">
        <f>IF(SUM(D62:D64)=0,"",IFERROR(D62/E62,""))</f>
        <v>1.0336367707948659</v>
      </c>
      <c r="H62" s="171">
        <f>SUM('مقایسه بودجه- صادرات'!H62,'مقایسه بودجه- واردات'!H62)</f>
        <v>2240</v>
      </c>
      <c r="I62" s="159">
        <f>SUM('مقایسه بودجه- صادرات'!I62,'مقایسه بودجه- واردات'!I62)</f>
        <v>1905.1605264765117</v>
      </c>
      <c r="J62" s="159">
        <f t="shared" si="14"/>
        <v>334.83947352348832</v>
      </c>
      <c r="K62" s="175">
        <f>IF(SUM(H62:H64)=0,"",IFERROR(H62/I62,""))</f>
        <v>1.1757539424474406</v>
      </c>
      <c r="L62" s="171">
        <f>SUM('مقایسه بودجه- صادرات'!L62,'مقایسه بودجه- واردات'!L62)</f>
        <v>0</v>
      </c>
      <c r="M62" s="159">
        <f>SUM('مقایسه بودجه- صادرات'!M62,'مقایسه بودجه- واردات'!M62)</f>
        <v>0</v>
      </c>
      <c r="N62" s="159">
        <f t="shared" si="15"/>
        <v>0</v>
      </c>
      <c r="O62" s="175" t="str">
        <f>IF(SUM(L62:L64)=0,"",IFERROR(L62/M62,""))</f>
        <v/>
      </c>
      <c r="P62" s="171">
        <f>SUM('مقایسه بودجه- صادرات'!P62,'مقایسه بودجه- واردات'!P62)</f>
        <v>17629</v>
      </c>
      <c r="Q62" s="159">
        <f>SUM('مقایسه بودجه- صادرات'!Q62,'مقایسه بودجه- واردات'!Q62)</f>
        <v>5166.1048262797194</v>
      </c>
      <c r="R62" s="159">
        <f t="shared" si="16"/>
        <v>12462.895173720281</v>
      </c>
      <c r="S62" s="175">
        <f>IF(SUM(P62:P64)=0,"",IFERROR(P62/Q62,""))</f>
        <v>3.4124355956391264</v>
      </c>
      <c r="T62" s="171">
        <f t="shared" si="106"/>
        <v>26229</v>
      </c>
      <c r="U62" s="159">
        <f t="shared" si="107"/>
        <v>26502.296876724442</v>
      </c>
      <c r="V62" s="159">
        <f t="shared" si="17"/>
        <v>-273.29687672444197</v>
      </c>
      <c r="W62" s="175">
        <f t="shared" ref="W62" si="216">IF(SUM(T62:T64)=0,"",IFERROR(T62/U62,""))</f>
        <v>0.9896878041176701</v>
      </c>
      <c r="X62" s="171">
        <f t="shared" si="109"/>
        <v>25642</v>
      </c>
      <c r="Y62" s="159">
        <f t="shared" si="110"/>
        <v>24304.153604849551</v>
      </c>
      <c r="Z62" s="159">
        <f t="shared" si="18"/>
        <v>1337.8463951504491</v>
      </c>
      <c r="AA62" s="175">
        <f t="shared" ref="AA62" si="217">IF(SUM(X62:X64)=0,"",IFERROR(X62/Y62,""))</f>
        <v>1.0550459981821174</v>
      </c>
      <c r="AB62" s="171">
        <f t="shared" si="112"/>
        <v>0</v>
      </c>
      <c r="AC62" s="159">
        <f t="shared" si="113"/>
        <v>0</v>
      </c>
      <c r="AD62" s="159">
        <f t="shared" si="19"/>
        <v>0</v>
      </c>
      <c r="AE62" s="175" t="str">
        <f t="shared" ref="AE62" si="218">IF(SUM(AB62:AB64)=0,"",IFERROR(AB62/AC62,""))</f>
        <v/>
      </c>
      <c r="AF62" s="171">
        <f t="shared" si="115"/>
        <v>117753</v>
      </c>
      <c r="AG62" s="159">
        <f t="shared" si="116"/>
        <v>61878.804826279717</v>
      </c>
      <c r="AH62" s="159">
        <f t="shared" si="20"/>
        <v>55874.195173720283</v>
      </c>
      <c r="AI62" s="187">
        <f t="shared" ref="AI62" si="219">IF(SUM(AF62:AF64)=0,"",IFERROR(AF62/AG62,""))</f>
        <v>1.9029617706835653</v>
      </c>
      <c r="AJ62" s="157">
        <f t="shared" si="191"/>
        <v>10</v>
      </c>
    </row>
    <row r="63" spans="1:36" ht="24.95" customHeight="1" x14ac:dyDescent="0.25">
      <c r="A63" s="182" t="str">
        <f t="shared" si="26"/>
        <v>سرخس</v>
      </c>
      <c r="B63" s="216"/>
      <c r="C63" s="167" t="str">
        <f t="shared" si="27"/>
        <v>بهمن</v>
      </c>
      <c r="D63" s="171">
        <f>SUM('مقایسه بودجه- صادرات'!D63,'مقایسه بودجه- واردات'!D63)</f>
        <v>2542</v>
      </c>
      <c r="E63" s="159">
        <f>SUM('مقایسه بودجه- صادرات'!E63,'مقایسه بودجه- واردات'!E63)</f>
        <v>1943.6228051901446</v>
      </c>
      <c r="F63" s="159">
        <f t="shared" si="13"/>
        <v>598.37719480985538</v>
      </c>
      <c r="G63" s="175">
        <f>IF(SUM(D63:D64)=0,"",IFERROR(D63/E63,""))</f>
        <v>1.3078669344751366</v>
      </c>
      <c r="H63" s="171">
        <f>SUM('مقایسه بودجه- صادرات'!H63,'مقایسه بودجه- واردات'!H63)</f>
        <v>2325</v>
      </c>
      <c r="I63" s="159">
        <f>SUM('مقایسه بودجه- صادرات'!I63,'مقایسه بودجه- واردات'!I63)</f>
        <v>1905.1605264765117</v>
      </c>
      <c r="J63" s="159">
        <f t="shared" si="14"/>
        <v>419.83947352348832</v>
      </c>
      <c r="K63" s="175">
        <f>IF(SUM(H63:H64)=0,"",IFERROR(H63/I63,""))</f>
        <v>1.2203696054420978</v>
      </c>
      <c r="L63" s="171">
        <f>SUM('مقایسه بودجه- صادرات'!L63,'مقایسه بودجه- واردات'!L63)</f>
        <v>0</v>
      </c>
      <c r="M63" s="159">
        <f>SUM('مقایسه بودجه- صادرات'!M63,'مقایسه بودجه- واردات'!M63)</f>
        <v>0</v>
      </c>
      <c r="N63" s="159">
        <f t="shared" si="15"/>
        <v>0</v>
      </c>
      <c r="O63" s="175" t="str">
        <f>IF(SUM(L63:L64)=0,"",IFERROR(L63/M63,""))</f>
        <v/>
      </c>
      <c r="P63" s="171">
        <f>SUM('مقایسه بودجه- صادرات'!P63,'مقایسه بودجه- واردات'!P63)</f>
        <v>18635</v>
      </c>
      <c r="Q63" s="159">
        <f>SUM('مقایسه بودجه- صادرات'!Q63,'مقایسه بودجه- واردات'!Q63)</f>
        <v>5166.1048262797194</v>
      </c>
      <c r="R63" s="159">
        <f t="shared" si="16"/>
        <v>13468.895173720281</v>
      </c>
      <c r="S63" s="175">
        <f>IF(SUM(P63:P64)=0,"",IFERROR(P63/Q63,""))</f>
        <v>3.607166448734195</v>
      </c>
      <c r="T63" s="171">
        <f t="shared" si="106"/>
        <v>28771</v>
      </c>
      <c r="U63" s="159">
        <f t="shared" si="107"/>
        <v>28445.919681914587</v>
      </c>
      <c r="V63" s="159">
        <f t="shared" si="17"/>
        <v>325.08031808541273</v>
      </c>
      <c r="W63" s="175">
        <f t="shared" ref="W63" si="220">IF(SUM(T63:T64)=0,"",IFERROR(T63/U63,""))</f>
        <v>1.0114280122323516</v>
      </c>
      <c r="X63" s="171">
        <f t="shared" si="109"/>
        <v>27967</v>
      </c>
      <c r="Y63" s="159">
        <f t="shared" si="110"/>
        <v>26209.314131326064</v>
      </c>
      <c r="Z63" s="159">
        <f t="shared" si="18"/>
        <v>1757.6858686739361</v>
      </c>
      <c r="AA63" s="175">
        <f t="shared" ref="AA63" si="221">IF(SUM(X63:X64)=0,"",IFERROR(X63/Y63,""))</f>
        <v>1.0670634057750144</v>
      </c>
      <c r="AB63" s="171">
        <f t="shared" si="112"/>
        <v>0</v>
      </c>
      <c r="AC63" s="159">
        <f t="shared" si="113"/>
        <v>0</v>
      </c>
      <c r="AD63" s="159">
        <f t="shared" si="19"/>
        <v>0</v>
      </c>
      <c r="AE63" s="175" t="str">
        <f t="shared" ref="AE63" si="222">IF(SUM(AB63:AB64)=0,"",IFERROR(AB63/AC63,""))</f>
        <v/>
      </c>
      <c r="AF63" s="171">
        <f t="shared" si="115"/>
        <v>136388</v>
      </c>
      <c r="AG63" s="159">
        <f t="shared" si="116"/>
        <v>67044.909652559436</v>
      </c>
      <c r="AH63" s="159">
        <f t="shared" si="20"/>
        <v>69343.090347440564</v>
      </c>
      <c r="AI63" s="187">
        <f t="shared" ref="AI63" si="223">IF(SUM(AF63:AF64)=0,"",IFERROR(AF63/AG63,""))</f>
        <v>2.0342782279339442</v>
      </c>
      <c r="AJ63" s="157">
        <f t="shared" si="191"/>
        <v>11</v>
      </c>
    </row>
    <row r="64" spans="1:36" ht="24.95" customHeight="1" thickBot="1" x14ac:dyDescent="0.3">
      <c r="A64" s="182" t="str">
        <f t="shared" si="26"/>
        <v>سرخس</v>
      </c>
      <c r="B64" s="217"/>
      <c r="C64" s="168" t="str">
        <f t="shared" si="27"/>
        <v>اسفند</v>
      </c>
      <c r="D64" s="172">
        <f>SUM('مقایسه بودجه- صادرات'!D64,'مقایسه بودجه- واردات'!D64)</f>
        <v>1702</v>
      </c>
      <c r="E64" s="173">
        <f>SUM('مقایسه بودجه- صادرات'!E64,'مقایسه بودجه- واردات'!E64)</f>
        <v>1943.6228051901446</v>
      </c>
      <c r="F64" s="173">
        <f t="shared" si="13"/>
        <v>-241.62280519014462</v>
      </c>
      <c r="G64" s="176">
        <f>IF(SUM(D64)=0,"",IFERROR(D64/E64,""))</f>
        <v>0.87568431254000101</v>
      </c>
      <c r="H64" s="172">
        <f>SUM('مقایسه بودجه- صادرات'!H64,'مقایسه بودجه- واردات'!H64)</f>
        <v>2337</v>
      </c>
      <c r="I64" s="173">
        <f>SUM('مقایسه بودجه- صادرات'!I64,'مقایسه بودجه- واردات'!I64)</f>
        <v>1905.1605264765117</v>
      </c>
      <c r="J64" s="173">
        <f t="shared" si="14"/>
        <v>431.83947352348832</v>
      </c>
      <c r="K64" s="176">
        <f>IF(SUM(H64)=0,"",IFERROR(H64/I64,""))</f>
        <v>1.2266682872766377</v>
      </c>
      <c r="L64" s="172">
        <f>SUM('مقایسه بودجه- صادرات'!L64,'مقایسه بودجه- واردات'!L64)</f>
        <v>0</v>
      </c>
      <c r="M64" s="173">
        <f>SUM('مقایسه بودجه- صادرات'!M64,'مقایسه بودجه- واردات'!M64)</f>
        <v>0</v>
      </c>
      <c r="N64" s="173">
        <f t="shared" si="15"/>
        <v>0</v>
      </c>
      <c r="O64" s="176" t="str">
        <f>IF(SUM(L64)=0,"",IFERROR(L64/M64,""))</f>
        <v/>
      </c>
      <c r="P64" s="172">
        <f>SUM('مقایسه بودجه- صادرات'!P64,'مقایسه بودجه- واردات'!P64)</f>
        <v>9951</v>
      </c>
      <c r="Q64" s="173">
        <f>SUM('مقایسه بودجه- صادرات'!Q64,'مقایسه بودجه- واردات'!Q64)</f>
        <v>5166.1048262797194</v>
      </c>
      <c r="R64" s="173">
        <f t="shared" si="16"/>
        <v>4784.8951737202806</v>
      </c>
      <c r="S64" s="176">
        <f>IF(SUM(P64)=0,"",IFERROR(P64/Q64,""))</f>
        <v>1.9262094623747772</v>
      </c>
      <c r="T64" s="172">
        <f t="shared" si="106"/>
        <v>30473</v>
      </c>
      <c r="U64" s="173">
        <f t="shared" si="107"/>
        <v>30389.542487104733</v>
      </c>
      <c r="V64" s="173">
        <f t="shared" si="17"/>
        <v>83.457512895267428</v>
      </c>
      <c r="W64" s="176">
        <f t="shared" ref="W64" si="224">IF(SUM(T64)=0,"",IFERROR(T64/U64,""))</f>
        <v>1.0027462576289419</v>
      </c>
      <c r="X64" s="172">
        <f t="shared" si="109"/>
        <v>30304</v>
      </c>
      <c r="Y64" s="173">
        <f t="shared" si="110"/>
        <v>28114.474657802577</v>
      </c>
      <c r="Z64" s="173">
        <f t="shared" si="18"/>
        <v>2189.525342197423</v>
      </c>
      <c r="AA64" s="176">
        <f t="shared" ref="AA64" si="225">IF(SUM(X64)=0,"",IFERROR(X64/Y64,""))</f>
        <v>1.0778789349204421</v>
      </c>
      <c r="AB64" s="172">
        <f t="shared" si="112"/>
        <v>0</v>
      </c>
      <c r="AC64" s="173">
        <f t="shared" si="113"/>
        <v>0</v>
      </c>
      <c r="AD64" s="173">
        <f t="shared" si="19"/>
        <v>0</v>
      </c>
      <c r="AE64" s="176" t="str">
        <f t="shared" ref="AE64" si="226">IF(SUM(AB64)=0,"",IFERROR(AB64/AC64,""))</f>
        <v/>
      </c>
      <c r="AF64" s="172">
        <f t="shared" si="115"/>
        <v>146339</v>
      </c>
      <c r="AG64" s="173">
        <f t="shared" si="116"/>
        <v>72211.014478839148</v>
      </c>
      <c r="AH64" s="173">
        <f t="shared" si="20"/>
        <v>74127.985521160852</v>
      </c>
      <c r="AI64" s="188">
        <f t="shared" ref="AI64" si="227">IF(SUM(AF64)=0,"",IFERROR(AF64/AG64,""))</f>
        <v>2.0265467956122323</v>
      </c>
      <c r="AJ64" s="157">
        <f>AJ63+1</f>
        <v>12</v>
      </c>
    </row>
    <row r="65" spans="1:36" ht="24.95" customHeight="1" x14ac:dyDescent="0.25">
      <c r="A65" s="182" t="str">
        <f t="shared" si="26"/>
        <v>لطف آباد</v>
      </c>
      <c r="B65" s="215" t="str">
        <f>واردات!J34</f>
        <v>لطف آباد</v>
      </c>
      <c r="C65" s="166" t="str">
        <f>C53</f>
        <v>فروردین</v>
      </c>
      <c r="D65" s="170">
        <f>SUM('مقایسه بودجه- صادرات'!D65,'مقایسه بودجه- واردات'!D65)</f>
        <v>4129</v>
      </c>
      <c r="E65" s="160">
        <f>SUM('مقایسه بودجه- صادرات'!E65,'مقایسه بودجه- واردات'!E65)</f>
        <v>7068.867243823569</v>
      </c>
      <c r="F65" s="160">
        <f t="shared" si="13"/>
        <v>-2939.867243823569</v>
      </c>
      <c r="G65" s="185">
        <f>IF(SUM(D65:D76)=0,"",IFERROR(D65/E65,""))</f>
        <v>0.58411055938385581</v>
      </c>
      <c r="H65" s="170">
        <f>SUM('مقایسه بودجه- صادرات'!H65,'مقایسه بودجه- واردات'!H65)</f>
        <v>6007</v>
      </c>
      <c r="I65" s="160">
        <f>SUM('مقایسه بودجه- صادرات'!I65,'مقایسه بودجه- واردات'!I65)</f>
        <v>7512.7500578061672</v>
      </c>
      <c r="J65" s="160">
        <f t="shared" si="14"/>
        <v>-1505.7500578061672</v>
      </c>
      <c r="K65" s="185">
        <f>IF(SUM(H65:H76)=0,"",IFERROR(H65/I65,""))</f>
        <v>0.79957405128344328</v>
      </c>
      <c r="L65" s="170">
        <f>SUM('مقایسه بودجه- صادرات'!L65,'مقایسه بودجه- واردات'!L65)</f>
        <v>0</v>
      </c>
      <c r="M65" s="160">
        <f>SUM('مقایسه بودجه- صادرات'!M65,'مقایسه بودجه- واردات'!M65)</f>
        <v>0</v>
      </c>
      <c r="N65" s="160">
        <f t="shared" si="15"/>
        <v>0</v>
      </c>
      <c r="O65" s="185" t="str">
        <f>IF(SUM(L65:L76)=0,"",IFERROR(L65/M65,""))</f>
        <v/>
      </c>
      <c r="P65" s="170">
        <f>SUM('مقایسه بودجه- صادرات'!P65,'مقایسه بودجه- واردات'!P65)</f>
        <v>81641</v>
      </c>
      <c r="Q65" s="160">
        <f>SUM('مقایسه بودجه- صادرات'!Q65,'مقایسه بودجه- واردات'!Q65)</f>
        <v>84709.959342556875</v>
      </c>
      <c r="R65" s="160">
        <f t="shared" si="16"/>
        <v>-3068.9593425568746</v>
      </c>
      <c r="S65" s="185">
        <f>IF(SUM(P65:P76)=0,"",IFERROR(P65/Q65,""))</f>
        <v>0.96377097372758291</v>
      </c>
      <c r="T65" s="183">
        <f t="shared" si="106"/>
        <v>4129</v>
      </c>
      <c r="U65" s="160">
        <f t="shared" si="107"/>
        <v>7068.867243823569</v>
      </c>
      <c r="V65" s="160">
        <f t="shared" si="17"/>
        <v>-2939.867243823569</v>
      </c>
      <c r="W65" s="185">
        <f t="shared" ref="W65" si="228">IF(SUM(T65:T76)=0,"",IFERROR(T65/U65,""))</f>
        <v>0.58411055938385581</v>
      </c>
      <c r="X65" s="183">
        <f t="shared" si="109"/>
        <v>6007</v>
      </c>
      <c r="Y65" s="160">
        <f t="shared" si="110"/>
        <v>7512.7500578061672</v>
      </c>
      <c r="Z65" s="160">
        <f t="shared" si="18"/>
        <v>-1505.7500578061672</v>
      </c>
      <c r="AA65" s="185">
        <f t="shared" ref="AA65" si="229">IF(SUM(X65:X76)=0,"",IFERROR(X65/Y65,""))</f>
        <v>0.79957405128344328</v>
      </c>
      <c r="AB65" s="183">
        <f t="shared" si="112"/>
        <v>0</v>
      </c>
      <c r="AC65" s="160">
        <f t="shared" si="113"/>
        <v>0</v>
      </c>
      <c r="AD65" s="160">
        <f t="shared" si="19"/>
        <v>0</v>
      </c>
      <c r="AE65" s="185" t="str">
        <f t="shared" ref="AE65" si="230">IF(SUM(AB65:AB76)=0,"",IFERROR(AB65/AC65,""))</f>
        <v/>
      </c>
      <c r="AF65" s="183">
        <f t="shared" si="115"/>
        <v>81641</v>
      </c>
      <c r="AG65" s="160">
        <f t="shared" si="116"/>
        <v>84709.959342556875</v>
      </c>
      <c r="AH65" s="160">
        <f t="shared" si="20"/>
        <v>-3068.9593425568746</v>
      </c>
      <c r="AI65" s="186">
        <f t="shared" ref="AI65" si="231">IF(SUM(AF65:AF76)=0,"",IFERROR(AF65/AG65,""))</f>
        <v>0.96377097372758291</v>
      </c>
      <c r="AJ65" s="157">
        <v>1</v>
      </c>
    </row>
    <row r="66" spans="1:36" ht="24.95" customHeight="1" x14ac:dyDescent="0.25">
      <c r="A66" s="182" t="str">
        <f t="shared" si="26"/>
        <v>لطف آباد</v>
      </c>
      <c r="B66" s="216"/>
      <c r="C66" s="167" t="str">
        <f t="shared" si="27"/>
        <v>اردیبهشت</v>
      </c>
      <c r="D66" s="171">
        <f>SUM('مقایسه بودجه- صادرات'!D66,'مقایسه بودجه- واردات'!D66)</f>
        <v>6930</v>
      </c>
      <c r="E66" s="159">
        <f>SUM('مقایسه بودجه- صادرات'!E66,'مقایسه بودجه- واردات'!E66)</f>
        <v>7068.867243823569</v>
      </c>
      <c r="F66" s="159">
        <f t="shared" si="13"/>
        <v>-138.86724382356897</v>
      </c>
      <c r="G66" s="175">
        <f>IF(SUM(D66:D76)=0,"",IFERROR(D66/E66,""))</f>
        <v>0.98035509240254803</v>
      </c>
      <c r="H66" s="171">
        <f>SUM('مقایسه بودجه- صادرات'!H66,'مقایسه بودجه- واردات'!H66)</f>
        <v>6645</v>
      </c>
      <c r="I66" s="159">
        <f>SUM('مقایسه بودجه- صادرات'!I66,'مقایسه بودجه- واردات'!I66)</f>
        <v>7512.7500578061672</v>
      </c>
      <c r="J66" s="159">
        <f t="shared" si="14"/>
        <v>-867.75005780616721</v>
      </c>
      <c r="K66" s="175">
        <f>IF(SUM(H66:H76)=0,"",IFERROR(H66/I66,""))</f>
        <v>0.88449634938879318</v>
      </c>
      <c r="L66" s="171">
        <f>SUM('مقایسه بودجه- صادرات'!L66,'مقایسه بودجه- واردات'!L66)</f>
        <v>0</v>
      </c>
      <c r="M66" s="159">
        <f>SUM('مقایسه بودجه- صادرات'!M66,'مقایسه بودجه- واردات'!M66)</f>
        <v>0</v>
      </c>
      <c r="N66" s="159">
        <f t="shared" si="15"/>
        <v>0</v>
      </c>
      <c r="O66" s="175" t="str">
        <f>IF(SUM(L66:L76)=0,"",IFERROR(L66/M66,""))</f>
        <v/>
      </c>
      <c r="P66" s="171">
        <f>SUM('مقایسه بودجه- صادرات'!P66,'مقایسه بودجه- واردات'!P66)</f>
        <v>72167</v>
      </c>
      <c r="Q66" s="159">
        <f>SUM('مقایسه بودجه- صادرات'!Q66,'مقایسه بودجه- واردات'!Q66)</f>
        <v>84709.959342556875</v>
      </c>
      <c r="R66" s="159">
        <f t="shared" si="16"/>
        <v>-12542.959342556875</v>
      </c>
      <c r="S66" s="175">
        <f>IF(SUM(P66:P76)=0,"",IFERROR(P66/Q66,""))</f>
        <v>0.85193052340121356</v>
      </c>
      <c r="T66" s="171">
        <f t="shared" si="106"/>
        <v>11059</v>
      </c>
      <c r="U66" s="159">
        <f t="shared" si="107"/>
        <v>14137.734487647138</v>
      </c>
      <c r="V66" s="159">
        <f t="shared" si="17"/>
        <v>-3078.7344876471379</v>
      </c>
      <c r="W66" s="175">
        <f t="shared" ref="W66" si="232">IF(SUM(T66:T76)=0,"",IFERROR(T66/U66,""))</f>
        <v>0.78223282589320198</v>
      </c>
      <c r="X66" s="171">
        <f t="shared" si="109"/>
        <v>12652</v>
      </c>
      <c r="Y66" s="159">
        <f t="shared" si="110"/>
        <v>15025.500115612334</v>
      </c>
      <c r="Z66" s="159">
        <f t="shared" si="18"/>
        <v>-2373.5001156123344</v>
      </c>
      <c r="AA66" s="175">
        <f t="shared" ref="AA66" si="233">IF(SUM(X66:X76)=0,"",IFERROR(X66/Y66,""))</f>
        <v>0.84203520033611823</v>
      </c>
      <c r="AB66" s="171">
        <f t="shared" si="112"/>
        <v>0</v>
      </c>
      <c r="AC66" s="159">
        <f t="shared" si="113"/>
        <v>0</v>
      </c>
      <c r="AD66" s="159">
        <f t="shared" si="19"/>
        <v>0</v>
      </c>
      <c r="AE66" s="175" t="str">
        <f t="shared" ref="AE66" si="234">IF(SUM(AB66:AB76)=0,"",IFERROR(AB66/AC66,""))</f>
        <v/>
      </c>
      <c r="AF66" s="171">
        <f t="shared" si="115"/>
        <v>153808</v>
      </c>
      <c r="AG66" s="159">
        <f t="shared" si="116"/>
        <v>169419.91868511375</v>
      </c>
      <c r="AH66" s="159">
        <f t="shared" si="20"/>
        <v>-15611.918685113749</v>
      </c>
      <c r="AI66" s="187">
        <f t="shared" ref="AI66" si="235">IF(SUM(AF66:AF76)=0,"",IFERROR(AF66/AG66,""))</f>
        <v>0.90785074856439829</v>
      </c>
      <c r="AJ66" s="157">
        <f>AJ65+1</f>
        <v>2</v>
      </c>
    </row>
    <row r="67" spans="1:36" ht="24.95" customHeight="1" x14ac:dyDescent="0.25">
      <c r="A67" s="182" t="str">
        <f t="shared" si="26"/>
        <v>لطف آباد</v>
      </c>
      <c r="B67" s="216"/>
      <c r="C67" s="167" t="str">
        <f t="shared" si="27"/>
        <v>خرداد</v>
      </c>
      <c r="D67" s="171">
        <f>SUM('مقایسه بودجه- صادرات'!D67,'مقایسه بودجه- واردات'!D67)</f>
        <v>8823</v>
      </c>
      <c r="E67" s="159">
        <f>SUM('مقایسه بودجه- صادرات'!E67,'مقایسه بودجه- واردات'!E67)</f>
        <v>7068.867243823569</v>
      </c>
      <c r="F67" s="159">
        <f t="shared" si="13"/>
        <v>1754.132756176431</v>
      </c>
      <c r="G67" s="175">
        <f>IF(SUM(D67:D76)=0,"",IFERROR(D67/E67,""))</f>
        <v>1.2481490592016855</v>
      </c>
      <c r="H67" s="171">
        <f>SUM('مقایسه بودجه- صادرات'!H67,'مقایسه بودجه- واردات'!H67)</f>
        <v>6130</v>
      </c>
      <c r="I67" s="159">
        <f>SUM('مقایسه بودجه- صادرات'!I67,'مقایسه بودجه- واردات'!I67)</f>
        <v>7512.7500578061672</v>
      </c>
      <c r="J67" s="159">
        <f t="shared" si="14"/>
        <v>-1382.7500578061672</v>
      </c>
      <c r="K67" s="175">
        <f>IF(SUM(H67:H76)=0,"",IFERROR(H67/I67,""))</f>
        <v>0.81594621847303272</v>
      </c>
      <c r="L67" s="171">
        <f>SUM('مقایسه بودجه- صادرات'!L67,'مقایسه بودجه- واردات'!L67)</f>
        <v>0</v>
      </c>
      <c r="M67" s="159">
        <f>SUM('مقایسه بودجه- صادرات'!M67,'مقایسه بودجه- واردات'!M67)</f>
        <v>0</v>
      </c>
      <c r="N67" s="159">
        <f t="shared" si="15"/>
        <v>0</v>
      </c>
      <c r="O67" s="175" t="str">
        <f>IF(SUM(L67:L76)=0,"",IFERROR(L67/M67,""))</f>
        <v/>
      </c>
      <c r="P67" s="171">
        <f>SUM('مقایسه بودجه- صادرات'!P67,'مقایسه بودجه- واردات'!P67)</f>
        <v>60319</v>
      </c>
      <c r="Q67" s="159">
        <f>SUM('مقایسه بودجه- صادرات'!Q67,'مقایسه بودجه- واردات'!Q67)</f>
        <v>84709.959342556875</v>
      </c>
      <c r="R67" s="159">
        <f t="shared" si="16"/>
        <v>-24390.959342556875</v>
      </c>
      <c r="S67" s="175">
        <f>IF(SUM(P67:P76)=0,"",IFERROR(P67/Q67,""))</f>
        <v>0.71206503306272673</v>
      </c>
      <c r="T67" s="171">
        <f t="shared" si="106"/>
        <v>19882</v>
      </c>
      <c r="U67" s="159">
        <f t="shared" si="107"/>
        <v>21206.601731470706</v>
      </c>
      <c r="V67" s="159">
        <f t="shared" si="17"/>
        <v>-1324.601731470706</v>
      </c>
      <c r="W67" s="175">
        <f t="shared" ref="W67" si="236">IF(SUM(T67:T76)=0,"",IFERROR(T67/U67,""))</f>
        <v>0.93753823699602989</v>
      </c>
      <c r="X67" s="171">
        <f t="shared" si="109"/>
        <v>18782</v>
      </c>
      <c r="Y67" s="159">
        <f t="shared" si="110"/>
        <v>22538.250173418503</v>
      </c>
      <c r="Z67" s="159">
        <f t="shared" si="18"/>
        <v>-3756.2501734185025</v>
      </c>
      <c r="AA67" s="175">
        <f t="shared" ref="AA67" si="237">IF(SUM(X67:X76)=0,"",IFERROR(X67/Y67,""))</f>
        <v>0.83333887304842302</v>
      </c>
      <c r="AB67" s="171">
        <f t="shared" si="112"/>
        <v>0</v>
      </c>
      <c r="AC67" s="159">
        <f t="shared" si="113"/>
        <v>0</v>
      </c>
      <c r="AD67" s="159">
        <f t="shared" si="19"/>
        <v>0</v>
      </c>
      <c r="AE67" s="175" t="str">
        <f t="shared" ref="AE67" si="238">IF(SUM(AB67:AB76)=0,"",IFERROR(AB67/AC67,""))</f>
        <v/>
      </c>
      <c r="AF67" s="171">
        <f t="shared" si="115"/>
        <v>214127</v>
      </c>
      <c r="AG67" s="159">
        <f t="shared" si="116"/>
        <v>254129.87802767061</v>
      </c>
      <c r="AH67" s="159">
        <f t="shared" si="20"/>
        <v>-40002.878027670609</v>
      </c>
      <c r="AI67" s="187">
        <f t="shared" ref="AI67" si="239">IF(SUM(AF67:AF76)=0,"",IFERROR(AF67/AG67,""))</f>
        <v>0.84258884339717444</v>
      </c>
      <c r="AJ67" s="157">
        <f t="shared" ref="AJ67:AJ75" si="240">AJ66+1</f>
        <v>3</v>
      </c>
    </row>
    <row r="68" spans="1:36" ht="24.95" customHeight="1" x14ac:dyDescent="0.25">
      <c r="A68" s="182" t="str">
        <f t="shared" si="26"/>
        <v>لطف آباد</v>
      </c>
      <c r="B68" s="216"/>
      <c r="C68" s="167" t="str">
        <f t="shared" si="27"/>
        <v>تیر</v>
      </c>
      <c r="D68" s="171">
        <f>SUM('مقایسه بودجه- صادرات'!D68,'مقایسه بودجه- واردات'!D68)</f>
        <v>5564</v>
      </c>
      <c r="E68" s="159">
        <f>SUM('مقایسه بودجه- صادرات'!E68,'مقایسه بودجه- واردات'!E68)</f>
        <v>7140.9540229971481</v>
      </c>
      <c r="F68" s="159">
        <f t="shared" si="13"/>
        <v>-1576.9540229971481</v>
      </c>
      <c r="G68" s="175">
        <f>IF(SUM(D68:D76)=0,"",IFERROR(D68/E68,""))</f>
        <v>0.77916759890644405</v>
      </c>
      <c r="H68" s="171">
        <f>SUM('مقایسه بودجه- صادرات'!H68,'مقایسه بودجه- واردات'!H68)</f>
        <v>7048</v>
      </c>
      <c r="I68" s="159">
        <f>SUM('مقایسه بودجه- صادرات'!I68,'مقایسه بودجه- واردات'!I68)</f>
        <v>7259.480966916849</v>
      </c>
      <c r="J68" s="159">
        <f t="shared" si="14"/>
        <v>-211.48096691684896</v>
      </c>
      <c r="K68" s="175">
        <f>IF(SUM(H68:H76)=0,"",IFERROR(H68/I68,""))</f>
        <v>0.9708683075442146</v>
      </c>
      <c r="L68" s="171">
        <f>SUM('مقایسه بودجه- صادرات'!L68,'مقایسه بودجه- واردات'!L68)</f>
        <v>0</v>
      </c>
      <c r="M68" s="159">
        <f>SUM('مقایسه بودجه- صادرات'!M68,'مقایسه بودجه- واردات'!M68)</f>
        <v>0</v>
      </c>
      <c r="N68" s="159">
        <f t="shared" si="15"/>
        <v>0</v>
      </c>
      <c r="O68" s="175" t="str">
        <f>IF(SUM(L68:L76)=0,"",IFERROR(L68/M68,""))</f>
        <v/>
      </c>
      <c r="P68" s="171">
        <f>SUM('مقایسه بودجه- صادرات'!P68,'مقایسه بودجه- واردات'!P68)</f>
        <v>60422</v>
      </c>
      <c r="Q68" s="159">
        <f>SUM('مقایسه بودجه- صادرات'!Q68,'مقایسه بودجه- واردات'!Q68)</f>
        <v>68883.211571296051</v>
      </c>
      <c r="R68" s="159">
        <f t="shared" si="16"/>
        <v>-8461.2115712960513</v>
      </c>
      <c r="S68" s="175">
        <f>IF(SUM(P68:P76)=0,"",IFERROR(P68/Q68,""))</f>
        <v>0.87716583796998981</v>
      </c>
      <c r="T68" s="171">
        <f t="shared" si="106"/>
        <v>25446</v>
      </c>
      <c r="U68" s="159">
        <f t="shared" si="107"/>
        <v>28347.555754467852</v>
      </c>
      <c r="V68" s="159">
        <f t="shared" si="17"/>
        <v>-2901.5557544678522</v>
      </c>
      <c r="W68" s="175">
        <f t="shared" ref="W68" si="241">IF(SUM(T68:T76)=0,"",IFERROR(T68/U68,""))</f>
        <v>0.89764352949511217</v>
      </c>
      <c r="X68" s="171">
        <f t="shared" si="109"/>
        <v>25830</v>
      </c>
      <c r="Y68" s="159">
        <f t="shared" si="110"/>
        <v>29797.731140335352</v>
      </c>
      <c r="Z68" s="159">
        <f t="shared" si="18"/>
        <v>-3967.7311403353524</v>
      </c>
      <c r="AA68" s="175">
        <f t="shared" ref="AA68" si="242">IF(SUM(X68:X76)=0,"",IFERROR(X68/Y68,""))</f>
        <v>0.86684452176412585</v>
      </c>
      <c r="AB68" s="171">
        <f t="shared" si="112"/>
        <v>0</v>
      </c>
      <c r="AC68" s="159">
        <f t="shared" si="113"/>
        <v>0</v>
      </c>
      <c r="AD68" s="159">
        <f t="shared" si="19"/>
        <v>0</v>
      </c>
      <c r="AE68" s="175" t="str">
        <f t="shared" ref="AE68" si="243">IF(SUM(AB68:AB76)=0,"",IFERROR(AB68/AC68,""))</f>
        <v/>
      </c>
      <c r="AF68" s="171">
        <f t="shared" si="115"/>
        <v>274549</v>
      </c>
      <c r="AG68" s="159">
        <f t="shared" si="116"/>
        <v>323013.08959896665</v>
      </c>
      <c r="AH68" s="159">
        <f t="shared" si="20"/>
        <v>-48464.089598966646</v>
      </c>
      <c r="AI68" s="187">
        <f t="shared" ref="AI68" si="244">IF(SUM(AF68:AF76)=0,"",IFERROR(AF68/AG68,""))</f>
        <v>0.84996245923304004</v>
      </c>
      <c r="AJ68" s="157">
        <f t="shared" si="240"/>
        <v>4</v>
      </c>
    </row>
    <row r="69" spans="1:36" ht="24.95" customHeight="1" x14ac:dyDescent="0.25">
      <c r="A69" s="182" t="str">
        <f t="shared" si="26"/>
        <v>لطف آباد</v>
      </c>
      <c r="B69" s="216"/>
      <c r="C69" s="167" t="str">
        <f t="shared" si="27"/>
        <v>مرداد</v>
      </c>
      <c r="D69" s="171">
        <f>SUM('مقایسه بودجه- صادرات'!D69,'مقایسه بودجه- واردات'!D69)</f>
        <v>8594</v>
      </c>
      <c r="E69" s="159">
        <f>SUM('مقایسه بودجه- صادرات'!E69,'مقایسه بودجه- واردات'!E69)</f>
        <v>7140.9540229971481</v>
      </c>
      <c r="F69" s="159">
        <f t="shared" si="13"/>
        <v>1453.0459770028519</v>
      </c>
      <c r="G69" s="175">
        <f>IF(SUM(D69:D76)=0,"",IFERROR(D69/E69,""))</f>
        <v>1.2034806515100611</v>
      </c>
      <c r="H69" s="171">
        <f>SUM('مقایسه بودجه- صادرات'!H69,'مقایسه بودجه- واردات'!H69)</f>
        <v>7428</v>
      </c>
      <c r="I69" s="159">
        <f>SUM('مقایسه بودجه- صادرات'!I69,'مقایسه بودجه- واردات'!I69)</f>
        <v>7259.480966916849</v>
      </c>
      <c r="J69" s="159">
        <f t="shared" si="14"/>
        <v>168.51903308315104</v>
      </c>
      <c r="K69" s="175">
        <f>IF(SUM(H69:H76)=0,"",IFERROR(H69/I69,""))</f>
        <v>1.0232136476217972</v>
      </c>
      <c r="L69" s="171">
        <f>SUM('مقایسه بودجه- صادرات'!L69,'مقایسه بودجه- واردات'!L69)</f>
        <v>0</v>
      </c>
      <c r="M69" s="159">
        <f>SUM('مقایسه بودجه- صادرات'!M69,'مقایسه بودجه- واردات'!M69)</f>
        <v>0</v>
      </c>
      <c r="N69" s="159">
        <f t="shared" si="15"/>
        <v>0</v>
      </c>
      <c r="O69" s="175" t="str">
        <f>IF(SUM(L69:L76)=0,"",IFERROR(L69/M69,""))</f>
        <v/>
      </c>
      <c r="P69" s="171">
        <f>SUM('مقایسه بودجه- صادرات'!P69,'مقایسه بودجه- واردات'!P69)</f>
        <v>69420</v>
      </c>
      <c r="Q69" s="159">
        <f>SUM('مقایسه بودجه- صادرات'!Q69,'مقایسه بودجه- واردات'!Q69)</f>
        <v>68883.211571296051</v>
      </c>
      <c r="R69" s="159">
        <f t="shared" si="16"/>
        <v>536.78842870394874</v>
      </c>
      <c r="S69" s="175">
        <f>IF(SUM(P69:P76)=0,"",IFERROR(P69/Q69,""))</f>
        <v>1.007792732314003</v>
      </c>
      <c r="T69" s="171">
        <f t="shared" ref="T69:T100" si="245">IF(OR($C$1="",$AJ69&gt;$C$1),"",IFERROR(SUMIFS(D$5:D$5012,$A$5:$A$5012,$A69,$AJ$5:$AJ$5012,"&lt;"&amp;$AJ69+1),""))</f>
        <v>34040</v>
      </c>
      <c r="U69" s="159">
        <f t="shared" ref="U69:U100" si="246">IF($C$1="","",IFERROR(SUMIFS(E$5:E$5012,$A$5:$A$5012,$A69,$AJ$5:$AJ$5012,"&lt;"&amp;$AJ69+1),""))</f>
        <v>35488.509777464998</v>
      </c>
      <c r="V69" s="159">
        <f t="shared" si="17"/>
        <v>-1448.5097774649985</v>
      </c>
      <c r="W69" s="175">
        <f t="shared" ref="W69" si="247">IF(SUM(T69:T76)=0,"",IFERROR(T69/U69,""))</f>
        <v>0.95918369673598425</v>
      </c>
      <c r="X69" s="171">
        <f t="shared" ref="X69:X100" si="248">IF(OR($C$1="",$AJ69&gt;$C$1),"",IFERROR(SUMIFS(H$5:H$5012,$A$5:$A$5012,$A69,$AJ$5:$AJ$5012,"&lt;"&amp;$AJ69+1),""))</f>
        <v>33258</v>
      </c>
      <c r="Y69" s="159">
        <f t="shared" ref="Y69:Y100" si="249">IF($C$1="","",IFERROR(SUMIFS(I$5:I$5012,$A$5:$A$5012,$A69,$AJ$5:$AJ$5012,"&lt;"&amp;$AJ69+1),""))</f>
        <v>37057.212107252199</v>
      </c>
      <c r="Z69" s="159">
        <f t="shared" si="18"/>
        <v>-3799.2121072521986</v>
      </c>
      <c r="AA69" s="175">
        <f t="shared" ref="AA69" si="250">IF(SUM(X69:X76)=0,"",IFERROR(X69/Y69,""))</f>
        <v>0.89747712007432201</v>
      </c>
      <c r="AB69" s="171">
        <f t="shared" ref="AB69:AB100" si="251">IF(OR($C$1="",$AJ69&gt;$C$1),"",IFERROR(SUMIFS(L$5:L$5012,$A$5:$A$5012,$A69,$AJ$5:$AJ$5012,"&lt;"&amp;$AJ69+1),""))</f>
        <v>0</v>
      </c>
      <c r="AC69" s="159">
        <f t="shared" ref="AC69:AC100" si="252">IF($C$1="","",IFERROR(SUMIFS(M$5:M$5012,$A$5:$A$5012,$A69,$AJ$5:$AJ$5012,"&lt;"&amp;$AJ69+1),""))</f>
        <v>0</v>
      </c>
      <c r="AD69" s="159">
        <f t="shared" si="19"/>
        <v>0</v>
      </c>
      <c r="AE69" s="175" t="str">
        <f t="shared" ref="AE69" si="253">IF(SUM(AB69:AB76)=0,"",IFERROR(AB69/AC69,""))</f>
        <v/>
      </c>
      <c r="AF69" s="171">
        <f t="shared" ref="AF69:AF100" si="254">IF(OR($C$1="",$AJ69&gt;$C$1),"",IFERROR(SUMIFS(P$5:P$5012,$A$5:$A$5012,$A69,$AJ$5:$AJ$5012,"&lt;"&amp;$AJ69+1),""))</f>
        <v>343969</v>
      </c>
      <c r="AG69" s="159">
        <f t="shared" ref="AG69:AG100" si="255">IF($C$1="","",IFERROR(SUMIFS(Q$5:Q$5012,$A$5:$A$5012,$A69,$AJ$5:$AJ$5012,"&lt;"&amp;$AJ69+1),""))</f>
        <v>391896.30117026268</v>
      </c>
      <c r="AH69" s="159">
        <f t="shared" si="20"/>
        <v>-47927.301170262683</v>
      </c>
      <c r="AI69" s="187">
        <f t="shared" ref="AI69" si="256">IF(SUM(AF69:AF76)=0,"",IFERROR(AF69/AG69,""))</f>
        <v>0.87770412472089077</v>
      </c>
      <c r="AJ69" s="157">
        <f t="shared" si="240"/>
        <v>5</v>
      </c>
    </row>
    <row r="70" spans="1:36" ht="24.95" customHeight="1" x14ac:dyDescent="0.25">
      <c r="A70" s="182" t="str">
        <f t="shared" si="26"/>
        <v>لطف آباد</v>
      </c>
      <c r="B70" s="216"/>
      <c r="C70" s="167" t="str">
        <f t="shared" si="27"/>
        <v>شهریور</v>
      </c>
      <c r="D70" s="171">
        <f>SUM('مقایسه بودجه- صادرات'!D70,'مقایسه بودجه- واردات'!D70)</f>
        <v>9553</v>
      </c>
      <c r="E70" s="159">
        <f>SUM('مقایسه بودجه- صادرات'!E70,'مقایسه بودجه- واردات'!E70)</f>
        <v>7140.9540229971481</v>
      </c>
      <c r="F70" s="159">
        <f t="shared" ref="F70:F133" si="257">IFERROR(SUM(D70,-E70),"")</f>
        <v>2412.0459770028519</v>
      </c>
      <c r="G70" s="175">
        <f>IF(SUM(D70:D76)=0,"",IFERROR(D70/E70,""))</f>
        <v>1.3377764328456614</v>
      </c>
      <c r="H70" s="171">
        <f>SUM('مقایسه بودجه- صادرات'!H70,'مقایسه بودجه- واردات'!H70)</f>
        <v>8018</v>
      </c>
      <c r="I70" s="159">
        <f>SUM('مقایسه بودجه- صادرات'!I70,'مقایسه بودجه- واردات'!I70)</f>
        <v>7259.480966916849</v>
      </c>
      <c r="J70" s="159">
        <f t="shared" ref="J70:J133" si="258">IFERROR(SUM(H70,-I70),"")</f>
        <v>758.51903308315104</v>
      </c>
      <c r="K70" s="175">
        <f>IF(SUM(H70:H76)=0,"",IFERROR(H70/I70,""))</f>
        <v>1.1044866756369911</v>
      </c>
      <c r="L70" s="171">
        <f>SUM('مقایسه بودجه- صادرات'!L70,'مقایسه بودجه- واردات'!L70)</f>
        <v>0</v>
      </c>
      <c r="M70" s="159">
        <f>SUM('مقایسه بودجه- صادرات'!M70,'مقایسه بودجه- واردات'!M70)</f>
        <v>0</v>
      </c>
      <c r="N70" s="159">
        <f t="shared" ref="N70:N133" si="259">IFERROR(SUM(L70,-M70),"")</f>
        <v>0</v>
      </c>
      <c r="O70" s="175" t="str">
        <f>IF(SUM(L70:L76)=0,"",IFERROR(L70/M70,""))</f>
        <v/>
      </c>
      <c r="P70" s="171">
        <f>SUM('مقایسه بودجه- صادرات'!P70,'مقایسه بودجه- واردات'!P70)</f>
        <v>74201</v>
      </c>
      <c r="Q70" s="159">
        <f>SUM('مقایسه بودجه- صادرات'!Q70,'مقایسه بودجه- واردات'!Q70)</f>
        <v>68883.211571296051</v>
      </c>
      <c r="R70" s="159">
        <f t="shared" ref="R70:R133" si="260">IFERROR(SUM(P70,-Q70),"")</f>
        <v>5317.7884287039487</v>
      </c>
      <c r="S70" s="175">
        <f>IF(SUM(P70:P76)=0,"",IFERROR(P70/Q70,""))</f>
        <v>1.0772000652611833</v>
      </c>
      <c r="T70" s="171">
        <f t="shared" si="245"/>
        <v>43593</v>
      </c>
      <c r="U70" s="159">
        <f t="shared" si="246"/>
        <v>42629.463800462145</v>
      </c>
      <c r="V70" s="159">
        <f t="shared" ref="V70:V133" si="261">IFERROR(SUM(T70,-U70),"")</f>
        <v>963.53619953785528</v>
      </c>
      <c r="W70" s="175">
        <f t="shared" ref="W70" si="262">IF(SUM(T70:T76)=0,"",IFERROR(T70/U70,""))</f>
        <v>1.0226025878262961</v>
      </c>
      <c r="X70" s="171">
        <f t="shared" si="248"/>
        <v>41276</v>
      </c>
      <c r="Y70" s="159">
        <f t="shared" si="249"/>
        <v>44316.693074169045</v>
      </c>
      <c r="Z70" s="159">
        <f t="shared" ref="Z70:Z133" si="263">IFERROR(SUM(X70,-Y70),"")</f>
        <v>-3040.6930741690448</v>
      </c>
      <c r="AA70" s="175">
        <f t="shared" ref="AA70" si="264">IF(SUM(X70:X76)=0,"",IFERROR(X70/Y70,""))</f>
        <v>0.93138718475496129</v>
      </c>
      <c r="AB70" s="171">
        <f t="shared" si="251"/>
        <v>0</v>
      </c>
      <c r="AC70" s="159">
        <f t="shared" si="252"/>
        <v>0</v>
      </c>
      <c r="AD70" s="159">
        <f t="shared" ref="AD70:AD133" si="265">IFERROR(SUM(AB70,-AC70),"")</f>
        <v>0</v>
      </c>
      <c r="AE70" s="175" t="str">
        <f t="shared" ref="AE70" si="266">IF(SUM(AB70:AB76)=0,"",IFERROR(AB70/AC70,""))</f>
        <v/>
      </c>
      <c r="AF70" s="171">
        <f t="shared" si="254"/>
        <v>418170</v>
      </c>
      <c r="AG70" s="159">
        <f t="shared" si="255"/>
        <v>460779.51274155872</v>
      </c>
      <c r="AH70" s="159">
        <f t="shared" ref="AH70:AH133" si="267">IFERROR(SUM(AF70,-AG70),"")</f>
        <v>-42609.512741558719</v>
      </c>
      <c r="AI70" s="187">
        <f t="shared" ref="AI70" si="268">IF(SUM(AF70:AF76)=0,"",IFERROR(AF70/AG70,""))</f>
        <v>0.90752732800979052</v>
      </c>
      <c r="AJ70" s="157">
        <f t="shared" si="240"/>
        <v>6</v>
      </c>
    </row>
    <row r="71" spans="1:36" ht="24.95" customHeight="1" x14ac:dyDescent="0.25">
      <c r="A71" s="182" t="str">
        <f t="shared" si="26"/>
        <v>لطف آباد</v>
      </c>
      <c r="B71" s="216"/>
      <c r="C71" s="167" t="str">
        <f t="shared" si="27"/>
        <v>مهر</v>
      </c>
      <c r="D71" s="171">
        <f>SUM('مقایسه بودجه- صادرات'!D71,'مقایسه بودجه- واردات'!D71)</f>
        <v>8905</v>
      </c>
      <c r="E71" s="159">
        <f>SUM('مقایسه بودجه- صادرات'!E71,'مقایسه بودجه- واردات'!E71)</f>
        <v>8997.2620665126087</v>
      </c>
      <c r="F71" s="159">
        <f t="shared" si="257"/>
        <v>-92.262066512608726</v>
      </c>
      <c r="G71" s="175">
        <f>IF(SUM(D71:D76)=0,"",IFERROR(D71/E71,""))</f>
        <v>0.98974553971746537</v>
      </c>
      <c r="H71" s="171">
        <f>SUM('مقایسه بودجه- صادرات'!H71,'مقایسه بودجه- واردات'!H71)</f>
        <v>8229</v>
      </c>
      <c r="I71" s="159">
        <f>SUM('مقایسه بودجه- صادرات'!I71,'مقایسه بودجه- واردات'!I71)</f>
        <v>8500.2689752769802</v>
      </c>
      <c r="J71" s="159">
        <f t="shared" si="258"/>
        <v>-271.2689752769802</v>
      </c>
      <c r="K71" s="175">
        <f>IF(SUM(H71:H76)=0,"",IFERROR(H71/I71,""))</f>
        <v>0.96808701276795295</v>
      </c>
      <c r="L71" s="171">
        <f>SUM('مقایسه بودجه- صادرات'!L71,'مقایسه بودجه- واردات'!L71)</f>
        <v>0</v>
      </c>
      <c r="M71" s="159">
        <f>SUM('مقایسه بودجه- صادرات'!M71,'مقایسه بودجه- واردات'!M71)</f>
        <v>0</v>
      </c>
      <c r="N71" s="159">
        <f t="shared" si="259"/>
        <v>0</v>
      </c>
      <c r="O71" s="175" t="str">
        <f>IF(SUM(L71:L76)=0,"",IFERROR(L71/M71,""))</f>
        <v/>
      </c>
      <c r="P71" s="171">
        <f>SUM('مقایسه بودجه- صادرات'!P71,'مقایسه بودجه- واردات'!P71)</f>
        <v>72407</v>
      </c>
      <c r="Q71" s="159">
        <f>SUM('مقایسه بودجه- صادرات'!Q71,'مقایسه بودجه- واردات'!Q71)</f>
        <v>77965.995752813775</v>
      </c>
      <c r="R71" s="159">
        <f t="shared" si="260"/>
        <v>-5558.9957528137747</v>
      </c>
      <c r="S71" s="175">
        <f>IF(SUM(P71:P76)=0,"",IFERROR(P71/Q71,""))</f>
        <v>0.92869974019907064</v>
      </c>
      <c r="T71" s="171">
        <f t="shared" si="245"/>
        <v>52498</v>
      </c>
      <c r="U71" s="159">
        <f t="shared" si="246"/>
        <v>51626.725866974753</v>
      </c>
      <c r="V71" s="159">
        <f t="shared" si="261"/>
        <v>871.27413302524656</v>
      </c>
      <c r="W71" s="175">
        <f t="shared" ref="W71" si="269">IF(SUM(T71:T76)=0,"",IFERROR(T71/U71,""))</f>
        <v>1.0168764165922557</v>
      </c>
      <c r="X71" s="171">
        <f t="shared" si="248"/>
        <v>49505</v>
      </c>
      <c r="Y71" s="159">
        <f t="shared" si="249"/>
        <v>52816.962049446025</v>
      </c>
      <c r="Z71" s="159">
        <f t="shared" si="263"/>
        <v>-3311.962049446025</v>
      </c>
      <c r="AA71" s="175">
        <f t="shared" ref="AA71" si="270">IF(SUM(X71:X76)=0,"",IFERROR(X71/Y71,""))</f>
        <v>0.93729359052598593</v>
      </c>
      <c r="AB71" s="171">
        <f t="shared" si="251"/>
        <v>0</v>
      </c>
      <c r="AC71" s="159">
        <f t="shared" si="252"/>
        <v>0</v>
      </c>
      <c r="AD71" s="159">
        <f t="shared" si="265"/>
        <v>0</v>
      </c>
      <c r="AE71" s="175" t="str">
        <f t="shared" ref="AE71" si="271">IF(SUM(AB71:AB76)=0,"",IFERROR(AB71/AC71,""))</f>
        <v/>
      </c>
      <c r="AF71" s="171">
        <f t="shared" si="254"/>
        <v>490577</v>
      </c>
      <c r="AG71" s="159">
        <f t="shared" si="255"/>
        <v>538745.50849437248</v>
      </c>
      <c r="AH71" s="159">
        <f t="shared" si="267"/>
        <v>-48168.50849437248</v>
      </c>
      <c r="AI71" s="187">
        <f t="shared" ref="AI71" si="272">IF(SUM(AF71:AF76)=0,"",IFERROR(AF71/AG71,""))</f>
        <v>0.91059135021099558</v>
      </c>
      <c r="AJ71" s="157">
        <f t="shared" si="240"/>
        <v>7</v>
      </c>
    </row>
    <row r="72" spans="1:36" ht="24.95" customHeight="1" x14ac:dyDescent="0.25">
      <c r="A72" s="182" t="str">
        <f t="shared" si="26"/>
        <v>لطف آباد</v>
      </c>
      <c r="B72" s="216"/>
      <c r="C72" s="167" t="str">
        <f t="shared" si="27"/>
        <v>آبان</v>
      </c>
      <c r="D72" s="171">
        <f>SUM('مقایسه بودجه- صادرات'!D72,'مقایسه بودجه- واردات'!D72)</f>
        <v>7460</v>
      </c>
      <c r="E72" s="159">
        <f>SUM('مقایسه بودجه- صادرات'!E72,'مقایسه بودجه- واردات'!E72)</f>
        <v>8997.2620665126087</v>
      </c>
      <c r="F72" s="159">
        <f t="shared" si="257"/>
        <v>-1537.2620665126087</v>
      </c>
      <c r="G72" s="175">
        <f>IF(SUM(D72:D76)=0,"",IFERROR(D72/E72,""))</f>
        <v>0.82914112591715794</v>
      </c>
      <c r="H72" s="171">
        <f>SUM('مقایسه بودجه- صادرات'!H72,'مقایسه بودجه- واردات'!H72)</f>
        <v>9283</v>
      </c>
      <c r="I72" s="159">
        <f>SUM('مقایسه بودجه- صادرات'!I72,'مقایسه بودجه- واردات'!I72)</f>
        <v>8500.2689752769802</v>
      </c>
      <c r="J72" s="159">
        <f t="shared" si="258"/>
        <v>782.7310247230198</v>
      </c>
      <c r="K72" s="175">
        <f>IF(SUM(H72:H76)=0,"",IFERROR(H72/I72,""))</f>
        <v>1.0920830890174877</v>
      </c>
      <c r="L72" s="171">
        <f>SUM('مقایسه بودجه- صادرات'!L72,'مقایسه بودجه- واردات'!L72)</f>
        <v>0</v>
      </c>
      <c r="M72" s="159">
        <f>SUM('مقایسه بودجه- صادرات'!M72,'مقایسه بودجه- واردات'!M72)</f>
        <v>0</v>
      </c>
      <c r="N72" s="159">
        <f t="shared" si="259"/>
        <v>0</v>
      </c>
      <c r="O72" s="175" t="str">
        <f>IF(SUM(L72:L76)=0,"",IFERROR(L72/M72,""))</f>
        <v/>
      </c>
      <c r="P72" s="171">
        <f>SUM('مقایسه بودجه- صادرات'!P72,'مقایسه بودجه- واردات'!P72)</f>
        <v>81270</v>
      </c>
      <c r="Q72" s="159">
        <f>SUM('مقایسه بودجه- صادرات'!Q72,'مقایسه بودجه- واردات'!Q72)</f>
        <v>77965.995752813775</v>
      </c>
      <c r="R72" s="159">
        <f t="shared" si="260"/>
        <v>3304.0042471862253</v>
      </c>
      <c r="S72" s="175">
        <f>IF(SUM(P72:P76)=0,"",IFERROR(P72/Q72,""))</f>
        <v>1.0423775033626372</v>
      </c>
      <c r="T72" s="171">
        <f t="shared" si="245"/>
        <v>59958</v>
      </c>
      <c r="U72" s="159">
        <f t="shared" si="246"/>
        <v>60623.987933487362</v>
      </c>
      <c r="V72" s="159">
        <f t="shared" si="261"/>
        <v>-665.98793348736217</v>
      </c>
      <c r="W72" s="175">
        <f t="shared" ref="W72" si="273">IF(SUM(T72:T76)=0,"",IFERROR(T72/U72,""))</f>
        <v>0.98901444863346766</v>
      </c>
      <c r="X72" s="171">
        <f t="shared" si="248"/>
        <v>58788</v>
      </c>
      <c r="Y72" s="159">
        <f t="shared" si="249"/>
        <v>61317.231024723005</v>
      </c>
      <c r="Z72" s="159">
        <f t="shared" si="263"/>
        <v>-2529.2310247230052</v>
      </c>
      <c r="AA72" s="175">
        <f t="shared" ref="AA72" si="274">IF(SUM(X72:X76)=0,"",IFERROR(X72/Y72,""))</f>
        <v>0.95875170841124213</v>
      </c>
      <c r="AB72" s="171">
        <f t="shared" si="251"/>
        <v>0</v>
      </c>
      <c r="AC72" s="159">
        <f t="shared" si="252"/>
        <v>0</v>
      </c>
      <c r="AD72" s="159">
        <f t="shared" si="265"/>
        <v>0</v>
      </c>
      <c r="AE72" s="175" t="str">
        <f t="shared" ref="AE72" si="275">IF(SUM(AB72:AB76)=0,"",IFERROR(AB72/AC72,""))</f>
        <v/>
      </c>
      <c r="AF72" s="171">
        <f t="shared" si="254"/>
        <v>571847</v>
      </c>
      <c r="AG72" s="159">
        <f t="shared" si="255"/>
        <v>616711.50424718624</v>
      </c>
      <c r="AH72" s="159">
        <f t="shared" si="267"/>
        <v>-44864.50424718624</v>
      </c>
      <c r="AI72" s="187">
        <f t="shared" ref="AI72" si="276">IF(SUM(AF72:AF76)=0,"",IFERROR(AF72/AG72,""))</f>
        <v>0.92725203934382272</v>
      </c>
      <c r="AJ72" s="157">
        <f t="shared" si="240"/>
        <v>8</v>
      </c>
    </row>
    <row r="73" spans="1:36" ht="24.95" customHeight="1" x14ac:dyDescent="0.25">
      <c r="A73" s="182" t="str">
        <f t="shared" si="26"/>
        <v>لطف آباد</v>
      </c>
      <c r="B73" s="216"/>
      <c r="C73" s="167" t="str">
        <f t="shared" si="27"/>
        <v>آذر</v>
      </c>
      <c r="D73" s="171">
        <f>SUM('مقایسه بودجه- صادرات'!D73,'مقایسه بودجه- واردات'!D73)</f>
        <v>9530</v>
      </c>
      <c r="E73" s="159">
        <f>SUM('مقایسه بودجه- صادرات'!E73,'مقایسه بودجه- واردات'!E73)</f>
        <v>8997.2620665126087</v>
      </c>
      <c r="F73" s="159">
        <f t="shared" si="257"/>
        <v>532.73793348739127</v>
      </c>
      <c r="G73" s="175">
        <f>IF(SUM(D73:D76)=0,"",IFERROR(D73/E73,""))</f>
        <v>1.0592111166207125</v>
      </c>
      <c r="H73" s="171">
        <f>SUM('مقایسه بودجه- صادرات'!H73,'مقایسه بودجه- واردات'!H73)</f>
        <v>6946</v>
      </c>
      <c r="I73" s="159">
        <f>SUM('مقایسه بودجه- صادرات'!I73,'مقایسه بودجه- واردات'!I73)</f>
        <v>8500.2689752769802</v>
      </c>
      <c r="J73" s="159">
        <f t="shared" si="258"/>
        <v>-1554.2689752769802</v>
      </c>
      <c r="K73" s="175">
        <f>IF(SUM(H73:H76)=0,"",IFERROR(H73/I73,""))</f>
        <v>0.8171506125514888</v>
      </c>
      <c r="L73" s="171">
        <f>SUM('مقایسه بودجه- صادرات'!L73,'مقایسه بودجه- واردات'!L73)</f>
        <v>0</v>
      </c>
      <c r="M73" s="159">
        <f>SUM('مقایسه بودجه- صادرات'!M73,'مقایسه بودجه- واردات'!M73)</f>
        <v>0</v>
      </c>
      <c r="N73" s="159">
        <f t="shared" si="259"/>
        <v>0</v>
      </c>
      <c r="O73" s="175" t="str">
        <f>IF(SUM(L73:L76)=0,"",IFERROR(L73/M73,""))</f>
        <v/>
      </c>
      <c r="P73" s="171">
        <f>SUM('مقایسه بودجه- صادرات'!P73,'مقایسه بودجه- واردات'!P73)</f>
        <v>84461</v>
      </c>
      <c r="Q73" s="159">
        <f>SUM('مقایسه بودجه- صادرات'!Q73,'مقایسه بودجه- واردات'!Q73)</f>
        <v>77965.995752813775</v>
      </c>
      <c r="R73" s="159">
        <f t="shared" si="260"/>
        <v>6495.0042471862253</v>
      </c>
      <c r="S73" s="175">
        <f>IF(SUM(P73:P76)=0,"",IFERROR(P73/Q73,""))</f>
        <v>1.0833056024549244</v>
      </c>
      <c r="T73" s="171">
        <f t="shared" si="245"/>
        <v>69488</v>
      </c>
      <c r="U73" s="159">
        <f t="shared" si="246"/>
        <v>69621.249999999971</v>
      </c>
      <c r="V73" s="159">
        <f t="shared" si="261"/>
        <v>-133.2499999999709</v>
      </c>
      <c r="W73" s="175">
        <f t="shared" ref="W73" si="277">IF(SUM(T73:T76)=0,"",IFERROR(T73/U73,""))</f>
        <v>0.9980860728585027</v>
      </c>
      <c r="X73" s="171">
        <f t="shared" si="248"/>
        <v>65734</v>
      </c>
      <c r="Y73" s="159">
        <f t="shared" si="249"/>
        <v>69817.499999999985</v>
      </c>
      <c r="Z73" s="159">
        <f t="shared" si="263"/>
        <v>-4083.4999999999854</v>
      </c>
      <c r="AA73" s="175">
        <f t="shared" ref="AA73" si="278">IF(SUM(X73:X76)=0,"",IFERROR(X73/Y73,""))</f>
        <v>0.94151179861782519</v>
      </c>
      <c r="AB73" s="171">
        <f t="shared" si="251"/>
        <v>0</v>
      </c>
      <c r="AC73" s="159">
        <f t="shared" si="252"/>
        <v>0</v>
      </c>
      <c r="AD73" s="159">
        <f t="shared" si="265"/>
        <v>0</v>
      </c>
      <c r="AE73" s="175" t="str">
        <f t="shared" ref="AE73" si="279">IF(SUM(AB73:AB76)=0,"",IFERROR(AB73/AC73,""))</f>
        <v/>
      </c>
      <c r="AF73" s="171">
        <f t="shared" si="254"/>
        <v>656308</v>
      </c>
      <c r="AG73" s="159">
        <f t="shared" si="255"/>
        <v>694677.5</v>
      </c>
      <c r="AH73" s="159">
        <f t="shared" si="267"/>
        <v>-38369.5</v>
      </c>
      <c r="AI73" s="187">
        <f t="shared" ref="AI73" si="280">IF(SUM(AF73:AF76)=0,"",IFERROR(AF73/AG73,""))</f>
        <v>0.94476645637723977</v>
      </c>
      <c r="AJ73" s="157">
        <f t="shared" si="240"/>
        <v>9</v>
      </c>
    </row>
    <row r="74" spans="1:36" ht="24.95" customHeight="1" x14ac:dyDescent="0.25">
      <c r="A74" s="182" t="str">
        <f t="shared" si="26"/>
        <v>لطف آباد</v>
      </c>
      <c r="B74" s="216"/>
      <c r="C74" s="167" t="str">
        <f t="shared" si="27"/>
        <v>دی</v>
      </c>
      <c r="D74" s="171">
        <f>SUM('مقایسه بودجه- صادرات'!D74,'مقایسه بودجه- واردات'!D74)</f>
        <v>6303</v>
      </c>
      <c r="E74" s="159">
        <f>SUM('مقایسه بودجه- صادرات'!E74,'مقایسه بودجه- واردات'!E74)</f>
        <v>11142.823545632251</v>
      </c>
      <c r="F74" s="159">
        <f t="shared" si="257"/>
        <v>-4839.8235456322509</v>
      </c>
      <c r="G74" s="175">
        <f>IF(SUM(D74:D76)=0,"",IFERROR(D74/E74,""))</f>
        <v>0.56565555168201886</v>
      </c>
      <c r="H74" s="171">
        <f>SUM('مقایسه بودجه- صادرات'!H74,'مقایسه بودجه- واردات'!H74)</f>
        <v>7448</v>
      </c>
      <c r="I74" s="159">
        <f>SUM('مقایسه بودجه- صادرات'!I74,'مقایسه بودجه- واردات'!I74)</f>
        <v>11037.580475493753</v>
      </c>
      <c r="J74" s="159">
        <f t="shared" si="258"/>
        <v>-3589.5804754937526</v>
      </c>
      <c r="K74" s="175">
        <f>IF(SUM(H74:H76)=0,"",IFERROR(H74/I74,""))</f>
        <v>0.67478556704854498</v>
      </c>
      <c r="L74" s="171">
        <f>SUM('مقایسه بودجه- صادرات'!L74,'مقایسه بودجه- واردات'!L74)</f>
        <v>0</v>
      </c>
      <c r="M74" s="159">
        <f>SUM('مقایسه بودجه- صادرات'!M74,'مقایسه بودجه- واردات'!M74)</f>
        <v>0</v>
      </c>
      <c r="N74" s="159">
        <f t="shared" si="259"/>
        <v>0</v>
      </c>
      <c r="O74" s="175" t="str">
        <f>IF(SUM(L74:L76)=0,"",IFERROR(L74/M74,""))</f>
        <v/>
      </c>
      <c r="P74" s="171">
        <f>SUM('مقایسه بودجه- صادرات'!P74,'مقایسه بودجه- واردات'!P74)</f>
        <v>84263</v>
      </c>
      <c r="Q74" s="159">
        <f>SUM('مقایسه بودجه- صادرات'!Q74,'مقایسه بودجه- واردات'!Q74)</f>
        <v>88954.861800037848</v>
      </c>
      <c r="R74" s="159">
        <f t="shared" si="260"/>
        <v>-4691.8618000378483</v>
      </c>
      <c r="S74" s="175">
        <f>IF(SUM(P74:P76)=0,"",IFERROR(P74/Q74,""))</f>
        <v>0.94725570131754333</v>
      </c>
      <c r="T74" s="171">
        <f t="shared" si="245"/>
        <v>75791</v>
      </c>
      <c r="U74" s="159">
        <f t="shared" si="246"/>
        <v>80764.073545632215</v>
      </c>
      <c r="V74" s="159">
        <f t="shared" si="261"/>
        <v>-4973.0735456322145</v>
      </c>
      <c r="W74" s="175">
        <f t="shared" ref="W74" si="281">IF(SUM(T74:T76)=0,"",IFERROR(T74/U74,""))</f>
        <v>0.93842468157797421</v>
      </c>
      <c r="X74" s="171">
        <f t="shared" si="248"/>
        <v>73182</v>
      </c>
      <c r="Y74" s="159">
        <f t="shared" si="249"/>
        <v>80855.080475493742</v>
      </c>
      <c r="Z74" s="159">
        <f t="shared" si="263"/>
        <v>-7673.0804754937417</v>
      </c>
      <c r="AA74" s="175">
        <f t="shared" ref="AA74" si="282">IF(SUM(X74:X76)=0,"",IFERROR(X74/Y74,""))</f>
        <v>0.90510082445815676</v>
      </c>
      <c r="AB74" s="171">
        <f t="shared" si="251"/>
        <v>0</v>
      </c>
      <c r="AC74" s="159">
        <f t="shared" si="252"/>
        <v>0</v>
      </c>
      <c r="AD74" s="159">
        <f t="shared" si="265"/>
        <v>0</v>
      </c>
      <c r="AE74" s="175" t="str">
        <f t="shared" ref="AE74" si="283">IF(SUM(AB74:AB76)=0,"",IFERROR(AB74/AC74,""))</f>
        <v/>
      </c>
      <c r="AF74" s="171">
        <f t="shared" si="254"/>
        <v>740571</v>
      </c>
      <c r="AG74" s="159">
        <f t="shared" si="255"/>
        <v>783632.36180003779</v>
      </c>
      <c r="AH74" s="159">
        <f t="shared" si="267"/>
        <v>-43061.36180003779</v>
      </c>
      <c r="AI74" s="187">
        <f t="shared" ref="AI74" si="284">IF(SUM(AF74:AF76)=0,"",IFERROR(AF74/AG74,""))</f>
        <v>0.94504902566667359</v>
      </c>
      <c r="AJ74" s="157">
        <f t="shared" si="240"/>
        <v>10</v>
      </c>
    </row>
    <row r="75" spans="1:36" ht="24.95" customHeight="1" x14ac:dyDescent="0.25">
      <c r="A75" s="182" t="str">
        <f t="shared" si="26"/>
        <v>لطف آباد</v>
      </c>
      <c r="B75" s="216"/>
      <c r="C75" s="167" t="str">
        <f t="shared" si="27"/>
        <v>بهمن</v>
      </c>
      <c r="D75" s="171">
        <f>SUM('مقایسه بودجه- صادرات'!D75,'مقایسه بودجه- واردات'!D75)</f>
        <v>9777</v>
      </c>
      <c r="E75" s="159">
        <f>SUM('مقایسه بودجه- صادرات'!E75,'مقایسه بودجه- واردات'!E75)</f>
        <v>11142.823545632251</v>
      </c>
      <c r="F75" s="159">
        <f t="shared" si="257"/>
        <v>-1365.8235456322509</v>
      </c>
      <c r="G75" s="175">
        <f>IF(SUM(D75:D76)=0,"",IFERROR(D75/E75,""))</f>
        <v>0.87742572248058037</v>
      </c>
      <c r="H75" s="171">
        <f>SUM('مقایسه بودجه- صادرات'!H75,'مقایسه بودجه- واردات'!H75)</f>
        <v>7490</v>
      </c>
      <c r="I75" s="159">
        <f>SUM('مقایسه بودجه- صادرات'!I75,'مقایسه بودجه- واردات'!I75)</f>
        <v>11037.580475493753</v>
      </c>
      <c r="J75" s="159">
        <f t="shared" si="258"/>
        <v>-3547.5804754937526</v>
      </c>
      <c r="K75" s="175">
        <f>IF(SUM(H75:H76)=0,"",IFERROR(H75/I75,""))</f>
        <v>0.67859074881761572</v>
      </c>
      <c r="L75" s="171">
        <f>SUM('مقایسه بودجه- صادرات'!L75,'مقایسه بودجه- واردات'!L75)</f>
        <v>0</v>
      </c>
      <c r="M75" s="159">
        <f>SUM('مقایسه بودجه- صادرات'!M75,'مقایسه بودجه- واردات'!M75)</f>
        <v>0</v>
      </c>
      <c r="N75" s="159">
        <f t="shared" si="259"/>
        <v>0</v>
      </c>
      <c r="O75" s="175" t="str">
        <f>IF(SUM(L75:L76)=0,"",IFERROR(L75/M75,""))</f>
        <v/>
      </c>
      <c r="P75" s="171">
        <f>SUM('مقایسه بودجه- صادرات'!P75,'مقایسه بودجه- واردات'!P75)</f>
        <v>84744</v>
      </c>
      <c r="Q75" s="159">
        <f>SUM('مقایسه بودجه- صادرات'!Q75,'مقایسه بودجه- واردات'!Q75)</f>
        <v>88954.861800037848</v>
      </c>
      <c r="R75" s="159">
        <f t="shared" si="260"/>
        <v>-4210.8618000378483</v>
      </c>
      <c r="S75" s="175">
        <f>IF(SUM(P75:P76)=0,"",IFERROR(P75/Q75,""))</f>
        <v>0.95266293809209135</v>
      </c>
      <c r="T75" s="171">
        <f t="shared" si="245"/>
        <v>85568</v>
      </c>
      <c r="U75" s="159">
        <f t="shared" si="246"/>
        <v>91906.897091264458</v>
      </c>
      <c r="V75" s="159">
        <f t="shared" si="261"/>
        <v>-6338.8970912644581</v>
      </c>
      <c r="W75" s="175">
        <f t="shared" ref="W75" si="285">IF(SUM(T75:T76)=0,"",IFERROR(T75/U75,""))</f>
        <v>0.93102914697501027</v>
      </c>
      <c r="X75" s="171">
        <f t="shared" si="248"/>
        <v>80672</v>
      </c>
      <c r="Y75" s="159">
        <f t="shared" si="249"/>
        <v>91892.660950987498</v>
      </c>
      <c r="Z75" s="159">
        <f t="shared" si="263"/>
        <v>-11220.660950987498</v>
      </c>
      <c r="AA75" s="175">
        <f t="shared" ref="AA75" si="286">IF(SUM(X75:X76)=0,"",IFERROR(X75/Y75,""))</f>
        <v>0.87789382922568515</v>
      </c>
      <c r="AB75" s="171">
        <f t="shared" si="251"/>
        <v>0</v>
      </c>
      <c r="AC75" s="159">
        <f t="shared" si="252"/>
        <v>0</v>
      </c>
      <c r="AD75" s="159">
        <f t="shared" si="265"/>
        <v>0</v>
      </c>
      <c r="AE75" s="175" t="str">
        <f t="shared" ref="AE75" si="287">IF(SUM(AB75:AB76)=0,"",IFERROR(AB75/AC75,""))</f>
        <v/>
      </c>
      <c r="AF75" s="171">
        <f t="shared" si="254"/>
        <v>825315</v>
      </c>
      <c r="AG75" s="159">
        <f t="shared" si="255"/>
        <v>872587.22360007558</v>
      </c>
      <c r="AH75" s="159">
        <f t="shared" si="267"/>
        <v>-47272.22360007558</v>
      </c>
      <c r="AI75" s="187">
        <f t="shared" ref="AI75" si="288">IF(SUM(AF75:AF76)=0,"",IFERROR(AF75/AG75,""))</f>
        <v>0.94582521687053556</v>
      </c>
      <c r="AJ75" s="157">
        <f t="shared" si="240"/>
        <v>11</v>
      </c>
    </row>
    <row r="76" spans="1:36" ht="24.95" customHeight="1" thickBot="1" x14ac:dyDescent="0.3">
      <c r="A76" s="182" t="str">
        <f t="shared" si="26"/>
        <v>لطف آباد</v>
      </c>
      <c r="B76" s="217"/>
      <c r="C76" s="168" t="str">
        <f t="shared" si="27"/>
        <v>اسفند</v>
      </c>
      <c r="D76" s="172">
        <f>SUM('مقایسه بودجه- صادرات'!D76,'مقایسه بودجه- واردات'!D76)</f>
        <v>10088</v>
      </c>
      <c r="E76" s="173">
        <f>SUM('مقایسه بودجه- صادرات'!E76,'مقایسه بودجه- واردات'!E76)</f>
        <v>11142.823545632251</v>
      </c>
      <c r="F76" s="173">
        <f t="shared" si="257"/>
        <v>-1054.8235456322509</v>
      </c>
      <c r="G76" s="176">
        <f>IF(SUM(D76)=0,"",IFERROR(D76/E76,""))</f>
        <v>0.90533606304429726</v>
      </c>
      <c r="H76" s="172">
        <f>SUM('مقایسه بودجه- صادرات'!H76,'مقایسه بودجه- واردات'!H76)</f>
        <v>8596</v>
      </c>
      <c r="I76" s="173">
        <f>SUM('مقایسه بودجه- صادرات'!I76,'مقایسه بودجه- واردات'!I76)</f>
        <v>11037.580475493753</v>
      </c>
      <c r="J76" s="173">
        <f t="shared" si="258"/>
        <v>-2441.5804754937526</v>
      </c>
      <c r="K76" s="176">
        <f>IF(SUM(H76)=0,"",IFERROR(H76/I76,""))</f>
        <v>0.77879386873647849</v>
      </c>
      <c r="L76" s="172">
        <f>SUM('مقایسه بودجه- صادرات'!L76,'مقایسه بودجه- واردات'!L76)</f>
        <v>0</v>
      </c>
      <c r="M76" s="173">
        <f>SUM('مقایسه بودجه- صادرات'!M76,'مقایسه بودجه- واردات'!M76)</f>
        <v>0</v>
      </c>
      <c r="N76" s="173">
        <f t="shared" si="259"/>
        <v>0</v>
      </c>
      <c r="O76" s="176" t="str">
        <f>IF(SUM(L76)=0,"",IFERROR(L76/M76,""))</f>
        <v/>
      </c>
      <c r="P76" s="172">
        <f>SUM('مقایسه بودجه- صادرات'!P76,'مقایسه بودجه- واردات'!P76)</f>
        <v>86761</v>
      </c>
      <c r="Q76" s="173">
        <f>SUM('مقایسه بودجه- صادرات'!Q76,'مقایسه بودجه- واردات'!Q76)</f>
        <v>88954.861800037848</v>
      </c>
      <c r="R76" s="173">
        <f t="shared" si="260"/>
        <v>-2193.8618000378483</v>
      </c>
      <c r="S76" s="176">
        <f>IF(SUM(P76)=0,"",IFERROR(P76/Q76,""))</f>
        <v>0.97533735924440601</v>
      </c>
      <c r="T76" s="172">
        <f t="shared" si="245"/>
        <v>95656</v>
      </c>
      <c r="U76" s="173">
        <f t="shared" si="246"/>
        <v>103049.7206368967</v>
      </c>
      <c r="V76" s="173">
        <f t="shared" si="261"/>
        <v>-7393.7206368967018</v>
      </c>
      <c r="W76" s="176">
        <f t="shared" ref="W76" si="289">IF(SUM(T76)=0,"",IFERROR(T76/U76,""))</f>
        <v>0.92825093953481908</v>
      </c>
      <c r="X76" s="172">
        <f t="shared" si="248"/>
        <v>89268</v>
      </c>
      <c r="Y76" s="173">
        <f t="shared" si="249"/>
        <v>102930.24142648125</v>
      </c>
      <c r="Z76" s="173">
        <f t="shared" si="263"/>
        <v>-13662.241426481254</v>
      </c>
      <c r="AA76" s="176">
        <f t="shared" ref="AA76" si="290">IF(SUM(X76)=0,"",IFERROR(X76/Y76,""))</f>
        <v>0.86726698356925924</v>
      </c>
      <c r="AB76" s="172">
        <f t="shared" si="251"/>
        <v>0</v>
      </c>
      <c r="AC76" s="173">
        <f t="shared" si="252"/>
        <v>0</v>
      </c>
      <c r="AD76" s="173">
        <f t="shared" si="265"/>
        <v>0</v>
      </c>
      <c r="AE76" s="176" t="str">
        <f t="shared" ref="AE76" si="291">IF(SUM(AB76)=0,"",IFERROR(AB76/AC76,""))</f>
        <v/>
      </c>
      <c r="AF76" s="172">
        <f t="shared" si="254"/>
        <v>912076</v>
      </c>
      <c r="AG76" s="173">
        <f t="shared" si="255"/>
        <v>961542.08540011337</v>
      </c>
      <c r="AH76" s="173">
        <f t="shared" si="267"/>
        <v>-49466.08540011337</v>
      </c>
      <c r="AI76" s="188">
        <f t="shared" ref="AI76" si="292">IF(SUM(AF76)=0,"",IFERROR(AF76/AG76,""))</f>
        <v>0.94855546506887456</v>
      </c>
      <c r="AJ76" s="157">
        <f>AJ75+1</f>
        <v>12</v>
      </c>
    </row>
    <row r="77" spans="1:36" ht="24.95" customHeight="1" x14ac:dyDescent="0.25">
      <c r="A77" s="182" t="str">
        <f t="shared" si="26"/>
        <v>نیشابور</v>
      </c>
      <c r="B77" s="215" t="str">
        <f>واردات!B50</f>
        <v>نیشابور</v>
      </c>
      <c r="C77" s="166" t="str">
        <f>C65</f>
        <v>فروردین</v>
      </c>
      <c r="D77" s="170">
        <f>SUM('مقایسه بودجه- صادرات'!D77,'مقایسه بودجه- واردات'!D77)</f>
        <v>2040</v>
      </c>
      <c r="E77" s="160">
        <f>SUM('مقایسه بودجه- صادرات'!E77,'مقایسه بودجه- واردات'!E77)</f>
        <v>640.87618591395847</v>
      </c>
      <c r="F77" s="160">
        <f t="shared" si="257"/>
        <v>1399.1238140860414</v>
      </c>
      <c r="G77" s="185">
        <f>IF(SUM(D77:D88)=0,"",IFERROR(D77/E77,""))</f>
        <v>3.183142149510112</v>
      </c>
      <c r="H77" s="170">
        <f>SUM('مقایسه بودجه- صادرات'!H77,'مقایسه بودجه- واردات'!H77)</f>
        <v>3904</v>
      </c>
      <c r="I77" s="160">
        <f>SUM('مقایسه بودجه- صادرات'!I77,'مقایسه بودجه- واردات'!I77)</f>
        <v>1430.3925367326156</v>
      </c>
      <c r="J77" s="160">
        <f t="shared" si="258"/>
        <v>2473.6074632673844</v>
      </c>
      <c r="K77" s="185">
        <f>IF(SUM(H77:H88)=0,"",IFERROR(H77/I77,""))</f>
        <v>2.7293207282231351</v>
      </c>
      <c r="L77" s="170">
        <f>SUM('مقایسه بودجه- صادرات'!L77,'مقایسه بودجه- واردات'!L77)</f>
        <v>0</v>
      </c>
      <c r="M77" s="160">
        <f>SUM('مقایسه بودجه- صادرات'!M77,'مقایسه بودجه- واردات'!M77)</f>
        <v>0</v>
      </c>
      <c r="N77" s="160">
        <f t="shared" si="259"/>
        <v>0</v>
      </c>
      <c r="O77" s="185" t="str">
        <f>IF(SUM(L77:L88)=0,"",IFERROR(L77/M77,""))</f>
        <v/>
      </c>
      <c r="P77" s="170">
        <f>SUM('مقایسه بودجه- صادرات'!P77,'مقایسه بودجه- واردات'!P77)</f>
        <v>0</v>
      </c>
      <c r="Q77" s="160">
        <f>SUM('مقایسه بودجه- صادرات'!Q77,'مقایسه بودجه- واردات'!Q77)</f>
        <v>0</v>
      </c>
      <c r="R77" s="160">
        <f t="shared" si="260"/>
        <v>0</v>
      </c>
      <c r="S77" s="185" t="str">
        <f>IF(SUM(P77:P88)=0,"",IFERROR(P77/Q77,""))</f>
        <v/>
      </c>
      <c r="T77" s="183">
        <f t="shared" si="245"/>
        <v>2040</v>
      </c>
      <c r="U77" s="160">
        <f t="shared" si="246"/>
        <v>640.87618591395847</v>
      </c>
      <c r="V77" s="160">
        <f t="shared" si="261"/>
        <v>1399.1238140860414</v>
      </c>
      <c r="W77" s="185">
        <f t="shared" ref="W77" si="293">IF(SUM(T77:T88)=0,"",IFERROR(T77/U77,""))</f>
        <v>3.183142149510112</v>
      </c>
      <c r="X77" s="183">
        <f t="shared" si="248"/>
        <v>3904</v>
      </c>
      <c r="Y77" s="160">
        <f t="shared" si="249"/>
        <v>1430.3925367326156</v>
      </c>
      <c r="Z77" s="160">
        <f t="shared" si="263"/>
        <v>2473.6074632673844</v>
      </c>
      <c r="AA77" s="185">
        <f t="shared" ref="AA77" si="294">IF(SUM(X77:X88)=0,"",IFERROR(X77/Y77,""))</f>
        <v>2.7293207282231351</v>
      </c>
      <c r="AB77" s="183">
        <f t="shared" si="251"/>
        <v>0</v>
      </c>
      <c r="AC77" s="160">
        <f t="shared" si="252"/>
        <v>0</v>
      </c>
      <c r="AD77" s="160">
        <f t="shared" si="265"/>
        <v>0</v>
      </c>
      <c r="AE77" s="185" t="str">
        <f t="shared" ref="AE77" si="295">IF(SUM(AB77:AB88)=0,"",IFERROR(AB77/AC77,""))</f>
        <v/>
      </c>
      <c r="AF77" s="183">
        <f t="shared" si="254"/>
        <v>0</v>
      </c>
      <c r="AG77" s="160">
        <f t="shared" si="255"/>
        <v>0</v>
      </c>
      <c r="AH77" s="160">
        <f t="shared" si="267"/>
        <v>0</v>
      </c>
      <c r="AI77" s="186" t="str">
        <f t="shared" ref="AI77" si="296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26"/>
        <v>نیشابور</v>
      </c>
      <c r="B78" s="216"/>
      <c r="C78" s="167" t="str">
        <f t="shared" si="27"/>
        <v>اردیبهشت</v>
      </c>
      <c r="D78" s="171">
        <f>SUM('مقایسه بودجه- صادرات'!D78,'مقایسه بودجه- واردات'!D78)</f>
        <v>1113</v>
      </c>
      <c r="E78" s="159">
        <f>SUM('مقایسه بودجه- صادرات'!E78,'مقایسه بودجه- واردات'!E78)</f>
        <v>640.87618591395847</v>
      </c>
      <c r="F78" s="159">
        <f t="shared" si="257"/>
        <v>472.12381408604153</v>
      </c>
      <c r="G78" s="175">
        <f>IF(SUM(D78:D88)=0,"",IFERROR(D78/E78,""))</f>
        <v>1.7366849080415465</v>
      </c>
      <c r="H78" s="171">
        <f>SUM('مقایسه بودجه- صادرات'!H78,'مقایسه بودجه- واردات'!H78)</f>
        <v>1823</v>
      </c>
      <c r="I78" s="159">
        <f>SUM('مقایسه بودجه- صادرات'!I78,'مقایسه بودجه- واردات'!I78)</f>
        <v>1430.3925367326156</v>
      </c>
      <c r="J78" s="159">
        <f t="shared" si="258"/>
        <v>392.60746326738445</v>
      </c>
      <c r="K78" s="175">
        <f>IF(SUM(H78:H88)=0,"",IFERROR(H78/I78,""))</f>
        <v>1.274475329802965</v>
      </c>
      <c r="L78" s="171">
        <f>SUM('مقایسه بودجه- صادرات'!L78,'مقایسه بودجه- واردات'!L78)</f>
        <v>0</v>
      </c>
      <c r="M78" s="159">
        <f>SUM('مقایسه بودجه- صادرات'!M78,'مقایسه بودجه- واردات'!M78)</f>
        <v>0</v>
      </c>
      <c r="N78" s="159">
        <f t="shared" si="259"/>
        <v>0</v>
      </c>
      <c r="O78" s="175" t="str">
        <f>IF(SUM(L78:L88)=0,"",IFERROR(L78/M78,""))</f>
        <v/>
      </c>
      <c r="P78" s="171">
        <f>SUM('مقایسه بودجه- صادرات'!P78,'مقایسه بودجه- واردات'!P78)</f>
        <v>0</v>
      </c>
      <c r="Q78" s="159">
        <f>SUM('مقایسه بودجه- صادرات'!Q78,'مقایسه بودجه- واردات'!Q78)</f>
        <v>0</v>
      </c>
      <c r="R78" s="159">
        <f t="shared" si="260"/>
        <v>0</v>
      </c>
      <c r="S78" s="175" t="str">
        <f>IF(SUM(P78:P88)=0,"",IFERROR(P78/Q78,""))</f>
        <v/>
      </c>
      <c r="T78" s="171">
        <f t="shared" si="245"/>
        <v>3153</v>
      </c>
      <c r="U78" s="159">
        <f t="shared" si="246"/>
        <v>1281.7523718279169</v>
      </c>
      <c r="V78" s="159">
        <f t="shared" si="261"/>
        <v>1871.2476281720831</v>
      </c>
      <c r="W78" s="175">
        <f t="shared" ref="W78" si="297">IF(SUM(T78:T88)=0,"",IFERROR(T78/U78,""))</f>
        <v>2.4599135287758291</v>
      </c>
      <c r="X78" s="171">
        <f t="shared" si="248"/>
        <v>5727</v>
      </c>
      <c r="Y78" s="159">
        <f t="shared" si="249"/>
        <v>2860.7850734652311</v>
      </c>
      <c r="Z78" s="159">
        <f t="shared" si="263"/>
        <v>2866.2149265347689</v>
      </c>
      <c r="AA78" s="175">
        <f t="shared" ref="AA78" si="298">IF(SUM(X78:X88)=0,"",IFERROR(X78/Y78,""))</f>
        <v>2.0018980290130504</v>
      </c>
      <c r="AB78" s="171">
        <f t="shared" si="251"/>
        <v>0</v>
      </c>
      <c r="AC78" s="159">
        <f t="shared" si="252"/>
        <v>0</v>
      </c>
      <c r="AD78" s="159">
        <f t="shared" si="265"/>
        <v>0</v>
      </c>
      <c r="AE78" s="175" t="str">
        <f t="shared" ref="AE78" si="299">IF(SUM(AB78:AB88)=0,"",IFERROR(AB78/AC78,""))</f>
        <v/>
      </c>
      <c r="AF78" s="171">
        <f t="shared" si="254"/>
        <v>0</v>
      </c>
      <c r="AG78" s="159">
        <f t="shared" si="255"/>
        <v>0</v>
      </c>
      <c r="AH78" s="159">
        <f t="shared" si="267"/>
        <v>0</v>
      </c>
      <c r="AI78" s="187" t="str">
        <f t="shared" ref="AI78" si="300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26"/>
        <v>نیشابور</v>
      </c>
      <c r="B79" s="216"/>
      <c r="C79" s="167" t="str">
        <f t="shared" si="27"/>
        <v>خرداد</v>
      </c>
      <c r="D79" s="171">
        <f>SUM('مقایسه بودجه- صادرات'!D79,'مقایسه بودجه- واردات'!D79)</f>
        <v>381</v>
      </c>
      <c r="E79" s="159">
        <f>SUM('مقایسه بودجه- صادرات'!E79,'مقایسه بودجه- واردات'!E79)</f>
        <v>640.87618591395847</v>
      </c>
      <c r="F79" s="159">
        <f t="shared" si="257"/>
        <v>-259.87618591395847</v>
      </c>
      <c r="G79" s="175">
        <f>IF(SUM(D79:D88)=0,"",IFERROR(D79/E79,""))</f>
        <v>0.59449860733497684</v>
      </c>
      <c r="H79" s="171">
        <f>SUM('مقایسه بودجه- صادرات'!H79,'مقایسه بودجه- واردات'!H79)</f>
        <v>1360</v>
      </c>
      <c r="I79" s="159">
        <f>SUM('مقایسه بودجه- صادرات'!I79,'مقایسه بودجه- واردات'!I79)</f>
        <v>1430.3925367326156</v>
      </c>
      <c r="J79" s="159">
        <f t="shared" si="258"/>
        <v>-70.392536732615554</v>
      </c>
      <c r="K79" s="175">
        <f>IF(SUM(H79:H88)=0,"",IFERROR(H79/I79,""))</f>
        <v>0.95078795860232168</v>
      </c>
      <c r="L79" s="171">
        <f>SUM('مقایسه بودجه- صادرات'!L79,'مقایسه بودجه- واردات'!L79)</f>
        <v>0</v>
      </c>
      <c r="M79" s="159">
        <f>SUM('مقایسه بودجه- صادرات'!M79,'مقایسه بودجه- واردات'!M79)</f>
        <v>0</v>
      </c>
      <c r="N79" s="159">
        <f t="shared" si="259"/>
        <v>0</v>
      </c>
      <c r="O79" s="175" t="str">
        <f>IF(SUM(L79:L88)=0,"",IFERROR(L79/M79,""))</f>
        <v/>
      </c>
      <c r="P79" s="171">
        <f>SUM('مقایسه بودجه- صادرات'!P79,'مقایسه بودجه- واردات'!P79)</f>
        <v>0</v>
      </c>
      <c r="Q79" s="159">
        <f>SUM('مقایسه بودجه- صادرات'!Q79,'مقایسه بودجه- واردات'!Q79)</f>
        <v>0</v>
      </c>
      <c r="R79" s="159">
        <f t="shared" si="260"/>
        <v>0</v>
      </c>
      <c r="S79" s="175" t="str">
        <f>IF(SUM(P79:P88)=0,"",IFERROR(P79/Q79,""))</f>
        <v/>
      </c>
      <c r="T79" s="171">
        <f t="shared" si="245"/>
        <v>3534</v>
      </c>
      <c r="U79" s="159">
        <f t="shared" si="246"/>
        <v>1922.6285577418753</v>
      </c>
      <c r="V79" s="159">
        <f t="shared" si="261"/>
        <v>1611.3714422581247</v>
      </c>
      <c r="W79" s="175">
        <f t="shared" ref="W79" si="301">IF(SUM(T79:T88)=0,"",IFERROR(T79/U79,""))</f>
        <v>1.8381085549622118</v>
      </c>
      <c r="X79" s="171">
        <f t="shared" si="248"/>
        <v>7087</v>
      </c>
      <c r="Y79" s="159">
        <f t="shared" si="249"/>
        <v>4291.1776101978467</v>
      </c>
      <c r="Z79" s="159">
        <f t="shared" si="263"/>
        <v>2795.8223898021533</v>
      </c>
      <c r="AA79" s="175">
        <f t="shared" ref="AA79" si="302">IF(SUM(X79:X88)=0,"",IFERROR(X79/Y79,""))</f>
        <v>1.6515280055428074</v>
      </c>
      <c r="AB79" s="171">
        <f t="shared" si="251"/>
        <v>0</v>
      </c>
      <c r="AC79" s="159">
        <f t="shared" si="252"/>
        <v>0</v>
      </c>
      <c r="AD79" s="159">
        <f t="shared" si="265"/>
        <v>0</v>
      </c>
      <c r="AE79" s="175" t="str">
        <f t="shared" ref="AE79" si="303">IF(SUM(AB79:AB88)=0,"",IFERROR(AB79/AC79,""))</f>
        <v/>
      </c>
      <c r="AF79" s="171">
        <f t="shared" si="254"/>
        <v>0</v>
      </c>
      <c r="AG79" s="159">
        <f t="shared" si="255"/>
        <v>0</v>
      </c>
      <c r="AH79" s="159">
        <f t="shared" si="267"/>
        <v>0</v>
      </c>
      <c r="AI79" s="187" t="str">
        <f t="shared" ref="AI79" si="304">IF(SUM(AF79:AF88)=0,"",IFERROR(AF79/AG79,""))</f>
        <v/>
      </c>
      <c r="AJ79" s="157">
        <f t="shared" ref="AJ79:AJ87" si="305">AJ78+1</f>
        <v>3</v>
      </c>
    </row>
    <row r="80" spans="1:36" ht="24.95" customHeight="1" x14ac:dyDescent="0.25">
      <c r="A80" s="182" t="str">
        <f t="shared" si="26"/>
        <v>نیشابور</v>
      </c>
      <c r="B80" s="216"/>
      <c r="C80" s="167" t="str">
        <f t="shared" si="27"/>
        <v>تیر</v>
      </c>
      <c r="D80" s="171">
        <f>SUM('مقایسه بودجه- صادرات'!D80,'مقایسه بودجه- واردات'!D80)</f>
        <v>145</v>
      </c>
      <c r="E80" s="159">
        <f>SUM('مقایسه بودجه- صادرات'!E80,'مقایسه بودجه- واردات'!E80)</f>
        <v>1281.5562453220523</v>
      </c>
      <c r="F80" s="159">
        <f t="shared" si="257"/>
        <v>-1136.5562453220523</v>
      </c>
      <c r="G80" s="175">
        <f>IF(SUM(D80:D88)=0,"",IFERROR(D80/E80,""))</f>
        <v>0.11314368801937508</v>
      </c>
      <c r="H80" s="171">
        <f>SUM('مقایسه بودجه- صادرات'!H80,'مقایسه بودجه- واردات'!H80)</f>
        <v>1671</v>
      </c>
      <c r="I80" s="159">
        <f>SUM('مقایسه بودجه- صادرات'!I80,'مقایسه بودجه- واردات'!I80)</f>
        <v>1081.3397126117486</v>
      </c>
      <c r="J80" s="159">
        <f t="shared" si="258"/>
        <v>589.66028738825139</v>
      </c>
      <c r="K80" s="175">
        <f>IF(SUM(H80:H88)=0,"",IFERROR(H80/I80,""))</f>
        <v>1.5453053101731102</v>
      </c>
      <c r="L80" s="171">
        <f>SUM('مقایسه بودجه- صادرات'!L80,'مقایسه بودجه- واردات'!L80)</f>
        <v>0</v>
      </c>
      <c r="M80" s="159">
        <f>SUM('مقایسه بودجه- صادرات'!M80,'مقایسه بودجه- واردات'!M80)</f>
        <v>0</v>
      </c>
      <c r="N80" s="159">
        <f t="shared" si="259"/>
        <v>0</v>
      </c>
      <c r="O80" s="175" t="str">
        <f>IF(SUM(L80:L88)=0,"",IFERROR(L80/M80,""))</f>
        <v/>
      </c>
      <c r="P80" s="171">
        <f>SUM('مقایسه بودجه- صادرات'!P80,'مقایسه بودجه- واردات'!P80)</f>
        <v>0</v>
      </c>
      <c r="Q80" s="159">
        <f>SUM('مقایسه بودجه- صادرات'!Q80,'مقایسه بودجه- واردات'!Q80)</f>
        <v>0</v>
      </c>
      <c r="R80" s="159">
        <f t="shared" si="260"/>
        <v>0</v>
      </c>
      <c r="S80" s="175" t="str">
        <f>IF(SUM(P80:P88)=0,"",IFERROR(P80/Q80,""))</f>
        <v/>
      </c>
      <c r="T80" s="171">
        <f t="shared" si="245"/>
        <v>3679</v>
      </c>
      <c r="U80" s="159">
        <f t="shared" si="246"/>
        <v>3204.1848030639276</v>
      </c>
      <c r="V80" s="159">
        <f t="shared" si="261"/>
        <v>474.81519693607243</v>
      </c>
      <c r="W80" s="175">
        <f t="shared" ref="W80" si="306">IF(SUM(T80:T88)=0,"",IFERROR(T80/U80,""))</f>
        <v>1.1481859587131309</v>
      </c>
      <c r="X80" s="171">
        <f t="shared" si="248"/>
        <v>8758</v>
      </c>
      <c r="Y80" s="159">
        <f t="shared" si="249"/>
        <v>5372.5173228095955</v>
      </c>
      <c r="Z80" s="159">
        <f t="shared" si="263"/>
        <v>3385.4826771904045</v>
      </c>
      <c r="AA80" s="175">
        <f t="shared" ref="AA80" si="307">IF(SUM(X80:X88)=0,"",IFERROR(X80/Y80,""))</f>
        <v>1.6301483036298416</v>
      </c>
      <c r="AB80" s="171">
        <f t="shared" si="251"/>
        <v>0</v>
      </c>
      <c r="AC80" s="159">
        <f t="shared" si="252"/>
        <v>0</v>
      </c>
      <c r="AD80" s="159">
        <f t="shared" si="265"/>
        <v>0</v>
      </c>
      <c r="AE80" s="175" t="str">
        <f t="shared" ref="AE80" si="308">IF(SUM(AB80:AB88)=0,"",IFERROR(AB80/AC80,""))</f>
        <v/>
      </c>
      <c r="AF80" s="171">
        <f t="shared" si="254"/>
        <v>0</v>
      </c>
      <c r="AG80" s="159">
        <f t="shared" si="255"/>
        <v>0</v>
      </c>
      <c r="AH80" s="159">
        <f t="shared" si="267"/>
        <v>0</v>
      </c>
      <c r="AI80" s="187" t="str">
        <f t="shared" ref="AI80" si="309">IF(SUM(AF80:AF88)=0,"",IFERROR(AF80/AG80,""))</f>
        <v/>
      </c>
      <c r="AJ80" s="157">
        <f t="shared" si="305"/>
        <v>4</v>
      </c>
    </row>
    <row r="81" spans="1:36" ht="24.95" customHeight="1" x14ac:dyDescent="0.25">
      <c r="A81" s="182" t="str">
        <f t="shared" si="26"/>
        <v>نیشابور</v>
      </c>
      <c r="B81" s="216"/>
      <c r="C81" s="167" t="str">
        <f t="shared" si="27"/>
        <v>مرداد</v>
      </c>
      <c r="D81" s="171">
        <f>SUM('مقایسه بودجه- صادرات'!D81,'مقایسه بودجه- واردات'!D81)</f>
        <v>627</v>
      </c>
      <c r="E81" s="159">
        <f>SUM('مقایسه بودجه- صادرات'!E81,'مقایسه بودجه- واردات'!E81)</f>
        <v>1281.5562453220523</v>
      </c>
      <c r="F81" s="159">
        <f t="shared" si="257"/>
        <v>-654.55624532205229</v>
      </c>
      <c r="G81" s="175">
        <f>IF(SUM(D81:D88)=0,"",IFERROR(D81/E81,""))</f>
        <v>0.48924891302171158</v>
      </c>
      <c r="H81" s="171">
        <f>SUM('مقایسه بودجه- صادرات'!H81,'مقایسه بودجه- واردات'!H81)</f>
        <v>1608</v>
      </c>
      <c r="I81" s="159">
        <f>SUM('مقایسه بودجه- صادرات'!I81,'مقایسه بودجه- واردات'!I81)</f>
        <v>1081.3397126117486</v>
      </c>
      <c r="J81" s="159">
        <f t="shared" si="258"/>
        <v>526.66028738825139</v>
      </c>
      <c r="K81" s="175">
        <f>IF(SUM(H81:H88)=0,"",IFERROR(H81/I81,""))</f>
        <v>1.4870442482096715</v>
      </c>
      <c r="L81" s="171">
        <f>SUM('مقایسه بودجه- صادرات'!L81,'مقایسه بودجه- واردات'!L81)</f>
        <v>1</v>
      </c>
      <c r="M81" s="159">
        <f>SUM('مقایسه بودجه- صادرات'!M81,'مقایسه بودجه- واردات'!M81)</f>
        <v>0</v>
      </c>
      <c r="N81" s="159">
        <f t="shared" si="259"/>
        <v>1</v>
      </c>
      <c r="O81" s="175" t="str">
        <f>IF(SUM(L81:L88)=0,"",IFERROR(L81/M81,""))</f>
        <v/>
      </c>
      <c r="P81" s="171">
        <f>SUM('مقایسه بودجه- صادرات'!P81,'مقایسه بودجه- واردات'!P81)</f>
        <v>0</v>
      </c>
      <c r="Q81" s="159">
        <f>SUM('مقایسه بودجه- صادرات'!Q81,'مقایسه بودجه- واردات'!Q81)</f>
        <v>0</v>
      </c>
      <c r="R81" s="159">
        <f t="shared" si="260"/>
        <v>0</v>
      </c>
      <c r="S81" s="175" t="str">
        <f>IF(SUM(P81:P88)=0,"",IFERROR(P81/Q81,""))</f>
        <v/>
      </c>
      <c r="T81" s="171">
        <f t="shared" si="245"/>
        <v>4306</v>
      </c>
      <c r="U81" s="159">
        <f t="shared" si="246"/>
        <v>4485.7410483859803</v>
      </c>
      <c r="V81" s="159">
        <f t="shared" si="261"/>
        <v>-179.74104838598032</v>
      </c>
      <c r="W81" s="175">
        <f t="shared" ref="W81" si="310">IF(SUM(T81:T88)=0,"",IFERROR(T81/U81,""))</f>
        <v>0.95993057859399766</v>
      </c>
      <c r="X81" s="171">
        <f t="shared" si="248"/>
        <v>10366</v>
      </c>
      <c r="Y81" s="159">
        <f t="shared" si="249"/>
        <v>6453.8570354213443</v>
      </c>
      <c r="Z81" s="159">
        <f t="shared" si="263"/>
        <v>3912.1429645786557</v>
      </c>
      <c r="AA81" s="175">
        <f t="shared" ref="AA81" si="311">IF(SUM(X81:X88)=0,"",IFERROR(X81/Y81,""))</f>
        <v>1.6061713085845026</v>
      </c>
      <c r="AB81" s="171">
        <f t="shared" si="251"/>
        <v>1</v>
      </c>
      <c r="AC81" s="159">
        <f t="shared" si="252"/>
        <v>0</v>
      </c>
      <c r="AD81" s="159">
        <f t="shared" si="265"/>
        <v>1</v>
      </c>
      <c r="AE81" s="175" t="str">
        <f t="shared" ref="AE81" si="312">IF(SUM(AB81:AB88)=0,"",IFERROR(AB81/AC81,""))</f>
        <v/>
      </c>
      <c r="AF81" s="171">
        <f t="shared" si="254"/>
        <v>0</v>
      </c>
      <c r="AG81" s="159">
        <f t="shared" si="255"/>
        <v>0</v>
      </c>
      <c r="AH81" s="159">
        <f t="shared" si="267"/>
        <v>0</v>
      </c>
      <c r="AI81" s="187" t="str">
        <f t="shared" ref="AI81" si="313">IF(SUM(AF81:AF88)=0,"",IFERROR(AF81/AG81,""))</f>
        <v/>
      </c>
      <c r="AJ81" s="157">
        <f t="shared" si="305"/>
        <v>5</v>
      </c>
    </row>
    <row r="82" spans="1:36" ht="24.95" customHeight="1" x14ac:dyDescent="0.25">
      <c r="A82" s="182" t="str">
        <f t="shared" ref="A82:A136" si="314">IF(B82="",A81,B82)</f>
        <v>نیشابور</v>
      </c>
      <c r="B82" s="216"/>
      <c r="C82" s="167" t="str">
        <f t="shared" ref="C82:C88" si="315">C70</f>
        <v>شهریور</v>
      </c>
      <c r="D82" s="171">
        <f>SUM('مقایسه بودجه- صادرات'!D82,'مقایسه بودجه- واردات'!D82)</f>
        <v>542</v>
      </c>
      <c r="E82" s="159">
        <f>SUM('مقایسه بودجه- صادرات'!E82,'مقایسه بودجه- واردات'!E82)</f>
        <v>1281.5562453220523</v>
      </c>
      <c r="F82" s="159">
        <f t="shared" si="257"/>
        <v>-739.55624532205229</v>
      </c>
      <c r="G82" s="175">
        <f>IF(SUM(D82:D88)=0,"",IFERROR(D82/E82,""))</f>
        <v>0.42292330280345719</v>
      </c>
      <c r="H82" s="171">
        <f>SUM('مقایسه بودجه- صادرات'!H82,'مقایسه بودجه- واردات'!H82)</f>
        <v>460</v>
      </c>
      <c r="I82" s="159">
        <f>SUM('مقایسه بودجه- صادرات'!I82,'مقایسه بودجه- واردات'!I82)</f>
        <v>1081.3397126117486</v>
      </c>
      <c r="J82" s="159">
        <f t="shared" si="258"/>
        <v>-621.33971261174861</v>
      </c>
      <c r="K82" s="175">
        <f>IF(SUM(H82:H88)=0,"",IFERROR(H82/I82,""))</f>
        <v>0.4253982302092344</v>
      </c>
      <c r="L82" s="171">
        <f>SUM('مقایسه بودجه- صادرات'!L82,'مقایسه بودجه- واردات'!L82)</f>
        <v>0</v>
      </c>
      <c r="M82" s="159">
        <f>SUM('مقایسه بودجه- صادرات'!M82,'مقایسه بودجه- واردات'!M82)</f>
        <v>0</v>
      </c>
      <c r="N82" s="159">
        <f t="shared" si="259"/>
        <v>0</v>
      </c>
      <c r="O82" s="175" t="str">
        <f>IF(SUM(L82:L88)=0,"",IFERROR(L82/M82,""))</f>
        <v/>
      </c>
      <c r="P82" s="171">
        <f>SUM('مقایسه بودجه- صادرات'!P82,'مقایسه بودجه- واردات'!P82)</f>
        <v>0</v>
      </c>
      <c r="Q82" s="159">
        <f>SUM('مقایسه بودجه- صادرات'!Q82,'مقایسه بودجه- واردات'!Q82)</f>
        <v>0</v>
      </c>
      <c r="R82" s="159">
        <f t="shared" si="260"/>
        <v>0</v>
      </c>
      <c r="S82" s="175" t="str">
        <f>IF(SUM(P82:P88)=0,"",IFERROR(P82/Q82,""))</f>
        <v/>
      </c>
      <c r="T82" s="171">
        <f t="shared" si="245"/>
        <v>4848</v>
      </c>
      <c r="U82" s="159">
        <f t="shared" si="246"/>
        <v>5767.2972937080322</v>
      </c>
      <c r="V82" s="159">
        <f t="shared" si="261"/>
        <v>-919.29729370803216</v>
      </c>
      <c r="W82" s="175">
        <f t="shared" ref="W82" si="316">IF(SUM(T82:T88)=0,"",IFERROR(T82/U82,""))</f>
        <v>0.84060171569255482</v>
      </c>
      <c r="X82" s="171">
        <f t="shared" si="248"/>
        <v>10826</v>
      </c>
      <c r="Y82" s="159">
        <f t="shared" si="249"/>
        <v>7535.1967480330932</v>
      </c>
      <c r="Z82" s="159">
        <f t="shared" si="263"/>
        <v>3290.8032519669068</v>
      </c>
      <c r="AA82" s="175">
        <f t="shared" ref="AA82" si="317">IF(SUM(X82:X88)=0,"",IFERROR(X82/Y82,""))</f>
        <v>1.4367242637461195</v>
      </c>
      <c r="AB82" s="171">
        <f t="shared" si="251"/>
        <v>1</v>
      </c>
      <c r="AC82" s="159">
        <f t="shared" si="252"/>
        <v>0</v>
      </c>
      <c r="AD82" s="159">
        <f t="shared" si="265"/>
        <v>1</v>
      </c>
      <c r="AE82" s="175" t="str">
        <f t="shared" ref="AE82" si="318">IF(SUM(AB82:AB88)=0,"",IFERROR(AB82/AC82,""))</f>
        <v/>
      </c>
      <c r="AF82" s="171">
        <f t="shared" si="254"/>
        <v>0</v>
      </c>
      <c r="AG82" s="159">
        <f t="shared" si="255"/>
        <v>0</v>
      </c>
      <c r="AH82" s="159">
        <f t="shared" si="267"/>
        <v>0</v>
      </c>
      <c r="AI82" s="187" t="str">
        <f t="shared" ref="AI82" si="319">IF(SUM(AF82:AF88)=0,"",IFERROR(AF82/AG82,""))</f>
        <v/>
      </c>
      <c r="AJ82" s="157">
        <f t="shared" si="305"/>
        <v>6</v>
      </c>
    </row>
    <row r="83" spans="1:36" ht="24.95" customHeight="1" x14ac:dyDescent="0.25">
      <c r="A83" s="182" t="str">
        <f t="shared" si="314"/>
        <v>نیشابور</v>
      </c>
      <c r="B83" s="216"/>
      <c r="C83" s="167" t="str">
        <f t="shared" si="315"/>
        <v>مهر</v>
      </c>
      <c r="D83" s="171">
        <f>SUM('مقایسه بودجه- صادرات'!D83,'مقایسه بودجه- واردات'!D83)</f>
        <v>791</v>
      </c>
      <c r="E83" s="159">
        <f>SUM('مقایسه بودجه- صادرات'!E83,'مقایسه بودجه- واردات'!E83)</f>
        <v>1788.9675687639892</v>
      </c>
      <c r="F83" s="159">
        <f t="shared" si="257"/>
        <v>-997.96756876398922</v>
      </c>
      <c r="G83" s="175">
        <f>IF(SUM(D83:D88)=0,"",IFERROR(D83/E83,""))</f>
        <v>0.44215446596748964</v>
      </c>
      <c r="H83" s="171">
        <f>SUM('مقایسه بودجه- صادرات'!H83,'مقایسه بودجه- واردات'!H83)</f>
        <v>408</v>
      </c>
      <c r="I83" s="159">
        <f>SUM('مقایسه بودجه- صادرات'!I83,'مقایسه بودجه- واردات'!I83)</f>
        <v>2174.6344173223038</v>
      </c>
      <c r="J83" s="159">
        <f t="shared" si="258"/>
        <v>-1766.6344173223038</v>
      </c>
      <c r="K83" s="175">
        <f>IF(SUM(H83:H88)=0,"",IFERROR(H83/I83,""))</f>
        <v>0.18761774243524726</v>
      </c>
      <c r="L83" s="171">
        <f>SUM('مقایسه بودجه- صادرات'!L83,'مقایسه بودجه- واردات'!L83)</f>
        <v>0</v>
      </c>
      <c r="M83" s="159">
        <f>SUM('مقایسه بودجه- صادرات'!M83,'مقایسه بودجه- واردات'!M83)</f>
        <v>0</v>
      </c>
      <c r="N83" s="159">
        <f t="shared" si="259"/>
        <v>0</v>
      </c>
      <c r="O83" s="175" t="str">
        <f>IF(SUM(L83:L88)=0,"",IFERROR(L83/M83,""))</f>
        <v/>
      </c>
      <c r="P83" s="171">
        <f>SUM('مقایسه بودجه- صادرات'!P83,'مقایسه بودجه- واردات'!P83)</f>
        <v>0</v>
      </c>
      <c r="Q83" s="159">
        <f>SUM('مقایسه بودجه- صادرات'!Q83,'مقایسه بودجه- واردات'!Q83)</f>
        <v>0</v>
      </c>
      <c r="R83" s="159">
        <f t="shared" si="260"/>
        <v>0</v>
      </c>
      <c r="S83" s="175" t="str">
        <f>IF(SUM(P83:P88)=0,"",IFERROR(P83/Q83,""))</f>
        <v/>
      </c>
      <c r="T83" s="171">
        <f t="shared" si="245"/>
        <v>5639</v>
      </c>
      <c r="U83" s="159">
        <f t="shared" si="246"/>
        <v>7556.2648624720214</v>
      </c>
      <c r="V83" s="159">
        <f t="shared" si="261"/>
        <v>-1917.2648624720214</v>
      </c>
      <c r="W83" s="175">
        <f t="shared" ref="W83" si="320">IF(SUM(T83:T88)=0,"",IFERROR(T83/U83,""))</f>
        <v>0.74626817649099841</v>
      </c>
      <c r="X83" s="171">
        <f t="shared" si="248"/>
        <v>11234</v>
      </c>
      <c r="Y83" s="159">
        <f t="shared" si="249"/>
        <v>9709.8311653553974</v>
      </c>
      <c r="Z83" s="159">
        <f t="shared" si="263"/>
        <v>1524.1688346446026</v>
      </c>
      <c r="AA83" s="175">
        <f t="shared" ref="AA83" si="321">IF(SUM(X83:X88)=0,"",IFERROR(X83/Y83,""))</f>
        <v>1.1569717133787893</v>
      </c>
      <c r="AB83" s="171">
        <f t="shared" si="251"/>
        <v>1</v>
      </c>
      <c r="AC83" s="159">
        <f t="shared" si="252"/>
        <v>0</v>
      </c>
      <c r="AD83" s="159">
        <f t="shared" si="265"/>
        <v>1</v>
      </c>
      <c r="AE83" s="175" t="str">
        <f t="shared" ref="AE83" si="322">IF(SUM(AB83:AB88)=0,"",IFERROR(AB83/AC83,""))</f>
        <v/>
      </c>
      <c r="AF83" s="171">
        <f t="shared" si="254"/>
        <v>0</v>
      </c>
      <c r="AG83" s="159">
        <f t="shared" si="255"/>
        <v>0</v>
      </c>
      <c r="AH83" s="159">
        <f t="shared" si="267"/>
        <v>0</v>
      </c>
      <c r="AI83" s="187" t="str">
        <f t="shared" ref="AI83" si="323">IF(SUM(AF83:AF88)=0,"",IFERROR(AF83/AG83,""))</f>
        <v/>
      </c>
      <c r="AJ83" s="157">
        <f t="shared" si="305"/>
        <v>7</v>
      </c>
    </row>
    <row r="84" spans="1:36" ht="24.95" customHeight="1" x14ac:dyDescent="0.25">
      <c r="A84" s="182" t="str">
        <f t="shared" si="314"/>
        <v>نیشابور</v>
      </c>
      <c r="B84" s="216"/>
      <c r="C84" s="167" t="str">
        <f t="shared" si="315"/>
        <v>آبان</v>
      </c>
      <c r="D84" s="171">
        <f>SUM('مقایسه بودجه- صادرات'!D84,'مقایسه بودجه- واردات'!D84)</f>
        <v>2455</v>
      </c>
      <c r="E84" s="159">
        <f>SUM('مقایسه بودجه- صادرات'!E84,'مقایسه بودجه- واردات'!E84)</f>
        <v>1788.9675687639892</v>
      </c>
      <c r="F84" s="159">
        <f t="shared" si="257"/>
        <v>666.03243123601078</v>
      </c>
      <c r="G84" s="175">
        <f>IF(SUM(D84:D88)=0,"",IFERROR(D84/E84,""))</f>
        <v>1.3722998912138902</v>
      </c>
      <c r="H84" s="171">
        <f>SUM('مقایسه بودجه- صادرات'!H84,'مقایسه بودجه- واردات'!H84)</f>
        <v>1282</v>
      </c>
      <c r="I84" s="159">
        <f>SUM('مقایسه بودجه- صادرات'!I84,'مقایسه بودجه- واردات'!I84)</f>
        <v>2174.6344173223038</v>
      </c>
      <c r="J84" s="159">
        <f t="shared" si="258"/>
        <v>-892.63441732230376</v>
      </c>
      <c r="K84" s="175">
        <f>IF(SUM(H84:H88)=0,"",IFERROR(H84/I84,""))</f>
        <v>0.58952437696565441</v>
      </c>
      <c r="L84" s="171">
        <f>SUM('مقایسه بودجه- صادرات'!L84,'مقایسه بودجه- واردات'!L84)</f>
        <v>0</v>
      </c>
      <c r="M84" s="159">
        <f>SUM('مقایسه بودجه- صادرات'!M84,'مقایسه بودجه- واردات'!M84)</f>
        <v>0</v>
      </c>
      <c r="N84" s="159">
        <f t="shared" si="259"/>
        <v>0</v>
      </c>
      <c r="O84" s="175" t="str">
        <f>IF(SUM(L84:L88)=0,"",IFERROR(L84/M84,""))</f>
        <v/>
      </c>
      <c r="P84" s="171">
        <f>SUM('مقایسه بودجه- صادرات'!P84,'مقایسه بودجه- واردات'!P84)</f>
        <v>0</v>
      </c>
      <c r="Q84" s="159">
        <f>SUM('مقایسه بودجه- صادرات'!Q84,'مقایسه بودجه- واردات'!Q84)</f>
        <v>0</v>
      </c>
      <c r="R84" s="159">
        <f t="shared" si="260"/>
        <v>0</v>
      </c>
      <c r="S84" s="175" t="str">
        <f>IF(SUM(P84:P88)=0,"",IFERROR(P84/Q84,""))</f>
        <v/>
      </c>
      <c r="T84" s="171">
        <f t="shared" si="245"/>
        <v>8094</v>
      </c>
      <c r="U84" s="159">
        <f t="shared" si="246"/>
        <v>9345.2324312360106</v>
      </c>
      <c r="V84" s="159">
        <f t="shared" si="261"/>
        <v>-1251.2324312360106</v>
      </c>
      <c r="W84" s="175">
        <f t="shared" ref="W84" si="324">IF(SUM(T84:T88)=0,"",IFERROR(T84/U84,""))</f>
        <v>0.86611007907584792</v>
      </c>
      <c r="X84" s="171">
        <f t="shared" si="248"/>
        <v>12516</v>
      </c>
      <c r="Y84" s="159">
        <f t="shared" si="249"/>
        <v>11884.465582677702</v>
      </c>
      <c r="Z84" s="159">
        <f t="shared" si="263"/>
        <v>631.5344173222984</v>
      </c>
      <c r="AA84" s="175">
        <f t="shared" ref="AA84" si="325">IF(SUM(X84:X88)=0,"",IFERROR(X84/Y84,""))</f>
        <v>1.0531394880929941</v>
      </c>
      <c r="AB84" s="171">
        <f t="shared" si="251"/>
        <v>1</v>
      </c>
      <c r="AC84" s="159">
        <f t="shared" si="252"/>
        <v>0</v>
      </c>
      <c r="AD84" s="159">
        <f t="shared" si="265"/>
        <v>1</v>
      </c>
      <c r="AE84" s="175" t="str">
        <f t="shared" ref="AE84" si="326">IF(SUM(AB84:AB88)=0,"",IFERROR(AB84/AC84,""))</f>
        <v/>
      </c>
      <c r="AF84" s="171">
        <f t="shared" si="254"/>
        <v>0</v>
      </c>
      <c r="AG84" s="159">
        <f t="shared" si="255"/>
        <v>0</v>
      </c>
      <c r="AH84" s="159">
        <f t="shared" si="267"/>
        <v>0</v>
      </c>
      <c r="AI84" s="187" t="str">
        <f t="shared" ref="AI84" si="327">IF(SUM(AF84:AF88)=0,"",IFERROR(AF84/AG84,""))</f>
        <v/>
      </c>
      <c r="AJ84" s="157">
        <f t="shared" si="305"/>
        <v>8</v>
      </c>
    </row>
    <row r="85" spans="1:36" ht="24.95" customHeight="1" x14ac:dyDescent="0.25">
      <c r="A85" s="182" t="str">
        <f t="shared" si="314"/>
        <v>نیشابور</v>
      </c>
      <c r="B85" s="216"/>
      <c r="C85" s="167" t="str">
        <f t="shared" si="315"/>
        <v>آذر</v>
      </c>
      <c r="D85" s="171">
        <f>SUM('مقایسه بودجه- صادرات'!D85,'مقایسه بودجه- واردات'!D85)</f>
        <v>962</v>
      </c>
      <c r="E85" s="159">
        <f>SUM('مقایسه بودجه- صادرات'!E85,'مقایسه بودجه- واردات'!E85)</f>
        <v>1788.9675687639892</v>
      </c>
      <c r="F85" s="159">
        <f t="shared" si="257"/>
        <v>-826.96756876398922</v>
      </c>
      <c r="G85" s="175">
        <f>IF(SUM(D85:D88)=0,"",IFERROR(D85/E85,""))</f>
        <v>0.53774032397057525</v>
      </c>
      <c r="H85" s="171">
        <f>SUM('مقایسه بودجه- صادرات'!H85,'مقایسه بودجه- واردات'!H85)</f>
        <v>1060</v>
      </c>
      <c r="I85" s="159">
        <f>SUM('مقایسه بودجه- صادرات'!I85,'مقایسه بودجه- واردات'!I85)</f>
        <v>2174.6344173223038</v>
      </c>
      <c r="J85" s="159">
        <f t="shared" si="258"/>
        <v>-1114.6344173223038</v>
      </c>
      <c r="K85" s="175">
        <f>IF(SUM(H85:H88)=0,"",IFERROR(H85/I85,""))</f>
        <v>0.48743825240529925</v>
      </c>
      <c r="L85" s="171">
        <f>SUM('مقایسه بودجه- صادرات'!L85,'مقایسه بودجه- واردات'!L85)</f>
        <v>0</v>
      </c>
      <c r="M85" s="159">
        <f>SUM('مقایسه بودجه- صادرات'!M85,'مقایسه بودجه- واردات'!M85)</f>
        <v>0</v>
      </c>
      <c r="N85" s="159">
        <f t="shared" si="259"/>
        <v>0</v>
      </c>
      <c r="O85" s="175" t="str">
        <f>IF(SUM(L85:L88)=0,"",IFERROR(L85/M85,""))</f>
        <v/>
      </c>
      <c r="P85" s="171">
        <f>SUM('مقایسه بودجه- صادرات'!P85,'مقایسه بودجه- واردات'!P85)</f>
        <v>0</v>
      </c>
      <c r="Q85" s="159">
        <f>SUM('مقایسه بودجه- صادرات'!Q85,'مقایسه بودجه- واردات'!Q85)</f>
        <v>0</v>
      </c>
      <c r="R85" s="159">
        <f t="shared" si="260"/>
        <v>0</v>
      </c>
      <c r="S85" s="175" t="str">
        <f>IF(SUM(P85:P88)=0,"",IFERROR(P85/Q85,""))</f>
        <v/>
      </c>
      <c r="T85" s="171">
        <f t="shared" si="245"/>
        <v>9056</v>
      </c>
      <c r="U85" s="159">
        <f t="shared" si="246"/>
        <v>11134.2</v>
      </c>
      <c r="V85" s="159">
        <f t="shared" si="261"/>
        <v>-2078.2000000000007</v>
      </c>
      <c r="W85" s="175">
        <f t="shared" ref="W85" si="328">IF(SUM(T85:T88)=0,"",IFERROR(T85/U85,""))</f>
        <v>0.81334985899301249</v>
      </c>
      <c r="X85" s="171">
        <f t="shared" si="248"/>
        <v>13576</v>
      </c>
      <c r="Y85" s="159">
        <f t="shared" si="249"/>
        <v>14059.100000000006</v>
      </c>
      <c r="Z85" s="159">
        <f t="shared" si="263"/>
        <v>-483.10000000000582</v>
      </c>
      <c r="AA85" s="175">
        <f t="shared" ref="AA85" si="329">IF(SUM(X85:X88)=0,"",IFERROR(X85/Y85,""))</f>
        <v>0.96563791423348544</v>
      </c>
      <c r="AB85" s="171">
        <f t="shared" si="251"/>
        <v>1</v>
      </c>
      <c r="AC85" s="159">
        <f t="shared" si="252"/>
        <v>0</v>
      </c>
      <c r="AD85" s="159">
        <f t="shared" si="265"/>
        <v>1</v>
      </c>
      <c r="AE85" s="175" t="str">
        <f t="shared" ref="AE85" si="330">IF(SUM(AB85:AB88)=0,"",IFERROR(AB85/AC85,""))</f>
        <v/>
      </c>
      <c r="AF85" s="171">
        <f t="shared" si="254"/>
        <v>0</v>
      </c>
      <c r="AG85" s="159">
        <f t="shared" si="255"/>
        <v>0</v>
      </c>
      <c r="AH85" s="159">
        <f t="shared" si="267"/>
        <v>0</v>
      </c>
      <c r="AI85" s="187" t="str">
        <f t="shared" ref="AI85" si="331">IF(SUM(AF85:AF88)=0,"",IFERROR(AF85/AG85,""))</f>
        <v/>
      </c>
      <c r="AJ85" s="157">
        <f t="shared" si="305"/>
        <v>9</v>
      </c>
    </row>
    <row r="86" spans="1:36" ht="24.95" customHeight="1" x14ac:dyDescent="0.25">
      <c r="A86" s="182" t="str">
        <f t="shared" si="314"/>
        <v>نیشابور</v>
      </c>
      <c r="B86" s="216"/>
      <c r="C86" s="167" t="str">
        <f t="shared" si="315"/>
        <v>دی</v>
      </c>
      <c r="D86" s="171">
        <f>SUM('مقایسه بودجه- صادرات'!D86,'مقایسه بودجه- واردات'!D86)</f>
        <v>411</v>
      </c>
      <c r="E86" s="159">
        <f>SUM('مقایسه بودجه- صادرات'!E86,'مقایسه بودجه- واردات'!E86)</f>
        <v>2167.621181783536</v>
      </c>
      <c r="F86" s="159">
        <f t="shared" si="257"/>
        <v>-1756.621181783536</v>
      </c>
      <c r="G86" s="175">
        <f>IF(SUM(D86:D88)=0,"",IFERROR(D86/E86,""))</f>
        <v>0.18960877641074991</v>
      </c>
      <c r="H86" s="171">
        <f>SUM('مقایسه بودجه- صادرات'!H86,'مقایسه بودجه- واردات'!H86)</f>
        <v>1474</v>
      </c>
      <c r="I86" s="159">
        <f>SUM('مقایسه بودجه- صادرات'!I86,'مقایسه بودجه- واردات'!I86)</f>
        <v>2775.7444585671074</v>
      </c>
      <c r="J86" s="159">
        <f t="shared" si="258"/>
        <v>-1301.7444585671074</v>
      </c>
      <c r="K86" s="175">
        <f>IF(SUM(H86:H88)=0,"",IFERROR(H86/I86,""))</f>
        <v>0.5310287103161172</v>
      </c>
      <c r="L86" s="171">
        <f>SUM('مقایسه بودجه- صادرات'!L86,'مقایسه بودجه- واردات'!L86)</f>
        <v>0</v>
      </c>
      <c r="M86" s="159">
        <f>SUM('مقایسه بودجه- صادرات'!M86,'مقایسه بودجه- واردات'!M86)</f>
        <v>0</v>
      </c>
      <c r="N86" s="159">
        <f t="shared" si="259"/>
        <v>0</v>
      </c>
      <c r="O86" s="175" t="str">
        <f>IF(SUM(L86:L88)=0,"",IFERROR(L86/M86,""))</f>
        <v/>
      </c>
      <c r="P86" s="171">
        <f>SUM('مقایسه بودجه- صادرات'!P86,'مقایسه بودجه- واردات'!P86)</f>
        <v>0</v>
      </c>
      <c r="Q86" s="159">
        <f>SUM('مقایسه بودجه- صادرات'!Q86,'مقایسه بودجه- واردات'!Q86)</f>
        <v>0</v>
      </c>
      <c r="R86" s="159">
        <f t="shared" si="260"/>
        <v>0</v>
      </c>
      <c r="S86" s="175" t="str">
        <f>IF(SUM(P86:P88)=0,"",IFERROR(P86/Q86,""))</f>
        <v/>
      </c>
      <c r="T86" s="171">
        <f t="shared" si="245"/>
        <v>9467</v>
      </c>
      <c r="U86" s="159">
        <f t="shared" si="246"/>
        <v>13301.821181783536</v>
      </c>
      <c r="V86" s="159">
        <f t="shared" si="261"/>
        <v>-3834.8211817835363</v>
      </c>
      <c r="W86" s="175">
        <f t="shared" ref="W86" si="332">IF(SUM(T86:T88)=0,"",IFERROR(T86/U86,""))</f>
        <v>0.71170705654687239</v>
      </c>
      <c r="X86" s="171">
        <f t="shared" si="248"/>
        <v>15050</v>
      </c>
      <c r="Y86" s="159">
        <f t="shared" si="249"/>
        <v>16834.844458567113</v>
      </c>
      <c r="Z86" s="159">
        <f t="shared" si="263"/>
        <v>-1784.8444585671132</v>
      </c>
      <c r="AA86" s="175">
        <f t="shared" ref="AA86" si="333">IF(SUM(X86:X88)=0,"",IFERROR(X86/Y86,""))</f>
        <v>0.89397915359658575</v>
      </c>
      <c r="AB86" s="171">
        <f t="shared" si="251"/>
        <v>1</v>
      </c>
      <c r="AC86" s="159">
        <f t="shared" si="252"/>
        <v>0</v>
      </c>
      <c r="AD86" s="159">
        <f t="shared" si="265"/>
        <v>1</v>
      </c>
      <c r="AE86" s="175" t="str">
        <f t="shared" ref="AE86" si="334">IF(SUM(AB86:AB88)=0,"",IFERROR(AB86/AC86,""))</f>
        <v/>
      </c>
      <c r="AF86" s="171">
        <f t="shared" si="254"/>
        <v>0</v>
      </c>
      <c r="AG86" s="159">
        <f t="shared" si="255"/>
        <v>0</v>
      </c>
      <c r="AH86" s="159">
        <f t="shared" si="267"/>
        <v>0</v>
      </c>
      <c r="AI86" s="187" t="str">
        <f t="shared" ref="AI86" si="335">IF(SUM(AF86:AF88)=0,"",IFERROR(AF86/AG86,""))</f>
        <v/>
      </c>
      <c r="AJ86" s="157">
        <f t="shared" si="305"/>
        <v>10</v>
      </c>
    </row>
    <row r="87" spans="1:36" ht="24.95" customHeight="1" x14ac:dyDescent="0.25">
      <c r="A87" s="182" t="str">
        <f t="shared" si="314"/>
        <v>نیشابور</v>
      </c>
      <c r="B87" s="216"/>
      <c r="C87" s="167" t="str">
        <f t="shared" si="315"/>
        <v>بهمن</v>
      </c>
      <c r="D87" s="171">
        <f>SUM('مقایسه بودجه- صادرات'!D87,'مقایسه بودجه- واردات'!D87)</f>
        <v>565</v>
      </c>
      <c r="E87" s="159">
        <f>SUM('مقایسه بودجه- صادرات'!E87,'مقایسه بودجه- واردات'!E87)</f>
        <v>2167.621181783536</v>
      </c>
      <c r="F87" s="159">
        <f t="shared" si="257"/>
        <v>-1602.621181783536</v>
      </c>
      <c r="G87" s="175">
        <f>IF(SUM(D87:D88)=0,"",IFERROR(D87/E87,""))</f>
        <v>0.26065440066197981</v>
      </c>
      <c r="H87" s="171">
        <f>SUM('مقایسه بودجه- صادرات'!H87,'مقایسه بودجه- واردات'!H87)</f>
        <v>1003</v>
      </c>
      <c r="I87" s="159">
        <f>SUM('مقایسه بودجه- صادرات'!I87,'مقایسه بودجه- واردات'!I87)</f>
        <v>2775.7444585671074</v>
      </c>
      <c r="J87" s="159">
        <f t="shared" si="258"/>
        <v>-1772.7444585671074</v>
      </c>
      <c r="K87" s="175">
        <f>IF(SUM(H87:H88)=0,"",IFERROR(H87/I87,""))</f>
        <v>0.36134450233857907</v>
      </c>
      <c r="L87" s="171">
        <f>SUM('مقایسه بودجه- صادرات'!L87,'مقایسه بودجه- واردات'!L87)</f>
        <v>0</v>
      </c>
      <c r="M87" s="159">
        <f>SUM('مقایسه بودجه- صادرات'!M87,'مقایسه بودجه- واردات'!M87)</f>
        <v>0</v>
      </c>
      <c r="N87" s="159">
        <f t="shared" si="259"/>
        <v>0</v>
      </c>
      <c r="O87" s="175" t="str">
        <f>IF(SUM(L87:L88)=0,"",IFERROR(L87/M87,""))</f>
        <v/>
      </c>
      <c r="P87" s="171">
        <f>SUM('مقایسه بودجه- صادرات'!P87,'مقایسه بودجه- واردات'!P87)</f>
        <v>0</v>
      </c>
      <c r="Q87" s="159">
        <f>SUM('مقایسه بودجه- صادرات'!Q87,'مقایسه بودجه- واردات'!Q87)</f>
        <v>0</v>
      </c>
      <c r="R87" s="159">
        <f t="shared" si="260"/>
        <v>0</v>
      </c>
      <c r="S87" s="175" t="str">
        <f>IF(SUM(P87:P88)=0,"",IFERROR(P87/Q87,""))</f>
        <v/>
      </c>
      <c r="T87" s="171">
        <f t="shared" si="245"/>
        <v>10032</v>
      </c>
      <c r="U87" s="159">
        <f t="shared" si="246"/>
        <v>15469.442363567072</v>
      </c>
      <c r="V87" s="159">
        <f t="shared" si="261"/>
        <v>-5437.4423635670719</v>
      </c>
      <c r="W87" s="175">
        <f t="shared" ref="W87" si="336">IF(SUM(T87:T88)=0,"",IFERROR(T87/U87,""))</f>
        <v>0.64850430702188144</v>
      </c>
      <c r="X87" s="171">
        <f t="shared" si="248"/>
        <v>16053</v>
      </c>
      <c r="Y87" s="159">
        <f t="shared" si="249"/>
        <v>19610.588917134221</v>
      </c>
      <c r="Z87" s="159">
        <f t="shared" si="263"/>
        <v>-3557.5889171342205</v>
      </c>
      <c r="AA87" s="175">
        <f t="shared" ref="AA87" si="337">IF(SUM(X87:X88)=0,"",IFERROR(X87/Y87,""))</f>
        <v>0.81858836916285194</v>
      </c>
      <c r="AB87" s="171">
        <f t="shared" si="251"/>
        <v>1</v>
      </c>
      <c r="AC87" s="159">
        <f t="shared" si="252"/>
        <v>0</v>
      </c>
      <c r="AD87" s="159">
        <f t="shared" si="265"/>
        <v>1</v>
      </c>
      <c r="AE87" s="175" t="str">
        <f t="shared" ref="AE87" si="338">IF(SUM(AB87:AB88)=0,"",IFERROR(AB87/AC87,""))</f>
        <v/>
      </c>
      <c r="AF87" s="171">
        <f t="shared" si="254"/>
        <v>0</v>
      </c>
      <c r="AG87" s="159">
        <f t="shared" si="255"/>
        <v>0</v>
      </c>
      <c r="AH87" s="159">
        <f t="shared" si="267"/>
        <v>0</v>
      </c>
      <c r="AI87" s="187" t="str">
        <f t="shared" ref="AI87" si="339">IF(SUM(AF87:AF88)=0,"",IFERROR(AF87/AG87,""))</f>
        <v/>
      </c>
      <c r="AJ87" s="157">
        <f t="shared" si="305"/>
        <v>11</v>
      </c>
    </row>
    <row r="88" spans="1:36" ht="24.95" customHeight="1" thickBot="1" x14ac:dyDescent="0.3">
      <c r="A88" s="182" t="str">
        <f t="shared" si="314"/>
        <v>نیشابور</v>
      </c>
      <c r="B88" s="217"/>
      <c r="C88" s="168" t="str">
        <f t="shared" si="315"/>
        <v>اسفند</v>
      </c>
      <c r="D88" s="172">
        <f>SUM('مقایسه بودجه- صادرات'!D88,'مقایسه بودجه- واردات'!D88)</f>
        <v>2171</v>
      </c>
      <c r="E88" s="173">
        <f>SUM('مقایسه بودجه- صادرات'!E88,'مقایسه بودجه- واردات'!E88)</f>
        <v>2167.621181783536</v>
      </c>
      <c r="F88" s="173">
        <f t="shared" si="257"/>
        <v>3.3788182164639693</v>
      </c>
      <c r="G88" s="176">
        <f>IF(SUM(D88)=0,"",IFERROR(D88/E88,""))</f>
        <v>1.0015587678533773</v>
      </c>
      <c r="H88" s="172">
        <f>SUM('مقایسه بودجه- صادرات'!H88,'مقایسه بودجه- واردات'!H88)</f>
        <v>473</v>
      </c>
      <c r="I88" s="173">
        <f>SUM('مقایسه بودجه- صادرات'!I88,'مقایسه بودجه- واردات'!I88)</f>
        <v>2775.7444585671074</v>
      </c>
      <c r="J88" s="173">
        <f t="shared" si="258"/>
        <v>-2302.7444585671074</v>
      </c>
      <c r="K88" s="176">
        <f>IF(SUM(H88)=0,"",IFERROR(H88/I88,""))</f>
        <v>0.17040473539994805</v>
      </c>
      <c r="L88" s="172">
        <f>SUM('مقایسه بودجه- صادرات'!L88,'مقایسه بودجه- واردات'!L88)</f>
        <v>0</v>
      </c>
      <c r="M88" s="173">
        <f>SUM('مقایسه بودجه- صادرات'!M88,'مقایسه بودجه- واردات'!M88)</f>
        <v>0</v>
      </c>
      <c r="N88" s="173">
        <f t="shared" si="259"/>
        <v>0</v>
      </c>
      <c r="O88" s="176" t="str">
        <f>IF(SUM(L88)=0,"",IFERROR(L88/M88,""))</f>
        <v/>
      </c>
      <c r="P88" s="172">
        <f>SUM('مقایسه بودجه- صادرات'!P88,'مقایسه بودجه- واردات'!P88)</f>
        <v>0</v>
      </c>
      <c r="Q88" s="173">
        <f>SUM('مقایسه بودجه- صادرات'!Q88,'مقایسه بودجه- واردات'!Q88)</f>
        <v>0</v>
      </c>
      <c r="R88" s="173">
        <f t="shared" si="260"/>
        <v>0</v>
      </c>
      <c r="S88" s="176" t="str">
        <f>IF(SUM(P88)=0,"",IFERROR(P88/Q88,""))</f>
        <v/>
      </c>
      <c r="T88" s="172">
        <f t="shared" si="245"/>
        <v>12203</v>
      </c>
      <c r="U88" s="173">
        <f t="shared" si="246"/>
        <v>17637.063545350607</v>
      </c>
      <c r="V88" s="173">
        <f t="shared" si="261"/>
        <v>-5434.0635453506075</v>
      </c>
      <c r="W88" s="176">
        <f t="shared" ref="W88" si="340">IF(SUM(T88)=0,"",IFERROR(T88/U88,""))</f>
        <v>0.69189522216224553</v>
      </c>
      <c r="X88" s="172">
        <f t="shared" si="248"/>
        <v>16526</v>
      </c>
      <c r="Y88" s="173">
        <f t="shared" si="249"/>
        <v>22386.333375701328</v>
      </c>
      <c r="Z88" s="173">
        <f t="shared" si="263"/>
        <v>-5860.3333757013279</v>
      </c>
      <c r="AA88" s="176">
        <f t="shared" ref="AA88" si="341">IF(SUM(X88)=0,"",IFERROR(X88/Y88,""))</f>
        <v>0.73821825676632347</v>
      </c>
      <c r="AB88" s="172">
        <f t="shared" si="251"/>
        <v>1</v>
      </c>
      <c r="AC88" s="173">
        <f t="shared" si="252"/>
        <v>0</v>
      </c>
      <c r="AD88" s="173">
        <f t="shared" si="265"/>
        <v>1</v>
      </c>
      <c r="AE88" s="176" t="str">
        <f t="shared" ref="AE88" si="342">IF(SUM(AB88)=0,"",IFERROR(AB88/AC88,""))</f>
        <v/>
      </c>
      <c r="AF88" s="172">
        <f t="shared" si="254"/>
        <v>0</v>
      </c>
      <c r="AG88" s="173">
        <f t="shared" si="255"/>
        <v>0</v>
      </c>
      <c r="AH88" s="173">
        <f t="shared" si="267"/>
        <v>0</v>
      </c>
      <c r="AI88" s="188" t="str">
        <f t="shared" ref="AI88" si="343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14"/>
        <v>دوغارون</v>
      </c>
      <c r="B89" s="215" t="str">
        <f>واردات!J50</f>
        <v>دوغارون</v>
      </c>
      <c r="C89" s="166" t="str">
        <f>C77</f>
        <v>فروردین</v>
      </c>
      <c r="D89" s="170">
        <f>SUM('مقایسه بودجه- صادرات'!D89,'مقایسه بودجه- واردات'!D89)</f>
        <v>5759</v>
      </c>
      <c r="E89" s="160">
        <f>SUM('مقایسه بودجه- صادرات'!E89,'مقایسه بودجه- واردات'!E89)</f>
        <v>11115.960044105825</v>
      </c>
      <c r="F89" s="160">
        <f t="shared" si="257"/>
        <v>-5356.9600441058246</v>
      </c>
      <c r="G89" s="185">
        <f>IF(SUM(D89:D100)=0,"",IFERROR(D89/E89,""))</f>
        <v>0.51808390612681965</v>
      </c>
      <c r="H89" s="170">
        <f>SUM('مقایسه بودجه- صادرات'!H89,'مقایسه بودجه- واردات'!H89)</f>
        <v>5394</v>
      </c>
      <c r="I89" s="160">
        <f>SUM('مقایسه بودجه- صادرات'!I89,'مقایسه بودجه- واردات'!I89)</f>
        <v>9541.7606149563198</v>
      </c>
      <c r="J89" s="160">
        <f t="shared" si="258"/>
        <v>-4147.7606149563198</v>
      </c>
      <c r="K89" s="185">
        <f>IF(SUM(H89:H100)=0,"",IFERROR(H89/I89,""))</f>
        <v>0.56530447761864044</v>
      </c>
      <c r="L89" s="170">
        <f>SUM('مقایسه بودجه- صادرات'!L89,'مقایسه بودجه- واردات'!L89)</f>
        <v>0</v>
      </c>
      <c r="M89" s="160">
        <f>SUM('مقایسه بودجه- صادرات'!M89,'مقایسه بودجه- واردات'!M89)</f>
        <v>0</v>
      </c>
      <c r="N89" s="160">
        <f t="shared" si="259"/>
        <v>0</v>
      </c>
      <c r="O89" s="185" t="str">
        <f>IF(SUM(L89:L100)=0,"",IFERROR(L89/M89,""))</f>
        <v/>
      </c>
      <c r="P89" s="170">
        <f>SUM('مقایسه بودجه- صادرات'!P89,'مقایسه بودجه- واردات'!P89)</f>
        <v>5084</v>
      </c>
      <c r="Q89" s="160">
        <f>SUM('مقایسه بودجه- صادرات'!Q89,'مقایسه بودجه- واردات'!Q89)</f>
        <v>13807.416426843827</v>
      </c>
      <c r="R89" s="160">
        <f t="shared" si="260"/>
        <v>-8723.4164268438271</v>
      </c>
      <c r="S89" s="185">
        <f>IF(SUM(P89:P100)=0,"",IFERROR(P89/Q89,""))</f>
        <v>0.36820791398135067</v>
      </c>
      <c r="T89" s="183">
        <f t="shared" si="245"/>
        <v>5759</v>
      </c>
      <c r="U89" s="160">
        <f t="shared" si="246"/>
        <v>11115.960044105825</v>
      </c>
      <c r="V89" s="160">
        <f t="shared" si="261"/>
        <v>-5356.9600441058246</v>
      </c>
      <c r="W89" s="185">
        <f t="shared" ref="W89" si="344">IF(SUM(T89:T100)=0,"",IFERROR(T89/U89,""))</f>
        <v>0.51808390612681965</v>
      </c>
      <c r="X89" s="183">
        <f t="shared" si="248"/>
        <v>5394</v>
      </c>
      <c r="Y89" s="160">
        <f t="shared" si="249"/>
        <v>9541.7606149563198</v>
      </c>
      <c r="Z89" s="160">
        <f t="shared" si="263"/>
        <v>-4147.7606149563198</v>
      </c>
      <c r="AA89" s="185">
        <f t="shared" ref="AA89" si="345">IF(SUM(X89:X100)=0,"",IFERROR(X89/Y89,""))</f>
        <v>0.56530447761864044</v>
      </c>
      <c r="AB89" s="183">
        <f t="shared" si="251"/>
        <v>0</v>
      </c>
      <c r="AC89" s="160">
        <f t="shared" si="252"/>
        <v>0</v>
      </c>
      <c r="AD89" s="160">
        <f t="shared" si="265"/>
        <v>0</v>
      </c>
      <c r="AE89" s="185" t="str">
        <f t="shared" ref="AE89" si="346">IF(SUM(AB89:AB100)=0,"",IFERROR(AB89/AC89,""))</f>
        <v/>
      </c>
      <c r="AF89" s="183">
        <f t="shared" si="254"/>
        <v>5084</v>
      </c>
      <c r="AG89" s="160">
        <f t="shared" si="255"/>
        <v>13807.416426843827</v>
      </c>
      <c r="AH89" s="160">
        <f t="shared" si="267"/>
        <v>-8723.4164268438271</v>
      </c>
      <c r="AI89" s="186">
        <f t="shared" ref="AI89" si="347">IF(SUM(AF89:AF100)=0,"",IFERROR(AF89/AG89,""))</f>
        <v>0.36820791398135067</v>
      </c>
      <c r="AJ89" s="157">
        <v>1</v>
      </c>
    </row>
    <row r="90" spans="1:36" ht="24.95" customHeight="1" x14ac:dyDescent="0.25">
      <c r="A90" s="182" t="str">
        <f t="shared" si="314"/>
        <v>دوغارون</v>
      </c>
      <c r="B90" s="216"/>
      <c r="C90" s="167" t="str">
        <f t="shared" ref="C90:C100" si="348">C78</f>
        <v>اردیبهشت</v>
      </c>
      <c r="D90" s="171">
        <f>SUM('مقایسه بودجه- صادرات'!D90,'مقایسه بودجه- واردات'!D90)</f>
        <v>3994</v>
      </c>
      <c r="E90" s="159">
        <f>SUM('مقایسه بودجه- صادرات'!E90,'مقایسه بودجه- واردات'!E90)</f>
        <v>11115.960044105825</v>
      </c>
      <c r="F90" s="159">
        <f t="shared" si="257"/>
        <v>-7121.9600441058246</v>
      </c>
      <c r="G90" s="175">
        <f>IF(SUM(D90:D100)=0,"",IFERROR(D90/E90,""))</f>
        <v>0.35930319865784299</v>
      </c>
      <c r="H90" s="171">
        <f>SUM('مقایسه بودجه- صادرات'!H90,'مقایسه بودجه- واردات'!H90)</f>
        <v>4599</v>
      </c>
      <c r="I90" s="159">
        <f>SUM('مقایسه بودجه- صادرات'!I90,'مقایسه بودجه- واردات'!I90)</f>
        <v>9541.7606149563198</v>
      </c>
      <c r="J90" s="159">
        <f t="shared" si="258"/>
        <v>-4942.7606149563198</v>
      </c>
      <c r="K90" s="175">
        <f>IF(SUM(H90:H100)=0,"",IFERROR(H90/I90,""))</f>
        <v>0.48198652068374631</v>
      </c>
      <c r="L90" s="171">
        <f>SUM('مقایسه بودجه- صادرات'!L90,'مقایسه بودجه- واردات'!L90)</f>
        <v>50</v>
      </c>
      <c r="M90" s="159">
        <f>SUM('مقایسه بودجه- صادرات'!M90,'مقایسه بودجه- واردات'!M90)</f>
        <v>0</v>
      </c>
      <c r="N90" s="159">
        <f t="shared" si="259"/>
        <v>50</v>
      </c>
      <c r="O90" s="175" t="str">
        <f>IF(SUM(L90:L100)=0,"",IFERROR(L90/M90,""))</f>
        <v/>
      </c>
      <c r="P90" s="171">
        <f>SUM('مقایسه بودجه- صادرات'!P90,'مقایسه بودجه- واردات'!P90)</f>
        <v>7806</v>
      </c>
      <c r="Q90" s="159">
        <f>SUM('مقایسه بودجه- صادرات'!Q90,'مقایسه بودجه- واردات'!Q90)</f>
        <v>13807.416426843827</v>
      </c>
      <c r="R90" s="159">
        <f t="shared" si="260"/>
        <v>-6001.4164268438271</v>
      </c>
      <c r="S90" s="175">
        <f>IF(SUM(P90:P100)=0,"",IFERROR(P90/Q90,""))</f>
        <v>0.56534834314288418</v>
      </c>
      <c r="T90" s="171">
        <f t="shared" si="245"/>
        <v>9753</v>
      </c>
      <c r="U90" s="159">
        <f t="shared" si="246"/>
        <v>22231.920088211649</v>
      </c>
      <c r="V90" s="159">
        <f t="shared" si="261"/>
        <v>-12478.920088211649</v>
      </c>
      <c r="W90" s="175">
        <f t="shared" ref="W90" si="349">IF(SUM(T90:T100)=0,"",IFERROR(T90/U90,""))</f>
        <v>0.43869355239233132</v>
      </c>
      <c r="X90" s="171">
        <f t="shared" si="248"/>
        <v>9993</v>
      </c>
      <c r="Y90" s="159">
        <f t="shared" si="249"/>
        <v>19083.52122991264</v>
      </c>
      <c r="Z90" s="159">
        <f t="shared" si="263"/>
        <v>-9090.5212299126397</v>
      </c>
      <c r="AA90" s="175">
        <f t="shared" ref="AA90" si="350">IF(SUM(X90:X100)=0,"",IFERROR(X90/Y90,""))</f>
        <v>0.52364549915119341</v>
      </c>
      <c r="AB90" s="171">
        <f t="shared" si="251"/>
        <v>50</v>
      </c>
      <c r="AC90" s="159">
        <f t="shared" si="252"/>
        <v>0</v>
      </c>
      <c r="AD90" s="159">
        <f t="shared" si="265"/>
        <v>50</v>
      </c>
      <c r="AE90" s="175" t="str">
        <f t="shared" ref="AE90" si="351">IF(SUM(AB90:AB100)=0,"",IFERROR(AB90/AC90,""))</f>
        <v/>
      </c>
      <c r="AF90" s="171">
        <f t="shared" si="254"/>
        <v>12890</v>
      </c>
      <c r="AG90" s="159">
        <f t="shared" si="255"/>
        <v>27614.832853687654</v>
      </c>
      <c r="AH90" s="159">
        <f t="shared" si="267"/>
        <v>-14724.832853687654</v>
      </c>
      <c r="AI90" s="187">
        <f t="shared" ref="AI90" si="352">IF(SUM(AF90:AF100)=0,"",IFERROR(AF90/AG90,""))</f>
        <v>0.46677812856211742</v>
      </c>
      <c r="AJ90" s="157">
        <f>AJ89+1</f>
        <v>2</v>
      </c>
    </row>
    <row r="91" spans="1:36" ht="24.95" customHeight="1" x14ac:dyDescent="0.25">
      <c r="A91" s="182" t="str">
        <f t="shared" si="314"/>
        <v>دوغارون</v>
      </c>
      <c r="B91" s="216"/>
      <c r="C91" s="167" t="str">
        <f t="shared" si="348"/>
        <v>خرداد</v>
      </c>
      <c r="D91" s="171">
        <f>SUM('مقایسه بودجه- صادرات'!D91,'مقایسه بودجه- واردات'!D91)</f>
        <v>2459</v>
      </c>
      <c r="E91" s="159">
        <f>SUM('مقایسه بودجه- صادرات'!E91,'مقایسه بودجه- واردات'!E91)</f>
        <v>11115.960044105825</v>
      </c>
      <c r="F91" s="159">
        <f t="shared" si="257"/>
        <v>-8656.9600441058246</v>
      </c>
      <c r="G91" s="175">
        <f>IF(SUM(D91:D100)=0,"",IFERROR(D91/E91,""))</f>
        <v>0.22121346156725985</v>
      </c>
      <c r="H91" s="171">
        <f>SUM('مقایسه بودجه- صادرات'!H91,'مقایسه بودجه- واردات'!H91)</f>
        <v>2714</v>
      </c>
      <c r="I91" s="159">
        <f>SUM('مقایسه بودجه- صادرات'!I91,'مقایسه بودجه- واردات'!I91)</f>
        <v>9541.7606149563198</v>
      </c>
      <c r="J91" s="159">
        <f t="shared" si="258"/>
        <v>-6827.7606149563198</v>
      </c>
      <c r="K91" s="175">
        <f>IF(SUM(H91:H100)=0,"",IFERROR(H91/I91,""))</f>
        <v>0.28443388065572678</v>
      </c>
      <c r="L91" s="171">
        <f>SUM('مقایسه بودجه- صادرات'!L91,'مقایسه بودجه- واردات'!L91)</f>
        <v>0</v>
      </c>
      <c r="M91" s="159">
        <f>SUM('مقایسه بودجه- صادرات'!M91,'مقایسه بودجه- واردات'!M91)</f>
        <v>0</v>
      </c>
      <c r="N91" s="159">
        <f t="shared" si="259"/>
        <v>0</v>
      </c>
      <c r="O91" s="175" t="str">
        <f>IF(SUM(L91:L100)=0,"",IFERROR(L91/M91,""))</f>
        <v/>
      </c>
      <c r="P91" s="171">
        <f>SUM('مقایسه بودجه- صادرات'!P91,'مقایسه بودجه- واردات'!P91)</f>
        <v>5073</v>
      </c>
      <c r="Q91" s="159">
        <f>SUM('مقایسه بودجه- صادرات'!Q91,'مقایسه بودجه- واردات'!Q91)</f>
        <v>13807.416426843827</v>
      </c>
      <c r="R91" s="159">
        <f t="shared" si="260"/>
        <v>-8734.4164268438271</v>
      </c>
      <c r="S91" s="175">
        <f>IF(SUM(P91:P100)=0,"",IFERROR(P91/Q91,""))</f>
        <v>0.36741124068202041</v>
      </c>
      <c r="T91" s="171">
        <f t="shared" si="245"/>
        <v>12212</v>
      </c>
      <c r="U91" s="159">
        <f t="shared" si="246"/>
        <v>33347.88013231747</v>
      </c>
      <c r="V91" s="159">
        <f t="shared" si="261"/>
        <v>-21135.88013231747</v>
      </c>
      <c r="W91" s="175">
        <f t="shared" ref="W91" si="353">IF(SUM(T91:T100)=0,"",IFERROR(T91/U91,""))</f>
        <v>0.3662001887839742</v>
      </c>
      <c r="X91" s="171">
        <f t="shared" si="248"/>
        <v>12707</v>
      </c>
      <c r="Y91" s="159">
        <f t="shared" si="249"/>
        <v>28625.281844868958</v>
      </c>
      <c r="Z91" s="159">
        <f t="shared" si="263"/>
        <v>-15918.281844868958</v>
      </c>
      <c r="AA91" s="175">
        <f t="shared" ref="AA91" si="354">IF(SUM(X91:X100)=0,"",IFERROR(X91/Y91,""))</f>
        <v>0.4439082929860379</v>
      </c>
      <c r="AB91" s="171">
        <f t="shared" si="251"/>
        <v>50</v>
      </c>
      <c r="AC91" s="159">
        <f t="shared" si="252"/>
        <v>0</v>
      </c>
      <c r="AD91" s="159">
        <f t="shared" si="265"/>
        <v>50</v>
      </c>
      <c r="AE91" s="175" t="str">
        <f t="shared" ref="AE91" si="355">IF(SUM(AB91:AB100)=0,"",IFERROR(AB91/AC91,""))</f>
        <v/>
      </c>
      <c r="AF91" s="171">
        <f t="shared" si="254"/>
        <v>17963</v>
      </c>
      <c r="AG91" s="159">
        <f t="shared" si="255"/>
        <v>41422.249280531483</v>
      </c>
      <c r="AH91" s="159">
        <f t="shared" si="267"/>
        <v>-23459.249280531483</v>
      </c>
      <c r="AI91" s="187">
        <f t="shared" ref="AI91" si="356">IF(SUM(AF91:AF100)=0,"",IFERROR(AF91/AG91,""))</f>
        <v>0.43365583260208507</v>
      </c>
      <c r="AJ91" s="157">
        <f t="shared" ref="AJ91:AJ99" si="357">AJ90+1</f>
        <v>3</v>
      </c>
    </row>
    <row r="92" spans="1:36" ht="24.95" customHeight="1" x14ac:dyDescent="0.25">
      <c r="A92" s="182" t="str">
        <f t="shared" si="314"/>
        <v>دوغارون</v>
      </c>
      <c r="B92" s="216"/>
      <c r="C92" s="167" t="str">
        <f t="shared" si="348"/>
        <v>تیر</v>
      </c>
      <c r="D92" s="171">
        <f>SUM('مقایسه بودجه- صادرات'!D92,'مقایسه بودجه- واردات'!D92)</f>
        <v>4416</v>
      </c>
      <c r="E92" s="159">
        <f>SUM('مقایسه بودجه- صادرات'!E92,'مقایسه بودجه- واردات'!E92)</f>
        <v>9150.8388668725092</v>
      </c>
      <c r="F92" s="159">
        <f t="shared" si="257"/>
        <v>-4734.8388668725092</v>
      </c>
      <c r="G92" s="175">
        <f>IF(SUM(D92:D100)=0,"",IFERROR(D92/E92,""))</f>
        <v>0.48257870827412574</v>
      </c>
      <c r="H92" s="171">
        <f>SUM('مقایسه بودجه- صادرات'!H92,'مقایسه بودجه- واردات'!H92)</f>
        <v>5064</v>
      </c>
      <c r="I92" s="159">
        <f>SUM('مقایسه بودجه- صادرات'!I92,'مقایسه بودجه- واردات'!I92)</f>
        <v>10692.24778047303</v>
      </c>
      <c r="J92" s="159">
        <f t="shared" si="258"/>
        <v>-5628.2477804730297</v>
      </c>
      <c r="K92" s="175">
        <f>IF(SUM(H92:H100)=0,"",IFERROR(H92/I92,""))</f>
        <v>0.47361416457709199</v>
      </c>
      <c r="L92" s="171">
        <f>SUM('مقایسه بودجه- صادرات'!L92,'مقایسه بودجه- واردات'!L92)</f>
        <v>0</v>
      </c>
      <c r="M92" s="159">
        <f>SUM('مقایسه بودجه- صادرات'!M92,'مقایسه بودجه- واردات'!M92)</f>
        <v>0</v>
      </c>
      <c r="N92" s="159">
        <f t="shared" si="259"/>
        <v>0</v>
      </c>
      <c r="O92" s="175" t="str">
        <f>IF(SUM(L92:L100)=0,"",IFERROR(L92/M92,""))</f>
        <v/>
      </c>
      <c r="P92" s="171">
        <f>SUM('مقایسه بودجه- صادرات'!P92,'مقایسه بودجه- واردات'!P92)</f>
        <v>9685</v>
      </c>
      <c r="Q92" s="159">
        <f>SUM('مقایسه بودجه- صادرات'!Q92,'مقایسه بودجه- واردات'!Q92)</f>
        <v>10823.292098712072</v>
      </c>
      <c r="R92" s="159">
        <f t="shared" si="260"/>
        <v>-1138.2920987120724</v>
      </c>
      <c r="S92" s="175">
        <f>IF(SUM(P92:P100)=0,"",IFERROR(P92/Q92,""))</f>
        <v>0.89482940233614094</v>
      </c>
      <c r="T92" s="171">
        <f t="shared" si="245"/>
        <v>16628</v>
      </c>
      <c r="U92" s="159">
        <f t="shared" si="246"/>
        <v>42498.71899918998</v>
      </c>
      <c r="V92" s="159">
        <f t="shared" si="261"/>
        <v>-25870.71899918998</v>
      </c>
      <c r="W92" s="175">
        <f t="shared" ref="W92" si="358">IF(SUM(T92:T100)=0,"",IFERROR(T92/U92,""))</f>
        <v>0.39125885183308534</v>
      </c>
      <c r="X92" s="171">
        <f t="shared" si="248"/>
        <v>17771</v>
      </c>
      <c r="Y92" s="159">
        <f t="shared" si="249"/>
        <v>39317.529625341987</v>
      </c>
      <c r="Z92" s="159">
        <f t="shared" si="263"/>
        <v>-21546.529625341987</v>
      </c>
      <c r="AA92" s="175">
        <f t="shared" ref="AA92" si="359">IF(SUM(X92:X100)=0,"",IFERROR(X92/Y92,""))</f>
        <v>0.45198668810936077</v>
      </c>
      <c r="AB92" s="171">
        <f t="shared" si="251"/>
        <v>50</v>
      </c>
      <c r="AC92" s="159">
        <f t="shared" si="252"/>
        <v>0</v>
      </c>
      <c r="AD92" s="159">
        <f t="shared" si="265"/>
        <v>50</v>
      </c>
      <c r="AE92" s="175" t="str">
        <f t="shared" ref="AE92" si="360">IF(SUM(AB92:AB100)=0,"",IFERROR(AB92/AC92,""))</f>
        <v/>
      </c>
      <c r="AF92" s="171">
        <f t="shared" si="254"/>
        <v>27648</v>
      </c>
      <c r="AG92" s="159">
        <f t="shared" si="255"/>
        <v>52245.541379243557</v>
      </c>
      <c r="AH92" s="159">
        <f t="shared" si="267"/>
        <v>-24597.541379243557</v>
      </c>
      <c r="AI92" s="187">
        <f t="shared" ref="AI92" si="361">IF(SUM(AF92:AF100)=0,"",IFERROR(AF92/AG92,""))</f>
        <v>0.52919348273772837</v>
      </c>
      <c r="AJ92" s="157">
        <f t="shared" si="357"/>
        <v>4</v>
      </c>
    </row>
    <row r="93" spans="1:36" ht="24.95" customHeight="1" x14ac:dyDescent="0.25">
      <c r="A93" s="182" t="str">
        <f t="shared" si="314"/>
        <v>دوغارون</v>
      </c>
      <c r="B93" s="216"/>
      <c r="C93" s="167" t="str">
        <f t="shared" si="348"/>
        <v>مرداد</v>
      </c>
      <c r="D93" s="171">
        <f>SUM('مقایسه بودجه- صادرات'!D93,'مقایسه بودجه- واردات'!D93)</f>
        <v>3408</v>
      </c>
      <c r="E93" s="159">
        <f>SUM('مقایسه بودجه- صادرات'!E93,'مقایسه بودجه- واردات'!E93)</f>
        <v>9150.8388668725092</v>
      </c>
      <c r="F93" s="159">
        <f t="shared" si="257"/>
        <v>-5742.8388668725092</v>
      </c>
      <c r="G93" s="175">
        <f>IF(SUM(D93:D100)=0,"",IFERROR(D93/E93,""))</f>
        <v>0.37242487268981445</v>
      </c>
      <c r="H93" s="171">
        <f>SUM('مقایسه بودجه- صادرات'!H93,'مقایسه بودجه- واردات'!H93)</f>
        <v>11314</v>
      </c>
      <c r="I93" s="159">
        <f>SUM('مقایسه بودجه- صادرات'!I93,'مقایسه بودجه- واردات'!I93)</f>
        <v>10692.24778047303</v>
      </c>
      <c r="J93" s="159">
        <f t="shared" si="258"/>
        <v>621.75221952697029</v>
      </c>
      <c r="K93" s="175">
        <f>IF(SUM(H93:H100)=0,"",IFERROR(H93/I93,""))</f>
        <v>1.0581498139860226</v>
      </c>
      <c r="L93" s="171">
        <f>SUM('مقایسه بودجه- صادرات'!L93,'مقایسه بودجه- واردات'!L93)</f>
        <v>0</v>
      </c>
      <c r="M93" s="159">
        <f>SUM('مقایسه بودجه- صادرات'!M93,'مقایسه بودجه- واردات'!M93)</f>
        <v>0</v>
      </c>
      <c r="N93" s="159">
        <f t="shared" si="259"/>
        <v>0</v>
      </c>
      <c r="O93" s="175" t="str">
        <f>IF(SUM(L93:L100)=0,"",IFERROR(L93/M93,""))</f>
        <v/>
      </c>
      <c r="P93" s="171">
        <f>SUM('مقایسه بودجه- صادرات'!P93,'مقایسه بودجه- واردات'!P93)</f>
        <v>9860</v>
      </c>
      <c r="Q93" s="159">
        <f>SUM('مقایسه بودجه- صادرات'!Q93,'مقایسه بودجه- واردات'!Q93)</f>
        <v>10823.292098712072</v>
      </c>
      <c r="R93" s="159">
        <f t="shared" si="260"/>
        <v>-963.2920987120724</v>
      </c>
      <c r="S93" s="175">
        <f>IF(SUM(P93:P100)=0,"",IFERROR(P93/Q93,""))</f>
        <v>0.91099823510938038</v>
      </c>
      <c r="T93" s="171">
        <f t="shared" si="245"/>
        <v>20036</v>
      </c>
      <c r="U93" s="159">
        <f t="shared" si="246"/>
        <v>51649.557866062489</v>
      </c>
      <c r="V93" s="159">
        <f t="shared" si="261"/>
        <v>-31613.557866062489</v>
      </c>
      <c r="W93" s="175">
        <f t="shared" ref="W93" si="362">IF(SUM(T93:T100)=0,"",IFERROR(T93/U93,""))</f>
        <v>0.38792200413326494</v>
      </c>
      <c r="X93" s="171">
        <f t="shared" si="248"/>
        <v>29085</v>
      </c>
      <c r="Y93" s="159">
        <f t="shared" si="249"/>
        <v>50009.777405815017</v>
      </c>
      <c r="Z93" s="159">
        <f t="shared" si="263"/>
        <v>-20924.777405815017</v>
      </c>
      <c r="AA93" s="175">
        <f t="shared" ref="AA93" si="363">IF(SUM(X93:X100)=0,"",IFERROR(X93/Y93,""))</f>
        <v>0.58158627190006384</v>
      </c>
      <c r="AB93" s="171">
        <f t="shared" si="251"/>
        <v>50</v>
      </c>
      <c r="AC93" s="159">
        <f t="shared" si="252"/>
        <v>0</v>
      </c>
      <c r="AD93" s="159">
        <f t="shared" si="265"/>
        <v>50</v>
      </c>
      <c r="AE93" s="175" t="str">
        <f t="shared" ref="AE93" si="364">IF(SUM(AB93:AB100)=0,"",IFERROR(AB93/AC93,""))</f>
        <v/>
      </c>
      <c r="AF93" s="171">
        <f t="shared" si="254"/>
        <v>37508</v>
      </c>
      <c r="AG93" s="159">
        <f t="shared" si="255"/>
        <v>63068.833477955632</v>
      </c>
      <c r="AH93" s="159">
        <f t="shared" si="267"/>
        <v>-25560.833477955632</v>
      </c>
      <c r="AI93" s="187">
        <f t="shared" ref="AI93" si="365">IF(SUM(AF93:AF100)=0,"",IFERROR(AF93/AG93,""))</f>
        <v>0.59471529647222865</v>
      </c>
      <c r="AJ93" s="157">
        <f t="shared" si="357"/>
        <v>5</v>
      </c>
    </row>
    <row r="94" spans="1:36" ht="24.95" customHeight="1" x14ac:dyDescent="0.25">
      <c r="A94" s="182" t="str">
        <f t="shared" si="314"/>
        <v>دوغارون</v>
      </c>
      <c r="B94" s="216"/>
      <c r="C94" s="167" t="str">
        <f t="shared" si="348"/>
        <v>شهریور</v>
      </c>
      <c r="D94" s="171">
        <f>SUM('مقایسه بودجه- صادرات'!D94,'مقایسه بودجه- واردات'!D94)</f>
        <v>4317</v>
      </c>
      <c r="E94" s="159">
        <f>SUM('مقایسه بودجه- صادرات'!E94,'مقایسه بودجه- واردات'!E94)</f>
        <v>9150.8388668725092</v>
      </c>
      <c r="F94" s="159">
        <f t="shared" si="257"/>
        <v>-4833.8388668725092</v>
      </c>
      <c r="G94" s="175">
        <f>IF(SUM(D94:D100)=0,"",IFERROR(D94/E94,""))</f>
        <v>0.47176002799352373</v>
      </c>
      <c r="H94" s="171">
        <f>SUM('مقایسه بودجه- صادرات'!H94,'مقایسه بودجه- واردات'!H94)</f>
        <v>4027</v>
      </c>
      <c r="I94" s="159">
        <f>SUM('مقایسه بودجه- صادرات'!I94,'مقایسه بودجه- واردات'!I94)</f>
        <v>10692.24778047303</v>
      </c>
      <c r="J94" s="159">
        <f t="shared" si="258"/>
        <v>-6665.2477804730297</v>
      </c>
      <c r="K94" s="175">
        <f>IF(SUM(H94:H100)=0,"",IFERROR(H94/I94,""))</f>
        <v>0.3766280096271622</v>
      </c>
      <c r="L94" s="171">
        <f>SUM('مقایسه بودجه- صادرات'!L94,'مقایسه بودجه- واردات'!L94)</f>
        <v>0</v>
      </c>
      <c r="M94" s="159">
        <f>SUM('مقایسه بودجه- صادرات'!M94,'مقایسه بودجه- واردات'!M94)</f>
        <v>0</v>
      </c>
      <c r="N94" s="159">
        <f t="shared" si="259"/>
        <v>0</v>
      </c>
      <c r="O94" s="175" t="str">
        <f>IF(SUM(L94:L100)=0,"",IFERROR(L94/M94,""))</f>
        <v/>
      </c>
      <c r="P94" s="171">
        <f>SUM('مقایسه بودجه- صادرات'!P94,'مقایسه بودجه- واردات'!P94)</f>
        <v>13031</v>
      </c>
      <c r="Q94" s="159">
        <f>SUM('مقایسه بودجه- صادرات'!Q94,'مقایسه بودجه- واردات'!Q94)</f>
        <v>10823.292098712072</v>
      </c>
      <c r="R94" s="159">
        <f t="shared" si="260"/>
        <v>2207.7079012879276</v>
      </c>
      <c r="S94" s="175">
        <f>IF(SUM(P94:P100)=0,"",IFERROR(P94/Q94,""))</f>
        <v>1.2039774849604803</v>
      </c>
      <c r="T94" s="171">
        <f t="shared" si="245"/>
        <v>24353</v>
      </c>
      <c r="U94" s="159">
        <f t="shared" si="246"/>
        <v>60800.396732934998</v>
      </c>
      <c r="V94" s="159">
        <f t="shared" si="261"/>
        <v>-36447.396732934998</v>
      </c>
      <c r="W94" s="175">
        <f t="shared" ref="W94" si="366">IF(SUM(T94:T100)=0,"",IFERROR(T94/U94,""))</f>
        <v>0.40054014954820533</v>
      </c>
      <c r="X94" s="171">
        <f t="shared" si="248"/>
        <v>33112</v>
      </c>
      <c r="Y94" s="159">
        <f t="shared" si="249"/>
        <v>60702.025186288047</v>
      </c>
      <c r="Z94" s="159">
        <f t="shared" si="263"/>
        <v>-27590.025186288047</v>
      </c>
      <c r="AA94" s="175">
        <f t="shared" ref="AA94" si="367">IF(SUM(X94:X100)=0,"",IFERROR(X94/Y94,""))</f>
        <v>0.54548427170893887</v>
      </c>
      <c r="AB94" s="171">
        <f t="shared" si="251"/>
        <v>50</v>
      </c>
      <c r="AC94" s="159">
        <f t="shared" si="252"/>
        <v>0</v>
      </c>
      <c r="AD94" s="159">
        <f t="shared" si="265"/>
        <v>50</v>
      </c>
      <c r="AE94" s="175" t="str">
        <f t="shared" ref="AE94" si="368">IF(SUM(AB94:AB100)=0,"",IFERROR(AB94/AC94,""))</f>
        <v/>
      </c>
      <c r="AF94" s="171">
        <f t="shared" si="254"/>
        <v>50539</v>
      </c>
      <c r="AG94" s="159">
        <f t="shared" si="255"/>
        <v>73892.125576667706</v>
      </c>
      <c r="AH94" s="159">
        <f t="shared" si="267"/>
        <v>-23353.125576667706</v>
      </c>
      <c r="AI94" s="187">
        <f t="shared" ref="AI94" si="369">IF(SUM(AF94:AF100)=0,"",IFERROR(AF94/AG94,""))</f>
        <v>0.68395650558952492</v>
      </c>
      <c r="AJ94" s="157">
        <f t="shared" si="357"/>
        <v>6</v>
      </c>
    </row>
    <row r="95" spans="1:36" ht="24.95" customHeight="1" x14ac:dyDescent="0.25">
      <c r="A95" s="182" t="str">
        <f t="shared" si="314"/>
        <v>دوغارون</v>
      </c>
      <c r="B95" s="216"/>
      <c r="C95" s="167" t="str">
        <f t="shared" si="348"/>
        <v>مهر</v>
      </c>
      <c r="D95" s="171">
        <f>SUM('مقایسه بودجه- صادرات'!D95,'مقایسه بودجه- واردات'!D95)</f>
        <v>4937</v>
      </c>
      <c r="E95" s="159">
        <f>SUM('مقایسه بودجه- صادرات'!E95,'مقایسه بودجه- واردات'!E95)</f>
        <v>9730.2010890216716</v>
      </c>
      <c r="F95" s="159">
        <f t="shared" si="257"/>
        <v>-4793.2010890216716</v>
      </c>
      <c r="G95" s="175">
        <f>IF(SUM(D95:D100)=0,"",IFERROR(D95/E95,""))</f>
        <v>0.50738930828164353</v>
      </c>
      <c r="H95" s="171">
        <f>SUM('مقایسه بودجه- صادرات'!H95,'مقایسه بودجه- واردات'!H95)</f>
        <v>4725</v>
      </c>
      <c r="I95" s="159">
        <f>SUM('مقایسه بودجه- صادرات'!I95,'مقایسه بودجه- واردات'!I95)</f>
        <v>9246.3582712373172</v>
      </c>
      <c r="J95" s="159">
        <f t="shared" si="258"/>
        <v>-4521.3582712373172</v>
      </c>
      <c r="K95" s="175">
        <f>IF(SUM(H95:H100)=0,"",IFERROR(H95/I95,""))</f>
        <v>0.51101199644167761</v>
      </c>
      <c r="L95" s="171">
        <f>SUM('مقایسه بودجه- صادرات'!L95,'مقایسه بودجه- واردات'!L95)</f>
        <v>0</v>
      </c>
      <c r="M95" s="159">
        <f>SUM('مقایسه بودجه- صادرات'!M95,'مقایسه بودجه- واردات'!M95)</f>
        <v>0</v>
      </c>
      <c r="N95" s="159">
        <f t="shared" si="259"/>
        <v>0</v>
      </c>
      <c r="O95" s="175" t="str">
        <f>IF(SUM(L95:L100)=0,"",IFERROR(L95/M95,""))</f>
        <v/>
      </c>
      <c r="P95" s="171">
        <f>SUM('مقایسه بودجه- صادرات'!P95,'مقایسه بودجه- واردات'!P95)</f>
        <v>21917</v>
      </c>
      <c r="Q95" s="159">
        <f>SUM('مقایسه بودجه- صادرات'!Q95,'مقایسه بودجه- واردات'!Q95)</f>
        <v>10685.891474444097</v>
      </c>
      <c r="R95" s="159">
        <f t="shared" si="260"/>
        <v>11231.108525555903</v>
      </c>
      <c r="S95" s="175">
        <f>IF(SUM(P95:P100)=0,"",IFERROR(P95/Q95,""))</f>
        <v>2.0510221400260074</v>
      </c>
      <c r="T95" s="171">
        <f t="shared" si="245"/>
        <v>29290</v>
      </c>
      <c r="U95" s="159">
        <f t="shared" si="246"/>
        <v>70530.597821956675</v>
      </c>
      <c r="V95" s="159">
        <f t="shared" si="261"/>
        <v>-41240.597821956675</v>
      </c>
      <c r="W95" s="175">
        <f t="shared" ref="W95" si="370">IF(SUM(T95:T100)=0,"",IFERROR(T95/U95,""))</f>
        <v>0.41528075621786115</v>
      </c>
      <c r="X95" s="171">
        <f t="shared" si="248"/>
        <v>37837</v>
      </c>
      <c r="Y95" s="159">
        <f t="shared" si="249"/>
        <v>69948.383457525371</v>
      </c>
      <c r="Z95" s="159">
        <f t="shared" si="263"/>
        <v>-32111.383457525371</v>
      </c>
      <c r="AA95" s="175">
        <f t="shared" ref="AA95" si="371">IF(SUM(X95:X100)=0,"",IFERROR(X95/Y95,""))</f>
        <v>0.54092744005979343</v>
      </c>
      <c r="AB95" s="171">
        <f t="shared" si="251"/>
        <v>50</v>
      </c>
      <c r="AC95" s="159">
        <f t="shared" si="252"/>
        <v>0</v>
      </c>
      <c r="AD95" s="159">
        <f t="shared" si="265"/>
        <v>50</v>
      </c>
      <c r="AE95" s="175" t="str">
        <f t="shared" ref="AE95" si="372">IF(SUM(AB95:AB100)=0,"",IFERROR(AB95/AC95,""))</f>
        <v/>
      </c>
      <c r="AF95" s="171">
        <f t="shared" si="254"/>
        <v>72456</v>
      </c>
      <c r="AG95" s="159">
        <f t="shared" si="255"/>
        <v>84578.017051111805</v>
      </c>
      <c r="AH95" s="159">
        <f t="shared" si="267"/>
        <v>-12122.017051111805</v>
      </c>
      <c r="AI95" s="187">
        <f t="shared" ref="AI95" si="373">IF(SUM(AF95:AF100)=0,"",IFERROR(AF95/AG95,""))</f>
        <v>0.85667650444220889</v>
      </c>
      <c r="AJ95" s="157">
        <f t="shared" si="357"/>
        <v>7</v>
      </c>
    </row>
    <row r="96" spans="1:36" ht="24.95" customHeight="1" x14ac:dyDescent="0.25">
      <c r="A96" s="182" t="str">
        <f t="shared" si="314"/>
        <v>دوغارون</v>
      </c>
      <c r="B96" s="216"/>
      <c r="C96" s="167" t="str">
        <f t="shared" si="348"/>
        <v>آبان</v>
      </c>
      <c r="D96" s="171">
        <f>SUM('مقایسه بودجه- صادرات'!D96,'مقایسه بودجه- واردات'!D96)</f>
        <v>22671</v>
      </c>
      <c r="E96" s="159">
        <f>SUM('مقایسه بودجه- صادرات'!E96,'مقایسه بودجه- واردات'!E96)</f>
        <v>9730.2010890216716</v>
      </c>
      <c r="F96" s="159">
        <f t="shared" si="257"/>
        <v>12940.798910978328</v>
      </c>
      <c r="G96" s="175">
        <f>IF(SUM(D96:D100)=0,"",IFERROR(D96/E96,""))</f>
        <v>2.3299621243777882</v>
      </c>
      <c r="H96" s="171">
        <f>SUM('مقایسه بودجه- صادرات'!H96,'مقایسه بودجه- واردات'!H96)</f>
        <v>7274</v>
      </c>
      <c r="I96" s="159">
        <f>SUM('مقایسه بودجه- صادرات'!I96,'مقایسه بودجه- واردات'!I96)</f>
        <v>9246.3582712373172</v>
      </c>
      <c r="J96" s="159">
        <f t="shared" si="258"/>
        <v>-1972.3582712373172</v>
      </c>
      <c r="K96" s="175">
        <f>IF(SUM(H96:H100)=0,"",IFERROR(H96/I96,""))</f>
        <v>0.78668809780248949</v>
      </c>
      <c r="L96" s="171">
        <f>SUM('مقایسه بودجه- صادرات'!L96,'مقایسه بودجه- واردات'!L96)</f>
        <v>0</v>
      </c>
      <c r="M96" s="159">
        <f>SUM('مقایسه بودجه- صادرات'!M96,'مقایسه بودجه- واردات'!M96)</f>
        <v>0</v>
      </c>
      <c r="N96" s="159">
        <f t="shared" si="259"/>
        <v>0</v>
      </c>
      <c r="O96" s="175" t="str">
        <f>IF(SUM(L96:L100)=0,"",IFERROR(L96/M96,""))</f>
        <v/>
      </c>
      <c r="P96" s="171">
        <f>SUM('مقایسه بودجه- صادرات'!P96,'مقایسه بودجه- واردات'!P96)</f>
        <v>14904</v>
      </c>
      <c r="Q96" s="159">
        <f>SUM('مقایسه بودجه- صادرات'!Q96,'مقایسه بودجه- واردات'!Q96)</f>
        <v>10685.891474444097</v>
      </c>
      <c r="R96" s="159">
        <f t="shared" si="260"/>
        <v>4218.1085255559028</v>
      </c>
      <c r="S96" s="175">
        <f>IF(SUM(P96:P100)=0,"",IFERROR(P96/Q96,""))</f>
        <v>1.3947362310055031</v>
      </c>
      <c r="T96" s="171">
        <f t="shared" si="245"/>
        <v>51961</v>
      </c>
      <c r="U96" s="159">
        <f t="shared" si="246"/>
        <v>80260.798910978352</v>
      </c>
      <c r="V96" s="159">
        <f t="shared" si="261"/>
        <v>-28299.798910978352</v>
      </c>
      <c r="W96" s="175">
        <f t="shared" ref="W96" si="374">IF(SUM(T96:T100)=0,"",IFERROR(T96/U96,""))</f>
        <v>0.64740197836346969</v>
      </c>
      <c r="X96" s="171">
        <f t="shared" si="248"/>
        <v>45111</v>
      </c>
      <c r="Y96" s="159">
        <f t="shared" si="249"/>
        <v>79194.741728762689</v>
      </c>
      <c r="Z96" s="159">
        <f t="shared" si="263"/>
        <v>-34083.741728762689</v>
      </c>
      <c r="AA96" s="175">
        <f t="shared" ref="AA96" si="375">IF(SUM(X96:X100)=0,"",IFERROR(X96/Y96,""))</f>
        <v>0.56962115179947814</v>
      </c>
      <c r="AB96" s="171">
        <f t="shared" si="251"/>
        <v>50</v>
      </c>
      <c r="AC96" s="159">
        <f t="shared" si="252"/>
        <v>0</v>
      </c>
      <c r="AD96" s="159">
        <f t="shared" si="265"/>
        <v>50</v>
      </c>
      <c r="AE96" s="175" t="str">
        <f t="shared" ref="AE96" si="376">IF(SUM(AB96:AB100)=0,"",IFERROR(AB96/AC96,""))</f>
        <v/>
      </c>
      <c r="AF96" s="171">
        <f t="shared" si="254"/>
        <v>87360</v>
      </c>
      <c r="AG96" s="159">
        <f t="shared" si="255"/>
        <v>95263.908525555904</v>
      </c>
      <c r="AH96" s="159">
        <f t="shared" si="267"/>
        <v>-7903.9085255559039</v>
      </c>
      <c r="AI96" s="187">
        <f t="shared" ref="AI96" si="377">IF(SUM(AF96:AF100)=0,"",IFERROR(AF96/AG96,""))</f>
        <v>0.91703144823796967</v>
      </c>
      <c r="AJ96" s="157">
        <f t="shared" si="357"/>
        <v>8</v>
      </c>
    </row>
    <row r="97" spans="1:36" ht="24.95" customHeight="1" x14ac:dyDescent="0.25">
      <c r="A97" s="182" t="str">
        <f t="shared" si="314"/>
        <v>دوغارون</v>
      </c>
      <c r="B97" s="216"/>
      <c r="C97" s="167" t="str">
        <f t="shared" si="348"/>
        <v>آذر</v>
      </c>
      <c r="D97" s="171">
        <f>SUM('مقایسه بودجه- صادرات'!D97,'مقایسه بودجه- واردات'!D97)</f>
        <v>11080</v>
      </c>
      <c r="E97" s="159">
        <f>SUM('مقایسه بودجه- صادرات'!E97,'مقایسه بودجه- واردات'!E97)</f>
        <v>9730.2010890216716</v>
      </c>
      <c r="F97" s="159">
        <f t="shared" si="257"/>
        <v>1349.7989109783284</v>
      </c>
      <c r="G97" s="175">
        <f>IF(SUM(D97:D100)=0,"",IFERROR(D97/E97,""))</f>
        <v>1.1387226120641301</v>
      </c>
      <c r="H97" s="171">
        <f>SUM('مقایسه بودجه- صادرات'!H97,'مقایسه بودجه- واردات'!H97)</f>
        <v>12213</v>
      </c>
      <c r="I97" s="159">
        <f>SUM('مقایسه بودجه- صادرات'!I97,'مقایسه بودجه- واردات'!I97)</f>
        <v>9246.3582712373172</v>
      </c>
      <c r="J97" s="159">
        <f t="shared" si="258"/>
        <v>2966.6417287626828</v>
      </c>
      <c r="K97" s="175">
        <f>IF(SUM(H97:H100)=0,"",IFERROR(H97/I97,""))</f>
        <v>1.3208443412787743</v>
      </c>
      <c r="L97" s="171">
        <f>SUM('مقایسه بودجه- صادرات'!L97,'مقایسه بودجه- واردات'!L97)</f>
        <v>0</v>
      </c>
      <c r="M97" s="159">
        <f>SUM('مقایسه بودجه- صادرات'!M97,'مقایسه بودجه- واردات'!M97)</f>
        <v>0</v>
      </c>
      <c r="N97" s="159">
        <f t="shared" si="259"/>
        <v>0</v>
      </c>
      <c r="O97" s="175" t="str">
        <f>IF(SUM(L97:L100)=0,"",IFERROR(L97/M97,""))</f>
        <v/>
      </c>
      <c r="P97" s="171">
        <f>SUM('مقایسه بودجه- صادرات'!P97,'مقایسه بودجه- واردات'!P97)</f>
        <v>20843</v>
      </c>
      <c r="Q97" s="159">
        <f>SUM('مقایسه بودجه- صادرات'!Q97,'مقایسه بودجه- واردات'!Q97)</f>
        <v>10685.891474444097</v>
      </c>
      <c r="R97" s="159">
        <f t="shared" si="260"/>
        <v>10157.108525555903</v>
      </c>
      <c r="S97" s="175">
        <f>IF(SUM(P97:P100)=0,"",IFERROR(P97/Q97,""))</f>
        <v>1.9505157852152244</v>
      </c>
      <c r="T97" s="171">
        <f t="shared" si="245"/>
        <v>63041</v>
      </c>
      <c r="U97" s="159">
        <f t="shared" si="246"/>
        <v>89991.000000000029</v>
      </c>
      <c r="V97" s="159">
        <f t="shared" si="261"/>
        <v>-26950.000000000029</v>
      </c>
      <c r="W97" s="175">
        <f t="shared" ref="W97" si="378">IF(SUM(T97:T100)=0,"",IFERROR(T97/U97,""))</f>
        <v>0.70052560811636699</v>
      </c>
      <c r="X97" s="171">
        <f t="shared" si="248"/>
        <v>57324</v>
      </c>
      <c r="Y97" s="159">
        <f t="shared" si="249"/>
        <v>88441.1</v>
      </c>
      <c r="Z97" s="159">
        <f t="shared" si="263"/>
        <v>-31117.100000000006</v>
      </c>
      <c r="AA97" s="175">
        <f t="shared" ref="AA97" si="379">IF(SUM(X97:X100)=0,"",IFERROR(X97/Y97,""))</f>
        <v>0.64816018796690678</v>
      </c>
      <c r="AB97" s="171">
        <f t="shared" si="251"/>
        <v>50</v>
      </c>
      <c r="AC97" s="159">
        <f t="shared" si="252"/>
        <v>0</v>
      </c>
      <c r="AD97" s="159">
        <f t="shared" si="265"/>
        <v>50</v>
      </c>
      <c r="AE97" s="175" t="str">
        <f t="shared" ref="AE97" si="380">IF(SUM(AB97:AB100)=0,"",IFERROR(AB97/AC97,""))</f>
        <v/>
      </c>
      <c r="AF97" s="171">
        <f t="shared" si="254"/>
        <v>108203</v>
      </c>
      <c r="AG97" s="159">
        <f t="shared" si="255"/>
        <v>105949.8</v>
      </c>
      <c r="AH97" s="159">
        <f t="shared" si="267"/>
        <v>2253.1999999999971</v>
      </c>
      <c r="AI97" s="187">
        <f t="shared" ref="AI97" si="381">IF(SUM(AF97:AF100)=0,"",IFERROR(AF97/AG97,""))</f>
        <v>1.0212666753500241</v>
      </c>
      <c r="AJ97" s="157">
        <f t="shared" si="357"/>
        <v>9</v>
      </c>
    </row>
    <row r="98" spans="1:36" ht="24.95" customHeight="1" x14ac:dyDescent="0.25">
      <c r="A98" s="182" t="str">
        <f t="shared" si="314"/>
        <v>دوغارون</v>
      </c>
      <c r="B98" s="216"/>
      <c r="C98" s="167" t="str">
        <f t="shared" si="348"/>
        <v>دی</v>
      </c>
      <c r="D98" s="171">
        <f>SUM('مقایسه بودجه- صادرات'!D98,'مقایسه بودجه- واردات'!D98)</f>
        <v>6970</v>
      </c>
      <c r="E98" s="159">
        <f>SUM('مقایسه بودجه- صادرات'!E98,'مقایسه بودجه- واردات'!E98)</f>
        <v>13876.172149710885</v>
      </c>
      <c r="F98" s="159">
        <f t="shared" si="257"/>
        <v>-6906.1721497108847</v>
      </c>
      <c r="G98" s="175">
        <f>IF(SUM(D98:D100)=0,"",IFERROR(D98/E98,""))</f>
        <v>0.50229990841856353</v>
      </c>
      <c r="H98" s="171">
        <f>SUM('مقایسه بودجه- صادرات'!H98,'مقایسه بودجه- واردات'!H98)</f>
        <v>13705</v>
      </c>
      <c r="I98" s="159">
        <f>SUM('مقایسه بودجه- صادرات'!I98,'مقایسه بودجه- واردات'!I98)</f>
        <v>13418.662934357275</v>
      </c>
      <c r="J98" s="159">
        <f t="shared" si="258"/>
        <v>286.33706564272507</v>
      </c>
      <c r="K98" s="175">
        <f>IF(SUM(H98:H100)=0,"",IFERROR(H98/I98,""))</f>
        <v>1.0213387181005631</v>
      </c>
      <c r="L98" s="171">
        <f>SUM('مقایسه بودجه- صادرات'!L98,'مقایسه بودجه- واردات'!L98)</f>
        <v>0</v>
      </c>
      <c r="M98" s="159">
        <f>SUM('مقایسه بودجه- صادرات'!M98,'مقایسه بودجه- واردات'!M98)</f>
        <v>0</v>
      </c>
      <c r="N98" s="159">
        <f t="shared" si="259"/>
        <v>0</v>
      </c>
      <c r="O98" s="175" t="str">
        <f>IF(SUM(L98:L100)=0,"",IFERROR(L98/M98,""))</f>
        <v/>
      </c>
      <c r="P98" s="171">
        <f>SUM('مقایسه بودجه- صادرات'!P98,'مقایسه بودجه- واردات'!P98)</f>
        <v>10848</v>
      </c>
      <c r="Q98" s="159">
        <f>SUM('مقایسه بودجه- صادرات'!Q98,'مقایسه بودجه- واردات'!Q98)</f>
        <v>16176.407762169554</v>
      </c>
      <c r="R98" s="159">
        <f t="shared" si="260"/>
        <v>-5328.4077621695542</v>
      </c>
      <c r="S98" s="175">
        <f>IF(SUM(P98:P100)=0,"",IFERROR(P98/Q98,""))</f>
        <v>0.67060624085956422</v>
      </c>
      <c r="T98" s="171">
        <f t="shared" si="245"/>
        <v>70011</v>
      </c>
      <c r="U98" s="159">
        <f t="shared" si="246"/>
        <v>103867.17214971091</v>
      </c>
      <c r="V98" s="159">
        <f t="shared" si="261"/>
        <v>-33856.17214971091</v>
      </c>
      <c r="W98" s="175">
        <f t="shared" ref="W98" si="382">IF(SUM(T98:T100)=0,"",IFERROR(T98/U98,""))</f>
        <v>0.67404357460592379</v>
      </c>
      <c r="X98" s="171">
        <f t="shared" si="248"/>
        <v>71029</v>
      </c>
      <c r="Y98" s="159">
        <f t="shared" si="249"/>
        <v>101859.76293435728</v>
      </c>
      <c r="Z98" s="159">
        <f t="shared" si="263"/>
        <v>-30830.762934357277</v>
      </c>
      <c r="AA98" s="175">
        <f t="shared" ref="AA98" si="383">IF(SUM(X98:X100)=0,"",IFERROR(X98/Y98,""))</f>
        <v>0.69732147369883513</v>
      </c>
      <c r="AB98" s="171">
        <f t="shared" si="251"/>
        <v>50</v>
      </c>
      <c r="AC98" s="159">
        <f t="shared" si="252"/>
        <v>0</v>
      </c>
      <c r="AD98" s="159">
        <f t="shared" si="265"/>
        <v>50</v>
      </c>
      <c r="AE98" s="175" t="str">
        <f t="shared" ref="AE98" si="384">IF(SUM(AB98:AB100)=0,"",IFERROR(AB98/AC98,""))</f>
        <v/>
      </c>
      <c r="AF98" s="171">
        <f t="shared" si="254"/>
        <v>119051</v>
      </c>
      <c r="AG98" s="159">
        <f t="shared" si="255"/>
        <v>122126.20776216956</v>
      </c>
      <c r="AH98" s="159">
        <f t="shared" si="267"/>
        <v>-3075.2077621695644</v>
      </c>
      <c r="AI98" s="187">
        <f t="shared" ref="AI98" si="385">IF(SUM(AF98:AF100)=0,"",IFERROR(AF98/AG98,""))</f>
        <v>0.97481942804481192</v>
      </c>
      <c r="AJ98" s="157">
        <f t="shared" si="357"/>
        <v>10</v>
      </c>
    </row>
    <row r="99" spans="1:36" ht="24.95" customHeight="1" x14ac:dyDescent="0.25">
      <c r="A99" s="182" t="str">
        <f t="shared" si="314"/>
        <v>دوغارون</v>
      </c>
      <c r="B99" s="216"/>
      <c r="C99" s="167" t="str">
        <f t="shared" si="348"/>
        <v>بهمن</v>
      </c>
      <c r="D99" s="171">
        <f>SUM('مقایسه بودجه- صادرات'!D99,'مقایسه بودجه- واردات'!D99)</f>
        <v>9642</v>
      </c>
      <c r="E99" s="159">
        <f>SUM('مقایسه بودجه- صادرات'!E99,'مقایسه بودجه- واردات'!E99)</f>
        <v>13876.172149710885</v>
      </c>
      <c r="F99" s="159">
        <f t="shared" si="257"/>
        <v>-4234.1721497108847</v>
      </c>
      <c r="G99" s="175">
        <f>IF(SUM(D99:D100)=0,"",IFERROR(D99/E99,""))</f>
        <v>0.69486021764301154</v>
      </c>
      <c r="H99" s="171">
        <f>SUM('مقایسه بودجه- صادرات'!H99,'مقایسه بودجه- واردات'!H99)</f>
        <v>13276</v>
      </c>
      <c r="I99" s="159">
        <f>SUM('مقایسه بودجه- صادرات'!I99,'مقایسه بودجه- واردات'!I99)</f>
        <v>13418.662934357275</v>
      </c>
      <c r="J99" s="159">
        <f t="shared" si="258"/>
        <v>-142.66293435727493</v>
      </c>
      <c r="K99" s="175">
        <f>IF(SUM(H99:H100)=0,"",IFERROR(H99/I99,""))</f>
        <v>0.98936831970106354</v>
      </c>
      <c r="L99" s="171">
        <f>SUM('مقایسه بودجه- صادرات'!L99,'مقایسه بودجه- واردات'!L99)</f>
        <v>0</v>
      </c>
      <c r="M99" s="159">
        <f>SUM('مقایسه بودجه- صادرات'!M99,'مقایسه بودجه- واردات'!M99)</f>
        <v>0</v>
      </c>
      <c r="N99" s="159">
        <f t="shared" si="259"/>
        <v>0</v>
      </c>
      <c r="O99" s="175" t="str">
        <f>IF(SUM(L99:L100)=0,"",IFERROR(L99/M99,""))</f>
        <v/>
      </c>
      <c r="P99" s="171">
        <f>SUM('مقایسه بودجه- صادرات'!P99,'مقایسه بودجه- واردات'!P99)</f>
        <v>19220</v>
      </c>
      <c r="Q99" s="159">
        <f>SUM('مقایسه بودجه- صادرات'!Q99,'مقایسه بودجه- واردات'!Q99)</f>
        <v>16176.407762169554</v>
      </c>
      <c r="R99" s="159">
        <f t="shared" si="260"/>
        <v>3043.5922378304458</v>
      </c>
      <c r="S99" s="175">
        <f>IF(SUM(P99:P100)=0,"",IFERROR(P99/Q99,""))</f>
        <v>1.1881500690745597</v>
      </c>
      <c r="T99" s="171">
        <f t="shared" si="245"/>
        <v>79653</v>
      </c>
      <c r="U99" s="159">
        <f t="shared" si="246"/>
        <v>117743.34429942179</v>
      </c>
      <c r="V99" s="159">
        <f t="shared" si="261"/>
        <v>-38090.344299421791</v>
      </c>
      <c r="W99" s="175">
        <f t="shared" ref="W99" si="386">IF(SUM(T99:T100)=0,"",IFERROR(T99/U99,""))</f>
        <v>0.67649683703090768</v>
      </c>
      <c r="X99" s="171">
        <f t="shared" si="248"/>
        <v>84305</v>
      </c>
      <c r="Y99" s="159">
        <f t="shared" si="249"/>
        <v>115278.42586871455</v>
      </c>
      <c r="Z99" s="159">
        <f t="shared" si="263"/>
        <v>-30973.425868714548</v>
      </c>
      <c r="AA99" s="175">
        <f t="shared" ref="AA99" si="387">IF(SUM(X99:X100)=0,"",IFERROR(X99/Y99,""))</f>
        <v>0.7313163704717065</v>
      </c>
      <c r="AB99" s="171">
        <f t="shared" si="251"/>
        <v>50</v>
      </c>
      <c r="AC99" s="159">
        <f t="shared" si="252"/>
        <v>0</v>
      </c>
      <c r="AD99" s="159">
        <f t="shared" si="265"/>
        <v>50</v>
      </c>
      <c r="AE99" s="175" t="str">
        <f t="shared" ref="AE99" si="388">IF(SUM(AB99:AB100)=0,"",IFERROR(AB99/AC99,""))</f>
        <v/>
      </c>
      <c r="AF99" s="171">
        <f t="shared" si="254"/>
        <v>138271</v>
      </c>
      <c r="AG99" s="159">
        <f t="shared" si="255"/>
        <v>138302.61552433911</v>
      </c>
      <c r="AH99" s="159">
        <f t="shared" si="267"/>
        <v>-31.615524339111289</v>
      </c>
      <c r="AI99" s="187">
        <f t="shared" ref="AI99" si="389">IF(SUM(AF99:AF100)=0,"",IFERROR(AF99/AG99,""))</f>
        <v>0.99977140327954572</v>
      </c>
      <c r="AJ99" s="157">
        <f t="shared" si="357"/>
        <v>11</v>
      </c>
    </row>
    <row r="100" spans="1:36" ht="24.95" customHeight="1" thickBot="1" x14ac:dyDescent="0.3">
      <c r="A100" s="182" t="str">
        <f t="shared" si="314"/>
        <v>دوغارون</v>
      </c>
      <c r="B100" s="217"/>
      <c r="C100" s="168" t="str">
        <f t="shared" si="348"/>
        <v>اسفند</v>
      </c>
      <c r="D100" s="172">
        <f>SUM('مقایسه بودجه- صادرات'!D100,'مقایسه بودجه- واردات'!D100)</f>
        <v>8083</v>
      </c>
      <c r="E100" s="173">
        <f>SUM('مقایسه بودجه- صادرات'!E100,'مقایسه بودجه- واردات'!E100)</f>
        <v>13876.172149710885</v>
      </c>
      <c r="F100" s="173">
        <f t="shared" si="257"/>
        <v>-5793.1721497108847</v>
      </c>
      <c r="G100" s="176">
        <f>IF(SUM(D100)=0,"",IFERROR(D100/E100,""))</f>
        <v>0.58250934860075321</v>
      </c>
      <c r="H100" s="172">
        <f>SUM('مقایسه بودجه- صادرات'!H100,'مقایسه بودجه- واردات'!H100)</f>
        <v>10058</v>
      </c>
      <c r="I100" s="173">
        <f>SUM('مقایسه بودجه- صادرات'!I100,'مقایسه بودجه- واردات'!I100)</f>
        <v>13418.662934357275</v>
      </c>
      <c r="J100" s="173">
        <f t="shared" si="258"/>
        <v>-3360.6629343572749</v>
      </c>
      <c r="K100" s="176">
        <f>IF(SUM(H100)=0,"",IFERROR(H100/I100,""))</f>
        <v>0.74955307016822059</v>
      </c>
      <c r="L100" s="172">
        <f>SUM('مقایسه بودجه- صادرات'!L100,'مقایسه بودجه- واردات'!L100)</f>
        <v>0</v>
      </c>
      <c r="M100" s="173">
        <f>SUM('مقایسه بودجه- صادرات'!M100,'مقایسه بودجه- واردات'!M100)</f>
        <v>0</v>
      </c>
      <c r="N100" s="173">
        <f t="shared" si="259"/>
        <v>0</v>
      </c>
      <c r="O100" s="176" t="str">
        <f>IF(SUM(L100)=0,"",IFERROR(L100/M100,""))</f>
        <v/>
      </c>
      <c r="P100" s="172">
        <f>SUM('مقایسه بودجه- صادرات'!P100,'مقایسه بودجه- واردات'!P100)</f>
        <v>30750</v>
      </c>
      <c r="Q100" s="173">
        <f>SUM('مقایسه بودجه- صادرات'!Q100,'مقایسه بودجه- واردات'!Q100)</f>
        <v>16176.407762169554</v>
      </c>
      <c r="R100" s="173">
        <f t="shared" si="260"/>
        <v>14573.592237830446</v>
      </c>
      <c r="S100" s="176">
        <f>IF(SUM(P100)=0,"",IFERROR(P100/Q100,""))</f>
        <v>1.9009164736754793</v>
      </c>
      <c r="T100" s="172">
        <f t="shared" si="245"/>
        <v>87736</v>
      </c>
      <c r="U100" s="173">
        <f t="shared" si="246"/>
        <v>131619.51644913267</v>
      </c>
      <c r="V100" s="173">
        <f t="shared" si="261"/>
        <v>-43883.516449132672</v>
      </c>
      <c r="W100" s="176">
        <f t="shared" ref="W100" si="390">IF(SUM(T100)=0,"",IFERROR(T100/U100,""))</f>
        <v>0.66658807422307731</v>
      </c>
      <c r="X100" s="172">
        <f t="shared" si="248"/>
        <v>94363</v>
      </c>
      <c r="Y100" s="173">
        <f t="shared" si="249"/>
        <v>128697.08880307182</v>
      </c>
      <c r="Z100" s="173">
        <f t="shared" si="263"/>
        <v>-34334.08880307182</v>
      </c>
      <c r="AA100" s="176">
        <f t="shared" ref="AA100" si="391">IF(SUM(X100)=0,"",IFERROR(X100/Y100,""))</f>
        <v>0.73321782860520845</v>
      </c>
      <c r="AB100" s="172">
        <f t="shared" si="251"/>
        <v>50</v>
      </c>
      <c r="AC100" s="173">
        <f t="shared" si="252"/>
        <v>0</v>
      </c>
      <c r="AD100" s="173">
        <f t="shared" si="265"/>
        <v>50</v>
      </c>
      <c r="AE100" s="176" t="str">
        <f t="shared" ref="AE100" si="392">IF(SUM(AB100)=0,"",IFERROR(AB100/AC100,""))</f>
        <v/>
      </c>
      <c r="AF100" s="172">
        <f t="shared" si="254"/>
        <v>169021</v>
      </c>
      <c r="AG100" s="173">
        <f t="shared" si="255"/>
        <v>154479.02328650866</v>
      </c>
      <c r="AH100" s="173">
        <f t="shared" si="267"/>
        <v>14541.976713491342</v>
      </c>
      <c r="AI100" s="188">
        <f t="shared" ref="AI100" si="393">IF(SUM(AF100)=0,"",IFERROR(AF100/AG100,""))</f>
        <v>1.0941356075673827</v>
      </c>
      <c r="AJ100" s="157">
        <f>AJ99+1</f>
        <v>12</v>
      </c>
    </row>
    <row r="101" spans="1:36" ht="24.95" customHeight="1" x14ac:dyDescent="0.25">
      <c r="A101" s="182" t="str">
        <f t="shared" si="314"/>
        <v>بجنورد</v>
      </c>
      <c r="B101" s="215" t="str">
        <f>واردات!B66</f>
        <v>بجنورد</v>
      </c>
      <c r="C101" s="166" t="str">
        <f>C89</f>
        <v>فروردین</v>
      </c>
      <c r="D101" s="170">
        <f>SUM('مقایسه بودجه- صادرات'!D101,'مقایسه بودجه- واردات'!D101)</f>
        <v>1</v>
      </c>
      <c r="E101" s="160">
        <f>SUM('مقایسه بودجه- صادرات'!E101,'مقایسه بودجه- واردات'!E101)</f>
        <v>21.175651708090125</v>
      </c>
      <c r="F101" s="160">
        <f t="shared" si="257"/>
        <v>-20.175651708090125</v>
      </c>
      <c r="G101" s="185">
        <f>IF(SUM(D101:D112)=0,"",IFERROR(D101/E101,""))</f>
        <v>4.7224048345012752E-2</v>
      </c>
      <c r="H101" s="170">
        <f>SUM('مقایسه بودجه- صادرات'!H101,'مقایسه بودجه- واردات'!H101)</f>
        <v>1</v>
      </c>
      <c r="I101" s="160">
        <f>SUM('مقایسه بودجه- صادرات'!I101,'مقایسه بودجه- واردات'!I101)</f>
        <v>223.04950735134551</v>
      </c>
      <c r="J101" s="160">
        <f t="shared" si="258"/>
        <v>-222.04950735134551</v>
      </c>
      <c r="K101" s="185">
        <f>IF(SUM(H101:H112)=0,"",IFERROR(H101/I101,""))</f>
        <v>4.4833096108336584E-3</v>
      </c>
      <c r="L101" s="170">
        <f>SUM('مقایسه بودجه- صادرات'!L101,'مقایسه بودجه- واردات'!L101)</f>
        <v>0</v>
      </c>
      <c r="M101" s="160">
        <f>SUM('مقایسه بودجه- صادرات'!M101,'مقایسه بودجه- واردات'!M101)</f>
        <v>3.8888888888888893</v>
      </c>
      <c r="N101" s="160">
        <f t="shared" si="259"/>
        <v>-3.8888888888888893</v>
      </c>
      <c r="O101" s="185">
        <f>IF(SUM(L101:L112)=0,"",IFERROR(L101/M101,""))</f>
        <v>0</v>
      </c>
      <c r="P101" s="170">
        <f>SUM('مقایسه بودجه- صادرات'!P101,'مقایسه بودجه- واردات'!P101)</f>
        <v>0</v>
      </c>
      <c r="Q101" s="160">
        <f>SUM('مقایسه بودجه- صادرات'!Q101,'مقایسه بودجه- واردات'!Q101)</f>
        <v>0</v>
      </c>
      <c r="R101" s="160">
        <f t="shared" si="260"/>
        <v>0</v>
      </c>
      <c r="S101" s="185" t="str">
        <f>IF(SUM(P101:P112)=0,"",IFERROR(P101/Q101,""))</f>
        <v/>
      </c>
      <c r="T101" s="183">
        <f t="shared" ref="T101:T132" si="394">IF(OR($C$1="",$AJ101&gt;$C$1),"",IFERROR(SUMIFS(D$5:D$5012,$A$5:$A$5012,$A101,$AJ$5:$AJ$5012,"&lt;"&amp;$AJ101+1),""))</f>
        <v>1</v>
      </c>
      <c r="U101" s="160">
        <f t="shared" ref="U101:U132" si="395">IF($C$1="","",IFERROR(SUMIFS(E$5:E$5012,$A$5:$A$5012,$A101,$AJ$5:$AJ$5012,"&lt;"&amp;$AJ101+1),""))</f>
        <v>21.175651708090125</v>
      </c>
      <c r="V101" s="160">
        <f t="shared" si="261"/>
        <v>-20.175651708090125</v>
      </c>
      <c r="W101" s="185">
        <f t="shared" ref="W101" si="396">IF(SUM(T101:T112)=0,"",IFERROR(T101/U101,""))</f>
        <v>4.7224048345012752E-2</v>
      </c>
      <c r="X101" s="183">
        <f t="shared" ref="X101:X132" si="397">IF(OR($C$1="",$AJ101&gt;$C$1),"",IFERROR(SUMIFS(H$5:H$5012,$A$5:$A$5012,$A101,$AJ$5:$AJ$5012,"&lt;"&amp;$AJ101+1),""))</f>
        <v>1</v>
      </c>
      <c r="Y101" s="160">
        <f t="shared" ref="Y101:Y132" si="398">IF($C$1="","",IFERROR(SUMIFS(I$5:I$5012,$A$5:$A$5012,$A101,$AJ$5:$AJ$5012,"&lt;"&amp;$AJ101+1),""))</f>
        <v>223.04950735134551</v>
      </c>
      <c r="Z101" s="160">
        <f t="shared" si="263"/>
        <v>-222.04950735134551</v>
      </c>
      <c r="AA101" s="185">
        <f t="shared" ref="AA101" si="399">IF(SUM(X101:X112)=0,"",IFERROR(X101/Y101,""))</f>
        <v>4.4833096108336584E-3</v>
      </c>
      <c r="AB101" s="183">
        <f t="shared" ref="AB101:AB132" si="400">IF(OR($C$1="",$AJ101&gt;$C$1),"",IFERROR(SUMIFS(L$5:L$5012,$A$5:$A$5012,$A101,$AJ$5:$AJ$5012,"&lt;"&amp;$AJ101+1),""))</f>
        <v>0</v>
      </c>
      <c r="AC101" s="160">
        <f t="shared" ref="AC101:AC132" si="401">IF($C$1="","",IFERROR(SUMIFS(M$5:M$5012,$A$5:$A$5012,$A101,$AJ$5:$AJ$5012,"&lt;"&amp;$AJ101+1),""))</f>
        <v>3.8888888888888893</v>
      </c>
      <c r="AD101" s="160">
        <f t="shared" si="265"/>
        <v>-3.8888888888888893</v>
      </c>
      <c r="AE101" s="185">
        <f t="shared" ref="AE101" si="402">IF(SUM(AB101:AB112)=0,"",IFERROR(AB101/AC101,""))</f>
        <v>0</v>
      </c>
      <c r="AF101" s="183">
        <f t="shared" ref="AF101:AF132" si="403">IF(OR($C$1="",$AJ101&gt;$C$1),"",IFERROR(SUMIFS(P$5:P$5012,$A$5:$A$5012,$A101,$AJ$5:$AJ$5012,"&lt;"&amp;$AJ101+1),""))</f>
        <v>0</v>
      </c>
      <c r="AG101" s="160">
        <f t="shared" ref="AG101:AG132" si="404">IF($C$1="","",IFERROR(SUMIFS(Q$5:Q$5012,$A$5:$A$5012,$A101,$AJ$5:$AJ$5012,"&lt;"&amp;$AJ101+1),""))</f>
        <v>0</v>
      </c>
      <c r="AH101" s="160">
        <f t="shared" si="267"/>
        <v>0</v>
      </c>
      <c r="AI101" s="186" t="str">
        <f t="shared" ref="AI101" si="405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14"/>
        <v>بجنورد</v>
      </c>
      <c r="B102" s="216"/>
      <c r="C102" s="167" t="str">
        <f t="shared" ref="C102:C148" si="406">C90</f>
        <v>اردیبهشت</v>
      </c>
      <c r="D102" s="171">
        <f>SUM('مقایسه بودجه- صادرات'!D102,'مقایسه بودجه- واردات'!D102)</f>
        <v>28</v>
      </c>
      <c r="E102" s="159">
        <f>SUM('مقایسه بودجه- صادرات'!E102,'مقایسه بودجه- واردات'!E102)</f>
        <v>21.175651708090125</v>
      </c>
      <c r="F102" s="159">
        <f t="shared" si="257"/>
        <v>6.8243482919098746</v>
      </c>
      <c r="G102" s="175">
        <f>IF(SUM(D102:D112)=0,"",IFERROR(D102/E102,""))</f>
        <v>1.322273353660357</v>
      </c>
      <c r="H102" s="171">
        <f>SUM('مقایسه بودجه- صادرات'!H102,'مقایسه بودجه- واردات'!H102)</f>
        <v>48</v>
      </c>
      <c r="I102" s="159">
        <f>SUM('مقایسه بودجه- صادرات'!I102,'مقایسه بودجه- واردات'!I102)</f>
        <v>223.04950735134551</v>
      </c>
      <c r="J102" s="159">
        <f t="shared" si="258"/>
        <v>-175.04950735134551</v>
      </c>
      <c r="K102" s="175">
        <f>IF(SUM(H102:H112)=0,"",IFERROR(H102/I102,""))</f>
        <v>0.21519886132001559</v>
      </c>
      <c r="L102" s="171">
        <f>SUM('مقایسه بودجه- صادرات'!L102,'مقایسه بودجه- واردات'!L102)</f>
        <v>29</v>
      </c>
      <c r="M102" s="159">
        <f>SUM('مقایسه بودجه- صادرات'!M102,'مقایسه بودجه- واردات'!M102)</f>
        <v>3.8888888888888893</v>
      </c>
      <c r="N102" s="159">
        <f t="shared" si="259"/>
        <v>25.111111111111111</v>
      </c>
      <c r="O102" s="175">
        <f>IF(SUM(L102:L112)=0,"",IFERROR(L102/M102,""))</f>
        <v>7.4571428571428564</v>
      </c>
      <c r="P102" s="171">
        <f>SUM('مقایسه بودجه- صادرات'!P102,'مقایسه بودجه- واردات'!P102)</f>
        <v>0</v>
      </c>
      <c r="Q102" s="159">
        <f>SUM('مقایسه بودجه- صادرات'!Q102,'مقایسه بودجه- واردات'!Q102)</f>
        <v>0</v>
      </c>
      <c r="R102" s="159">
        <f t="shared" si="260"/>
        <v>0</v>
      </c>
      <c r="S102" s="175" t="str">
        <f>IF(SUM(P102:P112)=0,"",IFERROR(P102/Q102,""))</f>
        <v/>
      </c>
      <c r="T102" s="171">
        <f t="shared" si="394"/>
        <v>29</v>
      </c>
      <c r="U102" s="159">
        <f t="shared" si="395"/>
        <v>42.351303416180251</v>
      </c>
      <c r="V102" s="159">
        <f t="shared" si="261"/>
        <v>-13.351303416180251</v>
      </c>
      <c r="W102" s="175">
        <f t="shared" ref="W102" si="407">IF(SUM(T102:T112)=0,"",IFERROR(T102/U102,""))</f>
        <v>0.68474870100268492</v>
      </c>
      <c r="X102" s="171">
        <f t="shared" si="397"/>
        <v>49</v>
      </c>
      <c r="Y102" s="159">
        <f t="shared" si="398"/>
        <v>446.09901470269102</v>
      </c>
      <c r="Z102" s="159">
        <f t="shared" si="263"/>
        <v>-397.09901470269102</v>
      </c>
      <c r="AA102" s="175">
        <f t="shared" ref="AA102" si="408">IF(SUM(X102:X112)=0,"",IFERROR(X102/Y102,""))</f>
        <v>0.10984108546542462</v>
      </c>
      <c r="AB102" s="171">
        <f t="shared" si="400"/>
        <v>29</v>
      </c>
      <c r="AC102" s="159">
        <f t="shared" si="401"/>
        <v>7.7777777777777786</v>
      </c>
      <c r="AD102" s="159">
        <f t="shared" si="265"/>
        <v>21.222222222222221</v>
      </c>
      <c r="AE102" s="175">
        <f t="shared" ref="AE102" si="409">IF(SUM(AB102:AB112)=0,"",IFERROR(AB102/AC102,""))</f>
        <v>3.7285714285714282</v>
      </c>
      <c r="AF102" s="171">
        <f t="shared" si="403"/>
        <v>0</v>
      </c>
      <c r="AG102" s="159">
        <f t="shared" si="404"/>
        <v>0</v>
      </c>
      <c r="AH102" s="159">
        <f t="shared" si="267"/>
        <v>0</v>
      </c>
      <c r="AI102" s="187" t="str">
        <f t="shared" ref="AI102" si="410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14"/>
        <v>بجنورد</v>
      </c>
      <c r="B103" s="216"/>
      <c r="C103" s="167" t="str">
        <f t="shared" si="406"/>
        <v>خرداد</v>
      </c>
      <c r="D103" s="171">
        <f>SUM('مقایسه بودجه- صادرات'!D103,'مقایسه بودجه- واردات'!D103)</f>
        <v>46</v>
      </c>
      <c r="E103" s="159">
        <f>SUM('مقایسه بودجه- صادرات'!E103,'مقایسه بودجه- واردات'!E103)</f>
        <v>21.175651708090125</v>
      </c>
      <c r="F103" s="159">
        <f t="shared" si="257"/>
        <v>24.824348291909875</v>
      </c>
      <c r="G103" s="175">
        <f>IF(SUM(D103:D112)=0,"",IFERROR(D103/E103,""))</f>
        <v>2.1723062238705868</v>
      </c>
      <c r="H103" s="171">
        <f>SUM('مقایسه بودجه- صادرات'!H103,'مقایسه بودجه- واردات'!H103)</f>
        <v>0</v>
      </c>
      <c r="I103" s="159">
        <f>SUM('مقایسه بودجه- صادرات'!I103,'مقایسه بودجه- واردات'!I103)</f>
        <v>223.04950735134551</v>
      </c>
      <c r="J103" s="159">
        <f t="shared" si="258"/>
        <v>-223.04950735134551</v>
      </c>
      <c r="K103" s="175">
        <f>IF(SUM(H103:H112)=0,"",IFERROR(H103/I103,""))</f>
        <v>0</v>
      </c>
      <c r="L103" s="171">
        <f>SUM('مقایسه بودجه- صادرات'!L103,'مقایسه بودجه- واردات'!L103)</f>
        <v>0</v>
      </c>
      <c r="M103" s="159">
        <f>SUM('مقایسه بودجه- صادرات'!M103,'مقایسه بودجه- واردات'!M103)</f>
        <v>3.8888888888888893</v>
      </c>
      <c r="N103" s="159">
        <f t="shared" si="259"/>
        <v>-3.8888888888888893</v>
      </c>
      <c r="O103" s="175" t="str">
        <f>IF(SUM(L103:L112)=0,"",IFERROR(L103/M103,""))</f>
        <v/>
      </c>
      <c r="P103" s="171">
        <f>SUM('مقایسه بودجه- صادرات'!P103,'مقایسه بودجه- واردات'!P103)</f>
        <v>0</v>
      </c>
      <c r="Q103" s="159">
        <f>SUM('مقایسه بودجه- صادرات'!Q103,'مقایسه بودجه- واردات'!Q103)</f>
        <v>0</v>
      </c>
      <c r="R103" s="159">
        <f t="shared" si="260"/>
        <v>0</v>
      </c>
      <c r="S103" s="175" t="str">
        <f>IF(SUM(P103:P112)=0,"",IFERROR(P103/Q103,""))</f>
        <v/>
      </c>
      <c r="T103" s="171">
        <f t="shared" si="394"/>
        <v>75</v>
      </c>
      <c r="U103" s="159">
        <f t="shared" si="395"/>
        <v>63.526955124270373</v>
      </c>
      <c r="V103" s="159">
        <f t="shared" si="261"/>
        <v>11.473044875729627</v>
      </c>
      <c r="W103" s="175">
        <f t="shared" ref="W103" si="411">IF(SUM(T103:T112)=0,"",IFERROR(T103/U103,""))</f>
        <v>1.180601208625319</v>
      </c>
      <c r="X103" s="171">
        <f t="shared" si="397"/>
        <v>49</v>
      </c>
      <c r="Y103" s="159">
        <f t="shared" si="398"/>
        <v>669.14852205403656</v>
      </c>
      <c r="Z103" s="159">
        <f t="shared" si="263"/>
        <v>-620.14852205403656</v>
      </c>
      <c r="AA103" s="175">
        <f t="shared" ref="AA103" si="412">IF(SUM(X103:X112)=0,"",IFERROR(X103/Y103,""))</f>
        <v>7.322739031028308E-2</v>
      </c>
      <c r="AB103" s="171">
        <f t="shared" si="400"/>
        <v>29</v>
      </c>
      <c r="AC103" s="159">
        <f t="shared" si="401"/>
        <v>11.666666666666668</v>
      </c>
      <c r="AD103" s="159">
        <f t="shared" si="265"/>
        <v>17.333333333333332</v>
      </c>
      <c r="AE103" s="175">
        <f t="shared" ref="AE103" si="413">IF(SUM(AB103:AB112)=0,"",IFERROR(AB103/AC103,""))</f>
        <v>2.4857142857142853</v>
      </c>
      <c r="AF103" s="171">
        <f t="shared" si="403"/>
        <v>0</v>
      </c>
      <c r="AG103" s="159">
        <f t="shared" si="404"/>
        <v>0</v>
      </c>
      <c r="AH103" s="159">
        <f t="shared" si="267"/>
        <v>0</v>
      </c>
      <c r="AI103" s="187" t="str">
        <f t="shared" ref="AI103" si="414">IF(SUM(AF103:AF112)=0,"",IFERROR(AF103/AG103,""))</f>
        <v/>
      </c>
      <c r="AJ103" s="157">
        <f t="shared" ref="AJ103:AJ111" si="415">AJ102+1</f>
        <v>3</v>
      </c>
    </row>
    <row r="104" spans="1:36" ht="24.95" customHeight="1" x14ac:dyDescent="0.25">
      <c r="A104" s="182" t="str">
        <f t="shared" si="314"/>
        <v>بجنورد</v>
      </c>
      <c r="B104" s="216"/>
      <c r="C104" s="167" t="str">
        <f t="shared" si="406"/>
        <v>تیر</v>
      </c>
      <c r="D104" s="171">
        <f>SUM('مقایسه بودجه- صادرات'!D104,'مقایسه بودجه- واردات'!D104)</f>
        <v>112</v>
      </c>
      <c r="E104" s="159">
        <f>SUM('مقایسه بودجه- صادرات'!E104,'مقایسه بودجه- واردات'!E104)</f>
        <v>164.57517121822556</v>
      </c>
      <c r="F104" s="159">
        <f t="shared" si="257"/>
        <v>-52.575171218225563</v>
      </c>
      <c r="G104" s="175">
        <f>IF(SUM(D104:D112)=0,"",IFERROR(D104/E104,""))</f>
        <v>0.68054007886456191</v>
      </c>
      <c r="H104" s="171">
        <f>SUM('مقایسه بودجه- صادرات'!H104,'مقایسه بودجه- واردات'!H104)</f>
        <v>49</v>
      </c>
      <c r="I104" s="159">
        <f>SUM('مقایسه بودجه- صادرات'!I104,'مقایسه بودجه- واردات'!I104)</f>
        <v>445.73157062732292</v>
      </c>
      <c r="J104" s="159">
        <f t="shared" si="258"/>
        <v>-396.73157062732292</v>
      </c>
      <c r="K104" s="175">
        <f>IF(SUM(H104:H112)=0,"",IFERROR(H104/I104,""))</f>
        <v>0.1099316342592412</v>
      </c>
      <c r="L104" s="171">
        <f>SUM('مقایسه بودجه- صادرات'!L104,'مقایسه بودجه- واردات'!L104)</f>
        <v>0</v>
      </c>
      <c r="M104" s="159">
        <f>SUM('مقایسه بودجه- صادرات'!M104,'مقایسه بودجه- واردات'!M104)</f>
        <v>2.4104683195592287</v>
      </c>
      <c r="N104" s="159">
        <f t="shared" si="259"/>
        <v>-2.4104683195592287</v>
      </c>
      <c r="O104" s="175" t="str">
        <f>IF(SUM(L104:L112)=0,"",IFERROR(L104/M104,""))</f>
        <v/>
      </c>
      <c r="P104" s="171">
        <f>SUM('مقایسه بودجه- صادرات'!P104,'مقایسه بودجه- واردات'!P104)</f>
        <v>0</v>
      </c>
      <c r="Q104" s="159">
        <f>SUM('مقایسه بودجه- صادرات'!Q104,'مقایسه بودجه- واردات'!Q104)</f>
        <v>0</v>
      </c>
      <c r="R104" s="159">
        <f t="shared" si="260"/>
        <v>0</v>
      </c>
      <c r="S104" s="175" t="str">
        <f>IF(SUM(P104:P112)=0,"",IFERROR(P104/Q104,""))</f>
        <v/>
      </c>
      <c r="T104" s="171">
        <f t="shared" si="394"/>
        <v>187</v>
      </c>
      <c r="U104" s="159">
        <f t="shared" si="395"/>
        <v>228.10212634249592</v>
      </c>
      <c r="V104" s="159">
        <f t="shared" si="261"/>
        <v>-41.102126342495922</v>
      </c>
      <c r="W104" s="175">
        <f t="shared" ref="W104" si="416">IF(SUM(T104:T112)=0,"",IFERROR(T104/U104,""))</f>
        <v>0.81980822800055364</v>
      </c>
      <c r="X104" s="171">
        <f t="shared" si="397"/>
        <v>98</v>
      </c>
      <c r="Y104" s="159">
        <f t="shared" si="398"/>
        <v>1114.8800926813594</v>
      </c>
      <c r="Z104" s="159">
        <f t="shared" si="263"/>
        <v>-1016.8800926813594</v>
      </c>
      <c r="AA104" s="175">
        <f t="shared" ref="AA104" si="417">IF(SUM(X104:X112)=0,"",IFERROR(X104/Y104,""))</f>
        <v>8.7901829661612849E-2</v>
      </c>
      <c r="AB104" s="171">
        <f t="shared" si="400"/>
        <v>29</v>
      </c>
      <c r="AC104" s="159">
        <f t="shared" si="401"/>
        <v>14.077134986225897</v>
      </c>
      <c r="AD104" s="159">
        <f t="shared" si="265"/>
        <v>14.922865013774103</v>
      </c>
      <c r="AE104" s="175">
        <f t="shared" ref="AE104" si="418">IF(SUM(AB104:AB112)=0,"",IFERROR(AB104/AC104,""))</f>
        <v>2.0600782778864968</v>
      </c>
      <c r="AF104" s="171">
        <f t="shared" si="403"/>
        <v>0</v>
      </c>
      <c r="AG104" s="159">
        <f t="shared" si="404"/>
        <v>0</v>
      </c>
      <c r="AH104" s="159">
        <f t="shared" si="267"/>
        <v>0</v>
      </c>
      <c r="AI104" s="187" t="str">
        <f t="shared" ref="AI104" si="419">IF(SUM(AF104:AF112)=0,"",IFERROR(AF104/AG104,""))</f>
        <v/>
      </c>
      <c r="AJ104" s="157">
        <f t="shared" si="415"/>
        <v>4</v>
      </c>
    </row>
    <row r="105" spans="1:36" ht="24.95" customHeight="1" x14ac:dyDescent="0.25">
      <c r="A105" s="182" t="str">
        <f t="shared" si="314"/>
        <v>بجنورد</v>
      </c>
      <c r="B105" s="216"/>
      <c r="C105" s="167" t="str">
        <f t="shared" si="406"/>
        <v>مرداد</v>
      </c>
      <c r="D105" s="171">
        <f>SUM('مقایسه بودجه- صادرات'!D105,'مقایسه بودجه- واردات'!D105)</f>
        <v>33</v>
      </c>
      <c r="E105" s="159">
        <f>SUM('مقایسه بودجه- صادرات'!E105,'مقایسه بودجه- واردات'!E105)</f>
        <v>164.57517121822556</v>
      </c>
      <c r="F105" s="159">
        <f t="shared" si="257"/>
        <v>-131.57517121822556</v>
      </c>
      <c r="G105" s="175">
        <f>IF(SUM(D105:D112)=0,"",IFERROR(D105/E105,""))</f>
        <v>0.20051627323687984</v>
      </c>
      <c r="H105" s="171">
        <f>SUM('مقایسه بودجه- صادرات'!H105,'مقایسه بودجه- واردات'!H105)</f>
        <v>186</v>
      </c>
      <c r="I105" s="159">
        <f>SUM('مقایسه بودجه- صادرات'!I105,'مقایسه بودجه- واردات'!I105)</f>
        <v>445.73157062732292</v>
      </c>
      <c r="J105" s="159">
        <f t="shared" si="258"/>
        <v>-259.73157062732292</v>
      </c>
      <c r="K105" s="175">
        <f>IF(SUM(H105:H112)=0,"",IFERROR(H105/I105,""))</f>
        <v>0.41729150963711964</v>
      </c>
      <c r="L105" s="171">
        <f>SUM('مقایسه بودجه- صادرات'!L105,'مقایسه بودجه- واردات'!L105)</f>
        <v>0</v>
      </c>
      <c r="M105" s="159">
        <f>SUM('مقایسه بودجه- صادرات'!M105,'مقایسه بودجه- واردات'!M105)</f>
        <v>2.4104683195592287</v>
      </c>
      <c r="N105" s="159">
        <f t="shared" si="259"/>
        <v>-2.4104683195592287</v>
      </c>
      <c r="O105" s="175" t="str">
        <f>IF(SUM(L105:L112)=0,"",IFERROR(L105/M105,""))</f>
        <v/>
      </c>
      <c r="P105" s="171">
        <f>SUM('مقایسه بودجه- صادرات'!P105,'مقایسه بودجه- واردات'!P105)</f>
        <v>0</v>
      </c>
      <c r="Q105" s="159">
        <f>SUM('مقایسه بودجه- صادرات'!Q105,'مقایسه بودجه- واردات'!Q105)</f>
        <v>0</v>
      </c>
      <c r="R105" s="159">
        <f t="shared" si="260"/>
        <v>0</v>
      </c>
      <c r="S105" s="175" t="str">
        <f>IF(SUM(P105:P112)=0,"",IFERROR(P105/Q105,""))</f>
        <v/>
      </c>
      <c r="T105" s="171">
        <f t="shared" si="394"/>
        <v>220</v>
      </c>
      <c r="U105" s="159">
        <f t="shared" si="395"/>
        <v>392.67729756072151</v>
      </c>
      <c r="V105" s="159">
        <f t="shared" si="261"/>
        <v>-172.67729756072151</v>
      </c>
      <c r="W105" s="175">
        <f t="shared" ref="W105" si="420">IF(SUM(T105:T112)=0,"",IFERROR(T105/U105,""))</f>
        <v>0.56025647870814421</v>
      </c>
      <c r="X105" s="171">
        <f t="shared" si="397"/>
        <v>284</v>
      </c>
      <c r="Y105" s="159">
        <f t="shared" si="398"/>
        <v>1560.6116633086824</v>
      </c>
      <c r="Z105" s="159">
        <f t="shared" si="263"/>
        <v>-1276.6116633086824</v>
      </c>
      <c r="AA105" s="175">
        <f t="shared" ref="AA105" si="421">IF(SUM(X105:X112)=0,"",IFERROR(X105/Y105,""))</f>
        <v>0.18197992920153255</v>
      </c>
      <c r="AB105" s="171">
        <f t="shared" si="400"/>
        <v>29</v>
      </c>
      <c r="AC105" s="159">
        <f t="shared" si="401"/>
        <v>16.487603305785125</v>
      </c>
      <c r="AD105" s="159">
        <f t="shared" si="265"/>
        <v>12.512396694214875</v>
      </c>
      <c r="AE105" s="175">
        <f t="shared" ref="AE105" si="422">IF(SUM(AB105:AB112)=0,"",IFERROR(AB105/AC105,""))</f>
        <v>1.7588972431077692</v>
      </c>
      <c r="AF105" s="171">
        <f t="shared" si="403"/>
        <v>0</v>
      </c>
      <c r="AG105" s="159">
        <f t="shared" si="404"/>
        <v>0</v>
      </c>
      <c r="AH105" s="159">
        <f t="shared" si="267"/>
        <v>0</v>
      </c>
      <c r="AI105" s="187" t="str">
        <f t="shared" ref="AI105" si="423">IF(SUM(AF105:AF112)=0,"",IFERROR(AF105/AG105,""))</f>
        <v/>
      </c>
      <c r="AJ105" s="157">
        <f t="shared" si="415"/>
        <v>5</v>
      </c>
    </row>
    <row r="106" spans="1:36" ht="24.95" customHeight="1" x14ac:dyDescent="0.25">
      <c r="A106" s="182" t="str">
        <f t="shared" si="314"/>
        <v>بجنورد</v>
      </c>
      <c r="B106" s="216"/>
      <c r="C106" s="167" t="str">
        <f t="shared" si="406"/>
        <v>شهریور</v>
      </c>
      <c r="D106" s="171">
        <f>SUM('مقایسه بودجه- صادرات'!D106,'مقایسه بودجه- واردات'!D106)</f>
        <v>7</v>
      </c>
      <c r="E106" s="159">
        <f>SUM('مقایسه بودجه- صادرات'!E106,'مقایسه بودجه- واردات'!E106)</f>
        <v>164.57517121822556</v>
      </c>
      <c r="F106" s="159">
        <f t="shared" si="257"/>
        <v>-157.57517121822556</v>
      </c>
      <c r="G106" s="175">
        <f>IF(SUM(D106:D112)=0,"",IFERROR(D106/E106,""))</f>
        <v>4.253375492903512E-2</v>
      </c>
      <c r="H106" s="171">
        <f>SUM('مقایسه بودجه- صادرات'!H106,'مقایسه بودجه- واردات'!H106)</f>
        <v>89</v>
      </c>
      <c r="I106" s="159">
        <f>SUM('مقایسه بودجه- صادرات'!I106,'مقایسه بودجه- واردات'!I106)</f>
        <v>445.73157062732292</v>
      </c>
      <c r="J106" s="159">
        <f t="shared" si="258"/>
        <v>-356.73157062732292</v>
      </c>
      <c r="K106" s="175">
        <f>IF(SUM(H106:H112)=0,"",IFERROR(H106/I106,""))</f>
        <v>0.19967174385862177</v>
      </c>
      <c r="L106" s="171">
        <f>SUM('مقایسه بودجه- صادرات'!L106,'مقایسه بودجه- واردات'!L106)</f>
        <v>0</v>
      </c>
      <c r="M106" s="159">
        <f>SUM('مقایسه بودجه- صادرات'!M106,'مقایسه بودجه- واردات'!M106)</f>
        <v>2.4104683195592287</v>
      </c>
      <c r="N106" s="159">
        <f t="shared" si="259"/>
        <v>-2.4104683195592287</v>
      </c>
      <c r="O106" s="175" t="str">
        <f>IF(SUM(L106:L112)=0,"",IFERROR(L106/M106,""))</f>
        <v/>
      </c>
      <c r="P106" s="171">
        <f>SUM('مقایسه بودجه- صادرات'!P106,'مقایسه بودجه- واردات'!P106)</f>
        <v>0</v>
      </c>
      <c r="Q106" s="159">
        <f>SUM('مقایسه بودجه- صادرات'!Q106,'مقایسه بودجه- واردات'!Q106)</f>
        <v>0</v>
      </c>
      <c r="R106" s="159">
        <f t="shared" si="260"/>
        <v>0</v>
      </c>
      <c r="S106" s="175" t="str">
        <f>IF(SUM(P106:P112)=0,"",IFERROR(P106/Q106,""))</f>
        <v/>
      </c>
      <c r="T106" s="171">
        <f t="shared" si="394"/>
        <v>227</v>
      </c>
      <c r="U106" s="159">
        <f t="shared" si="395"/>
        <v>557.2524687789471</v>
      </c>
      <c r="V106" s="159">
        <f t="shared" si="261"/>
        <v>-330.2524687789471</v>
      </c>
      <c r="W106" s="175">
        <f t="shared" ref="W106" si="424">IF(SUM(T106:T112)=0,"",IFERROR(T106/U106,""))</f>
        <v>0.40735575473968366</v>
      </c>
      <c r="X106" s="171">
        <f t="shared" si="397"/>
        <v>373</v>
      </c>
      <c r="Y106" s="159">
        <f t="shared" si="398"/>
        <v>2006.3432339360054</v>
      </c>
      <c r="Z106" s="159">
        <f t="shared" si="263"/>
        <v>-1633.3432339360054</v>
      </c>
      <c r="AA106" s="175">
        <f t="shared" ref="AA106" si="425">IF(SUM(X106:X112)=0,"",IFERROR(X106/Y106,""))</f>
        <v>0.18591036353648016</v>
      </c>
      <c r="AB106" s="171">
        <f t="shared" si="400"/>
        <v>29</v>
      </c>
      <c r="AC106" s="159">
        <f t="shared" si="401"/>
        <v>18.898071625344354</v>
      </c>
      <c r="AD106" s="159">
        <f t="shared" si="265"/>
        <v>10.101928374655646</v>
      </c>
      <c r="AE106" s="175">
        <f t="shared" ref="AE106" si="426">IF(SUM(AB106:AB112)=0,"",IFERROR(AB106/AC106,""))</f>
        <v>1.5345481049562681</v>
      </c>
      <c r="AF106" s="171">
        <f t="shared" si="403"/>
        <v>0</v>
      </c>
      <c r="AG106" s="159">
        <f t="shared" si="404"/>
        <v>0</v>
      </c>
      <c r="AH106" s="159">
        <f t="shared" si="267"/>
        <v>0</v>
      </c>
      <c r="AI106" s="187" t="str">
        <f t="shared" ref="AI106" si="427">IF(SUM(AF106:AF112)=0,"",IFERROR(AF106/AG106,""))</f>
        <v/>
      </c>
      <c r="AJ106" s="157">
        <f t="shared" si="415"/>
        <v>6</v>
      </c>
    </row>
    <row r="107" spans="1:36" ht="24.95" customHeight="1" x14ac:dyDescent="0.25">
      <c r="A107" s="182" t="str">
        <f t="shared" si="314"/>
        <v>بجنورد</v>
      </c>
      <c r="B107" s="216"/>
      <c r="C107" s="167" t="str">
        <f t="shared" si="406"/>
        <v>مهر</v>
      </c>
      <c r="D107" s="171">
        <f>SUM('مقایسه بودجه- صادرات'!D107,'مقایسه بودجه- واردات'!D107)</f>
        <v>55</v>
      </c>
      <c r="E107" s="159">
        <f>SUM('مقایسه بودجه- صادرات'!E107,'مقایسه بودجه- واردات'!E107)</f>
        <v>55.982510407017607</v>
      </c>
      <c r="F107" s="159">
        <f t="shared" si="257"/>
        <v>-0.98251040701760672</v>
      </c>
      <c r="G107" s="175">
        <f>IF(SUM(D107:D112)=0,"",IFERROR(D107/E107,""))</f>
        <v>0.98244969009295369</v>
      </c>
      <c r="H107" s="171">
        <f>SUM('مقایسه بودجه- صادرات'!H107,'مقایسه بودجه- واردات'!H107)</f>
        <v>62</v>
      </c>
      <c r="I107" s="159">
        <f>SUM('مقایسه بودجه- صادرات'!I107,'مقایسه بودجه- واردات'!I107)</f>
        <v>190.81892202133125</v>
      </c>
      <c r="J107" s="159">
        <f t="shared" si="258"/>
        <v>-128.81892202133125</v>
      </c>
      <c r="K107" s="175">
        <f>IF(SUM(H107:H112)=0,"",IFERROR(H107/I107,""))</f>
        <v>0.32491536658544351</v>
      </c>
      <c r="L107" s="171">
        <f>SUM('مقایسه بودجه- صادرات'!L107,'مقایسه بودجه- واردات'!L107)</f>
        <v>0</v>
      </c>
      <c r="M107" s="159">
        <f>SUM('مقایسه بودجه- صادرات'!M107,'مقایسه بودجه- واردات'!M107)</f>
        <v>17.033976124885218</v>
      </c>
      <c r="N107" s="159">
        <f t="shared" si="259"/>
        <v>-17.033976124885218</v>
      </c>
      <c r="O107" s="175" t="str">
        <f>IF(SUM(L107:L112)=0,"",IFERROR(L107/M107,""))</f>
        <v/>
      </c>
      <c r="P107" s="171">
        <f>SUM('مقایسه بودجه- صادرات'!P107,'مقایسه بودجه- واردات'!P107)</f>
        <v>0</v>
      </c>
      <c r="Q107" s="159">
        <f>SUM('مقایسه بودجه- صادرات'!Q107,'مقایسه بودجه- واردات'!Q107)</f>
        <v>0</v>
      </c>
      <c r="R107" s="159">
        <f t="shared" si="260"/>
        <v>0</v>
      </c>
      <c r="S107" s="175" t="str">
        <f>IF(SUM(P107:P112)=0,"",IFERROR(P107/Q107,""))</f>
        <v/>
      </c>
      <c r="T107" s="171">
        <f t="shared" si="394"/>
        <v>282</v>
      </c>
      <c r="U107" s="159">
        <f t="shared" si="395"/>
        <v>613.23497918596468</v>
      </c>
      <c r="V107" s="159">
        <f t="shared" si="261"/>
        <v>-331.23497918596468</v>
      </c>
      <c r="W107" s="175">
        <f t="shared" ref="W107" si="428">IF(SUM(T107:T112)=0,"",IFERROR(T107/U107,""))</f>
        <v>0.45985635127066515</v>
      </c>
      <c r="X107" s="171">
        <f t="shared" si="397"/>
        <v>435</v>
      </c>
      <c r="Y107" s="159">
        <f t="shared" si="398"/>
        <v>2197.1621559573368</v>
      </c>
      <c r="Z107" s="159">
        <f t="shared" si="263"/>
        <v>-1762.1621559573368</v>
      </c>
      <c r="AA107" s="175">
        <f t="shared" ref="AA107" si="429">IF(SUM(X107:X112)=0,"",IFERROR(X107/Y107,""))</f>
        <v>0.19798265631899339</v>
      </c>
      <c r="AB107" s="171">
        <f t="shared" si="400"/>
        <v>29</v>
      </c>
      <c r="AC107" s="159">
        <f t="shared" si="401"/>
        <v>35.932047750229572</v>
      </c>
      <c r="AD107" s="159">
        <f t="shared" si="265"/>
        <v>-6.9320477502295716</v>
      </c>
      <c r="AE107" s="175">
        <f t="shared" ref="AE107" si="430">IF(SUM(AB107:AB112)=0,"",IFERROR(AB107/AC107,""))</f>
        <v>0.8070789675440837</v>
      </c>
      <c r="AF107" s="171">
        <f t="shared" si="403"/>
        <v>0</v>
      </c>
      <c r="AG107" s="159">
        <f t="shared" si="404"/>
        <v>0</v>
      </c>
      <c r="AH107" s="159">
        <f t="shared" si="267"/>
        <v>0</v>
      </c>
      <c r="AI107" s="187" t="str">
        <f t="shared" ref="AI107" si="431">IF(SUM(AF107:AF112)=0,"",IFERROR(AF107/AG107,""))</f>
        <v/>
      </c>
      <c r="AJ107" s="157">
        <f t="shared" si="415"/>
        <v>7</v>
      </c>
    </row>
    <row r="108" spans="1:36" ht="24.95" customHeight="1" x14ac:dyDescent="0.25">
      <c r="A108" s="182" t="str">
        <f t="shared" si="314"/>
        <v>بجنورد</v>
      </c>
      <c r="B108" s="216"/>
      <c r="C108" s="167" t="str">
        <f t="shared" si="406"/>
        <v>آبان</v>
      </c>
      <c r="D108" s="171">
        <f>SUM('مقایسه بودجه- صادرات'!D108,'مقایسه بودجه- واردات'!D108)</f>
        <v>0</v>
      </c>
      <c r="E108" s="159">
        <f>SUM('مقایسه بودجه- صادرات'!E108,'مقایسه بودجه- واردات'!E108)</f>
        <v>55.982510407017607</v>
      </c>
      <c r="F108" s="159">
        <f t="shared" si="257"/>
        <v>-55.982510407017607</v>
      </c>
      <c r="G108" s="175">
        <f>IF(SUM(D108:D112)=0,"",IFERROR(D108/E108,""))</f>
        <v>0</v>
      </c>
      <c r="H108" s="171">
        <f>SUM('مقایسه بودجه- صادرات'!H108,'مقایسه بودجه- واردات'!H108)</f>
        <v>27</v>
      </c>
      <c r="I108" s="159">
        <f>SUM('مقایسه بودجه- صادرات'!I108,'مقایسه بودجه- واردات'!I108)</f>
        <v>190.81892202133125</v>
      </c>
      <c r="J108" s="159">
        <f t="shared" si="258"/>
        <v>-163.81892202133125</v>
      </c>
      <c r="K108" s="175">
        <f>IF(SUM(H108:H112)=0,"",IFERROR(H108/I108,""))</f>
        <v>0.14149540157753185</v>
      </c>
      <c r="L108" s="171">
        <f>SUM('مقایسه بودجه- صادرات'!L108,'مقایسه بودجه- واردات'!L108)</f>
        <v>0</v>
      </c>
      <c r="M108" s="159">
        <f>SUM('مقایسه بودجه- صادرات'!M108,'مقایسه بودجه- واردات'!M108)</f>
        <v>17.033976124885218</v>
      </c>
      <c r="N108" s="159">
        <f t="shared" si="259"/>
        <v>-17.033976124885218</v>
      </c>
      <c r="O108" s="175" t="str">
        <f>IF(SUM(L108:L112)=0,"",IFERROR(L108/M108,""))</f>
        <v/>
      </c>
      <c r="P108" s="171">
        <f>SUM('مقایسه بودجه- صادرات'!P108,'مقایسه بودجه- واردات'!P108)</f>
        <v>0</v>
      </c>
      <c r="Q108" s="159">
        <f>SUM('مقایسه بودجه- صادرات'!Q108,'مقایسه بودجه- واردات'!Q108)</f>
        <v>0</v>
      </c>
      <c r="R108" s="159">
        <f t="shared" si="260"/>
        <v>0</v>
      </c>
      <c r="S108" s="175" t="str">
        <f>IF(SUM(P108:P112)=0,"",IFERROR(P108/Q108,""))</f>
        <v/>
      </c>
      <c r="T108" s="171">
        <f t="shared" si="394"/>
        <v>282</v>
      </c>
      <c r="U108" s="159">
        <f t="shared" si="395"/>
        <v>669.21748959298225</v>
      </c>
      <c r="V108" s="159">
        <f t="shared" si="261"/>
        <v>-387.21748959298225</v>
      </c>
      <c r="W108" s="175">
        <f t="shared" ref="W108" si="432">IF(SUM(T108:T112)=0,"",IFERROR(T108/U108,""))</f>
        <v>0.42138767199810073</v>
      </c>
      <c r="X108" s="171">
        <f t="shared" si="397"/>
        <v>462</v>
      </c>
      <c r="Y108" s="159">
        <f t="shared" si="398"/>
        <v>2387.9810779786681</v>
      </c>
      <c r="Z108" s="159">
        <f t="shared" si="263"/>
        <v>-1925.9810779786681</v>
      </c>
      <c r="AA108" s="175">
        <f t="shared" ref="AA108" si="433">IF(SUM(X108:X112)=0,"",IFERROR(X108/Y108,""))</f>
        <v>0.193468869690988</v>
      </c>
      <c r="AB108" s="171">
        <f t="shared" si="400"/>
        <v>29</v>
      </c>
      <c r="AC108" s="159">
        <f t="shared" si="401"/>
        <v>52.966023875114786</v>
      </c>
      <c r="AD108" s="159">
        <f t="shared" si="265"/>
        <v>-23.966023875114786</v>
      </c>
      <c r="AE108" s="175">
        <f t="shared" ref="AE108" si="434">IF(SUM(AB108:AB112)=0,"",IFERROR(AB108/AC108,""))</f>
        <v>0.54752080443828011</v>
      </c>
      <c r="AF108" s="171">
        <f t="shared" si="403"/>
        <v>0</v>
      </c>
      <c r="AG108" s="159">
        <f t="shared" si="404"/>
        <v>0</v>
      </c>
      <c r="AH108" s="159">
        <f t="shared" si="267"/>
        <v>0</v>
      </c>
      <c r="AI108" s="187" t="str">
        <f t="shared" ref="AI108" si="435">IF(SUM(AF108:AF112)=0,"",IFERROR(AF108/AG108,""))</f>
        <v/>
      </c>
      <c r="AJ108" s="157">
        <f t="shared" si="415"/>
        <v>8</v>
      </c>
    </row>
    <row r="109" spans="1:36" ht="24.95" customHeight="1" x14ac:dyDescent="0.25">
      <c r="A109" s="182" t="str">
        <f t="shared" si="314"/>
        <v>بجنورد</v>
      </c>
      <c r="B109" s="216"/>
      <c r="C109" s="167" t="str">
        <f t="shared" si="406"/>
        <v>آذر</v>
      </c>
      <c r="D109" s="171">
        <f>SUM('مقایسه بودجه- صادرات'!D109,'مقایسه بودجه- واردات'!D109)</f>
        <v>45</v>
      </c>
      <c r="E109" s="159">
        <f>SUM('مقایسه بودجه- صادرات'!E109,'مقایسه بودجه- واردات'!E109)</f>
        <v>55.982510407017607</v>
      </c>
      <c r="F109" s="159">
        <f t="shared" si="257"/>
        <v>-10.982510407017607</v>
      </c>
      <c r="G109" s="175">
        <f>IF(SUM(D109:D112)=0,"",IFERROR(D109/E109,""))</f>
        <v>0.80382247371241666</v>
      </c>
      <c r="H109" s="171">
        <f>SUM('مقایسه بودجه- صادرات'!H109,'مقایسه بودجه- واردات'!H109)</f>
        <v>45</v>
      </c>
      <c r="I109" s="159">
        <f>SUM('مقایسه بودجه- صادرات'!I109,'مقایسه بودجه- واردات'!I109)</f>
        <v>190.81892202133125</v>
      </c>
      <c r="J109" s="159">
        <f t="shared" si="258"/>
        <v>-145.81892202133125</v>
      </c>
      <c r="K109" s="175">
        <f>IF(SUM(H109:H112)=0,"",IFERROR(H109/I109,""))</f>
        <v>0.23582566929588641</v>
      </c>
      <c r="L109" s="171">
        <f>SUM('مقایسه بودجه- صادرات'!L109,'مقایسه بودجه- واردات'!L109)</f>
        <v>0</v>
      </c>
      <c r="M109" s="159">
        <f>SUM('مقایسه بودجه- صادرات'!M109,'مقایسه بودجه- واردات'!M109)</f>
        <v>17.033976124885218</v>
      </c>
      <c r="N109" s="159">
        <f t="shared" si="259"/>
        <v>-17.033976124885218</v>
      </c>
      <c r="O109" s="175" t="str">
        <f>IF(SUM(L109:L112)=0,"",IFERROR(L109/M109,""))</f>
        <v/>
      </c>
      <c r="P109" s="171">
        <f>SUM('مقایسه بودجه- صادرات'!P109,'مقایسه بودجه- واردات'!P109)</f>
        <v>0</v>
      </c>
      <c r="Q109" s="159">
        <f>SUM('مقایسه بودجه- صادرات'!Q109,'مقایسه بودجه- واردات'!Q109)</f>
        <v>0</v>
      </c>
      <c r="R109" s="159">
        <f t="shared" si="260"/>
        <v>0</v>
      </c>
      <c r="S109" s="175" t="str">
        <f>IF(SUM(P109:P112)=0,"",IFERROR(P109/Q109,""))</f>
        <v/>
      </c>
      <c r="T109" s="171">
        <f t="shared" si="394"/>
        <v>327</v>
      </c>
      <c r="U109" s="159">
        <f t="shared" si="395"/>
        <v>725.19999999999982</v>
      </c>
      <c r="V109" s="159">
        <f t="shared" si="261"/>
        <v>-398.19999999999982</v>
      </c>
      <c r="W109" s="175">
        <f t="shared" ref="W109" si="436">IF(SUM(T109:T112)=0,"",IFERROR(T109/U109,""))</f>
        <v>0.45091009376723673</v>
      </c>
      <c r="X109" s="171">
        <f t="shared" si="397"/>
        <v>507</v>
      </c>
      <c r="Y109" s="159">
        <f t="shared" si="398"/>
        <v>2578.7999999999993</v>
      </c>
      <c r="Z109" s="159">
        <f t="shared" si="263"/>
        <v>-2071.7999999999993</v>
      </c>
      <c r="AA109" s="175">
        <f t="shared" ref="AA109" si="437">IF(SUM(X109:X112)=0,"",IFERROR(X109/Y109,""))</f>
        <v>0.19660307119590512</v>
      </c>
      <c r="AB109" s="171">
        <f t="shared" si="400"/>
        <v>29</v>
      </c>
      <c r="AC109" s="159">
        <f t="shared" si="401"/>
        <v>70</v>
      </c>
      <c r="AD109" s="159">
        <f t="shared" si="265"/>
        <v>-41</v>
      </c>
      <c r="AE109" s="175">
        <f t="shared" ref="AE109" si="438">IF(SUM(AB109:AB112)=0,"",IFERROR(AB109/AC109,""))</f>
        <v>0.41428571428571431</v>
      </c>
      <c r="AF109" s="171">
        <f t="shared" si="403"/>
        <v>0</v>
      </c>
      <c r="AG109" s="159">
        <f t="shared" si="404"/>
        <v>0</v>
      </c>
      <c r="AH109" s="159">
        <f t="shared" si="267"/>
        <v>0</v>
      </c>
      <c r="AI109" s="187" t="str">
        <f t="shared" ref="AI109" si="439">IF(SUM(AF109:AF112)=0,"",IFERROR(AF109/AG109,""))</f>
        <v/>
      </c>
      <c r="AJ109" s="157">
        <f t="shared" si="415"/>
        <v>9</v>
      </c>
    </row>
    <row r="110" spans="1:36" ht="24.95" customHeight="1" x14ac:dyDescent="0.25">
      <c r="A110" s="182" t="str">
        <f t="shared" si="314"/>
        <v>بجنورد</v>
      </c>
      <c r="B110" s="216"/>
      <c r="C110" s="167" t="str">
        <f t="shared" si="406"/>
        <v>دی</v>
      </c>
      <c r="D110" s="171">
        <f>SUM('مقایسه بودجه- صادرات'!D110,'مقایسه بودجه- واردات'!D110)</f>
        <v>0</v>
      </c>
      <c r="E110" s="159">
        <f>SUM('مقایسه بودجه- صادرات'!E110,'مقایسه بودجه- واردات'!E110)</f>
        <v>179.04213903552332</v>
      </c>
      <c r="F110" s="159">
        <f t="shared" si="257"/>
        <v>-179.04213903552332</v>
      </c>
      <c r="G110" s="175">
        <f>IF(SUM(D110:D112)=0,"",IFERROR(D110/E110,""))</f>
        <v>0</v>
      </c>
      <c r="H110" s="171">
        <f>SUM('مقایسه بودجه- صادرات'!H110,'مقایسه بودجه- واردات'!H110)</f>
        <v>0</v>
      </c>
      <c r="I110" s="159">
        <f>SUM('مقایسه بودجه- صادرات'!I110,'مقایسه بودجه- واردات'!I110)</f>
        <v>494.23391393495962</v>
      </c>
      <c r="J110" s="159">
        <f t="shared" si="258"/>
        <v>-494.23391393495962</v>
      </c>
      <c r="K110" s="175">
        <f>IF(SUM(H110:H112)=0,"",IFERROR(H110/I110,""))</f>
        <v>0</v>
      </c>
      <c r="L110" s="171">
        <f>SUM('مقایسه بودجه- صادرات'!L110,'مقایسه بودجه- واردات'!L110)</f>
        <v>0</v>
      </c>
      <c r="M110" s="159">
        <f>SUM('مقایسه بودجه- صادرات'!M110,'مقایسه بودجه- واردات'!M110)</f>
        <v>0</v>
      </c>
      <c r="N110" s="159">
        <f t="shared" si="259"/>
        <v>0</v>
      </c>
      <c r="O110" s="175" t="str">
        <f>IF(SUM(L110:L112)=0,"",IFERROR(L110/M110,""))</f>
        <v/>
      </c>
      <c r="P110" s="171">
        <f>SUM('مقایسه بودجه- صادرات'!P110,'مقایسه بودجه- واردات'!P110)</f>
        <v>0</v>
      </c>
      <c r="Q110" s="159">
        <f>SUM('مقایسه بودجه- صادرات'!Q110,'مقایسه بودجه- واردات'!Q110)</f>
        <v>0</v>
      </c>
      <c r="R110" s="159">
        <f t="shared" si="260"/>
        <v>0</v>
      </c>
      <c r="S110" s="175" t="str">
        <f>IF(SUM(P110:P112)=0,"",IFERROR(P110/Q110,""))</f>
        <v/>
      </c>
      <c r="T110" s="171">
        <f t="shared" si="394"/>
        <v>327</v>
      </c>
      <c r="U110" s="159">
        <f t="shared" si="395"/>
        <v>904.24213903552311</v>
      </c>
      <c r="V110" s="159">
        <f t="shared" si="261"/>
        <v>-577.24213903552311</v>
      </c>
      <c r="W110" s="175">
        <f t="shared" ref="W110" si="440">IF(SUM(T110:T112)=0,"",IFERROR(T110/U110,""))</f>
        <v>0.36162880038833695</v>
      </c>
      <c r="X110" s="171">
        <f t="shared" si="397"/>
        <v>507</v>
      </c>
      <c r="Y110" s="159">
        <f t="shared" si="398"/>
        <v>3073.0339139349589</v>
      </c>
      <c r="Z110" s="159">
        <f t="shared" si="263"/>
        <v>-2566.0339139349589</v>
      </c>
      <c r="AA110" s="175">
        <f t="shared" ref="AA110" si="441">IF(SUM(X110:X112)=0,"",IFERROR(X110/Y110,""))</f>
        <v>0.16498353555454146</v>
      </c>
      <c r="AB110" s="171">
        <f t="shared" si="400"/>
        <v>29</v>
      </c>
      <c r="AC110" s="159">
        <f t="shared" si="401"/>
        <v>70</v>
      </c>
      <c r="AD110" s="159">
        <f t="shared" si="265"/>
        <v>-41</v>
      </c>
      <c r="AE110" s="175">
        <f t="shared" ref="AE110" si="442">IF(SUM(AB110:AB112)=0,"",IFERROR(AB110/AC110,""))</f>
        <v>0.41428571428571431</v>
      </c>
      <c r="AF110" s="171">
        <f t="shared" si="403"/>
        <v>0</v>
      </c>
      <c r="AG110" s="159">
        <f t="shared" si="404"/>
        <v>0</v>
      </c>
      <c r="AH110" s="159">
        <f t="shared" si="267"/>
        <v>0</v>
      </c>
      <c r="AI110" s="187" t="str">
        <f t="shared" ref="AI110" si="443">IF(SUM(AF110:AF112)=0,"",IFERROR(AF110/AG110,""))</f>
        <v/>
      </c>
      <c r="AJ110" s="157">
        <f t="shared" si="415"/>
        <v>10</v>
      </c>
    </row>
    <row r="111" spans="1:36" ht="24.95" customHeight="1" x14ac:dyDescent="0.25">
      <c r="A111" s="182" t="str">
        <f t="shared" si="314"/>
        <v>بجنورد</v>
      </c>
      <c r="B111" s="216"/>
      <c r="C111" s="167" t="str">
        <f t="shared" si="406"/>
        <v>بهمن</v>
      </c>
      <c r="D111" s="171">
        <f>SUM('مقایسه بودجه- صادرات'!D111,'مقایسه بودجه- واردات'!D111)</f>
        <v>19</v>
      </c>
      <c r="E111" s="159">
        <f>SUM('مقایسه بودجه- صادرات'!E111,'مقایسه بودجه- واردات'!E111)</f>
        <v>179.04213903552332</v>
      </c>
      <c r="F111" s="159">
        <f t="shared" si="257"/>
        <v>-160.04213903552332</v>
      </c>
      <c r="G111" s="175">
        <f>IF(SUM(D111:D112)=0,"",IFERROR(D111/E111,""))</f>
        <v>0.106120269241367</v>
      </c>
      <c r="H111" s="171">
        <f>SUM('مقایسه بودجه- صادرات'!H111,'مقایسه بودجه- واردات'!H111)</f>
        <v>0</v>
      </c>
      <c r="I111" s="159">
        <f>SUM('مقایسه بودجه- صادرات'!I111,'مقایسه بودجه- واردات'!I111)</f>
        <v>494.23391393495962</v>
      </c>
      <c r="J111" s="159">
        <f t="shared" si="258"/>
        <v>-494.23391393495962</v>
      </c>
      <c r="K111" s="175">
        <f>IF(SUM(H111:H112)=0,"",IFERROR(H111/I111,""))</f>
        <v>0</v>
      </c>
      <c r="L111" s="171">
        <f>SUM('مقایسه بودجه- صادرات'!L111,'مقایسه بودجه- واردات'!L111)</f>
        <v>0</v>
      </c>
      <c r="M111" s="159">
        <f>SUM('مقایسه بودجه- صادرات'!M111,'مقایسه بودجه- واردات'!M111)</f>
        <v>0</v>
      </c>
      <c r="N111" s="159">
        <f t="shared" si="259"/>
        <v>0</v>
      </c>
      <c r="O111" s="175" t="str">
        <f>IF(SUM(L111:L112)=0,"",IFERROR(L111/M111,""))</f>
        <v/>
      </c>
      <c r="P111" s="171">
        <f>SUM('مقایسه بودجه- صادرات'!P111,'مقایسه بودجه- واردات'!P111)</f>
        <v>0</v>
      </c>
      <c r="Q111" s="159">
        <f>SUM('مقایسه بودجه- صادرات'!Q111,'مقایسه بودجه- واردات'!Q111)</f>
        <v>0</v>
      </c>
      <c r="R111" s="159">
        <f t="shared" si="260"/>
        <v>0</v>
      </c>
      <c r="S111" s="175" t="str">
        <f>IF(SUM(P111:P112)=0,"",IFERROR(P111/Q111,""))</f>
        <v/>
      </c>
      <c r="T111" s="171">
        <f t="shared" si="394"/>
        <v>346</v>
      </c>
      <c r="U111" s="159">
        <f t="shared" si="395"/>
        <v>1083.2842780710464</v>
      </c>
      <c r="V111" s="159">
        <f t="shared" si="261"/>
        <v>-737.2842780710464</v>
      </c>
      <c r="W111" s="175">
        <f t="shared" ref="W111" si="444">IF(SUM(T111:T112)=0,"",IFERROR(T111/U111,""))</f>
        <v>0.31939907834359599</v>
      </c>
      <c r="X111" s="171">
        <f t="shared" si="397"/>
        <v>507</v>
      </c>
      <c r="Y111" s="159">
        <f t="shared" si="398"/>
        <v>3567.2678278699186</v>
      </c>
      <c r="Z111" s="159">
        <f t="shared" si="263"/>
        <v>-3060.2678278699186</v>
      </c>
      <c r="AA111" s="175">
        <f t="shared" ref="AA111" si="445">IF(SUM(X111:X112)=0,"",IFERROR(X111/Y111,""))</f>
        <v>0.14212557746266533</v>
      </c>
      <c r="AB111" s="171">
        <f t="shared" si="400"/>
        <v>29</v>
      </c>
      <c r="AC111" s="159">
        <f t="shared" si="401"/>
        <v>70</v>
      </c>
      <c r="AD111" s="159">
        <f t="shared" si="265"/>
        <v>-41</v>
      </c>
      <c r="AE111" s="175">
        <f t="shared" ref="AE111" si="446">IF(SUM(AB111:AB112)=0,"",IFERROR(AB111/AC111,""))</f>
        <v>0.41428571428571431</v>
      </c>
      <c r="AF111" s="171">
        <f t="shared" si="403"/>
        <v>0</v>
      </c>
      <c r="AG111" s="159">
        <f t="shared" si="404"/>
        <v>0</v>
      </c>
      <c r="AH111" s="159">
        <f t="shared" si="267"/>
        <v>0</v>
      </c>
      <c r="AI111" s="187" t="str">
        <f t="shared" ref="AI111" si="447">IF(SUM(AF111:AF112)=0,"",IFERROR(AF111/AG111,""))</f>
        <v/>
      </c>
      <c r="AJ111" s="157">
        <f t="shared" si="415"/>
        <v>11</v>
      </c>
    </row>
    <row r="112" spans="1:36" ht="24.95" customHeight="1" thickBot="1" x14ac:dyDescent="0.3">
      <c r="A112" s="182" t="str">
        <f t="shared" si="314"/>
        <v>بجنورد</v>
      </c>
      <c r="B112" s="217"/>
      <c r="C112" s="168" t="str">
        <f t="shared" si="406"/>
        <v>اسفند</v>
      </c>
      <c r="D112" s="172">
        <f>SUM('مقایسه بودجه- صادرات'!D112,'مقایسه بودجه- واردات'!D112)</f>
        <v>26</v>
      </c>
      <c r="E112" s="173">
        <f>SUM('مقایسه بودجه- صادرات'!E112,'مقایسه بودجه- واردات'!E112)</f>
        <v>179.04213903552332</v>
      </c>
      <c r="F112" s="173">
        <f t="shared" si="257"/>
        <v>-153.04213903552332</v>
      </c>
      <c r="G112" s="176">
        <f>IF(SUM(D112)=0,"",IFERROR(D112/E112,""))</f>
        <v>0.14521721054081801</v>
      </c>
      <c r="H112" s="172">
        <f>SUM('مقایسه بودجه- صادرات'!H112,'مقایسه بودجه- واردات'!H112)</f>
        <v>129</v>
      </c>
      <c r="I112" s="173">
        <f>SUM('مقایسه بودجه- صادرات'!I112,'مقایسه بودجه- واردات'!I112)</f>
        <v>494.23391393495962</v>
      </c>
      <c r="J112" s="173">
        <f t="shared" si="258"/>
        <v>-365.23391393495962</v>
      </c>
      <c r="K112" s="176">
        <f>IF(SUM(H112)=0,"",IFERROR(H112/I112,""))</f>
        <v>0.26101001239056248</v>
      </c>
      <c r="L112" s="172">
        <f>SUM('مقایسه بودجه- صادرات'!L112,'مقایسه بودجه- واردات'!L112)</f>
        <v>0</v>
      </c>
      <c r="M112" s="173">
        <f>SUM('مقایسه بودجه- صادرات'!M112,'مقایسه بودجه- واردات'!M112)</f>
        <v>0</v>
      </c>
      <c r="N112" s="173">
        <f t="shared" si="259"/>
        <v>0</v>
      </c>
      <c r="O112" s="176" t="str">
        <f>IF(SUM(L112)=0,"",IFERROR(L112/M112,""))</f>
        <v/>
      </c>
      <c r="P112" s="172">
        <f>SUM('مقایسه بودجه- صادرات'!P112,'مقایسه بودجه- واردات'!P112)</f>
        <v>0</v>
      </c>
      <c r="Q112" s="173">
        <f>SUM('مقایسه بودجه- صادرات'!Q112,'مقایسه بودجه- واردات'!Q112)</f>
        <v>0</v>
      </c>
      <c r="R112" s="173">
        <f t="shared" si="260"/>
        <v>0</v>
      </c>
      <c r="S112" s="176" t="str">
        <f>IF(SUM(P112)=0,"",IFERROR(P112/Q112,""))</f>
        <v/>
      </c>
      <c r="T112" s="172">
        <f t="shared" si="394"/>
        <v>372</v>
      </c>
      <c r="U112" s="173">
        <f t="shared" si="395"/>
        <v>1262.3264171065698</v>
      </c>
      <c r="V112" s="173">
        <f t="shared" si="261"/>
        <v>-890.32641710656981</v>
      </c>
      <c r="W112" s="176">
        <f t="shared" ref="W112" si="448">IF(SUM(T112)=0,"",IFERROR(T112/U112,""))</f>
        <v>0.29469398323507834</v>
      </c>
      <c r="X112" s="172">
        <f t="shared" si="397"/>
        <v>636</v>
      </c>
      <c r="Y112" s="173">
        <f t="shared" si="398"/>
        <v>4061.5017418048783</v>
      </c>
      <c r="Z112" s="173">
        <f t="shared" si="263"/>
        <v>-3425.5017418048783</v>
      </c>
      <c r="AA112" s="176">
        <f t="shared" ref="AA112" si="449">IF(SUM(X112)=0,"",IFERROR(X112/Y112,""))</f>
        <v>0.15659232481761043</v>
      </c>
      <c r="AB112" s="172">
        <f t="shared" si="400"/>
        <v>29</v>
      </c>
      <c r="AC112" s="173">
        <f t="shared" si="401"/>
        <v>70</v>
      </c>
      <c r="AD112" s="173">
        <f t="shared" si="265"/>
        <v>-41</v>
      </c>
      <c r="AE112" s="176">
        <f t="shared" ref="AE112" si="450">IF(SUM(AB112)=0,"",IFERROR(AB112/AC112,""))</f>
        <v>0.41428571428571431</v>
      </c>
      <c r="AF112" s="172">
        <f t="shared" si="403"/>
        <v>0</v>
      </c>
      <c r="AG112" s="173">
        <f t="shared" si="404"/>
        <v>0</v>
      </c>
      <c r="AH112" s="173">
        <f t="shared" si="267"/>
        <v>0</v>
      </c>
      <c r="AI112" s="188" t="str">
        <f t="shared" ref="AI112" si="451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14"/>
        <v>بیرجند</v>
      </c>
      <c r="B113" s="215" t="str">
        <f>واردات!J66</f>
        <v>بیرجند</v>
      </c>
      <c r="C113" s="166" t="str">
        <f>C101</f>
        <v>فروردین</v>
      </c>
      <c r="D113" s="170">
        <f>SUM('مقایسه بودجه- صادرات'!D113,'مقایسه بودجه- واردات'!D113)</f>
        <v>0</v>
      </c>
      <c r="E113" s="160">
        <f>SUM('مقایسه بودجه- صادرات'!E113,'مقایسه بودجه- واردات'!E113)</f>
        <v>0</v>
      </c>
      <c r="F113" s="160">
        <f t="shared" si="257"/>
        <v>0</v>
      </c>
      <c r="G113" s="185" t="str">
        <f>IF(SUM(D113:D124)=0,"",IFERROR(D113/E113,""))</f>
        <v/>
      </c>
      <c r="H113" s="170">
        <f>SUM('مقایسه بودجه- صادرات'!H113,'مقایسه بودجه- واردات'!H113)</f>
        <v>0</v>
      </c>
      <c r="I113" s="160">
        <f>SUM('مقایسه بودجه- صادرات'!I113,'مقایسه بودجه- واردات'!I113)</f>
        <v>0</v>
      </c>
      <c r="J113" s="160">
        <f t="shared" si="258"/>
        <v>0</v>
      </c>
      <c r="K113" s="185" t="str">
        <f>IF(SUM(H113:H124)=0,"",IFERROR(H113/I113,""))</f>
        <v/>
      </c>
      <c r="L113" s="170">
        <f>SUM('مقایسه بودجه- صادرات'!L113,'مقایسه بودجه- واردات'!L113)</f>
        <v>0</v>
      </c>
      <c r="M113" s="160">
        <f>SUM('مقایسه بودجه- صادرات'!M113,'مقایسه بودجه- واردات'!M113)</f>
        <v>0</v>
      </c>
      <c r="N113" s="160">
        <f t="shared" si="259"/>
        <v>0</v>
      </c>
      <c r="O113" s="185" t="str">
        <f>IF(SUM(L113:L124)=0,"",IFERROR(L113/M113,""))</f>
        <v/>
      </c>
      <c r="P113" s="170">
        <f>SUM('مقایسه بودجه- صادرات'!P113,'مقایسه بودجه- واردات'!P113)</f>
        <v>0</v>
      </c>
      <c r="Q113" s="160">
        <f>SUM('مقایسه بودجه- صادرات'!Q113,'مقایسه بودجه- واردات'!Q113)</f>
        <v>0</v>
      </c>
      <c r="R113" s="160">
        <f t="shared" si="260"/>
        <v>0</v>
      </c>
      <c r="S113" s="185" t="str">
        <f>IF(SUM(P113:P124)=0,"",IFERROR(P113/Q113,""))</f>
        <v/>
      </c>
      <c r="T113" s="183">
        <f t="shared" si="394"/>
        <v>0</v>
      </c>
      <c r="U113" s="160">
        <f t="shared" si="395"/>
        <v>0</v>
      </c>
      <c r="V113" s="160">
        <f t="shared" si="261"/>
        <v>0</v>
      </c>
      <c r="W113" s="185" t="str">
        <f t="shared" ref="W113" si="452">IF(SUM(T113:T124)=0,"",IFERROR(T113/U113,""))</f>
        <v/>
      </c>
      <c r="X113" s="183">
        <f t="shared" si="397"/>
        <v>0</v>
      </c>
      <c r="Y113" s="160">
        <f t="shared" si="398"/>
        <v>0</v>
      </c>
      <c r="Z113" s="160">
        <f t="shared" si="263"/>
        <v>0</v>
      </c>
      <c r="AA113" s="185" t="str">
        <f t="shared" ref="AA113" si="453">IF(SUM(X113:X124)=0,"",IFERROR(X113/Y113,""))</f>
        <v/>
      </c>
      <c r="AB113" s="183">
        <f t="shared" si="400"/>
        <v>0</v>
      </c>
      <c r="AC113" s="160">
        <f t="shared" si="401"/>
        <v>0</v>
      </c>
      <c r="AD113" s="160">
        <f t="shared" si="265"/>
        <v>0</v>
      </c>
      <c r="AE113" s="185" t="str">
        <f t="shared" ref="AE113" si="454">IF(SUM(AB113:AB124)=0,"",IFERROR(AB113/AC113,""))</f>
        <v/>
      </c>
      <c r="AF113" s="183">
        <f t="shared" si="403"/>
        <v>0</v>
      </c>
      <c r="AG113" s="160">
        <f t="shared" si="404"/>
        <v>0</v>
      </c>
      <c r="AH113" s="160">
        <f t="shared" si="267"/>
        <v>0</v>
      </c>
      <c r="AI113" s="186" t="str">
        <f t="shared" ref="AI113" si="455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14"/>
        <v>بیرجند</v>
      </c>
      <c r="B114" s="216"/>
      <c r="C114" s="167" t="str">
        <f t="shared" si="406"/>
        <v>اردیبهشت</v>
      </c>
      <c r="D114" s="171">
        <f>SUM('مقایسه بودجه- صادرات'!D114,'مقایسه بودجه- واردات'!D114)</f>
        <v>313</v>
      </c>
      <c r="E114" s="159">
        <f>SUM('مقایسه بودجه- صادرات'!E114,'مقایسه بودجه- واردات'!E114)</f>
        <v>0</v>
      </c>
      <c r="F114" s="159">
        <f t="shared" si="257"/>
        <v>313</v>
      </c>
      <c r="G114" s="175" t="str">
        <f>IF(SUM(D114:D124)=0,"",IFERROR(D114/E114,""))</f>
        <v/>
      </c>
      <c r="H114" s="171">
        <f>SUM('مقایسه بودجه- صادرات'!H114,'مقایسه بودجه- واردات'!H114)</f>
        <v>150</v>
      </c>
      <c r="I114" s="159">
        <f>SUM('مقایسه بودجه- صادرات'!I114,'مقایسه بودجه- واردات'!I114)</f>
        <v>0</v>
      </c>
      <c r="J114" s="159">
        <f t="shared" si="258"/>
        <v>150</v>
      </c>
      <c r="K114" s="175" t="str">
        <f>IF(SUM(H114:H124)=0,"",IFERROR(H114/I114,""))</f>
        <v/>
      </c>
      <c r="L114" s="171">
        <f>SUM('مقایسه بودجه- صادرات'!L114,'مقایسه بودجه- واردات'!L114)</f>
        <v>0</v>
      </c>
      <c r="M114" s="159">
        <f>SUM('مقایسه بودجه- صادرات'!M114,'مقایسه بودجه- واردات'!M114)</f>
        <v>0</v>
      </c>
      <c r="N114" s="159">
        <f t="shared" si="259"/>
        <v>0</v>
      </c>
      <c r="O114" s="175" t="str">
        <f>IF(SUM(L114:L124)=0,"",IFERROR(L114/M114,""))</f>
        <v/>
      </c>
      <c r="P114" s="171">
        <f>SUM('مقایسه بودجه- صادرات'!P114,'مقایسه بودجه- واردات'!P114)</f>
        <v>0</v>
      </c>
      <c r="Q114" s="159">
        <f>SUM('مقایسه بودجه- صادرات'!Q114,'مقایسه بودجه- واردات'!Q114)</f>
        <v>0</v>
      </c>
      <c r="R114" s="159">
        <f t="shared" si="260"/>
        <v>0</v>
      </c>
      <c r="S114" s="175" t="str">
        <f>IF(SUM(P114:P124)=0,"",IFERROR(P114/Q114,""))</f>
        <v/>
      </c>
      <c r="T114" s="171">
        <f t="shared" si="394"/>
        <v>313</v>
      </c>
      <c r="U114" s="159">
        <f t="shared" si="395"/>
        <v>0</v>
      </c>
      <c r="V114" s="159">
        <f t="shared" si="261"/>
        <v>313</v>
      </c>
      <c r="W114" s="175" t="str">
        <f t="shared" ref="W114" si="456">IF(SUM(T114:T124)=0,"",IFERROR(T114/U114,""))</f>
        <v/>
      </c>
      <c r="X114" s="171">
        <f t="shared" si="397"/>
        <v>150</v>
      </c>
      <c r="Y114" s="159">
        <f t="shared" si="398"/>
        <v>0</v>
      </c>
      <c r="Z114" s="159">
        <f t="shared" si="263"/>
        <v>150</v>
      </c>
      <c r="AA114" s="175" t="str">
        <f t="shared" ref="AA114" si="457">IF(SUM(X114:X124)=0,"",IFERROR(X114/Y114,""))</f>
        <v/>
      </c>
      <c r="AB114" s="171">
        <f t="shared" si="400"/>
        <v>0</v>
      </c>
      <c r="AC114" s="159">
        <f t="shared" si="401"/>
        <v>0</v>
      </c>
      <c r="AD114" s="159">
        <f t="shared" si="265"/>
        <v>0</v>
      </c>
      <c r="AE114" s="175" t="str">
        <f t="shared" ref="AE114" si="458">IF(SUM(AB114:AB124)=0,"",IFERROR(AB114/AC114,""))</f>
        <v/>
      </c>
      <c r="AF114" s="171">
        <f t="shared" si="403"/>
        <v>0</v>
      </c>
      <c r="AG114" s="159">
        <f t="shared" si="404"/>
        <v>0</v>
      </c>
      <c r="AH114" s="159">
        <f t="shared" si="267"/>
        <v>0</v>
      </c>
      <c r="AI114" s="187" t="str">
        <f t="shared" ref="AI114" si="459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14"/>
        <v>بیرجند</v>
      </c>
      <c r="B115" s="216"/>
      <c r="C115" s="167" t="str">
        <f t="shared" si="406"/>
        <v>خرداد</v>
      </c>
      <c r="D115" s="171">
        <f>SUM('مقایسه بودجه- صادرات'!D115,'مقایسه بودجه- واردات'!D115)</f>
        <v>198</v>
      </c>
      <c r="E115" s="159">
        <f>SUM('مقایسه بودجه- صادرات'!E115,'مقایسه بودجه- واردات'!E115)</f>
        <v>0</v>
      </c>
      <c r="F115" s="159">
        <f t="shared" si="257"/>
        <v>198</v>
      </c>
      <c r="G115" s="175" t="str">
        <f>IF(SUM(D115:D124)=0,"",IFERROR(D115/E115,""))</f>
        <v/>
      </c>
      <c r="H115" s="171">
        <f>SUM('مقایسه بودجه- صادرات'!H115,'مقایسه بودجه- واردات'!H115)</f>
        <v>75</v>
      </c>
      <c r="I115" s="159">
        <f>SUM('مقایسه بودجه- صادرات'!I115,'مقایسه بودجه- واردات'!I115)</f>
        <v>0</v>
      </c>
      <c r="J115" s="159">
        <f t="shared" si="258"/>
        <v>75</v>
      </c>
      <c r="K115" s="175" t="str">
        <f>IF(SUM(H115:H124)=0,"",IFERROR(H115/I115,""))</f>
        <v/>
      </c>
      <c r="L115" s="171">
        <f>SUM('مقایسه بودجه- صادرات'!L115,'مقایسه بودجه- واردات'!L115)</f>
        <v>0</v>
      </c>
      <c r="M115" s="159">
        <f>SUM('مقایسه بودجه- صادرات'!M115,'مقایسه بودجه- واردات'!M115)</f>
        <v>0</v>
      </c>
      <c r="N115" s="159">
        <f t="shared" si="259"/>
        <v>0</v>
      </c>
      <c r="O115" s="175" t="str">
        <f>IF(SUM(L115:L124)=0,"",IFERROR(L115/M115,""))</f>
        <v/>
      </c>
      <c r="P115" s="171">
        <f>SUM('مقایسه بودجه- صادرات'!P115,'مقایسه بودجه- واردات'!P115)</f>
        <v>0</v>
      </c>
      <c r="Q115" s="159">
        <f>SUM('مقایسه بودجه- صادرات'!Q115,'مقایسه بودجه- واردات'!Q115)</f>
        <v>0</v>
      </c>
      <c r="R115" s="159">
        <f t="shared" si="260"/>
        <v>0</v>
      </c>
      <c r="S115" s="175" t="str">
        <f>IF(SUM(P115:P124)=0,"",IFERROR(P115/Q115,""))</f>
        <v/>
      </c>
      <c r="T115" s="171">
        <f t="shared" si="394"/>
        <v>511</v>
      </c>
      <c r="U115" s="159">
        <f t="shared" si="395"/>
        <v>0</v>
      </c>
      <c r="V115" s="159">
        <f t="shared" si="261"/>
        <v>511</v>
      </c>
      <c r="W115" s="175" t="str">
        <f t="shared" ref="W115" si="460">IF(SUM(T115:T124)=0,"",IFERROR(T115/U115,""))</f>
        <v/>
      </c>
      <c r="X115" s="171">
        <f t="shared" si="397"/>
        <v>225</v>
      </c>
      <c r="Y115" s="159">
        <f t="shared" si="398"/>
        <v>0</v>
      </c>
      <c r="Z115" s="159">
        <f t="shared" si="263"/>
        <v>225</v>
      </c>
      <c r="AA115" s="175" t="str">
        <f t="shared" ref="AA115" si="461">IF(SUM(X115:X124)=0,"",IFERROR(X115/Y115,""))</f>
        <v/>
      </c>
      <c r="AB115" s="171">
        <f t="shared" si="400"/>
        <v>0</v>
      </c>
      <c r="AC115" s="159">
        <f t="shared" si="401"/>
        <v>0</v>
      </c>
      <c r="AD115" s="159">
        <f t="shared" si="265"/>
        <v>0</v>
      </c>
      <c r="AE115" s="175" t="str">
        <f t="shared" ref="AE115" si="462">IF(SUM(AB115:AB124)=0,"",IFERROR(AB115/AC115,""))</f>
        <v/>
      </c>
      <c r="AF115" s="171">
        <f t="shared" si="403"/>
        <v>0</v>
      </c>
      <c r="AG115" s="159">
        <f t="shared" si="404"/>
        <v>0</v>
      </c>
      <c r="AH115" s="159">
        <f t="shared" si="267"/>
        <v>0</v>
      </c>
      <c r="AI115" s="187" t="str">
        <f t="shared" ref="AI115" si="463">IF(SUM(AF115:AF124)=0,"",IFERROR(AF115/AG115,""))</f>
        <v/>
      </c>
      <c r="AJ115" s="157">
        <f t="shared" ref="AJ115:AJ123" si="464">AJ114+1</f>
        <v>3</v>
      </c>
    </row>
    <row r="116" spans="1:36" ht="24.95" customHeight="1" x14ac:dyDescent="0.25">
      <c r="A116" s="182" t="str">
        <f t="shared" si="314"/>
        <v>بیرجند</v>
      </c>
      <c r="B116" s="216"/>
      <c r="C116" s="167" t="str">
        <f t="shared" si="406"/>
        <v>تیر</v>
      </c>
      <c r="D116" s="171">
        <f>SUM('مقایسه بودجه- صادرات'!D116,'مقایسه بودجه- واردات'!D116)</f>
        <v>0</v>
      </c>
      <c r="E116" s="159">
        <f>SUM('مقایسه بودجه- صادرات'!E116,'مقایسه بودجه- واردات'!E116)</f>
        <v>0</v>
      </c>
      <c r="F116" s="159">
        <f t="shared" si="257"/>
        <v>0</v>
      </c>
      <c r="G116" s="175" t="str">
        <f>IF(SUM(D116:D124)=0,"",IFERROR(D116/E116,""))</f>
        <v/>
      </c>
      <c r="H116" s="171">
        <f>SUM('مقایسه بودجه- صادرات'!H116,'مقایسه بودجه- واردات'!H116)</f>
        <v>174</v>
      </c>
      <c r="I116" s="159">
        <f>SUM('مقایسه بودجه- صادرات'!I116,'مقایسه بودجه- واردات'!I116)</f>
        <v>0</v>
      </c>
      <c r="J116" s="159">
        <f t="shared" si="258"/>
        <v>174</v>
      </c>
      <c r="K116" s="175" t="str">
        <f>IF(SUM(H116:H124)=0,"",IFERROR(H116/I116,""))</f>
        <v/>
      </c>
      <c r="L116" s="171">
        <f>SUM('مقایسه بودجه- صادرات'!L116,'مقایسه بودجه- واردات'!L116)</f>
        <v>0</v>
      </c>
      <c r="M116" s="159">
        <f>SUM('مقایسه بودجه- صادرات'!M116,'مقایسه بودجه- واردات'!M116)</f>
        <v>0</v>
      </c>
      <c r="N116" s="159">
        <f t="shared" si="259"/>
        <v>0</v>
      </c>
      <c r="O116" s="175" t="str">
        <f>IF(SUM(L116:L124)=0,"",IFERROR(L116/M116,""))</f>
        <v/>
      </c>
      <c r="P116" s="171">
        <f>SUM('مقایسه بودجه- صادرات'!P116,'مقایسه بودجه- واردات'!P116)</f>
        <v>0</v>
      </c>
      <c r="Q116" s="159">
        <f>SUM('مقایسه بودجه- صادرات'!Q116,'مقایسه بودجه- واردات'!Q116)</f>
        <v>0</v>
      </c>
      <c r="R116" s="159">
        <f t="shared" si="260"/>
        <v>0</v>
      </c>
      <c r="S116" s="175" t="str">
        <f>IF(SUM(P116:P124)=0,"",IFERROR(P116/Q116,""))</f>
        <v/>
      </c>
      <c r="T116" s="171">
        <f t="shared" si="394"/>
        <v>511</v>
      </c>
      <c r="U116" s="159">
        <f t="shared" si="395"/>
        <v>0</v>
      </c>
      <c r="V116" s="159">
        <f t="shared" si="261"/>
        <v>511</v>
      </c>
      <c r="W116" s="175" t="str">
        <f t="shared" ref="W116" si="465">IF(SUM(T116:T124)=0,"",IFERROR(T116/U116,""))</f>
        <v/>
      </c>
      <c r="X116" s="171">
        <f t="shared" si="397"/>
        <v>399</v>
      </c>
      <c r="Y116" s="159">
        <f t="shared" si="398"/>
        <v>0</v>
      </c>
      <c r="Z116" s="159">
        <f t="shared" si="263"/>
        <v>399</v>
      </c>
      <c r="AA116" s="175" t="str">
        <f t="shared" ref="AA116" si="466">IF(SUM(X116:X124)=0,"",IFERROR(X116/Y116,""))</f>
        <v/>
      </c>
      <c r="AB116" s="171">
        <f t="shared" si="400"/>
        <v>0</v>
      </c>
      <c r="AC116" s="159">
        <f t="shared" si="401"/>
        <v>0</v>
      </c>
      <c r="AD116" s="159">
        <f t="shared" si="265"/>
        <v>0</v>
      </c>
      <c r="AE116" s="175" t="str">
        <f t="shared" ref="AE116" si="467">IF(SUM(AB116:AB124)=0,"",IFERROR(AB116/AC116,""))</f>
        <v/>
      </c>
      <c r="AF116" s="171">
        <f t="shared" si="403"/>
        <v>0</v>
      </c>
      <c r="AG116" s="159">
        <f t="shared" si="404"/>
        <v>0</v>
      </c>
      <c r="AH116" s="159">
        <f t="shared" si="267"/>
        <v>0</v>
      </c>
      <c r="AI116" s="187" t="str">
        <f t="shared" ref="AI116" si="468">IF(SUM(AF116:AF124)=0,"",IFERROR(AF116/AG116,""))</f>
        <v/>
      </c>
      <c r="AJ116" s="157">
        <f t="shared" si="464"/>
        <v>4</v>
      </c>
    </row>
    <row r="117" spans="1:36" ht="24.95" customHeight="1" x14ac:dyDescent="0.25">
      <c r="A117" s="182" t="str">
        <f t="shared" si="314"/>
        <v>بیرجند</v>
      </c>
      <c r="B117" s="216"/>
      <c r="C117" s="167" t="str">
        <f t="shared" si="406"/>
        <v>مرداد</v>
      </c>
      <c r="D117" s="171">
        <f>SUM('مقایسه بودجه- صادرات'!D117,'مقایسه بودجه- واردات'!D117)</f>
        <v>0</v>
      </c>
      <c r="E117" s="159">
        <f>SUM('مقایسه بودجه- صادرات'!E117,'مقایسه بودجه- واردات'!E117)</f>
        <v>0</v>
      </c>
      <c r="F117" s="159">
        <f t="shared" si="257"/>
        <v>0</v>
      </c>
      <c r="G117" s="175" t="str">
        <f>IF(SUM(D117:D124)=0,"",IFERROR(D117/E117,""))</f>
        <v/>
      </c>
      <c r="H117" s="171">
        <f>SUM('مقایسه بودجه- صادرات'!H117,'مقایسه بودجه- واردات'!H117)</f>
        <v>103</v>
      </c>
      <c r="I117" s="159">
        <f>SUM('مقایسه بودجه- صادرات'!I117,'مقایسه بودجه- واردات'!I117)</f>
        <v>0</v>
      </c>
      <c r="J117" s="159">
        <f t="shared" si="258"/>
        <v>103</v>
      </c>
      <c r="K117" s="175" t="str">
        <f>IF(SUM(H117:H124)=0,"",IFERROR(H117/I117,""))</f>
        <v/>
      </c>
      <c r="L117" s="171">
        <f>SUM('مقایسه بودجه- صادرات'!L117,'مقایسه بودجه- واردات'!L117)</f>
        <v>0</v>
      </c>
      <c r="M117" s="159">
        <f>SUM('مقایسه بودجه- صادرات'!M117,'مقایسه بودجه- واردات'!M117)</f>
        <v>0</v>
      </c>
      <c r="N117" s="159">
        <f t="shared" si="259"/>
        <v>0</v>
      </c>
      <c r="O117" s="175" t="str">
        <f>IF(SUM(L117:L124)=0,"",IFERROR(L117/M117,""))</f>
        <v/>
      </c>
      <c r="P117" s="171">
        <f>SUM('مقایسه بودجه- صادرات'!P117,'مقایسه بودجه- واردات'!P117)</f>
        <v>0</v>
      </c>
      <c r="Q117" s="159">
        <f>SUM('مقایسه بودجه- صادرات'!Q117,'مقایسه بودجه- واردات'!Q117)</f>
        <v>0</v>
      </c>
      <c r="R117" s="159">
        <f t="shared" si="260"/>
        <v>0</v>
      </c>
      <c r="S117" s="175" t="str">
        <f>IF(SUM(P117:P124)=0,"",IFERROR(P117/Q117,""))</f>
        <v/>
      </c>
      <c r="T117" s="171">
        <f t="shared" si="394"/>
        <v>511</v>
      </c>
      <c r="U117" s="159">
        <f t="shared" si="395"/>
        <v>0</v>
      </c>
      <c r="V117" s="159">
        <f t="shared" si="261"/>
        <v>511</v>
      </c>
      <c r="W117" s="175" t="str">
        <f t="shared" ref="W117" si="469">IF(SUM(T117:T124)=0,"",IFERROR(T117/U117,""))</f>
        <v/>
      </c>
      <c r="X117" s="171">
        <f t="shared" si="397"/>
        <v>502</v>
      </c>
      <c r="Y117" s="159">
        <f t="shared" si="398"/>
        <v>0</v>
      </c>
      <c r="Z117" s="159">
        <f t="shared" si="263"/>
        <v>502</v>
      </c>
      <c r="AA117" s="175" t="str">
        <f t="shared" ref="AA117" si="470">IF(SUM(X117:X124)=0,"",IFERROR(X117/Y117,""))</f>
        <v/>
      </c>
      <c r="AB117" s="171">
        <f t="shared" si="400"/>
        <v>0</v>
      </c>
      <c r="AC117" s="159">
        <f t="shared" si="401"/>
        <v>0</v>
      </c>
      <c r="AD117" s="159">
        <f t="shared" si="265"/>
        <v>0</v>
      </c>
      <c r="AE117" s="175" t="str">
        <f t="shared" ref="AE117" si="471">IF(SUM(AB117:AB124)=0,"",IFERROR(AB117/AC117,""))</f>
        <v/>
      </c>
      <c r="AF117" s="171">
        <f t="shared" si="403"/>
        <v>0</v>
      </c>
      <c r="AG117" s="159">
        <f t="shared" si="404"/>
        <v>0</v>
      </c>
      <c r="AH117" s="159">
        <f t="shared" si="267"/>
        <v>0</v>
      </c>
      <c r="AI117" s="187" t="str">
        <f t="shared" ref="AI117" si="472">IF(SUM(AF117:AF124)=0,"",IFERROR(AF117/AG117,""))</f>
        <v/>
      </c>
      <c r="AJ117" s="157">
        <f t="shared" si="464"/>
        <v>5</v>
      </c>
    </row>
    <row r="118" spans="1:36" ht="24.95" customHeight="1" x14ac:dyDescent="0.25">
      <c r="A118" s="182" t="str">
        <f t="shared" si="314"/>
        <v>بیرجند</v>
      </c>
      <c r="B118" s="216"/>
      <c r="C118" s="167" t="str">
        <f t="shared" si="406"/>
        <v>شهریور</v>
      </c>
      <c r="D118" s="171">
        <f>SUM('مقایسه بودجه- صادرات'!D118,'مقایسه بودجه- واردات'!D118)</f>
        <v>86</v>
      </c>
      <c r="E118" s="159">
        <f>SUM('مقایسه بودجه- صادرات'!E118,'مقایسه بودجه- واردات'!E118)</f>
        <v>0</v>
      </c>
      <c r="F118" s="159">
        <f t="shared" si="257"/>
        <v>86</v>
      </c>
      <c r="G118" s="175" t="str">
        <f>IF(SUM(D118:D124)=0,"",IFERROR(D118/E118,""))</f>
        <v/>
      </c>
      <c r="H118" s="171">
        <f>SUM('مقایسه بودجه- صادرات'!H118,'مقایسه بودجه- واردات'!H118)</f>
        <v>124</v>
      </c>
      <c r="I118" s="159">
        <f>SUM('مقایسه بودجه- صادرات'!I118,'مقایسه بودجه- واردات'!I118)</f>
        <v>0</v>
      </c>
      <c r="J118" s="159">
        <f t="shared" si="258"/>
        <v>124</v>
      </c>
      <c r="K118" s="175" t="str">
        <f>IF(SUM(H118:H124)=0,"",IFERROR(H118/I118,""))</f>
        <v/>
      </c>
      <c r="L118" s="171">
        <f>SUM('مقایسه بودجه- صادرات'!L118,'مقایسه بودجه- واردات'!L118)</f>
        <v>0</v>
      </c>
      <c r="M118" s="159">
        <f>SUM('مقایسه بودجه- صادرات'!M118,'مقایسه بودجه- واردات'!M118)</f>
        <v>0</v>
      </c>
      <c r="N118" s="159">
        <f t="shared" si="259"/>
        <v>0</v>
      </c>
      <c r="O118" s="175" t="str">
        <f>IF(SUM(L118:L124)=0,"",IFERROR(L118/M118,""))</f>
        <v/>
      </c>
      <c r="P118" s="171">
        <f>SUM('مقایسه بودجه- صادرات'!P118,'مقایسه بودجه- واردات'!P118)</f>
        <v>0</v>
      </c>
      <c r="Q118" s="159">
        <f>SUM('مقایسه بودجه- صادرات'!Q118,'مقایسه بودجه- واردات'!Q118)</f>
        <v>0</v>
      </c>
      <c r="R118" s="159">
        <f t="shared" si="260"/>
        <v>0</v>
      </c>
      <c r="S118" s="175" t="str">
        <f>IF(SUM(P118:P124)=0,"",IFERROR(P118/Q118,""))</f>
        <v/>
      </c>
      <c r="T118" s="171">
        <f t="shared" si="394"/>
        <v>597</v>
      </c>
      <c r="U118" s="159">
        <f t="shared" si="395"/>
        <v>0</v>
      </c>
      <c r="V118" s="159">
        <f t="shared" si="261"/>
        <v>597</v>
      </c>
      <c r="W118" s="175" t="str">
        <f t="shared" ref="W118" si="473">IF(SUM(T118:T124)=0,"",IFERROR(T118/U118,""))</f>
        <v/>
      </c>
      <c r="X118" s="171">
        <f t="shared" si="397"/>
        <v>626</v>
      </c>
      <c r="Y118" s="159">
        <f t="shared" si="398"/>
        <v>0</v>
      </c>
      <c r="Z118" s="159">
        <f t="shared" si="263"/>
        <v>626</v>
      </c>
      <c r="AA118" s="175" t="str">
        <f t="shared" ref="AA118" si="474">IF(SUM(X118:X124)=0,"",IFERROR(X118/Y118,""))</f>
        <v/>
      </c>
      <c r="AB118" s="171">
        <f t="shared" si="400"/>
        <v>0</v>
      </c>
      <c r="AC118" s="159">
        <f t="shared" si="401"/>
        <v>0</v>
      </c>
      <c r="AD118" s="159">
        <f t="shared" si="265"/>
        <v>0</v>
      </c>
      <c r="AE118" s="175" t="str">
        <f t="shared" ref="AE118" si="475">IF(SUM(AB118:AB124)=0,"",IFERROR(AB118/AC118,""))</f>
        <v/>
      </c>
      <c r="AF118" s="171">
        <f t="shared" si="403"/>
        <v>0</v>
      </c>
      <c r="AG118" s="159">
        <f t="shared" si="404"/>
        <v>0</v>
      </c>
      <c r="AH118" s="159">
        <f t="shared" si="267"/>
        <v>0</v>
      </c>
      <c r="AI118" s="187" t="str">
        <f t="shared" ref="AI118" si="476">IF(SUM(AF118:AF124)=0,"",IFERROR(AF118/AG118,""))</f>
        <v/>
      </c>
      <c r="AJ118" s="157">
        <f t="shared" si="464"/>
        <v>6</v>
      </c>
    </row>
    <row r="119" spans="1:36" ht="24.95" customHeight="1" x14ac:dyDescent="0.25">
      <c r="A119" s="182" t="str">
        <f t="shared" si="314"/>
        <v>بیرجند</v>
      </c>
      <c r="B119" s="216"/>
      <c r="C119" s="167" t="str">
        <f t="shared" si="406"/>
        <v>مهر</v>
      </c>
      <c r="D119" s="171">
        <f>SUM('مقایسه بودجه- صادرات'!D119,'مقایسه بودجه- واردات'!D119)</f>
        <v>14</v>
      </c>
      <c r="E119" s="159">
        <f>SUM('مقایسه بودجه- صادرات'!E119,'مقایسه بودجه- واردات'!E119)</f>
        <v>0</v>
      </c>
      <c r="F119" s="159">
        <f t="shared" si="257"/>
        <v>14</v>
      </c>
      <c r="G119" s="175" t="str">
        <f>IF(SUM(D119:D124)=0,"",IFERROR(D119/E119,""))</f>
        <v/>
      </c>
      <c r="H119" s="171">
        <f>SUM('مقایسه بودجه- صادرات'!H119,'مقایسه بودجه- واردات'!H119)</f>
        <v>86</v>
      </c>
      <c r="I119" s="159">
        <f>SUM('مقایسه بودجه- صادرات'!I119,'مقایسه بودجه- واردات'!I119)</f>
        <v>0</v>
      </c>
      <c r="J119" s="159">
        <f t="shared" si="258"/>
        <v>86</v>
      </c>
      <c r="K119" s="175" t="str">
        <f>IF(SUM(H119:H124)=0,"",IFERROR(H119/I119,""))</f>
        <v/>
      </c>
      <c r="L119" s="171">
        <f>SUM('مقایسه بودجه- صادرات'!L119,'مقایسه بودجه- واردات'!L119)</f>
        <v>0</v>
      </c>
      <c r="M119" s="159">
        <f>SUM('مقایسه بودجه- صادرات'!M119,'مقایسه بودجه- واردات'!M119)</f>
        <v>0</v>
      </c>
      <c r="N119" s="159">
        <f t="shared" si="259"/>
        <v>0</v>
      </c>
      <c r="O119" s="175" t="str">
        <f>IF(SUM(L119:L124)=0,"",IFERROR(L119/M119,""))</f>
        <v/>
      </c>
      <c r="P119" s="171">
        <f>SUM('مقایسه بودجه- صادرات'!P119,'مقایسه بودجه- واردات'!P119)</f>
        <v>0</v>
      </c>
      <c r="Q119" s="159">
        <f>SUM('مقایسه بودجه- صادرات'!Q119,'مقایسه بودجه- واردات'!Q119)</f>
        <v>0</v>
      </c>
      <c r="R119" s="159">
        <f t="shared" si="260"/>
        <v>0</v>
      </c>
      <c r="S119" s="175" t="str">
        <f>IF(SUM(P119:P124)=0,"",IFERROR(P119/Q119,""))</f>
        <v/>
      </c>
      <c r="T119" s="171">
        <f t="shared" si="394"/>
        <v>611</v>
      </c>
      <c r="U119" s="159">
        <f t="shared" si="395"/>
        <v>0</v>
      </c>
      <c r="V119" s="159">
        <f t="shared" si="261"/>
        <v>611</v>
      </c>
      <c r="W119" s="175" t="str">
        <f t="shared" ref="W119" si="477">IF(SUM(T119:T124)=0,"",IFERROR(T119/U119,""))</f>
        <v/>
      </c>
      <c r="X119" s="171">
        <f t="shared" si="397"/>
        <v>712</v>
      </c>
      <c r="Y119" s="159">
        <f t="shared" si="398"/>
        <v>0</v>
      </c>
      <c r="Z119" s="159">
        <f t="shared" si="263"/>
        <v>712</v>
      </c>
      <c r="AA119" s="175" t="str">
        <f t="shared" ref="AA119" si="478">IF(SUM(X119:X124)=0,"",IFERROR(X119/Y119,""))</f>
        <v/>
      </c>
      <c r="AB119" s="171">
        <f t="shared" si="400"/>
        <v>0</v>
      </c>
      <c r="AC119" s="159">
        <f t="shared" si="401"/>
        <v>0</v>
      </c>
      <c r="AD119" s="159">
        <f t="shared" si="265"/>
        <v>0</v>
      </c>
      <c r="AE119" s="175" t="str">
        <f t="shared" ref="AE119" si="479">IF(SUM(AB119:AB124)=0,"",IFERROR(AB119/AC119,""))</f>
        <v/>
      </c>
      <c r="AF119" s="171">
        <f t="shared" si="403"/>
        <v>0</v>
      </c>
      <c r="AG119" s="159">
        <f t="shared" si="404"/>
        <v>0</v>
      </c>
      <c r="AH119" s="159">
        <f t="shared" si="267"/>
        <v>0</v>
      </c>
      <c r="AI119" s="187" t="str">
        <f t="shared" ref="AI119" si="480">IF(SUM(AF119:AF124)=0,"",IFERROR(AF119/AG119,""))</f>
        <v/>
      </c>
      <c r="AJ119" s="157">
        <f t="shared" si="464"/>
        <v>7</v>
      </c>
    </row>
    <row r="120" spans="1:36" ht="24.95" customHeight="1" x14ac:dyDescent="0.25">
      <c r="A120" s="182" t="str">
        <f t="shared" si="314"/>
        <v>بیرجند</v>
      </c>
      <c r="B120" s="216"/>
      <c r="C120" s="167" t="str">
        <f t="shared" si="406"/>
        <v>آبان</v>
      </c>
      <c r="D120" s="171">
        <f>SUM('مقایسه بودجه- صادرات'!D120,'مقایسه بودجه- واردات'!D120)</f>
        <v>0</v>
      </c>
      <c r="E120" s="159">
        <f>SUM('مقایسه بودجه- صادرات'!E120,'مقایسه بودجه- واردات'!E120)</f>
        <v>0</v>
      </c>
      <c r="F120" s="159">
        <f t="shared" si="257"/>
        <v>0</v>
      </c>
      <c r="G120" s="175" t="str">
        <f>IF(SUM(D120:D124)=0,"",IFERROR(D120/E120,""))</f>
        <v/>
      </c>
      <c r="H120" s="171">
        <f>SUM('مقایسه بودجه- صادرات'!H120,'مقایسه بودجه- واردات'!H120)</f>
        <v>14</v>
      </c>
      <c r="I120" s="159">
        <f>SUM('مقایسه بودجه- صادرات'!I120,'مقایسه بودجه- واردات'!I120)</f>
        <v>0</v>
      </c>
      <c r="J120" s="159">
        <f t="shared" si="258"/>
        <v>14</v>
      </c>
      <c r="K120" s="175" t="str">
        <f>IF(SUM(H120:H124)=0,"",IFERROR(H120/I120,""))</f>
        <v/>
      </c>
      <c r="L120" s="171">
        <f>SUM('مقایسه بودجه- صادرات'!L120,'مقایسه بودجه- واردات'!L120)</f>
        <v>0</v>
      </c>
      <c r="M120" s="159">
        <f>SUM('مقایسه بودجه- صادرات'!M120,'مقایسه بودجه- واردات'!M120)</f>
        <v>0</v>
      </c>
      <c r="N120" s="159">
        <f t="shared" si="259"/>
        <v>0</v>
      </c>
      <c r="O120" s="175" t="str">
        <f>IF(SUM(L120:L124)=0,"",IFERROR(L120/M120,""))</f>
        <v/>
      </c>
      <c r="P120" s="171">
        <f>SUM('مقایسه بودجه- صادرات'!P120,'مقایسه بودجه- واردات'!P120)</f>
        <v>0</v>
      </c>
      <c r="Q120" s="159">
        <f>SUM('مقایسه بودجه- صادرات'!Q120,'مقایسه بودجه- واردات'!Q120)</f>
        <v>0</v>
      </c>
      <c r="R120" s="159">
        <f t="shared" si="260"/>
        <v>0</v>
      </c>
      <c r="S120" s="175" t="str">
        <f>IF(SUM(P120:P124)=0,"",IFERROR(P120/Q120,""))</f>
        <v/>
      </c>
      <c r="T120" s="171">
        <f t="shared" si="394"/>
        <v>611</v>
      </c>
      <c r="U120" s="159">
        <f t="shared" si="395"/>
        <v>0</v>
      </c>
      <c r="V120" s="159">
        <f t="shared" si="261"/>
        <v>611</v>
      </c>
      <c r="W120" s="175" t="str">
        <f t="shared" ref="W120" si="481">IF(SUM(T120:T124)=0,"",IFERROR(T120/U120,""))</f>
        <v/>
      </c>
      <c r="X120" s="171">
        <f t="shared" si="397"/>
        <v>726</v>
      </c>
      <c r="Y120" s="159">
        <f t="shared" si="398"/>
        <v>0</v>
      </c>
      <c r="Z120" s="159">
        <f t="shared" si="263"/>
        <v>726</v>
      </c>
      <c r="AA120" s="175" t="str">
        <f t="shared" ref="AA120" si="482">IF(SUM(X120:X124)=0,"",IFERROR(X120/Y120,""))</f>
        <v/>
      </c>
      <c r="AB120" s="171">
        <f t="shared" si="400"/>
        <v>0</v>
      </c>
      <c r="AC120" s="159">
        <f t="shared" si="401"/>
        <v>0</v>
      </c>
      <c r="AD120" s="159">
        <f t="shared" si="265"/>
        <v>0</v>
      </c>
      <c r="AE120" s="175" t="str">
        <f t="shared" ref="AE120" si="483">IF(SUM(AB120:AB124)=0,"",IFERROR(AB120/AC120,""))</f>
        <v/>
      </c>
      <c r="AF120" s="171">
        <f t="shared" si="403"/>
        <v>0</v>
      </c>
      <c r="AG120" s="159">
        <f t="shared" si="404"/>
        <v>0</v>
      </c>
      <c r="AH120" s="159">
        <f t="shared" si="267"/>
        <v>0</v>
      </c>
      <c r="AI120" s="187" t="str">
        <f t="shared" ref="AI120" si="484">IF(SUM(AF120:AF124)=0,"",IFERROR(AF120/AG120,""))</f>
        <v/>
      </c>
      <c r="AJ120" s="157">
        <f t="shared" si="464"/>
        <v>8</v>
      </c>
    </row>
    <row r="121" spans="1:36" ht="24.95" customHeight="1" x14ac:dyDescent="0.25">
      <c r="A121" s="182" t="str">
        <f t="shared" si="314"/>
        <v>بیرجند</v>
      </c>
      <c r="B121" s="216"/>
      <c r="C121" s="167" t="str">
        <f t="shared" si="406"/>
        <v>آذر</v>
      </c>
      <c r="D121" s="171">
        <f>SUM('مقایسه بودجه- صادرات'!D121,'مقایسه بودجه- واردات'!D121)</f>
        <v>140</v>
      </c>
      <c r="E121" s="159">
        <f>SUM('مقایسه بودجه- صادرات'!E121,'مقایسه بودجه- واردات'!E121)</f>
        <v>0</v>
      </c>
      <c r="F121" s="159">
        <f t="shared" si="257"/>
        <v>140</v>
      </c>
      <c r="G121" s="175" t="str">
        <f>IF(SUM(D121:D124)=0,"",IFERROR(D121/E121,""))</f>
        <v/>
      </c>
      <c r="H121" s="171">
        <f>SUM('مقایسه بودجه- صادرات'!H121,'مقایسه بودجه- واردات'!H121)</f>
        <v>81</v>
      </c>
      <c r="I121" s="159">
        <f>SUM('مقایسه بودجه- صادرات'!I121,'مقایسه بودجه- واردات'!I121)</f>
        <v>0</v>
      </c>
      <c r="J121" s="159">
        <f t="shared" si="258"/>
        <v>81</v>
      </c>
      <c r="K121" s="175" t="str">
        <f>IF(SUM(H121:H124)=0,"",IFERROR(H121/I121,""))</f>
        <v/>
      </c>
      <c r="L121" s="171">
        <f>SUM('مقایسه بودجه- صادرات'!L121,'مقایسه بودجه- واردات'!L121)</f>
        <v>0</v>
      </c>
      <c r="M121" s="159">
        <f>SUM('مقایسه بودجه- صادرات'!M121,'مقایسه بودجه- واردات'!M121)</f>
        <v>0</v>
      </c>
      <c r="N121" s="159">
        <f t="shared" si="259"/>
        <v>0</v>
      </c>
      <c r="O121" s="175" t="str">
        <f>IF(SUM(L121:L124)=0,"",IFERROR(L121/M121,""))</f>
        <v/>
      </c>
      <c r="P121" s="171">
        <f>SUM('مقایسه بودجه- صادرات'!P121,'مقایسه بودجه- واردات'!P121)</f>
        <v>0</v>
      </c>
      <c r="Q121" s="159">
        <f>SUM('مقایسه بودجه- صادرات'!Q121,'مقایسه بودجه- واردات'!Q121)</f>
        <v>0</v>
      </c>
      <c r="R121" s="159">
        <f t="shared" si="260"/>
        <v>0</v>
      </c>
      <c r="S121" s="175" t="str">
        <f>IF(SUM(P121:P124)=0,"",IFERROR(P121/Q121,""))</f>
        <v/>
      </c>
      <c r="T121" s="171">
        <f t="shared" si="394"/>
        <v>751</v>
      </c>
      <c r="U121" s="159">
        <f t="shared" si="395"/>
        <v>0</v>
      </c>
      <c r="V121" s="159">
        <f t="shared" si="261"/>
        <v>751</v>
      </c>
      <c r="W121" s="175" t="str">
        <f t="shared" ref="W121" si="485">IF(SUM(T121:T124)=0,"",IFERROR(T121/U121,""))</f>
        <v/>
      </c>
      <c r="X121" s="171">
        <f t="shared" si="397"/>
        <v>807</v>
      </c>
      <c r="Y121" s="159">
        <f t="shared" si="398"/>
        <v>0</v>
      </c>
      <c r="Z121" s="159">
        <f t="shared" si="263"/>
        <v>807</v>
      </c>
      <c r="AA121" s="175" t="str">
        <f t="shared" ref="AA121" si="486">IF(SUM(X121:X124)=0,"",IFERROR(X121/Y121,""))</f>
        <v/>
      </c>
      <c r="AB121" s="171">
        <f t="shared" si="400"/>
        <v>0</v>
      </c>
      <c r="AC121" s="159">
        <f t="shared" si="401"/>
        <v>0</v>
      </c>
      <c r="AD121" s="159">
        <f t="shared" si="265"/>
        <v>0</v>
      </c>
      <c r="AE121" s="175" t="str">
        <f t="shared" ref="AE121" si="487">IF(SUM(AB121:AB124)=0,"",IFERROR(AB121/AC121,""))</f>
        <v/>
      </c>
      <c r="AF121" s="171">
        <f t="shared" si="403"/>
        <v>0</v>
      </c>
      <c r="AG121" s="159">
        <f t="shared" si="404"/>
        <v>0</v>
      </c>
      <c r="AH121" s="159">
        <f t="shared" si="267"/>
        <v>0</v>
      </c>
      <c r="AI121" s="187" t="str">
        <f t="shared" ref="AI121" si="488">IF(SUM(AF121:AF124)=0,"",IFERROR(AF121/AG121,""))</f>
        <v/>
      </c>
      <c r="AJ121" s="157">
        <f t="shared" si="464"/>
        <v>9</v>
      </c>
    </row>
    <row r="122" spans="1:36" ht="24.95" customHeight="1" x14ac:dyDescent="0.25">
      <c r="A122" s="182" t="str">
        <f t="shared" si="314"/>
        <v>بیرجند</v>
      </c>
      <c r="B122" s="216"/>
      <c r="C122" s="167" t="str">
        <f t="shared" si="406"/>
        <v>دی</v>
      </c>
      <c r="D122" s="171">
        <f>SUM('مقایسه بودجه- صادرات'!D122,'مقایسه بودجه- واردات'!D122)</f>
        <v>251</v>
      </c>
      <c r="E122" s="159">
        <f>SUM('مقایسه بودجه- صادرات'!E122,'مقایسه بودجه- واردات'!E122)</f>
        <v>0</v>
      </c>
      <c r="F122" s="159">
        <f t="shared" si="257"/>
        <v>251</v>
      </c>
      <c r="G122" s="175" t="str">
        <f>IF(SUM(D122:D124)=0,"",IFERROR(D122/E122,""))</f>
        <v/>
      </c>
      <c r="H122" s="171">
        <f>SUM('مقایسه بودجه- صادرات'!H122,'مقایسه بودجه- واردات'!H122)</f>
        <v>48</v>
      </c>
      <c r="I122" s="159">
        <f>SUM('مقایسه بودجه- صادرات'!I122,'مقایسه بودجه- واردات'!I122)</f>
        <v>0</v>
      </c>
      <c r="J122" s="159">
        <f t="shared" si="258"/>
        <v>48</v>
      </c>
      <c r="K122" s="175" t="str">
        <f>IF(SUM(H122:H124)=0,"",IFERROR(H122/I122,""))</f>
        <v/>
      </c>
      <c r="L122" s="171">
        <f>SUM('مقایسه بودجه- صادرات'!L122,'مقایسه بودجه- واردات'!L122)</f>
        <v>0</v>
      </c>
      <c r="M122" s="159">
        <f>SUM('مقایسه بودجه- صادرات'!M122,'مقایسه بودجه- واردات'!M122)</f>
        <v>0</v>
      </c>
      <c r="N122" s="159">
        <f t="shared" si="259"/>
        <v>0</v>
      </c>
      <c r="O122" s="175" t="str">
        <f>IF(SUM(L122:L124)=0,"",IFERROR(L122/M122,""))</f>
        <v/>
      </c>
      <c r="P122" s="171">
        <f>SUM('مقایسه بودجه- صادرات'!P122,'مقایسه بودجه- واردات'!P122)</f>
        <v>0</v>
      </c>
      <c r="Q122" s="159">
        <f>SUM('مقایسه بودجه- صادرات'!Q122,'مقایسه بودجه- واردات'!Q122)</f>
        <v>0</v>
      </c>
      <c r="R122" s="159">
        <f t="shared" si="260"/>
        <v>0</v>
      </c>
      <c r="S122" s="175" t="str">
        <f>IF(SUM(P122:P124)=0,"",IFERROR(P122/Q122,""))</f>
        <v/>
      </c>
      <c r="T122" s="171">
        <f t="shared" si="394"/>
        <v>1002</v>
      </c>
      <c r="U122" s="159">
        <f t="shared" si="395"/>
        <v>0</v>
      </c>
      <c r="V122" s="159">
        <f t="shared" si="261"/>
        <v>1002</v>
      </c>
      <c r="W122" s="175" t="str">
        <f t="shared" ref="W122" si="489">IF(SUM(T122:T124)=0,"",IFERROR(T122/U122,""))</f>
        <v/>
      </c>
      <c r="X122" s="171">
        <f t="shared" si="397"/>
        <v>855</v>
      </c>
      <c r="Y122" s="159">
        <f t="shared" si="398"/>
        <v>0</v>
      </c>
      <c r="Z122" s="159">
        <f t="shared" si="263"/>
        <v>855</v>
      </c>
      <c r="AA122" s="175" t="str">
        <f t="shared" ref="AA122" si="490">IF(SUM(X122:X124)=0,"",IFERROR(X122/Y122,""))</f>
        <v/>
      </c>
      <c r="AB122" s="171">
        <f t="shared" si="400"/>
        <v>0</v>
      </c>
      <c r="AC122" s="159">
        <f t="shared" si="401"/>
        <v>0</v>
      </c>
      <c r="AD122" s="159">
        <f t="shared" si="265"/>
        <v>0</v>
      </c>
      <c r="AE122" s="175" t="str">
        <f t="shared" ref="AE122" si="491">IF(SUM(AB122:AB124)=0,"",IFERROR(AB122/AC122,""))</f>
        <v/>
      </c>
      <c r="AF122" s="171">
        <f t="shared" si="403"/>
        <v>0</v>
      </c>
      <c r="AG122" s="159">
        <f t="shared" si="404"/>
        <v>0</v>
      </c>
      <c r="AH122" s="159">
        <f t="shared" si="267"/>
        <v>0</v>
      </c>
      <c r="AI122" s="187" t="str">
        <f t="shared" ref="AI122" si="492">IF(SUM(AF122:AF124)=0,"",IFERROR(AF122/AG122,""))</f>
        <v/>
      </c>
      <c r="AJ122" s="157">
        <f t="shared" si="464"/>
        <v>10</v>
      </c>
    </row>
    <row r="123" spans="1:36" ht="24.95" customHeight="1" x14ac:dyDescent="0.25">
      <c r="A123" s="182" t="str">
        <f t="shared" si="314"/>
        <v>بیرجند</v>
      </c>
      <c r="B123" s="216"/>
      <c r="C123" s="167" t="str">
        <f t="shared" si="406"/>
        <v>بهمن</v>
      </c>
      <c r="D123" s="171">
        <f>SUM('مقایسه بودجه- صادرات'!D123,'مقایسه بودجه- واردات'!D123)</f>
        <v>423</v>
      </c>
      <c r="E123" s="159">
        <f>SUM('مقایسه بودجه- صادرات'!E123,'مقایسه بودجه- واردات'!E123)</f>
        <v>0</v>
      </c>
      <c r="F123" s="159">
        <f t="shared" si="257"/>
        <v>423</v>
      </c>
      <c r="G123" s="175" t="str">
        <f>IF(SUM(D123:D124)=0,"",IFERROR(D123/E123,""))</f>
        <v/>
      </c>
      <c r="H123" s="171">
        <f>SUM('مقایسه بودجه- صادرات'!H123,'مقایسه بودجه- واردات'!H123)</f>
        <v>286</v>
      </c>
      <c r="I123" s="159">
        <f>SUM('مقایسه بودجه- صادرات'!I123,'مقایسه بودجه- واردات'!I123)</f>
        <v>0</v>
      </c>
      <c r="J123" s="159">
        <f t="shared" si="258"/>
        <v>286</v>
      </c>
      <c r="K123" s="175" t="str">
        <f>IF(SUM(H123:H124)=0,"",IFERROR(H123/I123,""))</f>
        <v/>
      </c>
      <c r="L123" s="171">
        <f>SUM('مقایسه بودجه- صادرات'!L123,'مقایسه بودجه- واردات'!L123)</f>
        <v>0</v>
      </c>
      <c r="M123" s="159">
        <f>SUM('مقایسه بودجه- صادرات'!M123,'مقایسه بودجه- واردات'!M123)</f>
        <v>0</v>
      </c>
      <c r="N123" s="159">
        <f t="shared" si="259"/>
        <v>0</v>
      </c>
      <c r="O123" s="175" t="str">
        <f>IF(SUM(L123:L124)=0,"",IFERROR(L123/M123,""))</f>
        <v/>
      </c>
      <c r="P123" s="171">
        <f>SUM('مقایسه بودجه- صادرات'!P123,'مقایسه بودجه- واردات'!P123)</f>
        <v>0</v>
      </c>
      <c r="Q123" s="159">
        <f>SUM('مقایسه بودجه- صادرات'!Q123,'مقایسه بودجه- واردات'!Q123)</f>
        <v>0</v>
      </c>
      <c r="R123" s="159">
        <f t="shared" si="260"/>
        <v>0</v>
      </c>
      <c r="S123" s="175" t="str">
        <f>IF(SUM(P123:P124)=0,"",IFERROR(P123/Q123,""))</f>
        <v/>
      </c>
      <c r="T123" s="171">
        <f t="shared" si="394"/>
        <v>1425</v>
      </c>
      <c r="U123" s="159">
        <f t="shared" si="395"/>
        <v>0</v>
      </c>
      <c r="V123" s="159">
        <f t="shared" si="261"/>
        <v>1425</v>
      </c>
      <c r="W123" s="175" t="str">
        <f t="shared" ref="W123" si="493">IF(SUM(T123:T124)=0,"",IFERROR(T123/U123,""))</f>
        <v/>
      </c>
      <c r="X123" s="171">
        <f t="shared" si="397"/>
        <v>1141</v>
      </c>
      <c r="Y123" s="159">
        <f t="shared" si="398"/>
        <v>0</v>
      </c>
      <c r="Z123" s="159">
        <f t="shared" si="263"/>
        <v>1141</v>
      </c>
      <c r="AA123" s="175" t="str">
        <f t="shared" ref="AA123" si="494">IF(SUM(X123:X124)=0,"",IFERROR(X123/Y123,""))</f>
        <v/>
      </c>
      <c r="AB123" s="171">
        <f t="shared" si="400"/>
        <v>0</v>
      </c>
      <c r="AC123" s="159">
        <f t="shared" si="401"/>
        <v>0</v>
      </c>
      <c r="AD123" s="159">
        <f t="shared" si="265"/>
        <v>0</v>
      </c>
      <c r="AE123" s="175" t="str">
        <f t="shared" ref="AE123" si="495">IF(SUM(AB123:AB124)=0,"",IFERROR(AB123/AC123,""))</f>
        <v/>
      </c>
      <c r="AF123" s="171">
        <f t="shared" si="403"/>
        <v>0</v>
      </c>
      <c r="AG123" s="159">
        <f t="shared" si="404"/>
        <v>0</v>
      </c>
      <c r="AH123" s="159">
        <f t="shared" si="267"/>
        <v>0</v>
      </c>
      <c r="AI123" s="187" t="str">
        <f t="shared" ref="AI123" si="496">IF(SUM(AF123:AF124)=0,"",IFERROR(AF123/AG123,""))</f>
        <v/>
      </c>
      <c r="AJ123" s="157">
        <f t="shared" si="464"/>
        <v>11</v>
      </c>
    </row>
    <row r="124" spans="1:36" ht="24.95" customHeight="1" thickBot="1" x14ac:dyDescent="0.3">
      <c r="A124" s="182" t="str">
        <f t="shared" si="314"/>
        <v>بیرجند</v>
      </c>
      <c r="B124" s="217"/>
      <c r="C124" s="168" t="str">
        <f t="shared" si="406"/>
        <v>اسفند</v>
      </c>
      <c r="D124" s="172">
        <f>SUM('مقایسه بودجه- صادرات'!D124,'مقایسه بودجه- واردات'!D124)</f>
        <v>624</v>
      </c>
      <c r="E124" s="173">
        <f>SUM('مقایسه بودجه- صادرات'!E124,'مقایسه بودجه- واردات'!E124)</f>
        <v>0</v>
      </c>
      <c r="F124" s="173">
        <f t="shared" si="257"/>
        <v>624</v>
      </c>
      <c r="G124" s="176" t="str">
        <f>IF(SUM(D124)=0,"",IFERROR(D124/E124,""))</f>
        <v/>
      </c>
      <c r="H124" s="172">
        <f>SUM('مقایسه بودجه- صادرات'!H124,'مقایسه بودجه- واردات'!H124)</f>
        <v>599</v>
      </c>
      <c r="I124" s="173">
        <f>SUM('مقایسه بودجه- صادرات'!I124,'مقایسه بودجه- واردات'!I124)</f>
        <v>0</v>
      </c>
      <c r="J124" s="173">
        <f t="shared" si="258"/>
        <v>599</v>
      </c>
      <c r="K124" s="176" t="str">
        <f>IF(SUM(H124)=0,"",IFERROR(H124/I124,""))</f>
        <v/>
      </c>
      <c r="L124" s="172">
        <f>SUM('مقایسه بودجه- صادرات'!L124,'مقایسه بودجه- واردات'!L124)</f>
        <v>0</v>
      </c>
      <c r="M124" s="173">
        <f>SUM('مقایسه بودجه- صادرات'!M124,'مقایسه بودجه- واردات'!M124)</f>
        <v>0</v>
      </c>
      <c r="N124" s="173">
        <f t="shared" si="259"/>
        <v>0</v>
      </c>
      <c r="O124" s="176" t="str">
        <f>IF(SUM(L124)=0,"",IFERROR(L124/M124,""))</f>
        <v/>
      </c>
      <c r="P124" s="172">
        <f>SUM('مقایسه بودجه- صادرات'!P124,'مقایسه بودجه- واردات'!P124)</f>
        <v>0</v>
      </c>
      <c r="Q124" s="173">
        <f>SUM('مقایسه بودجه- صادرات'!Q124,'مقایسه بودجه- واردات'!Q124)</f>
        <v>0</v>
      </c>
      <c r="R124" s="173">
        <f t="shared" si="260"/>
        <v>0</v>
      </c>
      <c r="S124" s="176" t="str">
        <f>IF(SUM(P124)=0,"",IFERROR(P124/Q124,""))</f>
        <v/>
      </c>
      <c r="T124" s="172">
        <f t="shared" si="394"/>
        <v>2049</v>
      </c>
      <c r="U124" s="173">
        <f t="shared" si="395"/>
        <v>0</v>
      </c>
      <c r="V124" s="173">
        <f t="shared" si="261"/>
        <v>2049</v>
      </c>
      <c r="W124" s="176" t="str">
        <f t="shared" ref="W124" si="497">IF(SUM(T124)=0,"",IFERROR(T124/U124,""))</f>
        <v/>
      </c>
      <c r="X124" s="172">
        <f t="shared" si="397"/>
        <v>1740</v>
      </c>
      <c r="Y124" s="173">
        <f t="shared" si="398"/>
        <v>0</v>
      </c>
      <c r="Z124" s="173">
        <f t="shared" si="263"/>
        <v>1740</v>
      </c>
      <c r="AA124" s="176" t="str">
        <f t="shared" ref="AA124" si="498">IF(SUM(X124)=0,"",IFERROR(X124/Y124,""))</f>
        <v/>
      </c>
      <c r="AB124" s="172">
        <f t="shared" si="400"/>
        <v>0</v>
      </c>
      <c r="AC124" s="173">
        <f t="shared" si="401"/>
        <v>0</v>
      </c>
      <c r="AD124" s="173">
        <f t="shared" si="265"/>
        <v>0</v>
      </c>
      <c r="AE124" s="176" t="str">
        <f t="shared" ref="AE124" si="499">IF(SUM(AB124)=0,"",IFERROR(AB124/AC124,""))</f>
        <v/>
      </c>
      <c r="AF124" s="172">
        <f t="shared" si="403"/>
        <v>0</v>
      </c>
      <c r="AG124" s="173">
        <f t="shared" si="404"/>
        <v>0</v>
      </c>
      <c r="AH124" s="173">
        <f t="shared" si="267"/>
        <v>0</v>
      </c>
      <c r="AI124" s="188" t="str">
        <f t="shared" ref="AI124" si="500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14"/>
        <v>ماهیرود</v>
      </c>
      <c r="B125" s="215" t="str">
        <f>واردات!B82</f>
        <v>ماهیرود</v>
      </c>
      <c r="C125" s="166" t="str">
        <f>C113</f>
        <v>فروردین</v>
      </c>
      <c r="D125" s="170">
        <f>SUM('مقایسه بودجه- صادرات'!D125,'مقایسه بودجه- واردات'!D125)</f>
        <v>710</v>
      </c>
      <c r="E125" s="160">
        <f>SUM('مقایسه بودجه- صادرات'!E125,'مقایسه بودجه- واردات'!E125)</f>
        <v>168.22710039356181</v>
      </c>
      <c r="F125" s="160">
        <f>IFERROR(SUM(D125,-E125),"")</f>
        <v>541.77289960643816</v>
      </c>
      <c r="G125" s="185">
        <f>IF(SUM(D125:D136)=0,"",IFERROR(D125/E125,""))</f>
        <v>4.2204852746018817</v>
      </c>
      <c r="H125" s="170">
        <f>SUM('مقایسه بودجه- صادرات'!H125,'مقایسه بودجه- واردات'!H125)</f>
        <v>492</v>
      </c>
      <c r="I125" s="160">
        <f>SUM('مقایسه بودجه- صادرات'!I125,'مقایسه بودجه- واردات'!I125)</f>
        <v>237.48491952414275</v>
      </c>
      <c r="J125" s="160">
        <f t="shared" si="258"/>
        <v>254.51508047585725</v>
      </c>
      <c r="K125" s="185">
        <f>IF(SUM(H125:H136)=0,"",IFERROR(H125/I125,""))</f>
        <v>2.0717104942319642</v>
      </c>
      <c r="L125" s="170">
        <f>SUM('مقایسه بودجه- صادرات'!L125,'مقایسه بودجه- واردات'!L125)</f>
        <v>0</v>
      </c>
      <c r="M125" s="160">
        <f>SUM('مقایسه بودجه- صادرات'!M125,'مقایسه بودجه- واردات'!M125)</f>
        <v>0</v>
      </c>
      <c r="N125" s="160">
        <f t="shared" si="259"/>
        <v>0</v>
      </c>
      <c r="O125" s="185" t="str">
        <f>IF(SUM(L125:L136)=0,"",IFERROR(L125/M125,""))</f>
        <v/>
      </c>
      <c r="P125" s="170">
        <f>SUM('مقایسه بودجه- صادرات'!P125,'مقایسه بودجه- واردات'!P125)</f>
        <v>0</v>
      </c>
      <c r="Q125" s="160">
        <f>SUM('مقایسه بودجه- صادرات'!Q125,'مقایسه بودجه- واردات'!Q125)</f>
        <v>0</v>
      </c>
      <c r="R125" s="160">
        <f t="shared" si="260"/>
        <v>0</v>
      </c>
      <c r="S125" s="185" t="str">
        <f>IF(SUM(P125:P136)=0,"",IFERROR(P125/Q125,""))</f>
        <v/>
      </c>
      <c r="T125" s="183">
        <f t="shared" si="394"/>
        <v>710</v>
      </c>
      <c r="U125" s="160">
        <f t="shared" si="395"/>
        <v>168.22710039356181</v>
      </c>
      <c r="V125" s="160">
        <f t="shared" si="261"/>
        <v>541.77289960643816</v>
      </c>
      <c r="W125" s="185">
        <f t="shared" ref="W125" si="501">IF(SUM(T125:T136)=0,"",IFERROR(T125/U125,""))</f>
        <v>4.2204852746018817</v>
      </c>
      <c r="X125" s="183">
        <f t="shared" si="397"/>
        <v>492</v>
      </c>
      <c r="Y125" s="160">
        <f t="shared" si="398"/>
        <v>237.48491952414275</v>
      </c>
      <c r="Z125" s="160">
        <f t="shared" si="263"/>
        <v>254.51508047585725</v>
      </c>
      <c r="AA125" s="185">
        <f t="shared" ref="AA125" si="502">IF(SUM(X125:X136)=0,"",IFERROR(X125/Y125,""))</f>
        <v>2.0717104942319642</v>
      </c>
      <c r="AB125" s="183">
        <f t="shared" si="400"/>
        <v>0</v>
      </c>
      <c r="AC125" s="160">
        <f t="shared" si="401"/>
        <v>0</v>
      </c>
      <c r="AD125" s="160">
        <f t="shared" si="265"/>
        <v>0</v>
      </c>
      <c r="AE125" s="185" t="str">
        <f t="shared" ref="AE125" si="503">IF(SUM(AB125:AB136)=0,"",IFERROR(AB125/AC125,""))</f>
        <v/>
      </c>
      <c r="AF125" s="183">
        <f t="shared" si="403"/>
        <v>0</v>
      </c>
      <c r="AG125" s="160">
        <f t="shared" si="404"/>
        <v>0</v>
      </c>
      <c r="AH125" s="160">
        <f t="shared" si="267"/>
        <v>0</v>
      </c>
      <c r="AI125" s="186" t="str">
        <f t="shared" ref="AI125" si="504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14"/>
        <v>ماهیرود</v>
      </c>
      <c r="B126" s="216"/>
      <c r="C126" s="167" t="str">
        <f t="shared" si="406"/>
        <v>اردیبهشت</v>
      </c>
      <c r="D126" s="171">
        <f>SUM('مقایسه بودجه- صادرات'!D126,'مقایسه بودجه- واردات'!D126)</f>
        <v>51</v>
      </c>
      <c r="E126" s="159">
        <f>SUM('مقایسه بودجه- صادرات'!E126,'مقایسه بودجه- واردات'!E126)</f>
        <v>168.22710039356181</v>
      </c>
      <c r="F126" s="159">
        <f>IFERROR(SUM(D126,-E126),"")</f>
        <v>-117.22710039356181</v>
      </c>
      <c r="G126" s="175">
        <f>IF(SUM(D126:D136)=0,"",IFERROR(D126/E126,""))</f>
        <v>0.30316161831647315</v>
      </c>
      <c r="H126" s="171">
        <f>SUM('مقایسه بودجه- صادرات'!H126,'مقایسه بودجه- واردات'!H126)</f>
        <v>310</v>
      </c>
      <c r="I126" s="159">
        <f>SUM('مقایسه بودجه- صادرات'!I126,'مقایسه بودجه- واردات'!I126)</f>
        <v>237.48491952414275</v>
      </c>
      <c r="J126" s="159">
        <f t="shared" si="258"/>
        <v>72.515080475857246</v>
      </c>
      <c r="K126" s="175">
        <f>IF(SUM(H126:H136)=0,"",IFERROR(H126/I126,""))</f>
        <v>1.3053460431136359</v>
      </c>
      <c r="L126" s="171">
        <f>SUM('مقایسه بودجه- صادرات'!L126,'مقایسه بودجه- واردات'!L126)</f>
        <v>0</v>
      </c>
      <c r="M126" s="159">
        <f>SUM('مقایسه بودجه- صادرات'!M126,'مقایسه بودجه- واردات'!M126)</f>
        <v>0</v>
      </c>
      <c r="N126" s="159">
        <f t="shared" si="259"/>
        <v>0</v>
      </c>
      <c r="O126" s="175" t="str">
        <f>IF(SUM(L126:L136)=0,"",IFERROR(L126/M126,""))</f>
        <v/>
      </c>
      <c r="P126" s="171">
        <f>SUM('مقایسه بودجه- صادرات'!P126,'مقایسه بودجه- واردات'!P126)</f>
        <v>0</v>
      </c>
      <c r="Q126" s="159">
        <f>SUM('مقایسه بودجه- صادرات'!Q126,'مقایسه بودجه- واردات'!Q126)</f>
        <v>0</v>
      </c>
      <c r="R126" s="159">
        <f t="shared" si="260"/>
        <v>0</v>
      </c>
      <c r="S126" s="175" t="str">
        <f>IF(SUM(P126:P136)=0,"",IFERROR(P126/Q126,""))</f>
        <v/>
      </c>
      <c r="T126" s="171">
        <f t="shared" si="394"/>
        <v>761</v>
      </c>
      <c r="U126" s="159">
        <f t="shared" si="395"/>
        <v>336.45420078712363</v>
      </c>
      <c r="V126" s="159">
        <f t="shared" si="261"/>
        <v>424.54579921287637</v>
      </c>
      <c r="W126" s="175">
        <f t="shared" ref="W126" si="505">IF(SUM(T126:T136)=0,"",IFERROR(T126/U126,""))</f>
        <v>2.2618234464591773</v>
      </c>
      <c r="X126" s="171">
        <f t="shared" si="397"/>
        <v>802</v>
      </c>
      <c r="Y126" s="159">
        <f t="shared" si="398"/>
        <v>474.96983904828551</v>
      </c>
      <c r="Z126" s="159">
        <f t="shared" si="263"/>
        <v>327.03016095171449</v>
      </c>
      <c r="AA126" s="175">
        <f t="shared" ref="AA126" si="506">IF(SUM(X126:X136)=0,"",IFERROR(X126/Y126,""))</f>
        <v>1.6885282686728</v>
      </c>
      <c r="AB126" s="171">
        <f t="shared" si="400"/>
        <v>0</v>
      </c>
      <c r="AC126" s="159">
        <f t="shared" si="401"/>
        <v>0</v>
      </c>
      <c r="AD126" s="159">
        <f t="shared" si="265"/>
        <v>0</v>
      </c>
      <c r="AE126" s="175" t="str">
        <f t="shared" ref="AE126" si="507">IF(SUM(AB126:AB136)=0,"",IFERROR(AB126/AC126,""))</f>
        <v/>
      </c>
      <c r="AF126" s="171">
        <f t="shared" si="403"/>
        <v>0</v>
      </c>
      <c r="AG126" s="159">
        <f t="shared" si="404"/>
        <v>0</v>
      </c>
      <c r="AH126" s="159">
        <f t="shared" si="267"/>
        <v>0</v>
      </c>
      <c r="AI126" s="187" t="str">
        <f t="shared" ref="AI126" si="508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14"/>
        <v>ماهیرود</v>
      </c>
      <c r="B127" s="216"/>
      <c r="C127" s="167" t="str">
        <f t="shared" si="406"/>
        <v>خرداد</v>
      </c>
      <c r="D127" s="171">
        <f>SUM('مقایسه بودجه- صادرات'!D127,'مقایسه بودجه- واردات'!D127)</f>
        <v>383</v>
      </c>
      <c r="E127" s="159">
        <f>SUM('مقایسه بودجه- صادرات'!E127,'مقایسه بودجه- واردات'!E127)</f>
        <v>168.22710039356181</v>
      </c>
      <c r="F127" s="159">
        <f t="shared" si="257"/>
        <v>214.77289960643819</v>
      </c>
      <c r="G127" s="175">
        <f>IF(SUM(D127:D136)=0,"",IFERROR(D127/E127,""))</f>
        <v>2.2766843101021417</v>
      </c>
      <c r="H127" s="171">
        <f>SUM('مقایسه بودجه- صادرات'!H127,'مقایسه بودجه- واردات'!H127)</f>
        <v>248</v>
      </c>
      <c r="I127" s="159">
        <f>SUM('مقایسه بودجه- صادرات'!I127,'مقایسه بودجه- واردات'!I127)</f>
        <v>237.48491952414275</v>
      </c>
      <c r="J127" s="159">
        <f t="shared" si="258"/>
        <v>10.515080475857246</v>
      </c>
      <c r="K127" s="175">
        <f>IF(SUM(H127:H136)=0,"",IFERROR(H127/I127,""))</f>
        <v>1.0442768344909088</v>
      </c>
      <c r="L127" s="171">
        <f>SUM('مقایسه بودجه- صادرات'!L127,'مقایسه بودجه- واردات'!L127)</f>
        <v>0</v>
      </c>
      <c r="M127" s="159">
        <f>SUM('مقایسه بودجه- صادرات'!M127,'مقایسه بودجه- واردات'!M127)</f>
        <v>0</v>
      </c>
      <c r="N127" s="159">
        <f t="shared" si="259"/>
        <v>0</v>
      </c>
      <c r="O127" s="175" t="str">
        <f>IF(SUM(L127:L136)=0,"",IFERROR(L127/M127,""))</f>
        <v/>
      </c>
      <c r="P127" s="171">
        <f>SUM('مقایسه بودجه- صادرات'!P127,'مقایسه بودجه- واردات'!P127)</f>
        <v>0</v>
      </c>
      <c r="Q127" s="159">
        <f>SUM('مقایسه بودجه- صادرات'!Q127,'مقایسه بودجه- واردات'!Q127)</f>
        <v>0</v>
      </c>
      <c r="R127" s="159">
        <f t="shared" si="260"/>
        <v>0</v>
      </c>
      <c r="S127" s="175" t="str">
        <f>IF(SUM(P127:P136)=0,"",IFERROR(P127/Q127,""))</f>
        <v/>
      </c>
      <c r="T127" s="171">
        <f t="shared" si="394"/>
        <v>1144</v>
      </c>
      <c r="U127" s="159">
        <f t="shared" si="395"/>
        <v>504.68130118068541</v>
      </c>
      <c r="V127" s="159">
        <f t="shared" si="261"/>
        <v>639.31869881931459</v>
      </c>
      <c r="W127" s="175">
        <f t="shared" ref="W127" si="509">IF(SUM(T127:T136)=0,"",IFERROR(T127/U127,""))</f>
        <v>2.2667770676734991</v>
      </c>
      <c r="X127" s="171">
        <f t="shared" si="397"/>
        <v>1050</v>
      </c>
      <c r="Y127" s="159">
        <f t="shared" si="398"/>
        <v>712.45475857242832</v>
      </c>
      <c r="Z127" s="159">
        <f t="shared" si="263"/>
        <v>337.54524142757168</v>
      </c>
      <c r="AA127" s="175">
        <f t="shared" ref="AA127" si="510">IF(SUM(X127:X136)=0,"",IFERROR(X127/Y127,""))</f>
        <v>1.4737777906121694</v>
      </c>
      <c r="AB127" s="171">
        <f t="shared" si="400"/>
        <v>0</v>
      </c>
      <c r="AC127" s="159">
        <f t="shared" si="401"/>
        <v>0</v>
      </c>
      <c r="AD127" s="159">
        <f t="shared" si="265"/>
        <v>0</v>
      </c>
      <c r="AE127" s="175" t="str">
        <f t="shared" ref="AE127" si="511">IF(SUM(AB127:AB136)=0,"",IFERROR(AB127/AC127,""))</f>
        <v/>
      </c>
      <c r="AF127" s="171">
        <f t="shared" si="403"/>
        <v>0</v>
      </c>
      <c r="AG127" s="159">
        <f t="shared" si="404"/>
        <v>0</v>
      </c>
      <c r="AH127" s="159">
        <f t="shared" si="267"/>
        <v>0</v>
      </c>
      <c r="AI127" s="187" t="str">
        <f t="shared" ref="AI127" si="512">IF(SUM(AF127:AF136)=0,"",IFERROR(AF127/AG127,""))</f>
        <v/>
      </c>
      <c r="AJ127" s="157">
        <f t="shared" ref="AJ127:AJ135" si="513">AJ126+1</f>
        <v>3</v>
      </c>
    </row>
    <row r="128" spans="1:36" ht="24.95" customHeight="1" x14ac:dyDescent="0.25">
      <c r="A128" s="182" t="str">
        <f t="shared" si="314"/>
        <v>ماهیرود</v>
      </c>
      <c r="B128" s="216"/>
      <c r="C128" s="167" t="str">
        <f t="shared" si="406"/>
        <v>تیر</v>
      </c>
      <c r="D128" s="171">
        <f>SUM('مقایسه بودجه- صادرات'!D128,'مقایسه بودجه- واردات'!D128)</f>
        <v>57</v>
      </c>
      <c r="E128" s="159">
        <f>SUM('مقایسه بودجه- صادرات'!E128,'مقایسه بودجه- واردات'!E128)</f>
        <v>165.77940528925913</v>
      </c>
      <c r="F128" s="159">
        <f t="shared" si="257"/>
        <v>-108.77940528925913</v>
      </c>
      <c r="G128" s="175">
        <f>IF(SUM(D128:D136)=0,"",IFERROR(D128/E128,""))</f>
        <v>0.34383040463044195</v>
      </c>
      <c r="H128" s="171">
        <f>SUM('مقایسه بودجه- صادرات'!H128,'مقایسه بودجه- واردات'!H128)</f>
        <v>493</v>
      </c>
      <c r="I128" s="159">
        <f>SUM('مقایسه بودجه- صادرات'!I128,'مقایسه بودجه- واردات'!I128)</f>
        <v>193.55163284348029</v>
      </c>
      <c r="J128" s="159">
        <f t="shared" si="258"/>
        <v>299.44836715651968</v>
      </c>
      <c r="K128" s="175">
        <f>IF(SUM(H128:H136)=0,"",IFERROR(H128/I128,""))</f>
        <v>2.5471239521842479</v>
      </c>
      <c r="L128" s="171">
        <f>SUM('مقایسه بودجه- صادرات'!L128,'مقایسه بودجه- واردات'!L128)</f>
        <v>0</v>
      </c>
      <c r="M128" s="159">
        <f>SUM('مقایسه بودجه- صادرات'!M128,'مقایسه بودجه- واردات'!M128)</f>
        <v>0</v>
      </c>
      <c r="N128" s="159">
        <f t="shared" si="259"/>
        <v>0</v>
      </c>
      <c r="O128" s="175" t="str">
        <f>IF(SUM(L128:L136)=0,"",IFERROR(L128/M128,""))</f>
        <v/>
      </c>
      <c r="P128" s="171">
        <f>SUM('مقایسه بودجه- صادرات'!P128,'مقایسه بودجه- واردات'!P128)</f>
        <v>0</v>
      </c>
      <c r="Q128" s="159">
        <f>SUM('مقایسه بودجه- صادرات'!Q128,'مقایسه بودجه- واردات'!Q128)</f>
        <v>0</v>
      </c>
      <c r="R128" s="159">
        <f t="shared" si="260"/>
        <v>0</v>
      </c>
      <c r="S128" s="175" t="str">
        <f>IF(SUM(P128:P136)=0,"",IFERROR(P128/Q128,""))</f>
        <v/>
      </c>
      <c r="T128" s="171">
        <f t="shared" si="394"/>
        <v>1201</v>
      </c>
      <c r="U128" s="159">
        <f t="shared" si="395"/>
        <v>670.46070646994451</v>
      </c>
      <c r="V128" s="159">
        <f t="shared" si="261"/>
        <v>530.53929353005549</v>
      </c>
      <c r="W128" s="175">
        <f t="shared" ref="W128" si="514">IF(SUM(T128:T136)=0,"",IFERROR(T128/U128,""))</f>
        <v>1.7913055730341128</v>
      </c>
      <c r="X128" s="171">
        <f t="shared" si="397"/>
        <v>1543</v>
      </c>
      <c r="Y128" s="159">
        <f t="shared" si="398"/>
        <v>906.00639141590864</v>
      </c>
      <c r="Z128" s="159">
        <f t="shared" si="263"/>
        <v>636.99360858409136</v>
      </c>
      <c r="AA128" s="175">
        <f t="shared" ref="AA128" si="515">IF(SUM(X128:X136)=0,"",IFERROR(X128/Y128,""))</f>
        <v>1.7030784932858989</v>
      </c>
      <c r="AB128" s="171">
        <f t="shared" si="400"/>
        <v>0</v>
      </c>
      <c r="AC128" s="159">
        <f t="shared" si="401"/>
        <v>0</v>
      </c>
      <c r="AD128" s="159">
        <f t="shared" si="265"/>
        <v>0</v>
      </c>
      <c r="AE128" s="175" t="str">
        <f t="shared" ref="AE128" si="516">IF(SUM(AB128:AB136)=0,"",IFERROR(AB128/AC128,""))</f>
        <v/>
      </c>
      <c r="AF128" s="171">
        <f t="shared" si="403"/>
        <v>0</v>
      </c>
      <c r="AG128" s="159">
        <f t="shared" si="404"/>
        <v>0</v>
      </c>
      <c r="AH128" s="159">
        <f t="shared" si="267"/>
        <v>0</v>
      </c>
      <c r="AI128" s="187" t="str">
        <f t="shared" ref="AI128" si="517">IF(SUM(AF128:AF136)=0,"",IFERROR(AF128/AG128,""))</f>
        <v/>
      </c>
      <c r="AJ128" s="157">
        <f t="shared" si="513"/>
        <v>4</v>
      </c>
    </row>
    <row r="129" spans="1:36" ht="24.95" customHeight="1" x14ac:dyDescent="0.25">
      <c r="A129" s="182" t="str">
        <f t="shared" si="314"/>
        <v>ماهیرود</v>
      </c>
      <c r="B129" s="216"/>
      <c r="C129" s="167" t="str">
        <f t="shared" si="406"/>
        <v>مرداد</v>
      </c>
      <c r="D129" s="171">
        <f>SUM('مقایسه بودجه- صادرات'!D129,'مقایسه بودجه- واردات'!D129)</f>
        <v>80</v>
      </c>
      <c r="E129" s="159">
        <f>SUM('مقایسه بودجه- صادرات'!E129,'مقایسه بودجه- واردات'!E129)</f>
        <v>165.77940528925913</v>
      </c>
      <c r="F129" s="159">
        <f t="shared" si="257"/>
        <v>-85.779405289259131</v>
      </c>
      <c r="G129" s="175">
        <f>IF(SUM(D129:D136)=0,"",IFERROR(D129/E129,""))</f>
        <v>0.48256898895500627</v>
      </c>
      <c r="H129" s="171">
        <f>SUM('مقایسه بودجه- صادرات'!H129,'مقایسه بودجه- واردات'!H129)</f>
        <v>159</v>
      </c>
      <c r="I129" s="159">
        <f>SUM('مقایسه بودجه- صادرات'!I129,'مقایسه بودجه- واردات'!I129)</f>
        <v>193.55163284348029</v>
      </c>
      <c r="J129" s="159">
        <f t="shared" si="258"/>
        <v>-34.551632843480292</v>
      </c>
      <c r="K129" s="175">
        <f>IF(SUM(H129:H136)=0,"",IFERROR(H129/I129,""))</f>
        <v>0.82148622392960535</v>
      </c>
      <c r="L129" s="171">
        <f>SUM('مقایسه بودجه- صادرات'!L129,'مقایسه بودجه- واردات'!L129)</f>
        <v>0</v>
      </c>
      <c r="M129" s="159">
        <f>SUM('مقایسه بودجه- صادرات'!M129,'مقایسه بودجه- واردات'!M129)</f>
        <v>0</v>
      </c>
      <c r="N129" s="159">
        <f t="shared" si="259"/>
        <v>0</v>
      </c>
      <c r="O129" s="175" t="str">
        <f>IF(SUM(L129:L136)=0,"",IFERROR(L129/M129,""))</f>
        <v/>
      </c>
      <c r="P129" s="171">
        <f>SUM('مقایسه بودجه- صادرات'!P129,'مقایسه بودجه- واردات'!P129)</f>
        <v>0</v>
      </c>
      <c r="Q129" s="159">
        <f>SUM('مقایسه بودجه- صادرات'!Q129,'مقایسه بودجه- واردات'!Q129)</f>
        <v>0</v>
      </c>
      <c r="R129" s="159">
        <f t="shared" si="260"/>
        <v>0</v>
      </c>
      <c r="S129" s="175" t="str">
        <f>IF(SUM(P129:P136)=0,"",IFERROR(P129/Q129,""))</f>
        <v/>
      </c>
      <c r="T129" s="171">
        <f t="shared" si="394"/>
        <v>1281</v>
      </c>
      <c r="U129" s="159">
        <f t="shared" si="395"/>
        <v>836.24011175920361</v>
      </c>
      <c r="V129" s="159">
        <f t="shared" si="261"/>
        <v>444.75988824079639</v>
      </c>
      <c r="W129" s="175">
        <f t="shared" ref="W129" si="518">IF(SUM(T129:T136)=0,"",IFERROR(T129/U129,""))</f>
        <v>1.5318566784666094</v>
      </c>
      <c r="X129" s="171">
        <f t="shared" si="397"/>
        <v>1702</v>
      </c>
      <c r="Y129" s="159">
        <f t="shared" si="398"/>
        <v>1099.558024259389</v>
      </c>
      <c r="Z129" s="159">
        <f t="shared" si="263"/>
        <v>602.44197574061104</v>
      </c>
      <c r="AA129" s="175">
        <f t="shared" ref="AA129" si="519">IF(SUM(X129:X136)=0,"",IFERROR(X129/Y129,""))</f>
        <v>1.5478946653555532</v>
      </c>
      <c r="AB129" s="171">
        <f t="shared" si="400"/>
        <v>0</v>
      </c>
      <c r="AC129" s="159">
        <f t="shared" si="401"/>
        <v>0</v>
      </c>
      <c r="AD129" s="159">
        <f t="shared" si="265"/>
        <v>0</v>
      </c>
      <c r="AE129" s="175" t="str">
        <f t="shared" ref="AE129" si="520">IF(SUM(AB129:AB136)=0,"",IFERROR(AB129/AC129,""))</f>
        <v/>
      </c>
      <c r="AF129" s="171">
        <f t="shared" si="403"/>
        <v>0</v>
      </c>
      <c r="AG129" s="159">
        <f t="shared" si="404"/>
        <v>0</v>
      </c>
      <c r="AH129" s="159">
        <f t="shared" si="267"/>
        <v>0</v>
      </c>
      <c r="AI129" s="187" t="str">
        <f t="shared" ref="AI129" si="521">IF(SUM(AF129:AF136)=0,"",IFERROR(AF129/AG129,""))</f>
        <v/>
      </c>
      <c r="AJ129" s="157">
        <f t="shared" si="513"/>
        <v>5</v>
      </c>
    </row>
    <row r="130" spans="1:36" ht="24.95" customHeight="1" x14ac:dyDescent="0.25">
      <c r="A130" s="182" t="str">
        <f t="shared" si="314"/>
        <v>ماهیرود</v>
      </c>
      <c r="B130" s="216"/>
      <c r="C130" s="167" t="str">
        <f t="shared" si="406"/>
        <v>شهریور</v>
      </c>
      <c r="D130" s="171">
        <f>SUM('مقایسه بودجه- صادرات'!D130,'مقایسه بودجه- واردات'!D130)</f>
        <v>7</v>
      </c>
      <c r="E130" s="159">
        <f>SUM('مقایسه بودجه- صادرات'!E130,'مقایسه بودجه- واردات'!E130)</f>
        <v>165.77940528925913</v>
      </c>
      <c r="F130" s="159">
        <f t="shared" si="257"/>
        <v>-158.77940528925913</v>
      </c>
      <c r="G130" s="175">
        <f>IF(SUM(D130:D136)=0,"",IFERROR(D130/E130,""))</f>
        <v>4.2224786533563048E-2</v>
      </c>
      <c r="H130" s="171">
        <f>SUM('مقایسه بودجه- صادرات'!H130,'مقایسه بودجه- واردات'!H130)</f>
        <v>404</v>
      </c>
      <c r="I130" s="159">
        <f>SUM('مقایسه بودجه- صادرات'!I130,'مقایسه بودجه- واردات'!I130)</f>
        <v>193.55163284348029</v>
      </c>
      <c r="J130" s="159">
        <f t="shared" si="258"/>
        <v>210.44836715651971</v>
      </c>
      <c r="K130" s="175">
        <f>IF(SUM(H130:H136)=0,"",IFERROR(H130/I130,""))</f>
        <v>2.0872983299846575</v>
      </c>
      <c r="L130" s="171">
        <f>SUM('مقایسه بودجه- صادرات'!L130,'مقایسه بودجه- واردات'!L130)</f>
        <v>0</v>
      </c>
      <c r="M130" s="159">
        <f>SUM('مقایسه بودجه- صادرات'!M130,'مقایسه بودجه- واردات'!M130)</f>
        <v>0</v>
      </c>
      <c r="N130" s="159">
        <f t="shared" si="259"/>
        <v>0</v>
      </c>
      <c r="O130" s="175" t="str">
        <f>IF(SUM(L130:L136)=0,"",IFERROR(L130/M130,""))</f>
        <v/>
      </c>
      <c r="P130" s="171">
        <f>SUM('مقایسه بودجه- صادرات'!P130,'مقایسه بودجه- واردات'!P130)</f>
        <v>0</v>
      </c>
      <c r="Q130" s="159">
        <f>SUM('مقایسه بودجه- صادرات'!Q130,'مقایسه بودجه- واردات'!Q130)</f>
        <v>0</v>
      </c>
      <c r="R130" s="159">
        <f t="shared" si="260"/>
        <v>0</v>
      </c>
      <c r="S130" s="175" t="str">
        <f>IF(SUM(P130:P136)=0,"",IFERROR(P130/Q130,""))</f>
        <v/>
      </c>
      <c r="T130" s="171">
        <f t="shared" si="394"/>
        <v>1288</v>
      </c>
      <c r="U130" s="159">
        <f t="shared" si="395"/>
        <v>1002.0195170484627</v>
      </c>
      <c r="V130" s="159">
        <f t="shared" si="261"/>
        <v>285.98048295153728</v>
      </c>
      <c r="W130" s="175">
        <f t="shared" ref="W130" si="522">IF(SUM(T130:T136)=0,"",IFERROR(T130/U130,""))</f>
        <v>1.2854041044968048</v>
      </c>
      <c r="X130" s="171">
        <f t="shared" si="397"/>
        <v>2106</v>
      </c>
      <c r="Y130" s="159">
        <f t="shared" si="398"/>
        <v>1293.1096571028693</v>
      </c>
      <c r="Z130" s="159">
        <f t="shared" si="263"/>
        <v>812.89034289713072</v>
      </c>
      <c r="AA130" s="175">
        <f t="shared" ref="AA130" si="523">IF(SUM(X130:X136)=0,"",IFERROR(X130/Y130,""))</f>
        <v>1.6286321801341739</v>
      </c>
      <c r="AB130" s="171">
        <f t="shared" si="400"/>
        <v>0</v>
      </c>
      <c r="AC130" s="159">
        <f t="shared" si="401"/>
        <v>0</v>
      </c>
      <c r="AD130" s="159">
        <f t="shared" si="265"/>
        <v>0</v>
      </c>
      <c r="AE130" s="175" t="str">
        <f t="shared" ref="AE130" si="524">IF(SUM(AB130:AB136)=0,"",IFERROR(AB130/AC130,""))</f>
        <v/>
      </c>
      <c r="AF130" s="171">
        <f t="shared" si="403"/>
        <v>0</v>
      </c>
      <c r="AG130" s="159">
        <f t="shared" si="404"/>
        <v>0</v>
      </c>
      <c r="AH130" s="159">
        <f t="shared" si="267"/>
        <v>0</v>
      </c>
      <c r="AI130" s="187" t="str">
        <f t="shared" ref="AI130" si="525">IF(SUM(AF130:AF136)=0,"",IFERROR(AF130/AG130,""))</f>
        <v/>
      </c>
      <c r="AJ130" s="157">
        <f t="shared" si="513"/>
        <v>6</v>
      </c>
    </row>
    <row r="131" spans="1:36" ht="24.95" customHeight="1" x14ac:dyDescent="0.25">
      <c r="A131" s="182" t="str">
        <f t="shared" si="314"/>
        <v>ماهیرود</v>
      </c>
      <c r="B131" s="216"/>
      <c r="C131" s="167" t="str">
        <f t="shared" si="406"/>
        <v>مهر</v>
      </c>
      <c r="D131" s="171">
        <f>SUM('مقایسه بودجه- صادرات'!D131,'مقایسه بودجه- واردات'!D131)</f>
        <v>310</v>
      </c>
      <c r="E131" s="159">
        <f>SUM('مقایسه بودجه- صادرات'!E131,'مقایسه بودجه- واردات'!E131)</f>
        <v>256.6934943171791</v>
      </c>
      <c r="F131" s="159">
        <f t="shared" si="257"/>
        <v>53.306505682820898</v>
      </c>
      <c r="G131" s="175">
        <f>IF(SUM(D131:D136)=0,"",IFERROR(D131/E131,""))</f>
        <v>1.2076659785423061</v>
      </c>
      <c r="H131" s="171">
        <f>SUM('مقایسه بودجه- صادرات'!H131,'مقایسه بودجه- واردات'!H131)</f>
        <v>5</v>
      </c>
      <c r="I131" s="159">
        <f>SUM('مقایسه بودجه- صادرات'!I131,'مقایسه بودجه- واردات'!I131)</f>
        <v>259.39678096571026</v>
      </c>
      <c r="J131" s="159">
        <f t="shared" si="258"/>
        <v>-254.39678096571026</v>
      </c>
      <c r="K131" s="175">
        <f>IF(SUM(H131:H136)=0,"",IFERROR(H131/I131,""))</f>
        <v>1.9275489778190238E-2</v>
      </c>
      <c r="L131" s="171">
        <f>SUM('مقایسه بودجه- صادرات'!L131,'مقایسه بودجه- واردات'!L131)</f>
        <v>0</v>
      </c>
      <c r="M131" s="159">
        <f>SUM('مقایسه بودجه- صادرات'!M131,'مقایسه بودجه- واردات'!M131)</f>
        <v>0</v>
      </c>
      <c r="N131" s="159">
        <f t="shared" si="259"/>
        <v>0</v>
      </c>
      <c r="O131" s="175" t="str">
        <f>IF(SUM(L131:L136)=0,"",IFERROR(L131/M131,""))</f>
        <v/>
      </c>
      <c r="P131" s="171">
        <f>SUM('مقایسه بودجه- صادرات'!P131,'مقایسه بودجه- واردات'!P131)</f>
        <v>0</v>
      </c>
      <c r="Q131" s="159">
        <f>SUM('مقایسه بودجه- صادرات'!Q131,'مقایسه بودجه- واردات'!Q131)</f>
        <v>0</v>
      </c>
      <c r="R131" s="159">
        <f t="shared" si="260"/>
        <v>0</v>
      </c>
      <c r="S131" s="175" t="str">
        <f>IF(SUM(P131:P136)=0,"",IFERROR(P131/Q131,""))</f>
        <v/>
      </c>
      <c r="T131" s="171">
        <f t="shared" si="394"/>
        <v>1598</v>
      </c>
      <c r="U131" s="159">
        <f t="shared" si="395"/>
        <v>1258.7130113656417</v>
      </c>
      <c r="V131" s="159">
        <f t="shared" si="261"/>
        <v>339.28698863435829</v>
      </c>
      <c r="W131" s="175">
        <f t="shared" ref="W131" si="526">IF(SUM(T131:T136)=0,"",IFERROR(T131/U131,""))</f>
        <v>1.2695507121724663</v>
      </c>
      <c r="X131" s="171">
        <f t="shared" si="397"/>
        <v>2111</v>
      </c>
      <c r="Y131" s="159">
        <f t="shared" si="398"/>
        <v>1552.5064380685794</v>
      </c>
      <c r="Z131" s="159">
        <f t="shared" si="263"/>
        <v>558.49356193142057</v>
      </c>
      <c r="AA131" s="175">
        <f t="shared" ref="AA131" si="527">IF(SUM(X131:X136)=0,"",IFERROR(X131/Y131,""))</f>
        <v>1.359736712348983</v>
      </c>
      <c r="AB131" s="171">
        <f t="shared" si="400"/>
        <v>0</v>
      </c>
      <c r="AC131" s="159">
        <f t="shared" si="401"/>
        <v>0</v>
      </c>
      <c r="AD131" s="159">
        <f t="shared" si="265"/>
        <v>0</v>
      </c>
      <c r="AE131" s="175" t="str">
        <f t="shared" ref="AE131" si="528">IF(SUM(AB131:AB136)=0,"",IFERROR(AB131/AC131,""))</f>
        <v/>
      </c>
      <c r="AF131" s="171">
        <f t="shared" si="403"/>
        <v>0</v>
      </c>
      <c r="AG131" s="159">
        <f t="shared" si="404"/>
        <v>0</v>
      </c>
      <c r="AH131" s="159">
        <f t="shared" si="267"/>
        <v>0</v>
      </c>
      <c r="AI131" s="187" t="str">
        <f t="shared" ref="AI131" si="529">IF(SUM(AF131:AF136)=0,"",IFERROR(AF131/AG131,""))</f>
        <v/>
      </c>
      <c r="AJ131" s="157">
        <f t="shared" si="513"/>
        <v>7</v>
      </c>
    </row>
    <row r="132" spans="1:36" ht="24.95" customHeight="1" x14ac:dyDescent="0.25">
      <c r="A132" s="182" t="str">
        <f t="shared" si="314"/>
        <v>ماهیرود</v>
      </c>
      <c r="B132" s="216"/>
      <c r="C132" s="167" t="str">
        <f t="shared" si="406"/>
        <v>آبان</v>
      </c>
      <c r="D132" s="171">
        <f>SUM('مقایسه بودجه- صادرات'!D132,'مقایسه بودجه- واردات'!D132)</f>
        <v>245</v>
      </c>
      <c r="E132" s="159">
        <f>SUM('مقایسه بودجه- صادرات'!E132,'مقایسه بودجه- واردات'!E132)</f>
        <v>256.6934943171791</v>
      </c>
      <c r="F132" s="159">
        <f t="shared" si="257"/>
        <v>-11.693494317179102</v>
      </c>
      <c r="G132" s="175">
        <f>IF(SUM(D132:D136)=0,"",IFERROR(D132/E132,""))</f>
        <v>0.95444569271891933</v>
      </c>
      <c r="H132" s="171">
        <f>SUM('مقایسه بودجه- صادرات'!H132,'مقایسه بودجه- واردات'!H132)</f>
        <v>418</v>
      </c>
      <c r="I132" s="159">
        <f>SUM('مقایسه بودجه- صادرات'!I132,'مقایسه بودجه- واردات'!I132)</f>
        <v>259.39678096571026</v>
      </c>
      <c r="J132" s="159">
        <f t="shared" si="258"/>
        <v>158.60321903428974</v>
      </c>
      <c r="K132" s="175">
        <f>IF(SUM(H132:H136)=0,"",IFERROR(H132/I132,""))</f>
        <v>1.6114309454567037</v>
      </c>
      <c r="L132" s="171">
        <f>SUM('مقایسه بودجه- صادرات'!L132,'مقایسه بودجه- واردات'!L132)</f>
        <v>0</v>
      </c>
      <c r="M132" s="159">
        <f>SUM('مقایسه بودجه- صادرات'!M132,'مقایسه بودجه- واردات'!M132)</f>
        <v>0</v>
      </c>
      <c r="N132" s="159">
        <f t="shared" si="259"/>
        <v>0</v>
      </c>
      <c r="O132" s="175" t="str">
        <f>IF(SUM(L132:L136)=0,"",IFERROR(L132/M132,""))</f>
        <v/>
      </c>
      <c r="P132" s="171">
        <f>SUM('مقایسه بودجه- صادرات'!P132,'مقایسه بودجه- واردات'!P132)</f>
        <v>0</v>
      </c>
      <c r="Q132" s="159">
        <f>SUM('مقایسه بودجه- صادرات'!Q132,'مقایسه بودجه- واردات'!Q132)</f>
        <v>0</v>
      </c>
      <c r="R132" s="159">
        <f t="shared" si="260"/>
        <v>0</v>
      </c>
      <c r="S132" s="175" t="str">
        <f>IF(SUM(P132:P136)=0,"",IFERROR(P132/Q132,""))</f>
        <v/>
      </c>
      <c r="T132" s="171">
        <f t="shared" si="394"/>
        <v>1843</v>
      </c>
      <c r="U132" s="159">
        <f t="shared" si="395"/>
        <v>1515.4065056828208</v>
      </c>
      <c r="V132" s="159">
        <f t="shared" si="261"/>
        <v>327.59349431717919</v>
      </c>
      <c r="W132" s="175">
        <f t="shared" ref="W132" si="530">IF(SUM(T132:T136)=0,"",IFERROR(T132/U132,""))</f>
        <v>1.2161753252930443</v>
      </c>
      <c r="X132" s="171">
        <f t="shared" si="397"/>
        <v>2529</v>
      </c>
      <c r="Y132" s="159">
        <f t="shared" si="398"/>
        <v>1811.9032190342896</v>
      </c>
      <c r="Z132" s="159">
        <f t="shared" si="263"/>
        <v>717.09678096571042</v>
      </c>
      <c r="AA132" s="175">
        <f t="shared" ref="AA132" si="531">IF(SUM(X132:X136)=0,"",IFERROR(X132/Y132,""))</f>
        <v>1.3957699138853066</v>
      </c>
      <c r="AB132" s="171">
        <f t="shared" si="400"/>
        <v>0</v>
      </c>
      <c r="AC132" s="159">
        <f t="shared" si="401"/>
        <v>0</v>
      </c>
      <c r="AD132" s="159">
        <f t="shared" si="265"/>
        <v>0</v>
      </c>
      <c r="AE132" s="175" t="str">
        <f t="shared" ref="AE132" si="532">IF(SUM(AB132:AB136)=0,"",IFERROR(AB132/AC132,""))</f>
        <v/>
      </c>
      <c r="AF132" s="171">
        <f t="shared" si="403"/>
        <v>0</v>
      </c>
      <c r="AG132" s="159">
        <f t="shared" si="404"/>
        <v>0</v>
      </c>
      <c r="AH132" s="159">
        <f t="shared" si="267"/>
        <v>0</v>
      </c>
      <c r="AI132" s="187" t="str">
        <f t="shared" ref="AI132" si="533">IF(SUM(AF132:AF136)=0,"",IFERROR(AF132/AG132,""))</f>
        <v/>
      </c>
      <c r="AJ132" s="157">
        <f t="shared" si="513"/>
        <v>8</v>
      </c>
    </row>
    <row r="133" spans="1:36" ht="24.95" customHeight="1" x14ac:dyDescent="0.25">
      <c r="A133" s="182" t="str">
        <f t="shared" si="314"/>
        <v>ماهیرود</v>
      </c>
      <c r="B133" s="216"/>
      <c r="C133" s="167" t="str">
        <f t="shared" si="406"/>
        <v>آذر</v>
      </c>
      <c r="D133" s="171">
        <f>SUM('مقایسه بودجه- صادرات'!D133,'مقایسه بودجه- واردات'!D133)</f>
        <v>542</v>
      </c>
      <c r="E133" s="159">
        <f>SUM('مقایسه بودجه- صادرات'!E133,'مقایسه بودجه- واردات'!E133)</f>
        <v>256.6934943171791</v>
      </c>
      <c r="F133" s="159">
        <f t="shared" si="257"/>
        <v>285.3065056828209</v>
      </c>
      <c r="G133" s="175">
        <f>IF(SUM(D133:D136)=0,"",IFERROR(D133/E133,""))</f>
        <v>2.111467614096548</v>
      </c>
      <c r="H133" s="171">
        <f>SUM('مقایسه بودجه- صادرات'!H133,'مقایسه بودجه- واردات'!H133)</f>
        <v>553</v>
      </c>
      <c r="I133" s="159">
        <f>SUM('مقایسه بودجه- صادرات'!I133,'مقایسه بودجه- واردات'!I133)</f>
        <v>259.39678096571026</v>
      </c>
      <c r="J133" s="159">
        <f t="shared" si="258"/>
        <v>293.60321903428974</v>
      </c>
      <c r="K133" s="175">
        <f>IF(SUM(H133:H136)=0,"",IFERROR(H133/I133,""))</f>
        <v>2.1318691694678402</v>
      </c>
      <c r="L133" s="171">
        <f>SUM('مقایسه بودجه- صادرات'!L133,'مقایسه بودجه- واردات'!L133)</f>
        <v>0</v>
      </c>
      <c r="M133" s="159">
        <f>SUM('مقایسه بودجه- صادرات'!M133,'مقایسه بودجه- واردات'!M133)</f>
        <v>0</v>
      </c>
      <c r="N133" s="159">
        <f t="shared" si="259"/>
        <v>0</v>
      </c>
      <c r="O133" s="175" t="str">
        <f>IF(SUM(L133:L136)=0,"",IFERROR(L133/M133,""))</f>
        <v/>
      </c>
      <c r="P133" s="171">
        <f>SUM('مقایسه بودجه- صادرات'!P133,'مقایسه بودجه- واردات'!P133)</f>
        <v>0</v>
      </c>
      <c r="Q133" s="159">
        <f>SUM('مقایسه بودجه- صادرات'!Q133,'مقایسه بودجه- واردات'!Q133)</f>
        <v>0</v>
      </c>
      <c r="R133" s="159">
        <f t="shared" si="260"/>
        <v>0</v>
      </c>
      <c r="S133" s="175" t="str">
        <f>IF(SUM(P133:P136)=0,"",IFERROR(P133/Q133,""))</f>
        <v/>
      </c>
      <c r="T133" s="171">
        <f t="shared" ref="T133:T148" si="534">IF(OR($C$1="",$AJ133&gt;$C$1),"",IFERROR(SUMIFS(D$5:D$5012,$A$5:$A$5012,$A133,$AJ$5:$AJ$5012,"&lt;"&amp;$AJ133+1),""))</f>
        <v>2385</v>
      </c>
      <c r="U133" s="159">
        <f t="shared" ref="U133:U148" si="535">IF($C$1="","",IFERROR(SUMIFS(E$5:E$5012,$A$5:$A$5012,$A133,$AJ$5:$AJ$5012,"&lt;"&amp;$AJ133+1),""))</f>
        <v>1772.1</v>
      </c>
      <c r="V133" s="159">
        <f t="shared" si="261"/>
        <v>612.90000000000009</v>
      </c>
      <c r="W133" s="175">
        <f t="shared" ref="W133" si="536">IF(SUM(T133:T136)=0,"",IFERROR(T133/U133,""))</f>
        <v>1.3458608430675469</v>
      </c>
      <c r="X133" s="171">
        <f t="shared" ref="X133:X148" si="537">IF(OR($C$1="",$AJ133&gt;$C$1),"",IFERROR(SUMIFS(H$5:H$5012,$A$5:$A$5012,$A133,$AJ$5:$AJ$5012,"&lt;"&amp;$AJ133+1),""))</f>
        <v>3082</v>
      </c>
      <c r="Y133" s="159">
        <f t="shared" ref="Y133:Y148" si="538">IF($C$1="","",IFERROR(SUMIFS(I$5:I$5012,$A$5:$A$5012,$A133,$AJ$5:$AJ$5012,"&lt;"&amp;$AJ133+1),""))</f>
        <v>2071.2999999999997</v>
      </c>
      <c r="Z133" s="159">
        <f t="shared" si="263"/>
        <v>1010.7000000000003</v>
      </c>
      <c r="AA133" s="175">
        <f t="shared" ref="AA133" si="539">IF(SUM(X133:X136)=0,"",IFERROR(X133/Y133,""))</f>
        <v>1.487954424757399</v>
      </c>
      <c r="AB133" s="171">
        <f t="shared" ref="AB133:AB148" si="540">IF(OR($C$1="",$AJ133&gt;$C$1),"",IFERROR(SUMIFS(L$5:L$5012,$A$5:$A$5012,$A133,$AJ$5:$AJ$5012,"&lt;"&amp;$AJ133+1),""))</f>
        <v>0</v>
      </c>
      <c r="AC133" s="159">
        <f t="shared" ref="AC133:AC148" si="541">IF($C$1="","",IFERROR(SUMIFS(M$5:M$5012,$A$5:$A$5012,$A133,$AJ$5:$AJ$5012,"&lt;"&amp;$AJ133+1),""))</f>
        <v>0</v>
      </c>
      <c r="AD133" s="159">
        <f t="shared" si="265"/>
        <v>0</v>
      </c>
      <c r="AE133" s="175" t="str">
        <f t="shared" ref="AE133" si="542">IF(SUM(AB133:AB136)=0,"",IFERROR(AB133/AC133,""))</f>
        <v/>
      </c>
      <c r="AF133" s="171">
        <f t="shared" ref="AF133:AF148" si="543">IF(OR($C$1="",$AJ133&gt;$C$1),"",IFERROR(SUMIFS(P$5:P$5012,$A$5:$A$5012,$A133,$AJ$5:$AJ$5012,"&lt;"&amp;$AJ133+1),""))</f>
        <v>0</v>
      </c>
      <c r="AG133" s="159">
        <f t="shared" ref="AG133:AG148" si="544">IF($C$1="","",IFERROR(SUMIFS(Q$5:Q$5012,$A$5:$A$5012,$A133,$AJ$5:$AJ$5012,"&lt;"&amp;$AJ133+1),""))</f>
        <v>0</v>
      </c>
      <c r="AH133" s="159">
        <f t="shared" si="267"/>
        <v>0</v>
      </c>
      <c r="AI133" s="187" t="str">
        <f t="shared" ref="AI133" si="545">IF(SUM(AF133:AF136)=0,"",IFERROR(AF133/AG133,""))</f>
        <v/>
      </c>
      <c r="AJ133" s="157">
        <f t="shared" si="513"/>
        <v>9</v>
      </c>
    </row>
    <row r="134" spans="1:36" ht="24.95" customHeight="1" x14ac:dyDescent="0.25">
      <c r="A134" s="182" t="str">
        <f t="shared" si="314"/>
        <v>ماهیرود</v>
      </c>
      <c r="B134" s="216"/>
      <c r="C134" s="167" t="str">
        <f t="shared" si="406"/>
        <v>دی</v>
      </c>
      <c r="D134" s="171">
        <f>SUM('مقایسه بودجه- صادرات'!D134,'مقایسه بودجه- واردات'!D134)</f>
        <v>908</v>
      </c>
      <c r="E134" s="159">
        <f>SUM('مقایسه بودجه- صادرات'!E134,'مقایسه بودجه- واردات'!E134)</f>
        <v>147.67500000000001</v>
      </c>
      <c r="F134" s="159">
        <f t="shared" ref="F134:F136" si="546">IFERROR(SUM(D134,-E134),"")</f>
        <v>760.32500000000005</v>
      </c>
      <c r="G134" s="175">
        <f>IF(SUM(D134:D136)=0,"",IFERROR(D134/E134,""))</f>
        <v>6.1486372100897233</v>
      </c>
      <c r="H134" s="171">
        <f>SUM('مقایسه بودجه- صادرات'!H134,'مقایسه بودجه- واردات'!H134)</f>
        <v>440</v>
      </c>
      <c r="I134" s="159">
        <f>SUM('مقایسه بودجه- صادرات'!I134,'مقایسه بودجه- واردات'!I134)</f>
        <v>172.60833333333335</v>
      </c>
      <c r="J134" s="159">
        <f t="shared" ref="J134:J145" si="547">IFERROR(SUM(H134,-I134),"")</f>
        <v>267.39166666666665</v>
      </c>
      <c r="K134" s="175">
        <f>IF(SUM(H134:H136)=0,"",IFERROR(H134/I134,""))</f>
        <v>2.5491237387148167</v>
      </c>
      <c r="L134" s="171">
        <f>SUM('مقایسه بودجه- صادرات'!L134,'مقایسه بودجه- واردات'!L134)</f>
        <v>0</v>
      </c>
      <c r="M134" s="159">
        <f>SUM('مقایسه بودجه- صادرات'!M134,'مقایسه بودجه- واردات'!M134)</f>
        <v>0</v>
      </c>
      <c r="N134" s="159">
        <f t="shared" ref="N134:N145" si="548">IFERROR(SUM(L134,-M134),"")</f>
        <v>0</v>
      </c>
      <c r="O134" s="175" t="str">
        <f>IF(SUM(L134:L136)=0,"",IFERROR(L134/M134,""))</f>
        <v/>
      </c>
      <c r="P134" s="171">
        <f>SUM('مقایسه بودجه- صادرات'!P134,'مقایسه بودجه- واردات'!P134)</f>
        <v>0</v>
      </c>
      <c r="Q134" s="159">
        <f>SUM('مقایسه بودجه- صادرات'!Q134,'مقایسه بودجه- واردات'!Q134)</f>
        <v>0</v>
      </c>
      <c r="R134" s="159">
        <f t="shared" ref="R134:R145" si="549">IFERROR(SUM(P134,-Q134),"")</f>
        <v>0</v>
      </c>
      <c r="S134" s="175" t="str">
        <f>IF(SUM(P134:P136)=0,"",IFERROR(P134/Q134,""))</f>
        <v/>
      </c>
      <c r="T134" s="171">
        <f t="shared" si="534"/>
        <v>3293</v>
      </c>
      <c r="U134" s="159">
        <f t="shared" si="535"/>
        <v>1919.7749999999999</v>
      </c>
      <c r="V134" s="159">
        <f t="shared" ref="V134:V145" si="550">IFERROR(SUM(T134,-U134),"")</f>
        <v>1373.2250000000001</v>
      </c>
      <c r="W134" s="175">
        <f t="shared" ref="W134" si="551">IF(SUM(T134:T136)=0,"",IFERROR(T134/U134,""))</f>
        <v>1.7153051789923299</v>
      </c>
      <c r="X134" s="171">
        <f t="shared" si="537"/>
        <v>3522</v>
      </c>
      <c r="Y134" s="159">
        <f t="shared" si="538"/>
        <v>2243.9083333333328</v>
      </c>
      <c r="Z134" s="159">
        <f t="shared" ref="Z134:Z145" si="552">IFERROR(SUM(X134,-Y134),"")</f>
        <v>1278.0916666666672</v>
      </c>
      <c r="AA134" s="175">
        <f t="shared" ref="AA134" si="553">IF(SUM(X134:X136)=0,"",IFERROR(X134/Y134,""))</f>
        <v>1.5695828335233544</v>
      </c>
      <c r="AB134" s="171">
        <f t="shared" si="540"/>
        <v>0</v>
      </c>
      <c r="AC134" s="159">
        <f t="shared" si="541"/>
        <v>0</v>
      </c>
      <c r="AD134" s="159">
        <f t="shared" ref="AD134:AD145" si="554">IFERROR(SUM(AB134,-AC134),"")</f>
        <v>0</v>
      </c>
      <c r="AE134" s="175" t="str">
        <f t="shared" ref="AE134" si="555">IF(SUM(AB134:AB136)=0,"",IFERROR(AB134/AC134,""))</f>
        <v/>
      </c>
      <c r="AF134" s="171">
        <f t="shared" si="543"/>
        <v>0</v>
      </c>
      <c r="AG134" s="159">
        <f t="shared" si="544"/>
        <v>0</v>
      </c>
      <c r="AH134" s="159">
        <f t="shared" ref="AH134:AH145" si="556">IFERROR(SUM(AF134,-AG134),"")</f>
        <v>0</v>
      </c>
      <c r="AI134" s="187" t="str">
        <f t="shared" ref="AI134" si="557">IF(SUM(AF134:AF136)=0,"",IFERROR(AF134/AG134,""))</f>
        <v/>
      </c>
      <c r="AJ134" s="157">
        <f t="shared" si="513"/>
        <v>10</v>
      </c>
    </row>
    <row r="135" spans="1:36" ht="24.95" customHeight="1" x14ac:dyDescent="0.25">
      <c r="A135" s="182" t="str">
        <f t="shared" si="314"/>
        <v>ماهیرود</v>
      </c>
      <c r="B135" s="216"/>
      <c r="C135" s="167" t="str">
        <f t="shared" si="406"/>
        <v>بهمن</v>
      </c>
      <c r="D135" s="171">
        <f>SUM('مقایسه بودجه- صادرات'!D135,'مقایسه بودجه- واردات'!D135)</f>
        <v>922</v>
      </c>
      <c r="E135" s="159">
        <f>SUM('مقایسه بودجه- صادرات'!E135,'مقایسه بودجه- واردات'!E135)</f>
        <v>147.67500000000001</v>
      </c>
      <c r="F135" s="159">
        <f t="shared" si="546"/>
        <v>774.32500000000005</v>
      </c>
      <c r="G135" s="175">
        <f>IF(SUM(D135:D136)=0,"",IFERROR(D135/E135,""))</f>
        <v>6.243439986456746</v>
      </c>
      <c r="H135" s="171">
        <f>SUM('مقایسه بودجه- صادرات'!H135,'مقایسه بودجه- واردات'!H135)</f>
        <v>657</v>
      </c>
      <c r="I135" s="159">
        <f>SUM('مقایسه بودجه- صادرات'!I135,'مقایسه بودجه- واردات'!I135)</f>
        <v>172.60833333333335</v>
      </c>
      <c r="J135" s="159">
        <f t="shared" si="547"/>
        <v>484.39166666666665</v>
      </c>
      <c r="K135" s="175">
        <f>IF(SUM(H135:H136)=0,"",IFERROR(H135/I135,""))</f>
        <v>3.8063052189446238</v>
      </c>
      <c r="L135" s="171">
        <f>SUM('مقایسه بودجه- صادرات'!L135,'مقایسه بودجه- واردات'!L135)</f>
        <v>0</v>
      </c>
      <c r="M135" s="159">
        <f>SUM('مقایسه بودجه- صادرات'!M135,'مقایسه بودجه- واردات'!M135)</f>
        <v>0</v>
      </c>
      <c r="N135" s="159">
        <f t="shared" si="548"/>
        <v>0</v>
      </c>
      <c r="O135" s="175" t="str">
        <f>IF(SUM(L135:L136)=0,"",IFERROR(L135/M135,""))</f>
        <v/>
      </c>
      <c r="P135" s="171">
        <f>SUM('مقایسه بودجه- صادرات'!P135,'مقایسه بودجه- واردات'!P135)</f>
        <v>0</v>
      </c>
      <c r="Q135" s="159">
        <f>SUM('مقایسه بودجه- صادرات'!Q135,'مقایسه بودجه- واردات'!Q135)</f>
        <v>0</v>
      </c>
      <c r="R135" s="159">
        <f t="shared" si="549"/>
        <v>0</v>
      </c>
      <c r="S135" s="175" t="str">
        <f>IF(SUM(P135:P136)=0,"",IFERROR(P135/Q135,""))</f>
        <v/>
      </c>
      <c r="T135" s="171">
        <f t="shared" si="534"/>
        <v>4215</v>
      </c>
      <c r="U135" s="159">
        <f t="shared" si="535"/>
        <v>2067.4499999999998</v>
      </c>
      <c r="V135" s="159">
        <f t="shared" si="550"/>
        <v>2147.5500000000002</v>
      </c>
      <c r="W135" s="175">
        <f t="shared" ref="W135" si="558">IF(SUM(T135:T136)=0,"",IFERROR(T135/U135,""))</f>
        <v>2.0387433795255028</v>
      </c>
      <c r="X135" s="171">
        <f t="shared" si="537"/>
        <v>4179</v>
      </c>
      <c r="Y135" s="159">
        <f t="shared" si="538"/>
        <v>2416.5166666666664</v>
      </c>
      <c r="Z135" s="159">
        <f t="shared" si="552"/>
        <v>1762.4833333333336</v>
      </c>
      <c r="AA135" s="175">
        <f t="shared" ref="AA135" si="559">IF(SUM(X135:X136)=0,"",IFERROR(X135/Y135,""))</f>
        <v>1.7293487181963021</v>
      </c>
      <c r="AB135" s="171">
        <f t="shared" si="540"/>
        <v>0</v>
      </c>
      <c r="AC135" s="159">
        <f t="shared" si="541"/>
        <v>0</v>
      </c>
      <c r="AD135" s="159">
        <f t="shared" si="554"/>
        <v>0</v>
      </c>
      <c r="AE135" s="175" t="str">
        <f t="shared" ref="AE135" si="560">IF(SUM(AB135:AB136)=0,"",IFERROR(AB135/AC135,""))</f>
        <v/>
      </c>
      <c r="AF135" s="171">
        <f t="shared" si="543"/>
        <v>0</v>
      </c>
      <c r="AG135" s="159">
        <f t="shared" si="544"/>
        <v>0</v>
      </c>
      <c r="AH135" s="159">
        <f t="shared" si="556"/>
        <v>0</v>
      </c>
      <c r="AI135" s="187" t="str">
        <f t="shared" ref="AI135" si="561">IF(SUM(AF135:AF136)=0,"",IFERROR(AF135/AG135,""))</f>
        <v/>
      </c>
      <c r="AJ135" s="157">
        <f t="shared" si="513"/>
        <v>11</v>
      </c>
    </row>
    <row r="136" spans="1:36" ht="24.95" customHeight="1" thickBot="1" x14ac:dyDescent="0.3">
      <c r="A136" s="182" t="str">
        <f t="shared" si="314"/>
        <v>ماهیرود</v>
      </c>
      <c r="B136" s="217"/>
      <c r="C136" s="168" t="str">
        <f t="shared" si="406"/>
        <v>اسفند</v>
      </c>
      <c r="D136" s="172">
        <f>SUM('مقایسه بودجه- صادرات'!D136,'مقایسه بودجه- واردات'!D136)</f>
        <v>637</v>
      </c>
      <c r="E136" s="173">
        <f>SUM('مقایسه بودجه- صادرات'!E136,'مقایسه بودجه- واردات'!E136)</f>
        <v>147.67500000000001</v>
      </c>
      <c r="F136" s="173">
        <f t="shared" si="546"/>
        <v>489.32499999999999</v>
      </c>
      <c r="G136" s="176">
        <f>IF(SUM(D136)=0,"",IFERROR(D136/E136,""))</f>
        <v>4.3135263246995086</v>
      </c>
      <c r="H136" s="172">
        <f>SUM('مقایسه بودجه- صادرات'!H136,'مقایسه بودجه- واردات'!H136)</f>
        <v>672</v>
      </c>
      <c r="I136" s="173">
        <f>SUM('مقایسه بودجه- صادرات'!I136,'مقایسه بودجه- واردات'!I136)</f>
        <v>172.60833333333335</v>
      </c>
      <c r="J136" s="173">
        <f t="shared" si="547"/>
        <v>499.39166666666665</v>
      </c>
      <c r="K136" s="176">
        <f>IF(SUM(H136)=0,"",IFERROR(H136/I136,""))</f>
        <v>3.8932071645826287</v>
      </c>
      <c r="L136" s="172">
        <f>SUM('مقایسه بودجه- صادرات'!L136,'مقایسه بودجه- واردات'!L136)</f>
        <v>0</v>
      </c>
      <c r="M136" s="173">
        <f>SUM('مقایسه بودجه- صادرات'!M136,'مقایسه بودجه- واردات'!M136)</f>
        <v>0</v>
      </c>
      <c r="N136" s="173">
        <f t="shared" si="548"/>
        <v>0</v>
      </c>
      <c r="O136" s="176" t="str">
        <f>IF(SUM(L136)=0,"",IFERROR(L136/M136,""))</f>
        <v/>
      </c>
      <c r="P136" s="172">
        <f>SUM('مقایسه بودجه- صادرات'!P136,'مقایسه بودجه- واردات'!P136)</f>
        <v>0</v>
      </c>
      <c r="Q136" s="173">
        <f>SUM('مقایسه بودجه- صادرات'!Q136,'مقایسه بودجه- واردات'!Q136)</f>
        <v>0</v>
      </c>
      <c r="R136" s="173">
        <f t="shared" si="549"/>
        <v>0</v>
      </c>
      <c r="S136" s="176" t="str">
        <f>IF(SUM(P136)=0,"",IFERROR(P136/Q136,""))</f>
        <v/>
      </c>
      <c r="T136" s="172">
        <f t="shared" si="534"/>
        <v>4852</v>
      </c>
      <c r="U136" s="173">
        <f t="shared" si="535"/>
        <v>2215.125</v>
      </c>
      <c r="V136" s="173">
        <f t="shared" si="550"/>
        <v>2636.875</v>
      </c>
      <c r="W136" s="176">
        <f t="shared" ref="W136" si="562">IF(SUM(T136)=0,"",IFERROR(T136/U136,""))</f>
        <v>2.1903955758704363</v>
      </c>
      <c r="X136" s="172">
        <f t="shared" si="537"/>
        <v>4851</v>
      </c>
      <c r="Y136" s="173">
        <f t="shared" si="538"/>
        <v>2589.125</v>
      </c>
      <c r="Z136" s="173">
        <f t="shared" si="552"/>
        <v>2261.875</v>
      </c>
      <c r="AA136" s="176">
        <f t="shared" ref="AA136" si="563">IF(SUM(X136)=0,"",IFERROR(X136/Y136,""))</f>
        <v>1.8736059479553904</v>
      </c>
      <c r="AB136" s="172">
        <f t="shared" si="540"/>
        <v>0</v>
      </c>
      <c r="AC136" s="173">
        <f t="shared" si="541"/>
        <v>0</v>
      </c>
      <c r="AD136" s="173">
        <f t="shared" si="554"/>
        <v>0</v>
      </c>
      <c r="AE136" s="176" t="str">
        <f t="shared" ref="AE136" si="564">IF(SUM(AB136)=0,"",IFERROR(AB136/AC136,""))</f>
        <v/>
      </c>
      <c r="AF136" s="172">
        <f t="shared" si="543"/>
        <v>0</v>
      </c>
      <c r="AG136" s="173">
        <f t="shared" si="544"/>
        <v>0</v>
      </c>
      <c r="AH136" s="173">
        <f t="shared" si="556"/>
        <v>0</v>
      </c>
      <c r="AI136" s="188" t="str">
        <f t="shared" ref="AI136" si="565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 t="shared" ref="A137:A148" si="566">IF(B137="",A136,B137)</f>
        <v>باجگیران</v>
      </c>
      <c r="B137" s="215" t="str">
        <f>'مقایسه بودجه- واردات'!B137:B148</f>
        <v>باجگیران</v>
      </c>
      <c r="C137" s="166" t="str">
        <f>C125</f>
        <v>فروردین</v>
      </c>
      <c r="D137" s="170">
        <f>SUM('مقایسه بودجه- صادرات'!D137,'مقایسه بودجه- واردات'!D137)</f>
        <v>0</v>
      </c>
      <c r="E137" s="160">
        <f>SUM('مقایسه بودجه- صادرات'!E137,'مقایسه بودجه- واردات'!E137)</f>
        <v>0</v>
      </c>
      <c r="F137" s="160">
        <f>IFERROR(SUM(D137,-E137),"")</f>
        <v>0</v>
      </c>
      <c r="G137" s="185" t="str">
        <f>IF(SUM(D137:D148)=0,"",IFERROR(D137/E137,""))</f>
        <v/>
      </c>
      <c r="H137" s="170">
        <f>SUM('مقایسه بودجه- صادرات'!H137,'مقایسه بودجه- واردات'!H137)</f>
        <v>0</v>
      </c>
      <c r="I137" s="160">
        <f>SUM('مقایسه بودجه- صادرات'!I137,'مقایسه بودجه- واردات'!I137)</f>
        <v>0</v>
      </c>
      <c r="J137" s="160">
        <f t="shared" si="547"/>
        <v>0</v>
      </c>
      <c r="K137" s="185" t="str">
        <f>IF(SUM(H137:H148)=0,"",IFERROR(H137/I137,""))</f>
        <v/>
      </c>
      <c r="L137" s="170">
        <f>SUM('مقایسه بودجه- صادرات'!L137,'مقایسه بودجه- واردات'!L137)</f>
        <v>0</v>
      </c>
      <c r="M137" s="160">
        <f>SUM('مقایسه بودجه- صادرات'!M137,'مقایسه بودجه- واردات'!M137)</f>
        <v>0</v>
      </c>
      <c r="N137" s="160">
        <f t="shared" si="548"/>
        <v>0</v>
      </c>
      <c r="O137" s="185" t="str">
        <f>IF(SUM(L137:L148)=0,"",IFERROR(L137/M137,""))</f>
        <v/>
      </c>
      <c r="P137" s="170">
        <f>SUM('مقایسه بودجه- صادرات'!P137,'مقایسه بودجه- واردات'!P137)</f>
        <v>0</v>
      </c>
      <c r="Q137" s="160">
        <f>SUM('مقایسه بودجه- صادرات'!Q137,'مقایسه بودجه- واردات'!Q137)</f>
        <v>0</v>
      </c>
      <c r="R137" s="160">
        <f t="shared" si="549"/>
        <v>0</v>
      </c>
      <c r="S137" s="185" t="str">
        <f>IF(SUM(P137:P148)=0,"",IFERROR(P137/Q137,""))</f>
        <v/>
      </c>
      <c r="T137" s="183">
        <f t="shared" si="534"/>
        <v>0</v>
      </c>
      <c r="U137" s="160">
        <f t="shared" si="535"/>
        <v>0</v>
      </c>
      <c r="V137" s="160">
        <f t="shared" si="550"/>
        <v>0</v>
      </c>
      <c r="W137" s="185" t="str">
        <f t="shared" ref="W137" si="567">IF(SUM(T137:T148)=0,"",IFERROR(T137/U137,""))</f>
        <v/>
      </c>
      <c r="X137" s="183">
        <f t="shared" si="537"/>
        <v>0</v>
      </c>
      <c r="Y137" s="160">
        <f t="shared" si="538"/>
        <v>0</v>
      </c>
      <c r="Z137" s="160">
        <f t="shared" si="552"/>
        <v>0</v>
      </c>
      <c r="AA137" s="185" t="str">
        <f t="shared" ref="AA137" si="568">IF(SUM(X137:X148)=0,"",IFERROR(X137/Y137,""))</f>
        <v/>
      </c>
      <c r="AB137" s="183">
        <f t="shared" si="540"/>
        <v>0</v>
      </c>
      <c r="AC137" s="160">
        <f t="shared" si="541"/>
        <v>0</v>
      </c>
      <c r="AD137" s="160">
        <f t="shared" si="554"/>
        <v>0</v>
      </c>
      <c r="AE137" s="185" t="str">
        <f t="shared" ref="AE137" si="569">IF(SUM(AB137:AB148)=0,"",IFERROR(AB137/AC137,""))</f>
        <v/>
      </c>
      <c r="AF137" s="183">
        <f t="shared" si="543"/>
        <v>0</v>
      </c>
      <c r="AG137" s="160">
        <f t="shared" si="544"/>
        <v>0</v>
      </c>
      <c r="AH137" s="160">
        <f t="shared" si="556"/>
        <v>0</v>
      </c>
      <c r="AI137" s="186" t="str">
        <f t="shared" ref="AI137" si="570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si="566"/>
        <v>باجگیران</v>
      </c>
      <c r="B138" s="216"/>
      <c r="C138" s="167" t="str">
        <f t="shared" si="406"/>
        <v>اردیبهشت</v>
      </c>
      <c r="D138" s="171">
        <f>SUM('مقایسه بودجه- صادرات'!D138,'مقایسه بودجه- واردات'!D138)</f>
        <v>0</v>
      </c>
      <c r="E138" s="159">
        <f>SUM('مقایسه بودجه- صادرات'!E138,'مقایسه بودجه- واردات'!E138)</f>
        <v>0</v>
      </c>
      <c r="F138" s="159">
        <f>IFERROR(SUM(D138,-E138),"")</f>
        <v>0</v>
      </c>
      <c r="G138" s="175" t="str">
        <f>IF(SUM(D138:D148)=0,"",IFERROR(D138/E138,""))</f>
        <v/>
      </c>
      <c r="H138" s="171">
        <f>SUM('مقایسه بودجه- صادرات'!H138,'مقایسه بودجه- واردات'!H138)</f>
        <v>0</v>
      </c>
      <c r="I138" s="159">
        <f>SUM('مقایسه بودجه- صادرات'!I138,'مقایسه بودجه- واردات'!I138)</f>
        <v>0</v>
      </c>
      <c r="J138" s="159">
        <f t="shared" si="547"/>
        <v>0</v>
      </c>
      <c r="K138" s="175" t="str">
        <f>IF(SUM(H138:H148)=0,"",IFERROR(H138/I138,""))</f>
        <v/>
      </c>
      <c r="L138" s="171">
        <f>SUM('مقایسه بودجه- صادرات'!L138,'مقایسه بودجه- واردات'!L138)</f>
        <v>0</v>
      </c>
      <c r="M138" s="159">
        <f>SUM('مقایسه بودجه- صادرات'!M138,'مقایسه بودجه- واردات'!M138)</f>
        <v>0</v>
      </c>
      <c r="N138" s="159">
        <f t="shared" si="548"/>
        <v>0</v>
      </c>
      <c r="O138" s="175" t="str">
        <f>IF(SUM(L138:L148)=0,"",IFERROR(L138/M138,""))</f>
        <v/>
      </c>
      <c r="P138" s="171">
        <f>SUM('مقایسه بودجه- صادرات'!P138,'مقایسه بودجه- واردات'!P138)</f>
        <v>0</v>
      </c>
      <c r="Q138" s="159">
        <f>SUM('مقایسه بودجه- صادرات'!Q138,'مقایسه بودجه- واردات'!Q138)</f>
        <v>0</v>
      </c>
      <c r="R138" s="159">
        <f t="shared" si="549"/>
        <v>0</v>
      </c>
      <c r="S138" s="175" t="str">
        <f>IF(SUM(P138:P148)=0,"",IFERROR(P138/Q138,""))</f>
        <v/>
      </c>
      <c r="T138" s="171">
        <f t="shared" si="534"/>
        <v>0</v>
      </c>
      <c r="U138" s="159">
        <f t="shared" si="535"/>
        <v>0</v>
      </c>
      <c r="V138" s="159">
        <f t="shared" si="550"/>
        <v>0</v>
      </c>
      <c r="W138" s="175" t="str">
        <f t="shared" ref="W138" si="571">IF(SUM(T138:T148)=0,"",IFERROR(T138/U138,""))</f>
        <v/>
      </c>
      <c r="X138" s="171">
        <f t="shared" si="537"/>
        <v>0</v>
      </c>
      <c r="Y138" s="159">
        <f t="shared" si="538"/>
        <v>0</v>
      </c>
      <c r="Z138" s="159">
        <f t="shared" si="552"/>
        <v>0</v>
      </c>
      <c r="AA138" s="175" t="str">
        <f t="shared" ref="AA138" si="572">IF(SUM(X138:X148)=0,"",IFERROR(X138/Y138,""))</f>
        <v/>
      </c>
      <c r="AB138" s="171">
        <f t="shared" si="540"/>
        <v>0</v>
      </c>
      <c r="AC138" s="159">
        <f t="shared" si="541"/>
        <v>0</v>
      </c>
      <c r="AD138" s="159">
        <f t="shared" si="554"/>
        <v>0</v>
      </c>
      <c r="AE138" s="175" t="str">
        <f t="shared" ref="AE138" si="573">IF(SUM(AB138:AB148)=0,"",IFERROR(AB138/AC138,""))</f>
        <v/>
      </c>
      <c r="AF138" s="171">
        <f t="shared" si="543"/>
        <v>0</v>
      </c>
      <c r="AG138" s="159">
        <f t="shared" si="544"/>
        <v>0</v>
      </c>
      <c r="AH138" s="159">
        <f t="shared" si="556"/>
        <v>0</v>
      </c>
      <c r="AI138" s="187" t="str">
        <f t="shared" ref="AI138" si="574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66"/>
        <v>باجگیران</v>
      </c>
      <c r="B139" s="216"/>
      <c r="C139" s="167" t="str">
        <f t="shared" si="406"/>
        <v>خرداد</v>
      </c>
      <c r="D139" s="171">
        <f>SUM('مقایسه بودجه- صادرات'!D139,'مقایسه بودجه- واردات'!D139)</f>
        <v>0</v>
      </c>
      <c r="E139" s="159">
        <f>SUM('مقایسه بودجه- صادرات'!E139,'مقایسه بودجه- واردات'!E139)</f>
        <v>0</v>
      </c>
      <c r="F139" s="159">
        <f t="shared" ref="F139:F148" si="575">IFERROR(SUM(D139,-E139),"")</f>
        <v>0</v>
      </c>
      <c r="G139" s="175" t="str">
        <f>IF(SUM(D139:D148)=0,"",IFERROR(D139/E139,""))</f>
        <v/>
      </c>
      <c r="H139" s="171">
        <f>SUM('مقایسه بودجه- صادرات'!H139,'مقایسه بودجه- واردات'!H139)</f>
        <v>0</v>
      </c>
      <c r="I139" s="159">
        <f>SUM('مقایسه بودجه- صادرات'!I139,'مقایسه بودجه- واردات'!I139)</f>
        <v>0</v>
      </c>
      <c r="J139" s="159">
        <f t="shared" si="547"/>
        <v>0</v>
      </c>
      <c r="K139" s="175" t="str">
        <f>IF(SUM(H139:H148)=0,"",IFERROR(H139/I139,""))</f>
        <v/>
      </c>
      <c r="L139" s="171">
        <f>SUM('مقایسه بودجه- صادرات'!L139,'مقایسه بودجه- واردات'!L139)</f>
        <v>0</v>
      </c>
      <c r="M139" s="159">
        <f>SUM('مقایسه بودجه- صادرات'!M139,'مقایسه بودجه- واردات'!M139)</f>
        <v>0</v>
      </c>
      <c r="N139" s="159">
        <f t="shared" si="548"/>
        <v>0</v>
      </c>
      <c r="O139" s="175" t="str">
        <f>IF(SUM(L139:L148)=0,"",IFERROR(L139/M139,""))</f>
        <v/>
      </c>
      <c r="P139" s="171">
        <f>SUM('مقایسه بودجه- صادرات'!P139,'مقایسه بودجه- واردات'!P139)</f>
        <v>0</v>
      </c>
      <c r="Q139" s="159">
        <f>SUM('مقایسه بودجه- صادرات'!Q139,'مقایسه بودجه- واردات'!Q139)</f>
        <v>0</v>
      </c>
      <c r="R139" s="159">
        <f t="shared" si="549"/>
        <v>0</v>
      </c>
      <c r="S139" s="175" t="str">
        <f>IF(SUM(P139:P148)=0,"",IFERROR(P139/Q139,""))</f>
        <v/>
      </c>
      <c r="T139" s="171">
        <f t="shared" si="534"/>
        <v>0</v>
      </c>
      <c r="U139" s="159">
        <f t="shared" si="535"/>
        <v>0</v>
      </c>
      <c r="V139" s="159">
        <f t="shared" si="550"/>
        <v>0</v>
      </c>
      <c r="W139" s="175" t="str">
        <f t="shared" ref="W139" si="576">IF(SUM(T139:T148)=0,"",IFERROR(T139/U139,""))</f>
        <v/>
      </c>
      <c r="X139" s="171">
        <f t="shared" si="537"/>
        <v>0</v>
      </c>
      <c r="Y139" s="159">
        <f t="shared" si="538"/>
        <v>0</v>
      </c>
      <c r="Z139" s="159">
        <f t="shared" si="552"/>
        <v>0</v>
      </c>
      <c r="AA139" s="175" t="str">
        <f t="shared" ref="AA139" si="577">IF(SUM(X139:X148)=0,"",IFERROR(X139/Y139,""))</f>
        <v/>
      </c>
      <c r="AB139" s="171">
        <f t="shared" si="540"/>
        <v>0</v>
      </c>
      <c r="AC139" s="159">
        <f t="shared" si="541"/>
        <v>0</v>
      </c>
      <c r="AD139" s="159">
        <f t="shared" si="554"/>
        <v>0</v>
      </c>
      <c r="AE139" s="175" t="str">
        <f t="shared" ref="AE139" si="578">IF(SUM(AB139:AB148)=0,"",IFERROR(AB139/AC139,""))</f>
        <v/>
      </c>
      <c r="AF139" s="171">
        <f t="shared" si="543"/>
        <v>0</v>
      </c>
      <c r="AG139" s="159">
        <f t="shared" si="544"/>
        <v>0</v>
      </c>
      <c r="AH139" s="159">
        <f t="shared" si="556"/>
        <v>0</v>
      </c>
      <c r="AI139" s="187" t="str">
        <f t="shared" ref="AI139" si="579">IF(SUM(AF139:AF148)=0,"",IFERROR(AF139/AG139,""))</f>
        <v/>
      </c>
      <c r="AJ139" s="157">
        <f t="shared" ref="AJ139:AJ147" si="580">AJ138+1</f>
        <v>3</v>
      </c>
    </row>
    <row r="140" spans="1:36" ht="24.95" customHeight="1" x14ac:dyDescent="0.25">
      <c r="A140" s="182" t="str">
        <f t="shared" si="566"/>
        <v>باجگیران</v>
      </c>
      <c r="B140" s="216"/>
      <c r="C140" s="167" t="str">
        <f t="shared" si="406"/>
        <v>تیر</v>
      </c>
      <c r="D140" s="171">
        <f>SUM('مقایسه بودجه- صادرات'!D140,'مقایسه بودجه- واردات'!D140)</f>
        <v>0</v>
      </c>
      <c r="E140" s="159">
        <f>SUM('مقایسه بودجه- صادرات'!E140,'مقایسه بودجه- واردات'!E140)</f>
        <v>0</v>
      </c>
      <c r="F140" s="159">
        <f t="shared" si="575"/>
        <v>0</v>
      </c>
      <c r="G140" s="175" t="str">
        <f>IF(SUM(D140:D148)=0,"",IFERROR(D140/E140,""))</f>
        <v/>
      </c>
      <c r="H140" s="171">
        <f>SUM('مقایسه بودجه- صادرات'!H140,'مقایسه بودجه- واردات'!H140)</f>
        <v>0</v>
      </c>
      <c r="I140" s="159">
        <f>SUM('مقایسه بودجه- صادرات'!I140,'مقایسه بودجه- واردات'!I140)</f>
        <v>0</v>
      </c>
      <c r="J140" s="159">
        <f t="shared" si="547"/>
        <v>0</v>
      </c>
      <c r="K140" s="175" t="str">
        <f>IF(SUM(H140:H148)=0,"",IFERROR(H140/I140,""))</f>
        <v/>
      </c>
      <c r="L140" s="171">
        <f>SUM('مقایسه بودجه- صادرات'!L140,'مقایسه بودجه- واردات'!L140)</f>
        <v>0</v>
      </c>
      <c r="M140" s="159">
        <f>SUM('مقایسه بودجه- صادرات'!M140,'مقایسه بودجه- واردات'!M140)</f>
        <v>0</v>
      </c>
      <c r="N140" s="159">
        <f t="shared" si="548"/>
        <v>0</v>
      </c>
      <c r="O140" s="175" t="str">
        <f>IF(SUM(L140:L148)=0,"",IFERROR(L140/M140,""))</f>
        <v/>
      </c>
      <c r="P140" s="171">
        <f>SUM('مقایسه بودجه- صادرات'!P140,'مقایسه بودجه- واردات'!P140)</f>
        <v>0</v>
      </c>
      <c r="Q140" s="159">
        <f>SUM('مقایسه بودجه- صادرات'!Q140,'مقایسه بودجه- واردات'!Q140)</f>
        <v>0</v>
      </c>
      <c r="R140" s="159">
        <f t="shared" si="549"/>
        <v>0</v>
      </c>
      <c r="S140" s="175" t="str">
        <f>IF(SUM(P140:P148)=0,"",IFERROR(P140/Q140,""))</f>
        <v/>
      </c>
      <c r="T140" s="171">
        <f t="shared" si="534"/>
        <v>0</v>
      </c>
      <c r="U140" s="159">
        <f t="shared" si="535"/>
        <v>0</v>
      </c>
      <c r="V140" s="159">
        <f t="shared" si="550"/>
        <v>0</v>
      </c>
      <c r="W140" s="175" t="str">
        <f t="shared" ref="W140" si="581">IF(SUM(T140:T148)=0,"",IFERROR(T140/U140,""))</f>
        <v/>
      </c>
      <c r="X140" s="171">
        <f t="shared" si="537"/>
        <v>0</v>
      </c>
      <c r="Y140" s="159">
        <f t="shared" si="538"/>
        <v>0</v>
      </c>
      <c r="Z140" s="159">
        <f t="shared" si="552"/>
        <v>0</v>
      </c>
      <c r="AA140" s="175" t="str">
        <f t="shared" ref="AA140" si="582">IF(SUM(X140:X148)=0,"",IFERROR(X140/Y140,""))</f>
        <v/>
      </c>
      <c r="AB140" s="171">
        <f t="shared" si="540"/>
        <v>0</v>
      </c>
      <c r="AC140" s="159">
        <f t="shared" si="541"/>
        <v>0</v>
      </c>
      <c r="AD140" s="159">
        <f t="shared" si="554"/>
        <v>0</v>
      </c>
      <c r="AE140" s="175" t="str">
        <f t="shared" ref="AE140" si="583">IF(SUM(AB140:AB148)=0,"",IFERROR(AB140/AC140,""))</f>
        <v/>
      </c>
      <c r="AF140" s="171">
        <f t="shared" si="543"/>
        <v>0</v>
      </c>
      <c r="AG140" s="159">
        <f t="shared" si="544"/>
        <v>0</v>
      </c>
      <c r="AH140" s="159">
        <f t="shared" si="556"/>
        <v>0</v>
      </c>
      <c r="AI140" s="187" t="str">
        <f t="shared" ref="AI140" si="584">IF(SUM(AF140:AF148)=0,"",IFERROR(AF140/AG140,""))</f>
        <v/>
      </c>
      <c r="AJ140" s="157">
        <f t="shared" si="580"/>
        <v>4</v>
      </c>
    </row>
    <row r="141" spans="1:36" ht="24.95" customHeight="1" x14ac:dyDescent="0.25">
      <c r="A141" s="182" t="str">
        <f t="shared" si="566"/>
        <v>باجگیران</v>
      </c>
      <c r="B141" s="216"/>
      <c r="C141" s="167" t="str">
        <f t="shared" si="406"/>
        <v>مرداد</v>
      </c>
      <c r="D141" s="171">
        <f>SUM('مقایسه بودجه- صادرات'!D141,'مقایسه بودجه- واردات'!D141)</f>
        <v>0</v>
      </c>
      <c r="E141" s="159">
        <f>SUM('مقایسه بودجه- صادرات'!E141,'مقایسه بودجه- واردات'!E141)</f>
        <v>0</v>
      </c>
      <c r="F141" s="159">
        <f t="shared" si="575"/>
        <v>0</v>
      </c>
      <c r="G141" s="175" t="str">
        <f>IF(SUM(D141:D148)=0,"",IFERROR(D141/E141,""))</f>
        <v/>
      </c>
      <c r="H141" s="171">
        <f>SUM('مقایسه بودجه- صادرات'!H141,'مقایسه بودجه- واردات'!H141)</f>
        <v>0</v>
      </c>
      <c r="I141" s="159">
        <f>SUM('مقایسه بودجه- صادرات'!I141,'مقایسه بودجه- واردات'!I141)</f>
        <v>0</v>
      </c>
      <c r="J141" s="159">
        <f t="shared" si="547"/>
        <v>0</v>
      </c>
      <c r="K141" s="175" t="str">
        <f>IF(SUM(H141:H148)=0,"",IFERROR(H141/I141,""))</f>
        <v/>
      </c>
      <c r="L141" s="171">
        <f>SUM('مقایسه بودجه- صادرات'!L141,'مقایسه بودجه- واردات'!L141)</f>
        <v>0</v>
      </c>
      <c r="M141" s="159">
        <f>SUM('مقایسه بودجه- صادرات'!M141,'مقایسه بودجه- واردات'!M141)</f>
        <v>0</v>
      </c>
      <c r="N141" s="159">
        <f t="shared" si="548"/>
        <v>0</v>
      </c>
      <c r="O141" s="175" t="str">
        <f>IF(SUM(L141:L148)=0,"",IFERROR(L141/M141,""))</f>
        <v/>
      </c>
      <c r="P141" s="171">
        <f>SUM('مقایسه بودجه- صادرات'!P141,'مقایسه بودجه- واردات'!P141)</f>
        <v>0</v>
      </c>
      <c r="Q141" s="159">
        <f>SUM('مقایسه بودجه- صادرات'!Q141,'مقایسه بودجه- واردات'!Q141)</f>
        <v>0</v>
      </c>
      <c r="R141" s="159">
        <f t="shared" si="549"/>
        <v>0</v>
      </c>
      <c r="S141" s="175" t="str">
        <f>IF(SUM(P141:P148)=0,"",IFERROR(P141/Q141,""))</f>
        <v/>
      </c>
      <c r="T141" s="171">
        <f t="shared" si="534"/>
        <v>0</v>
      </c>
      <c r="U141" s="159">
        <f t="shared" si="535"/>
        <v>0</v>
      </c>
      <c r="V141" s="159">
        <f t="shared" si="550"/>
        <v>0</v>
      </c>
      <c r="W141" s="175" t="str">
        <f t="shared" ref="W141" si="585">IF(SUM(T141:T148)=0,"",IFERROR(T141/U141,""))</f>
        <v/>
      </c>
      <c r="X141" s="171">
        <f t="shared" si="537"/>
        <v>0</v>
      </c>
      <c r="Y141" s="159">
        <f t="shared" si="538"/>
        <v>0</v>
      </c>
      <c r="Z141" s="159">
        <f t="shared" si="552"/>
        <v>0</v>
      </c>
      <c r="AA141" s="175" t="str">
        <f t="shared" ref="AA141" si="586">IF(SUM(X141:X148)=0,"",IFERROR(X141/Y141,""))</f>
        <v/>
      </c>
      <c r="AB141" s="171">
        <f t="shared" si="540"/>
        <v>0</v>
      </c>
      <c r="AC141" s="159">
        <f t="shared" si="541"/>
        <v>0</v>
      </c>
      <c r="AD141" s="159">
        <f t="shared" si="554"/>
        <v>0</v>
      </c>
      <c r="AE141" s="175" t="str">
        <f t="shared" ref="AE141" si="587">IF(SUM(AB141:AB148)=0,"",IFERROR(AB141/AC141,""))</f>
        <v/>
      </c>
      <c r="AF141" s="171">
        <f t="shared" si="543"/>
        <v>0</v>
      </c>
      <c r="AG141" s="159">
        <f t="shared" si="544"/>
        <v>0</v>
      </c>
      <c r="AH141" s="159">
        <f t="shared" si="556"/>
        <v>0</v>
      </c>
      <c r="AI141" s="187" t="str">
        <f t="shared" ref="AI141" si="588">IF(SUM(AF141:AF148)=0,"",IFERROR(AF141/AG141,""))</f>
        <v/>
      </c>
      <c r="AJ141" s="157">
        <f t="shared" si="580"/>
        <v>5</v>
      </c>
    </row>
    <row r="142" spans="1:36" ht="24.95" customHeight="1" x14ac:dyDescent="0.25">
      <c r="A142" s="182" t="str">
        <f t="shared" si="566"/>
        <v>باجگیران</v>
      </c>
      <c r="B142" s="216"/>
      <c r="C142" s="167" t="str">
        <f t="shared" si="406"/>
        <v>شهریور</v>
      </c>
      <c r="D142" s="171">
        <f>SUM('مقایسه بودجه- صادرات'!D142,'مقایسه بودجه- واردات'!D142)</f>
        <v>0</v>
      </c>
      <c r="E142" s="159">
        <f>SUM('مقایسه بودجه- صادرات'!E142,'مقایسه بودجه- واردات'!E142)</f>
        <v>0</v>
      </c>
      <c r="F142" s="159">
        <f t="shared" si="575"/>
        <v>0</v>
      </c>
      <c r="G142" s="175" t="str">
        <f>IF(SUM(D142:D148)=0,"",IFERROR(D142/E142,""))</f>
        <v/>
      </c>
      <c r="H142" s="171">
        <f>SUM('مقایسه بودجه- صادرات'!H142,'مقایسه بودجه- واردات'!H142)</f>
        <v>0</v>
      </c>
      <c r="I142" s="159">
        <f>SUM('مقایسه بودجه- صادرات'!I142,'مقایسه بودجه- واردات'!I142)</f>
        <v>0</v>
      </c>
      <c r="J142" s="159">
        <f t="shared" si="547"/>
        <v>0</v>
      </c>
      <c r="K142" s="175" t="str">
        <f>IF(SUM(H142:H148)=0,"",IFERROR(H142/I142,""))</f>
        <v/>
      </c>
      <c r="L142" s="171">
        <f>SUM('مقایسه بودجه- صادرات'!L142,'مقایسه بودجه- واردات'!L142)</f>
        <v>0</v>
      </c>
      <c r="M142" s="159">
        <f>SUM('مقایسه بودجه- صادرات'!M142,'مقایسه بودجه- واردات'!M142)</f>
        <v>0</v>
      </c>
      <c r="N142" s="159">
        <f t="shared" si="548"/>
        <v>0</v>
      </c>
      <c r="O142" s="175" t="str">
        <f>IF(SUM(L142:L148)=0,"",IFERROR(L142/M142,""))</f>
        <v/>
      </c>
      <c r="P142" s="171">
        <f>SUM('مقایسه بودجه- صادرات'!P142,'مقایسه بودجه- واردات'!P142)</f>
        <v>0</v>
      </c>
      <c r="Q142" s="159">
        <f>SUM('مقایسه بودجه- صادرات'!Q142,'مقایسه بودجه- واردات'!Q142)</f>
        <v>0</v>
      </c>
      <c r="R142" s="159">
        <f t="shared" si="549"/>
        <v>0</v>
      </c>
      <c r="S142" s="175" t="str">
        <f>IF(SUM(P142:P148)=0,"",IFERROR(P142/Q142,""))</f>
        <v/>
      </c>
      <c r="T142" s="171">
        <f t="shared" si="534"/>
        <v>0</v>
      </c>
      <c r="U142" s="159">
        <f t="shared" si="535"/>
        <v>0</v>
      </c>
      <c r="V142" s="159">
        <f t="shared" si="550"/>
        <v>0</v>
      </c>
      <c r="W142" s="175" t="str">
        <f t="shared" ref="W142" si="589">IF(SUM(T142:T148)=0,"",IFERROR(T142/U142,""))</f>
        <v/>
      </c>
      <c r="X142" s="171">
        <f t="shared" si="537"/>
        <v>0</v>
      </c>
      <c r="Y142" s="159">
        <f t="shared" si="538"/>
        <v>0</v>
      </c>
      <c r="Z142" s="159">
        <f t="shared" si="552"/>
        <v>0</v>
      </c>
      <c r="AA142" s="175" t="str">
        <f t="shared" ref="AA142" si="590">IF(SUM(X142:X148)=0,"",IFERROR(X142/Y142,""))</f>
        <v/>
      </c>
      <c r="AB142" s="171">
        <f t="shared" si="540"/>
        <v>0</v>
      </c>
      <c r="AC142" s="159">
        <f t="shared" si="541"/>
        <v>0</v>
      </c>
      <c r="AD142" s="159">
        <f t="shared" si="554"/>
        <v>0</v>
      </c>
      <c r="AE142" s="175" t="str">
        <f t="shared" ref="AE142" si="591">IF(SUM(AB142:AB148)=0,"",IFERROR(AB142/AC142,""))</f>
        <v/>
      </c>
      <c r="AF142" s="171">
        <f t="shared" si="543"/>
        <v>0</v>
      </c>
      <c r="AG142" s="159">
        <f t="shared" si="544"/>
        <v>0</v>
      </c>
      <c r="AH142" s="159">
        <f t="shared" si="556"/>
        <v>0</v>
      </c>
      <c r="AI142" s="187" t="str">
        <f t="shared" ref="AI142" si="592">IF(SUM(AF142:AF148)=0,"",IFERROR(AF142/AG142,""))</f>
        <v/>
      </c>
      <c r="AJ142" s="157">
        <f t="shared" si="580"/>
        <v>6</v>
      </c>
    </row>
    <row r="143" spans="1:36" ht="24.95" customHeight="1" x14ac:dyDescent="0.25">
      <c r="A143" s="182" t="str">
        <f t="shared" si="566"/>
        <v>باجگیران</v>
      </c>
      <c r="B143" s="216"/>
      <c r="C143" s="167" t="str">
        <f t="shared" si="406"/>
        <v>مهر</v>
      </c>
      <c r="D143" s="171">
        <f>SUM('مقایسه بودجه- صادرات'!D143,'مقایسه بودجه- واردات'!D143)</f>
        <v>0</v>
      </c>
      <c r="E143" s="159">
        <f>SUM('مقایسه بودجه- صادرات'!E143,'مقایسه بودجه- واردات'!E143)</f>
        <v>0</v>
      </c>
      <c r="F143" s="159">
        <f t="shared" si="575"/>
        <v>0</v>
      </c>
      <c r="G143" s="175" t="str">
        <f>IF(SUM(D143:D148)=0,"",IFERROR(D143/E143,""))</f>
        <v/>
      </c>
      <c r="H143" s="171">
        <f>SUM('مقایسه بودجه- صادرات'!H143,'مقایسه بودجه- واردات'!H143)</f>
        <v>0</v>
      </c>
      <c r="I143" s="159">
        <f>SUM('مقایسه بودجه- صادرات'!I143,'مقایسه بودجه- واردات'!I143)</f>
        <v>0</v>
      </c>
      <c r="J143" s="159">
        <f t="shared" si="547"/>
        <v>0</v>
      </c>
      <c r="K143" s="175" t="str">
        <f>IF(SUM(H143:H148)=0,"",IFERROR(H143/I143,""))</f>
        <v/>
      </c>
      <c r="L143" s="171">
        <f>SUM('مقایسه بودجه- صادرات'!L143,'مقایسه بودجه- واردات'!L143)</f>
        <v>0</v>
      </c>
      <c r="M143" s="159">
        <f>SUM('مقایسه بودجه- صادرات'!M143,'مقایسه بودجه- واردات'!M143)</f>
        <v>0</v>
      </c>
      <c r="N143" s="159">
        <f t="shared" si="548"/>
        <v>0</v>
      </c>
      <c r="O143" s="175" t="str">
        <f>IF(SUM(L143:L148)=0,"",IFERROR(L143/M143,""))</f>
        <v/>
      </c>
      <c r="P143" s="171">
        <f>SUM('مقایسه بودجه- صادرات'!P143,'مقایسه بودجه- واردات'!P143)</f>
        <v>0</v>
      </c>
      <c r="Q143" s="159">
        <f>SUM('مقایسه بودجه- صادرات'!Q143,'مقایسه بودجه- واردات'!Q143)</f>
        <v>0</v>
      </c>
      <c r="R143" s="159">
        <f t="shared" si="549"/>
        <v>0</v>
      </c>
      <c r="S143" s="175" t="str">
        <f>IF(SUM(P143:P148)=0,"",IFERROR(P143/Q143,""))</f>
        <v/>
      </c>
      <c r="T143" s="171">
        <f t="shared" si="534"/>
        <v>0</v>
      </c>
      <c r="U143" s="159">
        <f t="shared" si="535"/>
        <v>0</v>
      </c>
      <c r="V143" s="159">
        <f t="shared" si="550"/>
        <v>0</v>
      </c>
      <c r="W143" s="175" t="str">
        <f t="shared" ref="W143" si="593">IF(SUM(T143:T148)=0,"",IFERROR(T143/U143,""))</f>
        <v/>
      </c>
      <c r="X143" s="171">
        <f t="shared" si="537"/>
        <v>0</v>
      </c>
      <c r="Y143" s="159">
        <f t="shared" si="538"/>
        <v>0</v>
      </c>
      <c r="Z143" s="159">
        <f t="shared" si="552"/>
        <v>0</v>
      </c>
      <c r="AA143" s="175" t="str">
        <f t="shared" ref="AA143" si="594">IF(SUM(X143:X148)=0,"",IFERROR(X143/Y143,""))</f>
        <v/>
      </c>
      <c r="AB143" s="171">
        <f t="shared" si="540"/>
        <v>0</v>
      </c>
      <c r="AC143" s="159">
        <f t="shared" si="541"/>
        <v>0</v>
      </c>
      <c r="AD143" s="159">
        <f t="shared" si="554"/>
        <v>0</v>
      </c>
      <c r="AE143" s="175" t="str">
        <f t="shared" ref="AE143" si="595">IF(SUM(AB143:AB148)=0,"",IFERROR(AB143/AC143,""))</f>
        <v/>
      </c>
      <c r="AF143" s="171">
        <f t="shared" si="543"/>
        <v>0</v>
      </c>
      <c r="AG143" s="159">
        <f t="shared" si="544"/>
        <v>0</v>
      </c>
      <c r="AH143" s="159">
        <f t="shared" si="556"/>
        <v>0</v>
      </c>
      <c r="AI143" s="187" t="str">
        <f t="shared" ref="AI143" si="596">IF(SUM(AF143:AF148)=0,"",IFERROR(AF143/AG143,""))</f>
        <v/>
      </c>
      <c r="AJ143" s="157">
        <f t="shared" si="580"/>
        <v>7</v>
      </c>
    </row>
    <row r="144" spans="1:36" ht="24.95" customHeight="1" x14ac:dyDescent="0.25">
      <c r="A144" s="182" t="str">
        <f t="shared" si="566"/>
        <v>باجگیران</v>
      </c>
      <c r="B144" s="216"/>
      <c r="C144" s="167" t="str">
        <f t="shared" si="406"/>
        <v>آبان</v>
      </c>
      <c r="D144" s="171">
        <f>SUM('مقایسه بودجه- صادرات'!D144,'مقایسه بودجه- واردات'!D144)</f>
        <v>0</v>
      </c>
      <c r="E144" s="159">
        <f>SUM('مقایسه بودجه- صادرات'!E144,'مقایسه بودجه- واردات'!E144)</f>
        <v>0</v>
      </c>
      <c r="F144" s="159">
        <f t="shared" si="575"/>
        <v>0</v>
      </c>
      <c r="G144" s="175" t="str">
        <f>IF(SUM(D144:D148)=0,"",IFERROR(D144/E144,""))</f>
        <v/>
      </c>
      <c r="H144" s="171">
        <f>SUM('مقایسه بودجه- صادرات'!H144,'مقایسه بودجه- واردات'!H144)</f>
        <v>0</v>
      </c>
      <c r="I144" s="159">
        <f>SUM('مقایسه بودجه- صادرات'!I144,'مقایسه بودجه- واردات'!I144)</f>
        <v>0</v>
      </c>
      <c r="J144" s="159">
        <f t="shared" si="547"/>
        <v>0</v>
      </c>
      <c r="K144" s="175" t="str">
        <f>IF(SUM(H144:H148)=0,"",IFERROR(H144/I144,""))</f>
        <v/>
      </c>
      <c r="L144" s="171">
        <f>SUM('مقایسه بودجه- صادرات'!L144,'مقایسه بودجه- واردات'!L144)</f>
        <v>0</v>
      </c>
      <c r="M144" s="159">
        <f>SUM('مقایسه بودجه- صادرات'!M144,'مقایسه بودجه- واردات'!M144)</f>
        <v>0</v>
      </c>
      <c r="N144" s="159">
        <f t="shared" si="548"/>
        <v>0</v>
      </c>
      <c r="O144" s="175" t="str">
        <f>IF(SUM(L144:L148)=0,"",IFERROR(L144/M144,""))</f>
        <v/>
      </c>
      <c r="P144" s="171">
        <f>SUM('مقایسه بودجه- صادرات'!P144,'مقایسه بودجه- واردات'!P144)</f>
        <v>0</v>
      </c>
      <c r="Q144" s="159">
        <f>SUM('مقایسه بودجه- صادرات'!Q144,'مقایسه بودجه- واردات'!Q144)</f>
        <v>0</v>
      </c>
      <c r="R144" s="159">
        <f t="shared" si="549"/>
        <v>0</v>
      </c>
      <c r="S144" s="175" t="str">
        <f>IF(SUM(P144:P148)=0,"",IFERROR(P144/Q144,""))</f>
        <v/>
      </c>
      <c r="T144" s="171">
        <f t="shared" si="534"/>
        <v>0</v>
      </c>
      <c r="U144" s="159">
        <f t="shared" si="535"/>
        <v>0</v>
      </c>
      <c r="V144" s="159">
        <f t="shared" si="550"/>
        <v>0</v>
      </c>
      <c r="W144" s="175" t="str">
        <f t="shared" ref="W144" si="597">IF(SUM(T144:T148)=0,"",IFERROR(T144/U144,""))</f>
        <v/>
      </c>
      <c r="X144" s="171">
        <f t="shared" si="537"/>
        <v>0</v>
      </c>
      <c r="Y144" s="159">
        <f t="shared" si="538"/>
        <v>0</v>
      </c>
      <c r="Z144" s="159">
        <f t="shared" si="552"/>
        <v>0</v>
      </c>
      <c r="AA144" s="175" t="str">
        <f t="shared" ref="AA144" si="598">IF(SUM(X144:X148)=0,"",IFERROR(X144/Y144,""))</f>
        <v/>
      </c>
      <c r="AB144" s="171">
        <f t="shared" si="540"/>
        <v>0</v>
      </c>
      <c r="AC144" s="159">
        <f t="shared" si="541"/>
        <v>0</v>
      </c>
      <c r="AD144" s="159">
        <f t="shared" si="554"/>
        <v>0</v>
      </c>
      <c r="AE144" s="175" t="str">
        <f t="shared" ref="AE144" si="599">IF(SUM(AB144:AB148)=0,"",IFERROR(AB144/AC144,""))</f>
        <v/>
      </c>
      <c r="AF144" s="171">
        <f t="shared" si="543"/>
        <v>0</v>
      </c>
      <c r="AG144" s="159">
        <f t="shared" si="544"/>
        <v>0</v>
      </c>
      <c r="AH144" s="159">
        <f t="shared" si="556"/>
        <v>0</v>
      </c>
      <c r="AI144" s="187" t="str">
        <f t="shared" ref="AI144" si="600">IF(SUM(AF144:AF148)=0,"",IFERROR(AF144/AG144,""))</f>
        <v/>
      </c>
      <c r="AJ144" s="157">
        <f t="shared" si="580"/>
        <v>8</v>
      </c>
    </row>
    <row r="145" spans="1:36" ht="24.95" customHeight="1" x14ac:dyDescent="0.25">
      <c r="A145" s="182" t="str">
        <f t="shared" si="566"/>
        <v>باجگیران</v>
      </c>
      <c r="B145" s="216"/>
      <c r="C145" s="167" t="str">
        <f t="shared" si="406"/>
        <v>آذر</v>
      </c>
      <c r="D145" s="171">
        <f>SUM('مقایسه بودجه- صادرات'!D145,'مقایسه بودجه- واردات'!D145)</f>
        <v>0</v>
      </c>
      <c r="E145" s="159">
        <f>SUM('مقایسه بودجه- صادرات'!E145,'مقایسه بودجه- واردات'!E145)</f>
        <v>0</v>
      </c>
      <c r="F145" s="159">
        <f t="shared" si="575"/>
        <v>0</v>
      </c>
      <c r="G145" s="175" t="str">
        <f>IF(SUM(D145:D148)=0,"",IFERROR(D145/E145,""))</f>
        <v/>
      </c>
      <c r="H145" s="171">
        <f>SUM('مقایسه بودجه- صادرات'!H145,'مقایسه بودجه- واردات'!H145)</f>
        <v>0</v>
      </c>
      <c r="I145" s="159">
        <f>SUM('مقایسه بودجه- صادرات'!I145,'مقایسه بودجه- واردات'!I145)</f>
        <v>0</v>
      </c>
      <c r="J145" s="159">
        <f t="shared" si="547"/>
        <v>0</v>
      </c>
      <c r="K145" s="175" t="str">
        <f>IF(SUM(H145:H148)=0,"",IFERROR(H145/I145,""))</f>
        <v/>
      </c>
      <c r="L145" s="171">
        <f>SUM('مقایسه بودجه- صادرات'!L145,'مقایسه بودجه- واردات'!L145)</f>
        <v>0</v>
      </c>
      <c r="M145" s="159">
        <f>SUM('مقایسه بودجه- صادرات'!M145,'مقایسه بودجه- واردات'!M145)</f>
        <v>0</v>
      </c>
      <c r="N145" s="159">
        <f t="shared" si="548"/>
        <v>0</v>
      </c>
      <c r="O145" s="175" t="str">
        <f>IF(SUM(L145:L148)=0,"",IFERROR(L145/M145,""))</f>
        <v/>
      </c>
      <c r="P145" s="171">
        <f>SUM('مقایسه بودجه- صادرات'!P145,'مقایسه بودجه- واردات'!P145)</f>
        <v>0</v>
      </c>
      <c r="Q145" s="159">
        <f>SUM('مقایسه بودجه- صادرات'!Q145,'مقایسه بودجه- واردات'!Q145)</f>
        <v>0</v>
      </c>
      <c r="R145" s="159">
        <f t="shared" si="549"/>
        <v>0</v>
      </c>
      <c r="S145" s="175" t="str">
        <f>IF(SUM(P145:P148)=0,"",IFERROR(P145/Q145,""))</f>
        <v/>
      </c>
      <c r="T145" s="171">
        <f t="shared" si="534"/>
        <v>0</v>
      </c>
      <c r="U145" s="159">
        <f t="shared" si="535"/>
        <v>0</v>
      </c>
      <c r="V145" s="159">
        <f t="shared" si="550"/>
        <v>0</v>
      </c>
      <c r="W145" s="175" t="str">
        <f t="shared" ref="W145" si="601">IF(SUM(T145:T148)=0,"",IFERROR(T145/U145,""))</f>
        <v/>
      </c>
      <c r="X145" s="171">
        <f t="shared" si="537"/>
        <v>0</v>
      </c>
      <c r="Y145" s="159">
        <f t="shared" si="538"/>
        <v>0</v>
      </c>
      <c r="Z145" s="159">
        <f t="shared" si="552"/>
        <v>0</v>
      </c>
      <c r="AA145" s="175" t="str">
        <f t="shared" ref="AA145" si="602">IF(SUM(X145:X148)=0,"",IFERROR(X145/Y145,""))</f>
        <v/>
      </c>
      <c r="AB145" s="171">
        <f t="shared" si="540"/>
        <v>0</v>
      </c>
      <c r="AC145" s="159">
        <f t="shared" si="541"/>
        <v>0</v>
      </c>
      <c r="AD145" s="159">
        <f t="shared" si="554"/>
        <v>0</v>
      </c>
      <c r="AE145" s="175" t="str">
        <f t="shared" ref="AE145" si="603">IF(SUM(AB145:AB148)=0,"",IFERROR(AB145/AC145,""))</f>
        <v/>
      </c>
      <c r="AF145" s="171">
        <f t="shared" si="543"/>
        <v>0</v>
      </c>
      <c r="AG145" s="159">
        <f t="shared" si="544"/>
        <v>0</v>
      </c>
      <c r="AH145" s="159">
        <f t="shared" si="556"/>
        <v>0</v>
      </c>
      <c r="AI145" s="187" t="str">
        <f t="shared" ref="AI145" si="604">IF(SUM(AF145:AF148)=0,"",IFERROR(AF145/AG145,""))</f>
        <v/>
      </c>
      <c r="AJ145" s="157">
        <f t="shared" si="580"/>
        <v>9</v>
      </c>
    </row>
    <row r="146" spans="1:36" ht="24.95" customHeight="1" x14ac:dyDescent="0.25">
      <c r="A146" s="182" t="str">
        <f t="shared" si="566"/>
        <v>باجگیران</v>
      </c>
      <c r="B146" s="216"/>
      <c r="C146" s="167" t="str">
        <f t="shared" si="406"/>
        <v>دی</v>
      </c>
      <c r="D146" s="171">
        <f>SUM('مقایسه بودجه- صادرات'!D146,'مقایسه بودجه- واردات'!D146)</f>
        <v>0</v>
      </c>
      <c r="E146" s="159">
        <f>SUM('مقایسه بودجه- صادرات'!E146,'مقایسه بودجه- واردات'!E146)</f>
        <v>0</v>
      </c>
      <c r="F146" s="159">
        <f t="shared" si="575"/>
        <v>0</v>
      </c>
      <c r="G146" s="175" t="str">
        <f>IF(SUM(D146:D148)=0,"",IFERROR(D146/E146,""))</f>
        <v/>
      </c>
      <c r="H146" s="171">
        <f>SUM('مقایسه بودجه- صادرات'!H146,'مقایسه بودجه- واردات'!H146)</f>
        <v>0</v>
      </c>
      <c r="I146" s="159">
        <f>SUM('مقایسه بودجه- صادرات'!I146,'مقایسه بودجه- واردات'!I146)</f>
        <v>0</v>
      </c>
      <c r="J146" s="159">
        <f t="shared" ref="J146:J148" si="605">IFERROR(SUM(H146,-I146),"")</f>
        <v>0</v>
      </c>
      <c r="K146" s="175" t="str">
        <f>IF(SUM(H146:H148)=0,"",IFERROR(H146/I146,""))</f>
        <v/>
      </c>
      <c r="L146" s="171">
        <f>SUM('مقایسه بودجه- صادرات'!L146,'مقایسه بودجه- واردات'!L146)</f>
        <v>0</v>
      </c>
      <c r="M146" s="159">
        <f>SUM('مقایسه بودجه- صادرات'!M146,'مقایسه بودجه- واردات'!M146)</f>
        <v>0</v>
      </c>
      <c r="N146" s="159">
        <f t="shared" ref="N146:N148" si="606">IFERROR(SUM(L146,-M146),"")</f>
        <v>0</v>
      </c>
      <c r="O146" s="175" t="str">
        <f>IF(SUM(L146:L148)=0,"",IFERROR(L146/M146,""))</f>
        <v/>
      </c>
      <c r="P146" s="171">
        <f>SUM('مقایسه بودجه- صادرات'!P146,'مقایسه بودجه- واردات'!P146)</f>
        <v>0</v>
      </c>
      <c r="Q146" s="159">
        <f>SUM('مقایسه بودجه- صادرات'!Q146,'مقایسه بودجه- واردات'!Q146)</f>
        <v>0</v>
      </c>
      <c r="R146" s="159">
        <f t="shared" ref="R146:R148" si="607">IFERROR(SUM(P146,-Q146),"")</f>
        <v>0</v>
      </c>
      <c r="S146" s="175" t="str">
        <f>IF(SUM(P146:P148)=0,"",IFERROR(P146/Q146,""))</f>
        <v/>
      </c>
      <c r="T146" s="171">
        <f t="shared" si="534"/>
        <v>0</v>
      </c>
      <c r="U146" s="159">
        <f t="shared" si="535"/>
        <v>0</v>
      </c>
      <c r="V146" s="159">
        <f t="shared" ref="V146:V148" si="608">IFERROR(SUM(T146,-U146),"")</f>
        <v>0</v>
      </c>
      <c r="W146" s="175" t="str">
        <f t="shared" ref="W146" si="609">IF(SUM(T146:T148)=0,"",IFERROR(T146/U146,""))</f>
        <v/>
      </c>
      <c r="X146" s="171">
        <f t="shared" si="537"/>
        <v>0</v>
      </c>
      <c r="Y146" s="159">
        <f t="shared" si="538"/>
        <v>0</v>
      </c>
      <c r="Z146" s="159">
        <f t="shared" ref="Z146:Z148" si="610">IFERROR(SUM(X146,-Y146),"")</f>
        <v>0</v>
      </c>
      <c r="AA146" s="175" t="str">
        <f t="shared" ref="AA146" si="611">IF(SUM(X146:X148)=0,"",IFERROR(X146/Y146,""))</f>
        <v/>
      </c>
      <c r="AB146" s="171">
        <f t="shared" si="540"/>
        <v>0</v>
      </c>
      <c r="AC146" s="159">
        <f t="shared" si="541"/>
        <v>0</v>
      </c>
      <c r="AD146" s="159">
        <f t="shared" ref="AD146:AD148" si="612">IFERROR(SUM(AB146,-AC146),"")</f>
        <v>0</v>
      </c>
      <c r="AE146" s="175" t="str">
        <f t="shared" ref="AE146" si="613">IF(SUM(AB146:AB148)=0,"",IFERROR(AB146/AC146,""))</f>
        <v/>
      </c>
      <c r="AF146" s="171">
        <f t="shared" si="543"/>
        <v>0</v>
      </c>
      <c r="AG146" s="159">
        <f t="shared" si="544"/>
        <v>0</v>
      </c>
      <c r="AH146" s="159">
        <f t="shared" ref="AH146:AH148" si="614">IFERROR(SUM(AF146,-AG146),"")</f>
        <v>0</v>
      </c>
      <c r="AI146" s="187" t="str">
        <f t="shared" ref="AI146" si="615">IF(SUM(AF146:AF148)=0,"",IFERROR(AF146/AG146,""))</f>
        <v/>
      </c>
      <c r="AJ146" s="157">
        <f t="shared" si="580"/>
        <v>10</v>
      </c>
    </row>
    <row r="147" spans="1:36" ht="24.95" customHeight="1" x14ac:dyDescent="0.25">
      <c r="A147" s="182" t="str">
        <f t="shared" si="566"/>
        <v>باجگیران</v>
      </c>
      <c r="B147" s="216"/>
      <c r="C147" s="167" t="str">
        <f t="shared" si="406"/>
        <v>بهمن</v>
      </c>
      <c r="D147" s="171">
        <f>SUM('مقایسه بودجه- صادرات'!D147,'مقایسه بودجه- واردات'!D147)</f>
        <v>0.75800000000000001</v>
      </c>
      <c r="E147" s="159">
        <f>SUM('مقایسه بودجه- صادرات'!E147,'مقایسه بودجه- واردات'!E147)</f>
        <v>0</v>
      </c>
      <c r="F147" s="159">
        <f t="shared" si="575"/>
        <v>0.75800000000000001</v>
      </c>
      <c r="G147" s="175" t="str">
        <f>IF(SUM(D147:D148)=0,"",IFERROR(D147/E147,""))</f>
        <v/>
      </c>
      <c r="H147" s="171">
        <f>SUM('مقایسه بودجه- صادرات'!H147,'مقایسه بودجه- واردات'!H147)</f>
        <v>0.13700000000000001</v>
      </c>
      <c r="I147" s="159">
        <f>SUM('مقایسه بودجه- صادرات'!I147,'مقایسه بودجه- واردات'!I147)</f>
        <v>0</v>
      </c>
      <c r="J147" s="159">
        <f t="shared" si="605"/>
        <v>0.13700000000000001</v>
      </c>
      <c r="K147" s="175" t="str">
        <f>IF(SUM(H147:H148)=0,"",IFERROR(H147/I147,""))</f>
        <v/>
      </c>
      <c r="L147" s="171">
        <f>SUM('مقایسه بودجه- صادرات'!L147,'مقایسه بودجه- واردات'!L147)</f>
        <v>0</v>
      </c>
      <c r="M147" s="159">
        <f>SUM('مقایسه بودجه- صادرات'!M147,'مقایسه بودجه- واردات'!M147)</f>
        <v>0</v>
      </c>
      <c r="N147" s="159">
        <f t="shared" si="606"/>
        <v>0</v>
      </c>
      <c r="O147" s="175" t="str">
        <f>IF(SUM(L147:L148)=0,"",IFERROR(L147/M147,""))</f>
        <v/>
      </c>
      <c r="P147" s="171">
        <f>SUM('مقایسه بودجه- صادرات'!P147,'مقایسه بودجه- واردات'!P147)</f>
        <v>0</v>
      </c>
      <c r="Q147" s="159">
        <f>SUM('مقایسه بودجه- صادرات'!Q147,'مقایسه بودجه- واردات'!Q147)</f>
        <v>0</v>
      </c>
      <c r="R147" s="159">
        <f t="shared" si="607"/>
        <v>0</v>
      </c>
      <c r="S147" s="175" t="str">
        <f>IF(SUM(P147:P148)=0,"",IFERROR(P147/Q147,""))</f>
        <v/>
      </c>
      <c r="T147" s="171">
        <f t="shared" si="534"/>
        <v>0.75800000000000001</v>
      </c>
      <c r="U147" s="159">
        <f t="shared" si="535"/>
        <v>0</v>
      </c>
      <c r="V147" s="159">
        <f t="shared" si="608"/>
        <v>0.75800000000000001</v>
      </c>
      <c r="W147" s="175" t="str">
        <f t="shared" ref="W147" si="616">IF(SUM(T147:T148)=0,"",IFERROR(T147/U147,""))</f>
        <v/>
      </c>
      <c r="X147" s="171">
        <f t="shared" si="537"/>
        <v>0.13700000000000001</v>
      </c>
      <c r="Y147" s="159">
        <f t="shared" si="538"/>
        <v>0</v>
      </c>
      <c r="Z147" s="159">
        <f t="shared" si="610"/>
        <v>0.13700000000000001</v>
      </c>
      <c r="AA147" s="175" t="str">
        <f t="shared" ref="AA147" si="617">IF(SUM(X147:X148)=0,"",IFERROR(X147/Y147,""))</f>
        <v/>
      </c>
      <c r="AB147" s="171">
        <f t="shared" si="540"/>
        <v>0</v>
      </c>
      <c r="AC147" s="159">
        <f t="shared" si="541"/>
        <v>0</v>
      </c>
      <c r="AD147" s="159">
        <f t="shared" si="612"/>
        <v>0</v>
      </c>
      <c r="AE147" s="175" t="str">
        <f t="shared" ref="AE147" si="618">IF(SUM(AB147:AB148)=0,"",IFERROR(AB147/AC147,""))</f>
        <v/>
      </c>
      <c r="AF147" s="171">
        <f t="shared" si="543"/>
        <v>0</v>
      </c>
      <c r="AG147" s="159">
        <f t="shared" si="544"/>
        <v>0</v>
      </c>
      <c r="AH147" s="159">
        <f t="shared" si="614"/>
        <v>0</v>
      </c>
      <c r="AI147" s="187" t="str">
        <f t="shared" ref="AI147" si="619">IF(SUM(AF147:AF148)=0,"",IFERROR(AF147/AG147,""))</f>
        <v/>
      </c>
      <c r="AJ147" s="157">
        <f t="shared" si="580"/>
        <v>11</v>
      </c>
    </row>
    <row r="148" spans="1:36" ht="24.95" customHeight="1" thickBot="1" x14ac:dyDescent="0.3">
      <c r="A148" s="182" t="str">
        <f t="shared" si="566"/>
        <v>باجگیران</v>
      </c>
      <c r="B148" s="217"/>
      <c r="C148" s="168" t="str">
        <f t="shared" si="406"/>
        <v>اسفند</v>
      </c>
      <c r="D148" s="172">
        <f>SUM('مقایسه بودجه- صادرات'!D148,'مقایسه بودجه- واردات'!D148)</f>
        <v>2</v>
      </c>
      <c r="E148" s="173">
        <f>SUM('مقایسه بودجه- صادرات'!E148,'مقایسه بودجه- واردات'!E148)</f>
        <v>0</v>
      </c>
      <c r="F148" s="173">
        <f t="shared" si="575"/>
        <v>2</v>
      </c>
      <c r="G148" s="176" t="str">
        <f>IF(SUM(D148)=0,"",IFERROR(D148/E148,""))</f>
        <v/>
      </c>
      <c r="H148" s="172">
        <f>SUM('مقایسه بودجه- صادرات'!H148,'مقایسه بودجه- واردات'!H148)</f>
        <v>1</v>
      </c>
      <c r="I148" s="173">
        <f>SUM('مقایسه بودجه- صادرات'!I148,'مقایسه بودجه- واردات'!I148)</f>
        <v>0</v>
      </c>
      <c r="J148" s="173">
        <f t="shared" si="605"/>
        <v>1</v>
      </c>
      <c r="K148" s="176" t="str">
        <f>IF(SUM(H148)=0,"",IFERROR(H148/I148,""))</f>
        <v/>
      </c>
      <c r="L148" s="172">
        <f>SUM('مقایسه بودجه- صادرات'!L148,'مقایسه بودجه- واردات'!L148)</f>
        <v>0</v>
      </c>
      <c r="M148" s="173">
        <f>SUM('مقایسه بودجه- صادرات'!M148,'مقایسه بودجه- واردات'!M148)</f>
        <v>0</v>
      </c>
      <c r="N148" s="173">
        <f t="shared" si="606"/>
        <v>0</v>
      </c>
      <c r="O148" s="176" t="str">
        <f>IF(SUM(L148)=0,"",IFERROR(L148/M148,""))</f>
        <v/>
      </c>
      <c r="P148" s="172">
        <f>SUM('مقایسه بودجه- صادرات'!P148,'مقایسه بودجه- واردات'!P148)</f>
        <v>0</v>
      </c>
      <c r="Q148" s="173">
        <f>SUM('مقایسه بودجه- صادرات'!Q148,'مقایسه بودجه- واردات'!Q148)</f>
        <v>0</v>
      </c>
      <c r="R148" s="173">
        <f t="shared" si="607"/>
        <v>0</v>
      </c>
      <c r="S148" s="176" t="str">
        <f>IF(SUM(P148)=0,"",IFERROR(P148/Q148,""))</f>
        <v/>
      </c>
      <c r="T148" s="172">
        <f t="shared" si="534"/>
        <v>2.758</v>
      </c>
      <c r="U148" s="173">
        <f t="shared" si="535"/>
        <v>0</v>
      </c>
      <c r="V148" s="173">
        <f t="shared" si="608"/>
        <v>2.758</v>
      </c>
      <c r="W148" s="176" t="str">
        <f t="shared" ref="W148" si="620">IF(SUM(T148)=0,"",IFERROR(T148/U148,""))</f>
        <v/>
      </c>
      <c r="X148" s="172">
        <f t="shared" si="537"/>
        <v>1.137</v>
      </c>
      <c r="Y148" s="173">
        <f t="shared" si="538"/>
        <v>0</v>
      </c>
      <c r="Z148" s="173">
        <f t="shared" si="610"/>
        <v>1.137</v>
      </c>
      <c r="AA148" s="176" t="str">
        <f t="shared" ref="AA148" si="621">IF(SUM(X148)=0,"",IFERROR(X148/Y148,""))</f>
        <v/>
      </c>
      <c r="AB148" s="172">
        <f t="shared" si="540"/>
        <v>0</v>
      </c>
      <c r="AC148" s="173">
        <f t="shared" si="541"/>
        <v>0</v>
      </c>
      <c r="AD148" s="173">
        <f t="shared" si="612"/>
        <v>0</v>
      </c>
      <c r="AE148" s="176" t="str">
        <f t="shared" ref="AE148" si="622">IF(SUM(AB148)=0,"",IFERROR(AB148/AC148,""))</f>
        <v/>
      </c>
      <c r="AF148" s="172">
        <f t="shared" si="543"/>
        <v>0</v>
      </c>
      <c r="AG148" s="173">
        <f t="shared" si="544"/>
        <v>0</v>
      </c>
      <c r="AH148" s="173">
        <f t="shared" si="614"/>
        <v>0</v>
      </c>
      <c r="AI148" s="188" t="str">
        <f t="shared" ref="AI148" si="623">IF(SUM(AF148)=0,"",IFERROR(AF148/AG148,""))</f>
        <v/>
      </c>
      <c r="AJ148" s="157">
        <f>AJ147+1</f>
        <v>12</v>
      </c>
    </row>
  </sheetData>
  <sheetProtection algorithmName="SHA-512" hashValue="AaBTszOH2GL1FWvSXp7h12Xa13gOdeoQIo8aLMELp7o/HGnsc0KQEm+cHw0wIaBFTMcsB8BdAiEi7SBhP113eA==" saltValue="cIWadiJgGYH9QbeXTwM2iQ==" spinCount="100000" sheet="1" selectLockedCells="1" selectUnlockedCells="1"/>
  <mergeCells count="23">
    <mergeCell ref="B137:B148"/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  <mergeCell ref="B101:B112"/>
    <mergeCell ref="B113:B124"/>
    <mergeCell ref="B41:B52"/>
    <mergeCell ref="B53:B64"/>
    <mergeCell ref="B65:B76"/>
    <mergeCell ref="B77:B88"/>
    <mergeCell ref="B89:B100"/>
  </mergeCells>
  <conditionalFormatting sqref="A1:XFD1048576">
    <cfRule type="cellIs" dxfId="77" priority="1" operator="equal">
      <formula>0</formula>
    </cfRule>
  </conditionalFormatting>
  <conditionalFormatting sqref="F5:F148">
    <cfRule type="cellIs" dxfId="76" priority="167" operator="lessThan">
      <formula>0</formula>
    </cfRule>
  </conditionalFormatting>
  <conditionalFormatting sqref="G5:G148">
    <cfRule type="containsBlanks" dxfId="75" priority="164">
      <formula>LEN(TRIM(G5))=0</formula>
    </cfRule>
    <cfRule type="cellIs" dxfId="74" priority="165" operator="greaterThan">
      <formula>1.1</formula>
    </cfRule>
    <cfRule type="cellIs" dxfId="73" priority="166" operator="lessThan">
      <formula>0.9</formula>
    </cfRule>
  </conditionalFormatting>
  <conditionalFormatting sqref="J5:J148">
    <cfRule type="cellIs" dxfId="72" priority="148" operator="lessThan">
      <formula>0</formula>
    </cfRule>
  </conditionalFormatting>
  <conditionalFormatting sqref="K5:K148">
    <cfRule type="containsBlanks" dxfId="71" priority="109">
      <formula>LEN(TRIM(K5))=0</formula>
    </cfRule>
    <cfRule type="cellIs" dxfId="70" priority="110" operator="greaterThan">
      <formula>1.1</formula>
    </cfRule>
    <cfRule type="cellIs" dxfId="69" priority="111" operator="lessThan">
      <formula>0.9</formula>
    </cfRule>
    <cfRule type="containsBlanks" dxfId="68" priority="145">
      <formula>LEN(TRIM(K5))=0</formula>
    </cfRule>
    <cfRule type="cellIs" dxfId="67" priority="146" operator="greaterThan">
      <formula>1.1</formula>
    </cfRule>
    <cfRule type="cellIs" dxfId="66" priority="147" operator="lessThan">
      <formula>0.9</formula>
    </cfRule>
    <cfRule type="containsBlanks" dxfId="65" priority="161">
      <formula>LEN(TRIM(K5))=0</formula>
    </cfRule>
    <cfRule type="cellIs" dxfId="64" priority="162" operator="greaterThan">
      <formula>1.1</formula>
    </cfRule>
    <cfRule type="cellIs" dxfId="63" priority="163" operator="lessThan">
      <formula>0.9</formula>
    </cfRule>
  </conditionalFormatting>
  <conditionalFormatting sqref="N5:N148">
    <cfRule type="cellIs" dxfId="62" priority="144" operator="lessThan">
      <formula>0</formula>
    </cfRule>
  </conditionalFormatting>
  <conditionalFormatting sqref="O5:O148">
    <cfRule type="containsBlanks" dxfId="61" priority="106">
      <formula>LEN(TRIM(O5))=0</formula>
    </cfRule>
    <cfRule type="cellIs" dxfId="60" priority="107" operator="greaterThan">
      <formula>1.1</formula>
    </cfRule>
    <cfRule type="cellIs" dxfId="59" priority="108" operator="lessThan">
      <formula>0.9</formula>
    </cfRule>
    <cfRule type="containsBlanks" dxfId="58" priority="141">
      <formula>LEN(TRIM(O5))=0</formula>
    </cfRule>
    <cfRule type="cellIs" dxfId="57" priority="142" operator="greaterThan">
      <formula>1.1</formula>
    </cfRule>
    <cfRule type="cellIs" dxfId="56" priority="143" operator="lessThan">
      <formula>0.9</formula>
    </cfRule>
    <cfRule type="containsBlanks" dxfId="55" priority="158">
      <formula>LEN(TRIM(O5))=0</formula>
    </cfRule>
    <cfRule type="cellIs" dxfId="54" priority="159" operator="greaterThan">
      <formula>1.1</formula>
    </cfRule>
    <cfRule type="cellIs" dxfId="53" priority="160" operator="lessThan">
      <formula>0.9</formula>
    </cfRule>
  </conditionalFormatting>
  <conditionalFormatting sqref="R5:R148">
    <cfRule type="cellIs" dxfId="52" priority="140" operator="lessThan">
      <formula>0</formula>
    </cfRule>
  </conditionalFormatting>
  <conditionalFormatting sqref="S5:S148">
    <cfRule type="containsBlanks" dxfId="51" priority="103">
      <formula>LEN(TRIM(S5))=0</formula>
    </cfRule>
    <cfRule type="cellIs" dxfId="50" priority="104" operator="greaterThan">
      <formula>1.1</formula>
    </cfRule>
    <cfRule type="cellIs" dxfId="49" priority="105" operator="lessThan">
      <formula>0.9</formula>
    </cfRule>
    <cfRule type="containsBlanks" dxfId="48" priority="137">
      <formula>LEN(TRIM(S5))=0</formula>
    </cfRule>
    <cfRule type="cellIs" dxfId="47" priority="138" operator="greaterThan">
      <formula>1.1</formula>
    </cfRule>
    <cfRule type="cellIs" dxfId="46" priority="139" operator="lessThan">
      <formula>0.9</formula>
    </cfRule>
    <cfRule type="containsBlanks" dxfId="45" priority="155">
      <formula>LEN(TRIM(S5))=0</formula>
    </cfRule>
    <cfRule type="cellIs" dxfId="44" priority="156" operator="greaterThan">
      <formula>1.1</formula>
    </cfRule>
    <cfRule type="cellIs" dxfId="43" priority="157" operator="lessThan">
      <formula>0.9</formula>
    </cfRule>
  </conditionalFormatting>
  <conditionalFormatting sqref="V5:V148">
    <cfRule type="cellIs" dxfId="42" priority="38" operator="lessThan">
      <formula>0</formula>
    </cfRule>
  </conditionalFormatting>
  <conditionalFormatting sqref="W5:W148">
    <cfRule type="containsBlanks" dxfId="41" priority="11">
      <formula>LEN(TRIM(W5))=0</formula>
    </cfRule>
    <cfRule type="cellIs" dxfId="40" priority="12" operator="greaterThan">
      <formula>1.1</formula>
    </cfRule>
    <cfRule type="cellIs" dxfId="39" priority="13" operator="lessThan">
      <formula>0.9</formula>
    </cfRule>
    <cfRule type="containsBlanks" dxfId="38" priority="35">
      <formula>LEN(TRIM(W5))=0</formula>
    </cfRule>
    <cfRule type="cellIs" dxfId="37" priority="36" operator="greaterThan">
      <formula>1.1</formula>
    </cfRule>
    <cfRule type="cellIs" dxfId="36" priority="37" operator="lessThan">
      <formula>0.9</formula>
    </cfRule>
    <cfRule type="containsBlanks" dxfId="35" priority="42">
      <formula>LEN(TRIM(W5))=0</formula>
    </cfRule>
    <cfRule type="cellIs" dxfId="34" priority="43" operator="greaterThan">
      <formula>1.1</formula>
    </cfRule>
    <cfRule type="cellIs" dxfId="33" priority="44" operator="lessThan">
      <formula>0.9</formula>
    </cfRule>
  </conditionalFormatting>
  <conditionalFormatting sqref="Z5:Z148">
    <cfRule type="cellIs" dxfId="32" priority="31" operator="lessThan">
      <formula>0</formula>
    </cfRule>
  </conditionalFormatting>
  <conditionalFormatting sqref="AA5:AA148">
    <cfRule type="containsBlanks" dxfId="31" priority="8">
      <formula>LEN(TRIM(AA5))=0</formula>
    </cfRule>
    <cfRule type="cellIs" dxfId="30" priority="9" operator="greaterThan">
      <formula>1.1</formula>
    </cfRule>
    <cfRule type="cellIs" dxfId="29" priority="10" operator="lessThan">
      <formula>0.9</formula>
    </cfRule>
    <cfRule type="containsBlanks" dxfId="28" priority="28">
      <formula>LEN(TRIM(AA5))=0</formula>
    </cfRule>
    <cfRule type="cellIs" dxfId="27" priority="29" operator="greaterThan">
      <formula>1.1</formula>
    </cfRule>
    <cfRule type="cellIs" dxfId="26" priority="30" operator="lessThan">
      <formula>0.9</formula>
    </cfRule>
    <cfRule type="containsBlanks" dxfId="25" priority="32">
      <formula>LEN(TRIM(AA5))=0</formula>
    </cfRule>
    <cfRule type="cellIs" dxfId="24" priority="33" operator="greaterThan">
      <formula>1.1</formula>
    </cfRule>
    <cfRule type="cellIs" dxfId="23" priority="34" operator="lessThan">
      <formula>0.9</formula>
    </cfRule>
    <cfRule type="containsBlanks" dxfId="22" priority="39">
      <formula>LEN(TRIM(AA5))=0</formula>
    </cfRule>
    <cfRule type="cellIs" dxfId="21" priority="40" operator="greaterThan">
      <formula>1.1</formula>
    </cfRule>
    <cfRule type="cellIs" dxfId="20" priority="41" operator="lessThan">
      <formula>0.9</formula>
    </cfRule>
  </conditionalFormatting>
  <conditionalFormatting sqref="AD5:AD148">
    <cfRule type="cellIs" dxfId="19" priority="24" operator="lessThan">
      <formula>0</formula>
    </cfRule>
  </conditionalFormatting>
  <conditionalFormatting sqref="AE5:AE148">
    <cfRule type="containsBlanks" dxfId="18" priority="5">
      <formula>LEN(TRIM(AE5))=0</formula>
    </cfRule>
    <cfRule type="cellIs" dxfId="17" priority="6" operator="greaterThan">
      <formula>1.1</formula>
    </cfRule>
    <cfRule type="cellIs" dxfId="16" priority="7" operator="lessThan">
      <formula>0.9</formula>
    </cfRule>
    <cfRule type="containsBlanks" dxfId="15" priority="21">
      <formula>LEN(TRIM(AE5))=0</formula>
    </cfRule>
    <cfRule type="cellIs" dxfId="14" priority="22" operator="greaterThan">
      <formula>1.1</formula>
    </cfRule>
    <cfRule type="cellIs" dxfId="13" priority="23" operator="lessThan">
      <formula>0.9</formula>
    </cfRule>
    <cfRule type="containsBlanks" dxfId="12" priority="25">
      <formula>LEN(TRIM(AE5))=0</formula>
    </cfRule>
    <cfRule type="cellIs" dxfId="11" priority="26" operator="greaterThan">
      <formula>1.1</formula>
    </cfRule>
    <cfRule type="cellIs" dxfId="10" priority="27" operator="lessThan">
      <formula>0.9</formula>
    </cfRule>
  </conditionalFormatting>
  <conditionalFormatting sqref="AH5:AH148">
    <cfRule type="cellIs" dxfId="9" priority="17" operator="lessThan">
      <formula>0</formula>
    </cfRule>
  </conditionalFormatting>
  <conditionalFormatting sqref="AI5:AI148">
    <cfRule type="containsBlanks" dxfId="8" priority="2">
      <formula>LEN(TRIM(AI5))=0</formula>
    </cfRule>
    <cfRule type="cellIs" dxfId="7" priority="3" operator="greaterThan">
      <formula>1.1</formula>
    </cfRule>
    <cfRule type="cellIs" dxfId="6" priority="4" operator="lessThan">
      <formula>0.9</formula>
    </cfRule>
    <cfRule type="containsBlanks" dxfId="5" priority="14">
      <formula>LEN(TRIM(AI5))=0</formula>
    </cfRule>
    <cfRule type="cellIs" dxfId="4" priority="15" operator="greaterThan">
      <formula>1.1</formula>
    </cfRule>
    <cfRule type="cellIs" dxfId="3" priority="16" operator="lessThan">
      <formula>0.9</formula>
    </cfRule>
    <cfRule type="containsBlanks" dxfId="2" priority="18">
      <formula>LEN(TRIM(AI5))=0</formula>
    </cfRule>
    <cfRule type="cellIs" dxfId="1" priority="19" operator="greaterThan">
      <formula>1.1</formula>
    </cfRule>
    <cfRule type="cellIs" dxfId="0" priority="20" operator="lessThan">
      <formula>0.9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تجمیعی</vt:lpstr>
      <vt:lpstr>واردات</vt:lpstr>
      <vt:lpstr>صادرات</vt:lpstr>
      <vt:lpstr>انبار مسقف</vt:lpstr>
      <vt:lpstr>انبار بارانداز</vt:lpstr>
      <vt:lpstr>انبار هانگار</vt:lpstr>
      <vt:lpstr>چک تناژ</vt:lpstr>
      <vt:lpstr>مقایسه بودجه- واردات</vt:lpstr>
      <vt:lpstr>مقایسه بودجه- صادرات</vt:lpstr>
      <vt:lpstr>مقایسه بودجه- تجمیعی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2026-04-18T07:01:43Z</dcterms:modified>
</cp:coreProperties>
</file>