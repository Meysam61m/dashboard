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drive_c_14050628\"/>
    </mc:Choice>
  </mc:AlternateContent>
  <xr:revisionPtr revIDLastSave="0" documentId="8_{5BD1F2CF-E142-4256-8628-3E93009D942F}" xr6:coauthVersionLast="47" xr6:coauthVersionMax="47" xr10:uidLastSave="{00000000-0000-0000-0000-000000000000}"/>
  <bookViews>
    <workbookView xWindow="-120" yWindow="-120" windowWidth="29040" windowHeight="15720" activeTab="6" xr2:uid="{4468AEE9-B3D5-4366-ADD1-44B30CE27BDA}"/>
  </bookViews>
  <sheets>
    <sheet name="جدول فروش خدمات" sheetId="1" r:id="rId1"/>
    <sheet name="تعداد پرسنل" sheetId="2" r:id="rId2"/>
    <sheet name="هزینه پرسنلی مستقیم خدمات" sheetId="3" r:id="rId3"/>
    <sheet name="پروژه ها" sheetId="4" r:id="rId4"/>
    <sheet name="ماشین آلات " sheetId="5" r:id="rId5"/>
    <sheet name="ظرفیت انبارها" sheetId="6" r:id="rId6"/>
    <sheet name="جدول درآمد-هزینه-سود شرکتها" sheetId="7" r:id="rId7"/>
  </sheets>
  <externalReferences>
    <externalReference r:id="rId8"/>
    <externalReference r:id="rId9"/>
    <externalReference r:id="rId10"/>
    <externalReference r:id="rId11"/>
    <externalReference r:id="rId12"/>
    <externalReference r:id="rId13"/>
    <externalReference r:id="rId14"/>
    <externalReference r:id="rId15"/>
  </externalReferences>
  <definedNames>
    <definedName name="_xlnm._FilterDatabase" localSheetId="3" hidden="1">'پروژه ها'!$V$1:$V$47</definedName>
    <definedName name="AA" localSheetId="2">#REF!</definedName>
    <definedName name="AA">#REF!</definedName>
    <definedName name="aaa">'[3]100022'!$A$1:$AV$90</definedName>
    <definedName name="aaaaa">'[4]عوامل در مراکز  '!$A$1:$AV$87</definedName>
    <definedName name="acttype" localSheetId="2">#REF!</definedName>
    <definedName name="acttype">#REF!</definedName>
    <definedName name="ali" localSheetId="2">#REF!</definedName>
    <definedName name="ali">#REF!</definedName>
    <definedName name="Ard">"آرد قراردادي"</definedName>
    <definedName name="BTitle" localSheetId="2">#REF!</definedName>
    <definedName name="BTitle">#REF!</definedName>
    <definedName name="Contracual_Driver">[5]Parametr!$C$3</definedName>
    <definedName name="cr_kim_sheet1" localSheetId="2">[6]SHEET1!#REF!</definedName>
    <definedName name="cr_kim_sheet1">[6]SHEET1!#REF!</definedName>
    <definedName name="Cا152">[1]BudgetDB!#REF!</definedName>
    <definedName name="Daramad_Serkati_GF">125%</definedName>
    <definedName name="Daramad_Tejari_GF">125%</definedName>
    <definedName name="fd" localSheetId="2">#REF!</definedName>
    <definedName name="fd">#REF!</definedName>
    <definedName name="fm" localSheetId="2">#REF!</definedName>
    <definedName name="fm">#REF!</definedName>
    <definedName name="fpath" localSheetId="2">#REF!</definedName>
    <definedName name="fpath">#REF!</definedName>
    <definedName name="ftype" localSheetId="2">#REF!</definedName>
    <definedName name="ftype">#REF!</definedName>
    <definedName name="fulltablist" localSheetId="2">#REF!</definedName>
    <definedName name="fulltablist">#REF!</definedName>
    <definedName name="fy" localSheetId="2">#REF!</definedName>
    <definedName name="fy">#REF!</definedName>
    <definedName name="fymd" localSheetId="2">#REF!</definedName>
    <definedName name="fymd">#REF!</definedName>
    <definedName name="Gandom">"گندم قراردادي"</definedName>
    <definedName name="Hazineh_Sherkati_GF">130%</definedName>
    <definedName name="Hazineh_Tejari_GF">130%</definedName>
    <definedName name="LastCell" localSheetId="2">#REF!</definedName>
    <definedName name="LastCell">#REF!</definedName>
    <definedName name="Light_Ratio">[5]Parametr!$C$7</definedName>
    <definedName name="Ostani">"گندم قراردادي"</definedName>
    <definedName name="_xlnm.Print_Area" localSheetId="3">'پروژه ها'!$A$1:$X$36</definedName>
    <definedName name="_xlnm.Print_Area" localSheetId="1">'تعداد پرسنل'!$A$1:$AD$11</definedName>
    <definedName name="_xlnm.Print_Area" localSheetId="6">'جدول درآمد-هزینه-سود شرکتها'!$A$1:$F$20</definedName>
    <definedName name="_xlnm.Print_Area" localSheetId="0">'جدول فروش خدمات'!$A$1:$O$25</definedName>
    <definedName name="_xlnm.Print_Area" localSheetId="5">'ظرفیت انبارها'!$A$1:$AC$35</definedName>
    <definedName name="_xlnm.Print_Area" localSheetId="4">'ماشین آلات '!$A$1:$BG$16</definedName>
    <definedName name="_xlnm.Print_Area" localSheetId="2">'هزینه پرسنلی مستقیم خدمات'!$A$1:$G$33</definedName>
    <definedName name="_xlnm.Print_Titles" localSheetId="3">'پروژه ها'!$1:$5</definedName>
    <definedName name="_xlnm.Print_Titles" localSheetId="5">'ظرفیت انبارها'!$1:$4</definedName>
    <definedName name="_xlnm.Print_Titles" localSheetId="2">'هزینه پرسنلی مستقیم خدمات'!$1:$5</definedName>
    <definedName name="Sarasari">"سراسري"</definedName>
    <definedName name="StartCell" localSheetId="2">#REF!</definedName>
    <definedName name="StartCell">#REF!</definedName>
    <definedName name="tabfile" localSheetId="2">#REF!</definedName>
    <definedName name="tabfile">#REF!</definedName>
    <definedName name="tabref" localSheetId="2">#REF!</definedName>
    <definedName name="tabref">#REF!</definedName>
    <definedName name="tabtitles" localSheetId="2">#REF!</definedName>
    <definedName name="tabtitles">#REF!</definedName>
    <definedName name="Tashim_From_Cost_to_Official" localSheetId="2">#REF!</definedName>
    <definedName name="Tashim_From_Cost_to_Official">#REF!</definedName>
    <definedName name="Tashim_From_Cost_to_Official_12_month_92_Forcast" localSheetId="2">#REF!</definedName>
    <definedName name="Tashim_From_Cost_to_Official_12_month_92_Forcast">#REF!</definedName>
    <definedName name="Tashim_From_Cost_to_Official_6_month_92" localSheetId="2">#REF!</definedName>
    <definedName name="Tashim_From_Cost_to_Official_6_month_92">#REF!</definedName>
    <definedName name="Tashim_From_Cost_to_Opratinal_12_month_92_Forcast" localSheetId="2">#REF!</definedName>
    <definedName name="Tashim_From_Cost_to_Opratinal_12_month_92_Forcast">#REF!</definedName>
    <definedName name="vco" localSheetId="2">#REF!</definedName>
    <definedName name="vco">#REF!</definedName>
    <definedName name="vconame" localSheetId="2">#REF!</definedName>
    <definedName name="vconame">#REF!</definedName>
    <definedName name="ا" localSheetId="2">#REF!</definedName>
    <definedName name="ا">#REF!</definedName>
    <definedName name="تلاتال">'[7]عوامل در مراکز  '!$A$1:$AV$87</definedName>
    <definedName name="زب317">[1]BudgetDB!#REF!</definedName>
    <definedName name="مم" localSheetId="2">[6]SHEET1!#REF!</definedName>
    <definedName name="مم">[6]SHEET1!#REF!</definedName>
    <definedName name="مواد" localSheetId="2">#REF!</definedName>
    <definedName name="مواد">#REF!</definedName>
    <definedName name="ناهغ" localSheetId="2">[6]SHEET1!#REF!</definedName>
    <definedName name="ناهغ">[6]SHEET1!#REF!</definedName>
    <definedName name="یذ204">[1]BudgetDB!#REF!</definedName>
    <definedName name="یییی" localSheetId="2">[8]SHEET1!#REF!</definedName>
    <definedName name="یییی">[8]SHEET1!#REF!</definedName>
    <definedName name="ئم10">[1]BudgetDB!#REF!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V16" i="7" l="1"/>
  <c r="BU16" i="7"/>
  <c r="BT16" i="7"/>
  <c r="BO16" i="7"/>
  <c r="BQ16" i="7" s="1"/>
  <c r="BN16" i="7"/>
  <c r="BP16" i="7" s="1"/>
  <c r="BM16" i="7"/>
  <c r="BH16" i="7"/>
  <c r="BJ16" i="7" s="1"/>
  <c r="BG16" i="7"/>
  <c r="BF16" i="7"/>
  <c r="BC16" i="7"/>
  <c r="BB16" i="7"/>
  <c r="BA16" i="7"/>
  <c r="AZ16" i="7"/>
  <c r="AY16" i="7"/>
  <c r="AT16" i="7"/>
  <c r="AS16" i="7"/>
  <c r="AR16" i="7"/>
  <c r="AM16" i="7"/>
  <c r="AN16" i="7" s="1"/>
  <c r="AL16" i="7"/>
  <c r="AK16" i="7"/>
  <c r="AF16" i="7"/>
  <c r="AE16" i="7"/>
  <c r="AD16" i="7"/>
  <c r="AA16" i="7"/>
  <c r="Y16" i="7"/>
  <c r="X16" i="7"/>
  <c r="Z16" i="7" s="1"/>
  <c r="W16" i="7"/>
  <c r="T16" i="7"/>
  <c r="R16" i="7"/>
  <c r="S16" i="7" s="1"/>
  <c r="Q16" i="7"/>
  <c r="P16" i="7"/>
  <c r="K16" i="7"/>
  <c r="J16" i="7"/>
  <c r="I16" i="7"/>
  <c r="BU15" i="7"/>
  <c r="BT15" i="7"/>
  <c r="AF15" i="7"/>
  <c r="AE15" i="7"/>
  <c r="AE17" i="7" s="1"/>
  <c r="Y12" i="7"/>
  <c r="BX11" i="7"/>
  <c r="BW11" i="7"/>
  <c r="BQ11" i="7"/>
  <c r="BP11" i="7"/>
  <c r="BJ11" i="7"/>
  <c r="BI11" i="7"/>
  <c r="BC11" i="7"/>
  <c r="BB11" i="7"/>
  <c r="AV11" i="7"/>
  <c r="AU11" i="7"/>
  <c r="AO11" i="7"/>
  <c r="AN11" i="7"/>
  <c r="AH11" i="7"/>
  <c r="AG11" i="7"/>
  <c r="AA11" i="7"/>
  <c r="Z11" i="7"/>
  <c r="T11" i="7"/>
  <c r="S11" i="7"/>
  <c r="M11" i="7"/>
  <c r="L11" i="7"/>
  <c r="D11" i="7"/>
  <c r="F11" i="7" s="1"/>
  <c r="C11" i="7"/>
  <c r="B11" i="7"/>
  <c r="BU10" i="7"/>
  <c r="BU12" i="7" s="1"/>
  <c r="BT10" i="7"/>
  <c r="BT12" i="7" s="1"/>
  <c r="K10" i="7"/>
  <c r="J10" i="7"/>
  <c r="J12" i="7" s="1"/>
  <c r="BX9" i="7"/>
  <c r="BW9" i="7"/>
  <c r="BQ9" i="7"/>
  <c r="BP9" i="7"/>
  <c r="BJ9" i="7"/>
  <c r="BI9" i="7"/>
  <c r="BC9" i="7"/>
  <c r="BB9" i="7"/>
  <c r="AV9" i="7"/>
  <c r="AU9" i="7"/>
  <c r="AO9" i="7"/>
  <c r="AN9" i="7"/>
  <c r="AH9" i="7"/>
  <c r="AG9" i="7"/>
  <c r="AA9" i="7"/>
  <c r="Z9" i="7"/>
  <c r="T9" i="7"/>
  <c r="S9" i="7"/>
  <c r="M9" i="7"/>
  <c r="L9" i="7"/>
  <c r="D9" i="7"/>
  <c r="C9" i="7"/>
  <c r="B9" i="7"/>
  <c r="BV8" i="7"/>
  <c r="BX8" i="7" s="1"/>
  <c r="BO8" i="7"/>
  <c r="BO15" i="7" s="1"/>
  <c r="BM8" i="7"/>
  <c r="BH8" i="7"/>
  <c r="BF8" i="7"/>
  <c r="BB8" i="7"/>
  <c r="BA8" i="7"/>
  <c r="BC8" i="7" s="1"/>
  <c r="AY8" i="7"/>
  <c r="AT8" i="7"/>
  <c r="AR8" i="7"/>
  <c r="AO8" i="7"/>
  <c r="AN8" i="7"/>
  <c r="AM8" i="7"/>
  <c r="AK8" i="7"/>
  <c r="AG8" i="7"/>
  <c r="AF8" i="7"/>
  <c r="AH8" i="7" s="1"/>
  <c r="AD8" i="7"/>
  <c r="Y8" i="7"/>
  <c r="W8" i="7"/>
  <c r="T8" i="7"/>
  <c r="S8" i="7"/>
  <c r="R8" i="7"/>
  <c r="P8" i="7"/>
  <c r="L8" i="7"/>
  <c r="K8" i="7"/>
  <c r="M8" i="7" s="1"/>
  <c r="I8" i="7"/>
  <c r="C8" i="7"/>
  <c r="B8" i="7"/>
  <c r="BX7" i="7"/>
  <c r="BW7" i="7"/>
  <c r="BQ7" i="7"/>
  <c r="BP7" i="7"/>
  <c r="BJ7" i="7"/>
  <c r="BI7" i="7"/>
  <c r="BC7" i="7"/>
  <c r="BB7" i="7"/>
  <c r="AV7" i="7"/>
  <c r="AU7" i="7"/>
  <c r="AO7" i="7"/>
  <c r="AN7" i="7"/>
  <c r="AH7" i="7"/>
  <c r="AG7" i="7"/>
  <c r="AA7" i="7"/>
  <c r="Z7" i="7"/>
  <c r="T7" i="7"/>
  <c r="S7" i="7"/>
  <c r="M7" i="7"/>
  <c r="L7" i="7"/>
  <c r="D7" i="7"/>
  <c r="C7" i="7"/>
  <c r="B7" i="7"/>
  <c r="BH6" i="7"/>
  <c r="BH10" i="7" s="1"/>
  <c r="BG6" i="7"/>
  <c r="BG10" i="7" s="1"/>
  <c r="BG12" i="7" s="1"/>
  <c r="AE6" i="7"/>
  <c r="AE10" i="7" s="1"/>
  <c r="AE12" i="7" s="1"/>
  <c r="AD6" i="7"/>
  <c r="AD10" i="7" s="1"/>
  <c r="AD12" i="7" s="1"/>
  <c r="AA6" i="7"/>
  <c r="K6" i="7"/>
  <c r="J6" i="7"/>
  <c r="I6" i="7"/>
  <c r="I10" i="7" s="1"/>
  <c r="I12" i="7" s="1"/>
  <c r="BX5" i="7"/>
  <c r="BW5" i="7"/>
  <c r="BQ5" i="7"/>
  <c r="BP5" i="7"/>
  <c r="BJ5" i="7"/>
  <c r="BI5" i="7"/>
  <c r="BC5" i="7"/>
  <c r="BB5" i="7"/>
  <c r="AV5" i="7"/>
  <c r="AU5" i="7"/>
  <c r="AO5" i="7"/>
  <c r="AN5" i="7"/>
  <c r="AH5" i="7"/>
  <c r="AG5" i="7"/>
  <c r="AA5" i="7"/>
  <c r="Z5" i="7"/>
  <c r="T5" i="7"/>
  <c r="S5" i="7"/>
  <c r="M5" i="7"/>
  <c r="L5" i="7"/>
  <c r="D5" i="7"/>
  <c r="C5" i="7"/>
  <c r="B5" i="7"/>
  <c r="BV4" i="7"/>
  <c r="BU4" i="7"/>
  <c r="BU6" i="7" s="1"/>
  <c r="BT4" i="7"/>
  <c r="BT6" i="7" s="1"/>
  <c r="BH4" i="7"/>
  <c r="BI4" i="7" s="1"/>
  <c r="BG4" i="7"/>
  <c r="BG15" i="7" s="1"/>
  <c r="BG17" i="7" s="1"/>
  <c r="BF4" i="7"/>
  <c r="BF6" i="7" s="1"/>
  <c r="BF10" i="7" s="1"/>
  <c r="BF12" i="7" s="1"/>
  <c r="BA4" i="7"/>
  <c r="AT4" i="7"/>
  <c r="AE4" i="7"/>
  <c r="AD4" i="7"/>
  <c r="Y4" i="7"/>
  <c r="Y6" i="7" s="1"/>
  <c r="Y10" i="7" s="1"/>
  <c r="X4" i="7"/>
  <c r="W4" i="7"/>
  <c r="W6" i="7" s="1"/>
  <c r="K4" i="7"/>
  <c r="J4" i="7"/>
  <c r="J15" i="7" s="1"/>
  <c r="I4" i="7"/>
  <c r="BY2" i="7"/>
  <c r="BS2" i="7" s="1"/>
  <c r="BR2" i="7"/>
  <c r="BO4" i="7" s="1"/>
  <c r="BO6" i="7" s="1"/>
  <c r="BL2" i="7"/>
  <c r="BK2" i="7"/>
  <c r="BE2" i="7"/>
  <c r="BD2" i="7"/>
  <c r="AX2" i="7"/>
  <c r="AW2" i="7"/>
  <c r="AS4" i="7" s="1"/>
  <c r="AQ2" i="7"/>
  <c r="AP2" i="7"/>
  <c r="AI2" i="7"/>
  <c r="AF4" i="7" s="1"/>
  <c r="AB2" i="7"/>
  <c r="V2" i="7"/>
  <c r="U2" i="7"/>
  <c r="O2" i="7" s="1"/>
  <c r="N2" i="7"/>
  <c r="H2" i="7"/>
  <c r="BS1" i="7"/>
  <c r="BL1" i="7"/>
  <c r="BE1" i="7"/>
  <c r="AX1" i="7"/>
  <c r="AQ1" i="7"/>
  <c r="AJ1" i="7"/>
  <c r="AC1" i="7"/>
  <c r="V1" i="7"/>
  <c r="O1" i="7"/>
  <c r="H1" i="7"/>
  <c r="A1" i="7"/>
  <c r="Z27" i="6"/>
  <c r="AA27" i="6" s="1"/>
  <c r="AB27" i="6" s="1"/>
  <c r="AC27" i="6" s="1"/>
  <c r="Y27" i="6"/>
  <c r="X27" i="6"/>
  <c r="W27" i="6"/>
  <c r="V27" i="6"/>
  <c r="U27" i="6"/>
  <c r="Q27" i="6"/>
  <c r="R27" i="6" s="1"/>
  <c r="S27" i="6" s="1"/>
  <c r="T27" i="6" s="1"/>
  <c r="P27" i="6"/>
  <c r="O27" i="6"/>
  <c r="N27" i="6"/>
  <c r="M27" i="6"/>
  <c r="L27" i="6"/>
  <c r="H27" i="6"/>
  <c r="I27" i="6" s="1"/>
  <c r="J27" i="6" s="1"/>
  <c r="K27" i="6" s="1"/>
  <c r="G27" i="6"/>
  <c r="F27" i="6"/>
  <c r="E27" i="6"/>
  <c r="D27" i="6"/>
  <c r="C27" i="6"/>
  <c r="AA26" i="6"/>
  <c r="AB26" i="6" s="1"/>
  <c r="AC26" i="6" s="1"/>
  <c r="Z26" i="6"/>
  <c r="Q26" i="6"/>
  <c r="R26" i="6" s="1"/>
  <c r="S26" i="6" s="1"/>
  <c r="T26" i="6" s="1"/>
  <c r="K26" i="6"/>
  <c r="J26" i="6"/>
  <c r="Y25" i="6"/>
  <c r="X25" i="6"/>
  <c r="W25" i="6"/>
  <c r="V25" i="6"/>
  <c r="Z25" i="6" s="1"/>
  <c r="AA25" i="6" s="1"/>
  <c r="AB25" i="6" s="1"/>
  <c r="AC25" i="6" s="1"/>
  <c r="U25" i="6"/>
  <c r="S25" i="6"/>
  <c r="T25" i="6" s="1"/>
  <c r="R25" i="6"/>
  <c r="Q25" i="6"/>
  <c r="P25" i="6"/>
  <c r="O25" i="6"/>
  <c r="N25" i="6"/>
  <c r="M25" i="6"/>
  <c r="L25" i="6"/>
  <c r="H25" i="6"/>
  <c r="G25" i="6"/>
  <c r="F25" i="6"/>
  <c r="E25" i="6"/>
  <c r="D25" i="6"/>
  <c r="C25" i="6"/>
  <c r="AD24" i="6"/>
  <c r="Z24" i="6"/>
  <c r="AA24" i="6" s="1"/>
  <c r="AB24" i="6" s="1"/>
  <c r="AC24" i="6" s="1"/>
  <c r="Q24" i="6"/>
  <c r="R24" i="6" s="1"/>
  <c r="S24" i="6" s="1"/>
  <c r="T24" i="6" s="1"/>
  <c r="I24" i="6"/>
  <c r="J24" i="6" s="1"/>
  <c r="K24" i="6" s="1"/>
  <c r="H24" i="6"/>
  <c r="AD23" i="6"/>
  <c r="AA23" i="6"/>
  <c r="AB23" i="6" s="1"/>
  <c r="AC23" i="6" s="1"/>
  <c r="Z23" i="6"/>
  <c r="Q23" i="6"/>
  <c r="R23" i="6" s="1"/>
  <c r="S23" i="6" s="1"/>
  <c r="T23" i="6" s="1"/>
  <c r="H23" i="6"/>
  <c r="I23" i="6" s="1"/>
  <c r="J23" i="6" s="1"/>
  <c r="K23" i="6" s="1"/>
  <c r="AD22" i="6"/>
  <c r="Z22" i="6"/>
  <c r="AA22" i="6" s="1"/>
  <c r="AB22" i="6" s="1"/>
  <c r="AC22" i="6" s="1"/>
  <c r="Q22" i="6"/>
  <c r="R22" i="6" s="1"/>
  <c r="S22" i="6" s="1"/>
  <c r="T22" i="6" s="1"/>
  <c r="I22" i="6"/>
  <c r="J22" i="6" s="1"/>
  <c r="K22" i="6" s="1"/>
  <c r="H22" i="6"/>
  <c r="AD21" i="6"/>
  <c r="Z21" i="6"/>
  <c r="AA21" i="6" s="1"/>
  <c r="AB21" i="6" s="1"/>
  <c r="AC21" i="6" s="1"/>
  <c r="Q21" i="6"/>
  <c r="R21" i="6" s="1"/>
  <c r="S21" i="6" s="1"/>
  <c r="T21" i="6" s="1"/>
  <c r="H21" i="6"/>
  <c r="I21" i="6" s="1"/>
  <c r="J21" i="6" s="1"/>
  <c r="K21" i="6" s="1"/>
  <c r="AD20" i="6"/>
  <c r="Z20" i="6"/>
  <c r="AA20" i="6" s="1"/>
  <c r="AB20" i="6" s="1"/>
  <c r="AC20" i="6" s="1"/>
  <c r="S20" i="6"/>
  <c r="T20" i="6" s="1"/>
  <c r="R20" i="6"/>
  <c r="Q20" i="6"/>
  <c r="H20" i="6"/>
  <c r="I20" i="6" s="1"/>
  <c r="J20" i="6" s="1"/>
  <c r="K20" i="6" s="1"/>
  <c r="AD19" i="6"/>
  <c r="Z19" i="6"/>
  <c r="AA19" i="6" s="1"/>
  <c r="AB19" i="6" s="1"/>
  <c r="AC19" i="6" s="1"/>
  <c r="S19" i="6"/>
  <c r="T19" i="6" s="1"/>
  <c r="Q19" i="6"/>
  <c r="R19" i="6" s="1"/>
  <c r="I19" i="6"/>
  <c r="J19" i="6" s="1"/>
  <c r="K19" i="6" s="1"/>
  <c r="H19" i="6"/>
  <c r="AD18" i="6"/>
  <c r="Z18" i="6"/>
  <c r="AA18" i="6" s="1"/>
  <c r="AB18" i="6" s="1"/>
  <c r="AC18" i="6" s="1"/>
  <c r="T18" i="6"/>
  <c r="R18" i="6"/>
  <c r="S18" i="6" s="1"/>
  <c r="Q18" i="6"/>
  <c r="H18" i="6"/>
  <c r="I18" i="6" s="1"/>
  <c r="J18" i="6" s="1"/>
  <c r="K18" i="6" s="1"/>
  <c r="AD17" i="6"/>
  <c r="Z17" i="6"/>
  <c r="AA17" i="6" s="1"/>
  <c r="AB17" i="6" s="1"/>
  <c r="AC17" i="6" s="1"/>
  <c r="Q17" i="6"/>
  <c r="R17" i="6" s="1"/>
  <c r="S17" i="6" s="1"/>
  <c r="T17" i="6" s="1"/>
  <c r="H17" i="6"/>
  <c r="I17" i="6" s="1"/>
  <c r="J17" i="6" s="1"/>
  <c r="K17" i="6" s="1"/>
  <c r="AD16" i="6"/>
  <c r="AA16" i="6"/>
  <c r="AB16" i="6" s="1"/>
  <c r="AC16" i="6" s="1"/>
  <c r="Z16" i="6"/>
  <c r="Q16" i="6"/>
  <c r="R16" i="6" s="1"/>
  <c r="S16" i="6" s="1"/>
  <c r="T16" i="6" s="1"/>
  <c r="H16" i="6"/>
  <c r="I16" i="6" s="1"/>
  <c r="J16" i="6" s="1"/>
  <c r="K16" i="6" s="1"/>
  <c r="AD15" i="6"/>
  <c r="Z15" i="6"/>
  <c r="AA15" i="6" s="1"/>
  <c r="AB15" i="6" s="1"/>
  <c r="AC15" i="6" s="1"/>
  <c r="Q15" i="6"/>
  <c r="R15" i="6" s="1"/>
  <c r="S15" i="6" s="1"/>
  <c r="T15" i="6" s="1"/>
  <c r="H15" i="6"/>
  <c r="I15" i="6" s="1"/>
  <c r="J15" i="6" s="1"/>
  <c r="K15" i="6" s="1"/>
  <c r="AD14" i="6"/>
  <c r="AC14" i="6"/>
  <c r="AA14" i="6"/>
  <c r="AB14" i="6" s="1"/>
  <c r="Z14" i="6"/>
  <c r="R14" i="6"/>
  <c r="S14" i="6" s="1"/>
  <c r="T14" i="6" s="1"/>
  <c r="Q14" i="6"/>
  <c r="H14" i="6"/>
  <c r="I14" i="6" s="1"/>
  <c r="J14" i="6" s="1"/>
  <c r="K14" i="6" s="1"/>
  <c r="AD13" i="6"/>
  <c r="Z13" i="6"/>
  <c r="AA13" i="6" s="1"/>
  <c r="AB13" i="6" s="1"/>
  <c r="AC13" i="6" s="1"/>
  <c r="R13" i="6"/>
  <c r="S13" i="6" s="1"/>
  <c r="T13" i="6" s="1"/>
  <c r="Q13" i="6"/>
  <c r="H13" i="6"/>
  <c r="I13" i="6" s="1"/>
  <c r="J13" i="6" s="1"/>
  <c r="K13" i="6" s="1"/>
  <c r="AD12" i="6"/>
  <c r="Z12" i="6"/>
  <c r="AA12" i="6" s="1"/>
  <c r="AB12" i="6" s="1"/>
  <c r="AC12" i="6" s="1"/>
  <c r="Q12" i="6"/>
  <c r="R12" i="6" s="1"/>
  <c r="S12" i="6" s="1"/>
  <c r="T12" i="6" s="1"/>
  <c r="I12" i="6"/>
  <c r="J12" i="6" s="1"/>
  <c r="K12" i="6" s="1"/>
  <c r="H12" i="6"/>
  <c r="AD11" i="6"/>
  <c r="Z11" i="6"/>
  <c r="AA11" i="6" s="1"/>
  <c r="AB11" i="6" s="1"/>
  <c r="AC11" i="6" s="1"/>
  <c r="Q11" i="6"/>
  <c r="R11" i="6" s="1"/>
  <c r="S11" i="6" s="1"/>
  <c r="T11" i="6" s="1"/>
  <c r="J11" i="6"/>
  <c r="K11" i="6" s="1"/>
  <c r="H11" i="6"/>
  <c r="I11" i="6" s="1"/>
  <c r="AD10" i="6"/>
  <c r="Z10" i="6"/>
  <c r="AA10" i="6" s="1"/>
  <c r="AB10" i="6" s="1"/>
  <c r="AC10" i="6" s="1"/>
  <c r="Q10" i="6"/>
  <c r="R10" i="6" s="1"/>
  <c r="S10" i="6" s="1"/>
  <c r="T10" i="6" s="1"/>
  <c r="I10" i="6"/>
  <c r="J10" i="6" s="1"/>
  <c r="K10" i="6" s="1"/>
  <c r="H10" i="6"/>
  <c r="AD9" i="6"/>
  <c r="Z9" i="6"/>
  <c r="AA9" i="6" s="1"/>
  <c r="AB9" i="6" s="1"/>
  <c r="AC9" i="6" s="1"/>
  <c r="Q9" i="6"/>
  <c r="R9" i="6" s="1"/>
  <c r="S9" i="6" s="1"/>
  <c r="T9" i="6" s="1"/>
  <c r="H9" i="6"/>
  <c r="I9" i="6" s="1"/>
  <c r="J9" i="6" s="1"/>
  <c r="K9" i="6" s="1"/>
  <c r="AD8" i="6"/>
  <c r="AA8" i="6"/>
  <c r="AB8" i="6" s="1"/>
  <c r="AC8" i="6" s="1"/>
  <c r="Z8" i="6"/>
  <c r="R8" i="6"/>
  <c r="S8" i="6" s="1"/>
  <c r="T8" i="6" s="1"/>
  <c r="Q8" i="6"/>
  <c r="H8" i="6"/>
  <c r="I8" i="6" s="1"/>
  <c r="J8" i="6" s="1"/>
  <c r="K8" i="6" s="1"/>
  <c r="AD7" i="6"/>
  <c r="AA7" i="6"/>
  <c r="AB7" i="6" s="1"/>
  <c r="AC7" i="6" s="1"/>
  <c r="Z7" i="6"/>
  <c r="Q7" i="6"/>
  <c r="R7" i="6" s="1"/>
  <c r="S7" i="6" s="1"/>
  <c r="T7" i="6" s="1"/>
  <c r="H7" i="6"/>
  <c r="I7" i="6" s="1"/>
  <c r="J7" i="6" s="1"/>
  <c r="K7" i="6" s="1"/>
  <c r="AD6" i="6"/>
  <c r="Z6" i="6"/>
  <c r="AA6" i="6" s="1"/>
  <c r="AB6" i="6" s="1"/>
  <c r="AC6" i="6" s="1"/>
  <c r="T6" i="6"/>
  <c r="R6" i="6"/>
  <c r="S6" i="6" s="1"/>
  <c r="Q6" i="6"/>
  <c r="H6" i="6"/>
  <c r="I6" i="6" s="1"/>
  <c r="J6" i="6" s="1"/>
  <c r="K6" i="6" s="1"/>
  <c r="AD5" i="6"/>
  <c r="Z5" i="6"/>
  <c r="AA5" i="6" s="1"/>
  <c r="AB5" i="6" s="1"/>
  <c r="AC5" i="6" s="1"/>
  <c r="Q5" i="6"/>
  <c r="R5" i="6" s="1"/>
  <c r="S5" i="6" s="1"/>
  <c r="T5" i="6" s="1"/>
  <c r="I5" i="6"/>
  <c r="J5" i="6" s="1"/>
  <c r="K5" i="6" s="1"/>
  <c r="H5" i="6"/>
  <c r="A2" i="6"/>
  <c r="A1" i="6"/>
  <c r="BF16" i="5"/>
  <c r="BE16" i="5"/>
  <c r="BD16" i="5"/>
  <c r="BC16" i="5"/>
  <c r="BB16" i="5"/>
  <c r="BA16" i="5"/>
  <c r="AZ16" i="5"/>
  <c r="AY16" i="5"/>
  <c r="AX16" i="5"/>
  <c r="AW16" i="5"/>
  <c r="AV16" i="5"/>
  <c r="AU16" i="5"/>
  <c r="AT16" i="5"/>
  <c r="AS16" i="5"/>
  <c r="AR16" i="5"/>
  <c r="AQ16" i="5"/>
  <c r="AP16" i="5"/>
  <c r="AO16" i="5"/>
  <c r="AN16" i="5"/>
  <c r="AM16" i="5"/>
  <c r="AL16" i="5"/>
  <c r="AK16" i="5"/>
  <c r="AJ16" i="5"/>
  <c r="AI16" i="5"/>
  <c r="AH16" i="5"/>
  <c r="AG16" i="5"/>
  <c r="AF16" i="5"/>
  <c r="AE16" i="5"/>
  <c r="AD16" i="5"/>
  <c r="AC16" i="5"/>
  <c r="AB16" i="5"/>
  <c r="AA16" i="5"/>
  <c r="Z16" i="5"/>
  <c r="Y16" i="5"/>
  <c r="X16" i="5"/>
  <c r="W16" i="5"/>
  <c r="V16" i="5"/>
  <c r="U16" i="5"/>
  <c r="T16" i="5"/>
  <c r="S16" i="5"/>
  <c r="R16" i="5"/>
  <c r="Q16" i="5"/>
  <c r="P16" i="5"/>
  <c r="O16" i="5"/>
  <c r="N16" i="5"/>
  <c r="M16" i="5"/>
  <c r="L16" i="5"/>
  <c r="K16" i="5"/>
  <c r="J16" i="5"/>
  <c r="I16" i="5"/>
  <c r="H16" i="5"/>
  <c r="G16" i="5"/>
  <c r="F16" i="5"/>
  <c r="E16" i="5"/>
  <c r="D16" i="5"/>
  <c r="C16" i="5"/>
  <c r="B16" i="5"/>
  <c r="BG15" i="5"/>
  <c r="BG14" i="5"/>
  <c r="BG13" i="5"/>
  <c r="BG12" i="5"/>
  <c r="BG11" i="5"/>
  <c r="BG10" i="5"/>
  <c r="BG9" i="5"/>
  <c r="BG8" i="5"/>
  <c r="BG7" i="5"/>
  <c r="BG16" i="5" s="1"/>
  <c r="BG6" i="5"/>
  <c r="A2" i="5"/>
  <c r="A1" i="5"/>
  <c r="O42" i="4"/>
  <c r="O41" i="4"/>
  <c r="O40" i="4"/>
  <c r="O39" i="4"/>
  <c r="O38" i="4"/>
  <c r="O37" i="4"/>
  <c r="S36" i="4"/>
  <c r="T36" i="4" s="1"/>
  <c r="R36" i="4"/>
  <c r="Q36" i="4"/>
  <c r="P36" i="4"/>
  <c r="O36" i="4"/>
  <c r="T35" i="4"/>
  <c r="O35" i="4"/>
  <c r="T34" i="4"/>
  <c r="O34" i="4"/>
  <c r="T33" i="4"/>
  <c r="O33" i="4"/>
  <c r="T32" i="4"/>
  <c r="O32" i="4"/>
  <c r="T31" i="4"/>
  <c r="O31" i="4"/>
  <c r="T30" i="4"/>
  <c r="O30" i="4"/>
  <c r="T29" i="4"/>
  <c r="O29" i="4"/>
  <c r="T28" i="4"/>
  <c r="O28" i="4"/>
  <c r="T27" i="4"/>
  <c r="O27" i="4"/>
  <c r="T26" i="4"/>
  <c r="O26" i="4"/>
  <c r="T25" i="4"/>
  <c r="O25" i="4"/>
  <c r="T24" i="4"/>
  <c r="O24" i="4"/>
  <c r="T23" i="4"/>
  <c r="O23" i="4"/>
  <c r="T22" i="4"/>
  <c r="O22" i="4"/>
  <c r="T21" i="4"/>
  <c r="O21" i="4"/>
  <c r="T20" i="4"/>
  <c r="O20" i="4"/>
  <c r="T19" i="4"/>
  <c r="O19" i="4"/>
  <c r="T18" i="4"/>
  <c r="O18" i="4"/>
  <c r="T17" i="4"/>
  <c r="O17" i="4"/>
  <c r="T16" i="4"/>
  <c r="O16" i="4"/>
  <c r="T15" i="4"/>
  <c r="O15" i="4"/>
  <c r="T14" i="4"/>
  <c r="O14" i="4"/>
  <c r="T13" i="4"/>
  <c r="O13" i="4"/>
  <c r="T12" i="4"/>
  <c r="O12" i="4"/>
  <c r="T11" i="4"/>
  <c r="O11" i="4"/>
  <c r="T10" i="4"/>
  <c r="O10" i="4"/>
  <c r="T9" i="4"/>
  <c r="O9" i="4"/>
  <c r="T8" i="4"/>
  <c r="O8" i="4"/>
  <c r="T7" i="4"/>
  <c r="O7" i="4"/>
  <c r="T6" i="4"/>
  <c r="O6" i="4"/>
  <c r="A2" i="4"/>
  <c r="A1" i="4"/>
  <c r="E32" i="3"/>
  <c r="D31" i="3"/>
  <c r="N26" i="3" s="1"/>
  <c r="B31" i="3"/>
  <c r="E30" i="3"/>
  <c r="E29" i="3"/>
  <c r="E28" i="3"/>
  <c r="E27" i="3"/>
  <c r="L26" i="3"/>
  <c r="G26" i="3"/>
  <c r="F26" i="3"/>
  <c r="I26" i="3" s="1"/>
  <c r="E26" i="3"/>
  <c r="L25" i="3"/>
  <c r="I25" i="3"/>
  <c r="G25" i="3"/>
  <c r="F25" i="3"/>
  <c r="E25" i="3"/>
  <c r="L24" i="3"/>
  <c r="F24" i="3"/>
  <c r="I24" i="3" s="1"/>
  <c r="E24" i="3"/>
  <c r="L23" i="3"/>
  <c r="I23" i="3"/>
  <c r="F23" i="3"/>
  <c r="G23" i="3" s="1"/>
  <c r="E23" i="3"/>
  <c r="L22" i="3"/>
  <c r="I22" i="3"/>
  <c r="G22" i="3"/>
  <c r="F22" i="3"/>
  <c r="E22" i="3"/>
  <c r="L21" i="3"/>
  <c r="F21" i="3"/>
  <c r="E21" i="3"/>
  <c r="L20" i="3"/>
  <c r="G20" i="3"/>
  <c r="F20" i="3"/>
  <c r="I20" i="3" s="1"/>
  <c r="E20" i="3"/>
  <c r="L19" i="3"/>
  <c r="I19" i="3"/>
  <c r="F19" i="3"/>
  <c r="G19" i="3" s="1"/>
  <c r="E19" i="3"/>
  <c r="L18" i="3"/>
  <c r="F18" i="3"/>
  <c r="E18" i="3"/>
  <c r="L17" i="3"/>
  <c r="F17" i="3"/>
  <c r="I17" i="3" s="1"/>
  <c r="E17" i="3"/>
  <c r="L16" i="3"/>
  <c r="F16" i="3"/>
  <c r="I16" i="3" s="1"/>
  <c r="E16" i="3"/>
  <c r="L15" i="3"/>
  <c r="F15" i="3"/>
  <c r="E15" i="3"/>
  <c r="L14" i="3"/>
  <c r="G14" i="3"/>
  <c r="F14" i="3"/>
  <c r="I14" i="3" s="1"/>
  <c r="E14" i="3"/>
  <c r="L13" i="3"/>
  <c r="I13" i="3"/>
  <c r="G13" i="3"/>
  <c r="F13" i="3"/>
  <c r="E13" i="3"/>
  <c r="L12" i="3"/>
  <c r="F12" i="3"/>
  <c r="E12" i="3"/>
  <c r="L11" i="3"/>
  <c r="G11" i="3"/>
  <c r="F11" i="3"/>
  <c r="I11" i="3" s="1"/>
  <c r="E11" i="3"/>
  <c r="L10" i="3"/>
  <c r="F10" i="3"/>
  <c r="I10" i="3" s="1"/>
  <c r="E10" i="3"/>
  <c r="L9" i="3"/>
  <c r="F9" i="3"/>
  <c r="E9" i="3"/>
  <c r="L8" i="3"/>
  <c r="F8" i="3"/>
  <c r="I8" i="3" s="1"/>
  <c r="E8" i="3"/>
  <c r="L7" i="3"/>
  <c r="G7" i="3"/>
  <c r="F7" i="3"/>
  <c r="I7" i="3" s="1"/>
  <c r="E7" i="3"/>
  <c r="L6" i="3"/>
  <c r="F6" i="3"/>
  <c r="E6" i="3"/>
  <c r="A2" i="3"/>
  <c r="A1" i="3"/>
  <c r="AC190" i="2"/>
  <c r="AD190" i="2" s="1"/>
  <c r="AA190" i="2"/>
  <c r="AB190" i="2" s="1"/>
  <c r="Y190" i="2"/>
  <c r="X190" i="2"/>
  <c r="W190" i="2"/>
  <c r="V190" i="2"/>
  <c r="U190" i="2"/>
  <c r="T190" i="2"/>
  <c r="Q190" i="2"/>
  <c r="Z190" i="2" s="1"/>
  <c r="K190" i="2"/>
  <c r="E190" i="2"/>
  <c r="X189" i="2"/>
  <c r="Y189" i="2" s="1"/>
  <c r="V189" i="2"/>
  <c r="W189" i="2" s="1"/>
  <c r="U189" i="2"/>
  <c r="P189" i="2"/>
  <c r="O189" i="2"/>
  <c r="N189" i="2"/>
  <c r="J189" i="2"/>
  <c r="I189" i="2"/>
  <c r="H189" i="2"/>
  <c r="T189" i="2" s="1"/>
  <c r="D189" i="2"/>
  <c r="C189" i="2"/>
  <c r="B189" i="2"/>
  <c r="Y188" i="2"/>
  <c r="X188" i="2"/>
  <c r="W188" i="2"/>
  <c r="V188" i="2"/>
  <c r="T188" i="2"/>
  <c r="U188" i="2" s="1"/>
  <c r="R188" i="2"/>
  <c r="Q188" i="2"/>
  <c r="Z188" i="2" s="1"/>
  <c r="K188" i="2"/>
  <c r="F188" i="2"/>
  <c r="E188" i="2"/>
  <c r="X187" i="2"/>
  <c r="Y187" i="2" s="1"/>
  <c r="V187" i="2"/>
  <c r="W187" i="2" s="1"/>
  <c r="U187" i="2"/>
  <c r="T187" i="2"/>
  <c r="R187" i="2"/>
  <c r="Q187" i="2"/>
  <c r="Z187" i="2" s="1"/>
  <c r="K187" i="2"/>
  <c r="E187" i="2"/>
  <c r="Y186" i="2"/>
  <c r="X186" i="2"/>
  <c r="V186" i="2"/>
  <c r="W186" i="2" s="1"/>
  <c r="U186" i="2"/>
  <c r="T186" i="2"/>
  <c r="Q186" i="2"/>
  <c r="Z186" i="2" s="1"/>
  <c r="K186" i="2"/>
  <c r="E186" i="2"/>
  <c r="E189" i="2" s="1"/>
  <c r="Y185" i="2"/>
  <c r="X185" i="2"/>
  <c r="W185" i="2"/>
  <c r="V185" i="2"/>
  <c r="U185" i="2"/>
  <c r="T185" i="2"/>
  <c r="Q185" i="2"/>
  <c r="K185" i="2"/>
  <c r="E185" i="2"/>
  <c r="Z184" i="2"/>
  <c r="Y184" i="2"/>
  <c r="X184" i="2"/>
  <c r="W184" i="2"/>
  <c r="V184" i="2"/>
  <c r="T184" i="2"/>
  <c r="U184" i="2" s="1"/>
  <c r="R184" i="2"/>
  <c r="Q184" i="2"/>
  <c r="K184" i="2"/>
  <c r="K189" i="2" s="1"/>
  <c r="E184" i="2"/>
  <c r="AE181" i="2"/>
  <c r="A181" i="2" s="1"/>
  <c r="AD172" i="2"/>
  <c r="AC172" i="2"/>
  <c r="AB172" i="2"/>
  <c r="AA172" i="2"/>
  <c r="Z172" i="2"/>
  <c r="X172" i="2"/>
  <c r="Y172" i="2" s="1"/>
  <c r="V172" i="2"/>
  <c r="W172" i="2" s="1"/>
  <c r="T172" i="2"/>
  <c r="U172" i="2" s="1"/>
  <c r="Q172" i="2"/>
  <c r="K172" i="2"/>
  <c r="E172" i="2"/>
  <c r="P171" i="2"/>
  <c r="X171" i="2" s="1"/>
  <c r="Y171" i="2" s="1"/>
  <c r="O171" i="2"/>
  <c r="V171" i="2" s="1"/>
  <c r="W171" i="2" s="1"/>
  <c r="N171" i="2"/>
  <c r="T171" i="2" s="1"/>
  <c r="U171" i="2" s="1"/>
  <c r="J171" i="2"/>
  <c r="I171" i="2"/>
  <c r="H171" i="2"/>
  <c r="D171" i="2"/>
  <c r="C171" i="2"/>
  <c r="B171" i="2"/>
  <c r="Y170" i="2"/>
  <c r="X170" i="2"/>
  <c r="W170" i="2"/>
  <c r="V170" i="2"/>
  <c r="T170" i="2"/>
  <c r="U170" i="2" s="1"/>
  <c r="R170" i="2"/>
  <c r="Q170" i="2"/>
  <c r="L170" i="2"/>
  <c r="K170" i="2"/>
  <c r="E170" i="2"/>
  <c r="Z169" i="2"/>
  <c r="X169" i="2"/>
  <c r="Y169" i="2" s="1"/>
  <c r="V169" i="2"/>
  <c r="W169" i="2" s="1"/>
  <c r="T169" i="2"/>
  <c r="U169" i="2" s="1"/>
  <c r="R169" i="2"/>
  <c r="Q169" i="2"/>
  <c r="K169" i="2"/>
  <c r="E169" i="2"/>
  <c r="X168" i="2"/>
  <c r="Y168" i="2" s="1"/>
  <c r="V168" i="2"/>
  <c r="W168" i="2" s="1"/>
  <c r="T168" i="2"/>
  <c r="U168" i="2" s="1"/>
  <c r="Q168" i="2"/>
  <c r="K168" i="2"/>
  <c r="Z168" i="2" s="1"/>
  <c r="F168" i="2"/>
  <c r="E168" i="2"/>
  <c r="X167" i="2"/>
  <c r="Y167" i="2" s="1"/>
  <c r="V167" i="2"/>
  <c r="W167" i="2" s="1"/>
  <c r="T167" i="2"/>
  <c r="U167" i="2" s="1"/>
  <c r="R167" i="2"/>
  <c r="Q167" i="2"/>
  <c r="K167" i="2"/>
  <c r="E167" i="2"/>
  <c r="Y166" i="2"/>
  <c r="X166" i="2"/>
  <c r="W166" i="2"/>
  <c r="V166" i="2"/>
  <c r="U166" i="2"/>
  <c r="T166" i="2"/>
  <c r="R166" i="2"/>
  <c r="Q166" i="2"/>
  <c r="K166" i="2"/>
  <c r="E166" i="2"/>
  <c r="AE163" i="2"/>
  <c r="A163" i="2"/>
  <c r="AC154" i="2"/>
  <c r="AD154" i="2" s="1"/>
  <c r="AB154" i="2"/>
  <c r="AA154" i="2"/>
  <c r="Z154" i="2"/>
  <c r="X154" i="2"/>
  <c r="Y154" i="2" s="1"/>
  <c r="V154" i="2"/>
  <c r="W154" i="2" s="1"/>
  <c r="U154" i="2"/>
  <c r="T154" i="2"/>
  <c r="Q154" i="2"/>
  <c r="K154" i="2"/>
  <c r="E154" i="2"/>
  <c r="P153" i="2"/>
  <c r="X153" i="2" s="1"/>
  <c r="Y153" i="2" s="1"/>
  <c r="O153" i="2"/>
  <c r="V153" i="2" s="1"/>
  <c r="W153" i="2" s="1"/>
  <c r="N153" i="2"/>
  <c r="T153" i="2" s="1"/>
  <c r="U153" i="2" s="1"/>
  <c r="J153" i="2"/>
  <c r="I153" i="2"/>
  <c r="H153" i="2"/>
  <c r="D153" i="2"/>
  <c r="C153" i="2"/>
  <c r="B153" i="2"/>
  <c r="X152" i="2"/>
  <c r="Y152" i="2" s="1"/>
  <c r="V152" i="2"/>
  <c r="W152" i="2" s="1"/>
  <c r="U152" i="2"/>
  <c r="T152" i="2"/>
  <c r="Q152" i="2"/>
  <c r="K152" i="2"/>
  <c r="E152" i="2"/>
  <c r="Z151" i="2"/>
  <c r="X151" i="2"/>
  <c r="Y151" i="2" s="1"/>
  <c r="V151" i="2"/>
  <c r="W151" i="2" s="1"/>
  <c r="T151" i="2"/>
  <c r="U151" i="2" s="1"/>
  <c r="Q151" i="2"/>
  <c r="K151" i="2"/>
  <c r="E151" i="2"/>
  <c r="Y150" i="2"/>
  <c r="X150" i="2"/>
  <c r="V150" i="2"/>
  <c r="W150" i="2" s="1"/>
  <c r="U150" i="2"/>
  <c r="T150" i="2"/>
  <c r="Q150" i="2"/>
  <c r="Z150" i="2" s="1"/>
  <c r="K150" i="2"/>
  <c r="E150" i="2"/>
  <c r="Z149" i="2"/>
  <c r="X149" i="2"/>
  <c r="Y149" i="2" s="1"/>
  <c r="V149" i="2"/>
  <c r="W149" i="2" s="1"/>
  <c r="U149" i="2"/>
  <c r="T149" i="2"/>
  <c r="R149" i="2"/>
  <c r="Q149" i="2"/>
  <c r="K149" i="2"/>
  <c r="F149" i="2"/>
  <c r="E149" i="2"/>
  <c r="Z148" i="2"/>
  <c r="X148" i="2"/>
  <c r="Y148" i="2" s="1"/>
  <c r="V148" i="2"/>
  <c r="W148" i="2" s="1"/>
  <c r="T148" i="2"/>
  <c r="U148" i="2" s="1"/>
  <c r="R148" i="2"/>
  <c r="Q148" i="2"/>
  <c r="Q153" i="2" s="1"/>
  <c r="Z153" i="2" s="1"/>
  <c r="K148" i="2"/>
  <c r="K153" i="2" s="1"/>
  <c r="F148" i="2"/>
  <c r="E148" i="2"/>
  <c r="AE145" i="2"/>
  <c r="A145" i="2" s="1"/>
  <c r="AD136" i="2"/>
  <c r="AC136" i="2"/>
  <c r="AA136" i="2"/>
  <c r="AB136" i="2" s="1"/>
  <c r="X136" i="2"/>
  <c r="Y136" i="2" s="1"/>
  <c r="V136" i="2"/>
  <c r="W136" i="2" s="1"/>
  <c r="T136" i="2"/>
  <c r="U136" i="2" s="1"/>
  <c r="Q136" i="2"/>
  <c r="K136" i="2"/>
  <c r="E136" i="2"/>
  <c r="T135" i="2"/>
  <c r="U135" i="2" s="1"/>
  <c r="P135" i="2"/>
  <c r="O135" i="2"/>
  <c r="V135" i="2" s="1"/>
  <c r="W135" i="2" s="1"/>
  <c r="N135" i="2"/>
  <c r="J135" i="2"/>
  <c r="I135" i="2"/>
  <c r="H135" i="2"/>
  <c r="E135" i="2"/>
  <c r="D135" i="2"/>
  <c r="C135" i="2"/>
  <c r="B135" i="2"/>
  <c r="Y134" i="2"/>
  <c r="X134" i="2"/>
  <c r="W134" i="2"/>
  <c r="V134" i="2"/>
  <c r="T134" i="2"/>
  <c r="U134" i="2" s="1"/>
  <c r="Q134" i="2"/>
  <c r="Z134" i="2" s="1"/>
  <c r="L134" i="2"/>
  <c r="K134" i="2"/>
  <c r="E134" i="2"/>
  <c r="Y133" i="2"/>
  <c r="X133" i="2"/>
  <c r="W133" i="2"/>
  <c r="V133" i="2"/>
  <c r="T133" i="2"/>
  <c r="U133" i="2" s="1"/>
  <c r="R133" i="2"/>
  <c r="Q133" i="2"/>
  <c r="Z133" i="2" s="1"/>
  <c r="K133" i="2"/>
  <c r="E133" i="2"/>
  <c r="X132" i="2"/>
  <c r="Y132" i="2" s="1"/>
  <c r="W132" i="2"/>
  <c r="V132" i="2"/>
  <c r="T132" i="2"/>
  <c r="U132" i="2" s="1"/>
  <c r="Q132" i="2"/>
  <c r="K132" i="2"/>
  <c r="Z132" i="2" s="1"/>
  <c r="E132" i="2"/>
  <c r="Y131" i="2"/>
  <c r="X131" i="2"/>
  <c r="V131" i="2"/>
  <c r="W131" i="2" s="1"/>
  <c r="T131" i="2"/>
  <c r="U131" i="2" s="1"/>
  <c r="R131" i="2"/>
  <c r="Q131" i="2"/>
  <c r="Z131" i="2" s="1"/>
  <c r="K131" i="2"/>
  <c r="E131" i="2"/>
  <c r="X130" i="2"/>
  <c r="Y130" i="2" s="1"/>
  <c r="V130" i="2"/>
  <c r="W130" i="2" s="1"/>
  <c r="T130" i="2"/>
  <c r="U130" i="2" s="1"/>
  <c r="R130" i="2"/>
  <c r="Q130" i="2"/>
  <c r="K130" i="2"/>
  <c r="E130" i="2"/>
  <c r="AE127" i="2"/>
  <c r="A127" i="2"/>
  <c r="AC118" i="2"/>
  <c r="AD118" i="2" s="1"/>
  <c r="AA118" i="2"/>
  <c r="AB118" i="2" s="1"/>
  <c r="Y118" i="2"/>
  <c r="X118" i="2"/>
  <c r="V118" i="2"/>
  <c r="W118" i="2" s="1"/>
  <c r="T118" i="2"/>
  <c r="U118" i="2" s="1"/>
  <c r="Q118" i="2"/>
  <c r="K118" i="2"/>
  <c r="E118" i="2"/>
  <c r="X117" i="2"/>
  <c r="Y117" i="2" s="1"/>
  <c r="P117" i="2"/>
  <c r="O117" i="2"/>
  <c r="V117" i="2" s="1"/>
  <c r="W117" i="2" s="1"/>
  <c r="N117" i="2"/>
  <c r="J117" i="2"/>
  <c r="I117" i="2"/>
  <c r="H117" i="2"/>
  <c r="T117" i="2" s="1"/>
  <c r="U117" i="2" s="1"/>
  <c r="D117" i="2"/>
  <c r="C117" i="2"/>
  <c r="B117" i="2"/>
  <c r="Y116" i="2"/>
  <c r="X116" i="2"/>
  <c r="W116" i="2"/>
  <c r="V116" i="2"/>
  <c r="T116" i="2"/>
  <c r="U116" i="2" s="1"/>
  <c r="Q116" i="2"/>
  <c r="L116" i="2"/>
  <c r="K116" i="2"/>
  <c r="E116" i="2"/>
  <c r="Z115" i="2"/>
  <c r="X115" i="2"/>
  <c r="Y115" i="2" s="1"/>
  <c r="W115" i="2"/>
  <c r="V115" i="2"/>
  <c r="T115" i="2"/>
  <c r="U115" i="2" s="1"/>
  <c r="R115" i="2"/>
  <c r="Q115" i="2"/>
  <c r="K115" i="2"/>
  <c r="E115" i="2"/>
  <c r="Z114" i="2"/>
  <c r="Y114" i="2"/>
  <c r="X114" i="2"/>
  <c r="V114" i="2"/>
  <c r="W114" i="2" s="1"/>
  <c r="U114" i="2"/>
  <c r="T114" i="2"/>
  <c r="Q114" i="2"/>
  <c r="K114" i="2"/>
  <c r="F114" i="2"/>
  <c r="E114" i="2"/>
  <c r="Y113" i="2"/>
  <c r="X113" i="2"/>
  <c r="V113" i="2"/>
  <c r="W113" i="2" s="1"/>
  <c r="T113" i="2"/>
  <c r="U113" i="2" s="1"/>
  <c r="R113" i="2"/>
  <c r="Q113" i="2"/>
  <c r="K113" i="2"/>
  <c r="F113" i="2"/>
  <c r="E113" i="2"/>
  <c r="Z112" i="2"/>
  <c r="X112" i="2"/>
  <c r="Y112" i="2" s="1"/>
  <c r="V112" i="2"/>
  <c r="W112" i="2" s="1"/>
  <c r="T112" i="2"/>
  <c r="U112" i="2" s="1"/>
  <c r="R112" i="2"/>
  <c r="Q112" i="2"/>
  <c r="K112" i="2"/>
  <c r="E112" i="2"/>
  <c r="AE109" i="2"/>
  <c r="A109" i="2"/>
  <c r="AD100" i="2"/>
  <c r="AC100" i="2"/>
  <c r="AB100" i="2"/>
  <c r="AA100" i="2"/>
  <c r="Z100" i="2"/>
  <c r="Y100" i="2"/>
  <c r="X100" i="2"/>
  <c r="W100" i="2"/>
  <c r="V100" i="2"/>
  <c r="T100" i="2"/>
  <c r="U100" i="2" s="1"/>
  <c r="Q100" i="2"/>
  <c r="K100" i="2"/>
  <c r="E100" i="2"/>
  <c r="V99" i="2"/>
  <c r="W99" i="2" s="1"/>
  <c r="T99" i="2"/>
  <c r="U99" i="2" s="1"/>
  <c r="P99" i="2"/>
  <c r="X99" i="2" s="1"/>
  <c r="Y99" i="2" s="1"/>
  <c r="O99" i="2"/>
  <c r="N99" i="2"/>
  <c r="J99" i="2"/>
  <c r="I99" i="2"/>
  <c r="H99" i="2"/>
  <c r="D99" i="2"/>
  <c r="C99" i="2"/>
  <c r="B99" i="2"/>
  <c r="Y98" i="2"/>
  <c r="X98" i="2"/>
  <c r="W98" i="2"/>
  <c r="V98" i="2"/>
  <c r="T98" i="2"/>
  <c r="U98" i="2" s="1"/>
  <c r="Q98" i="2"/>
  <c r="Z98" i="2" s="1"/>
  <c r="L98" i="2"/>
  <c r="K98" i="2"/>
  <c r="E98" i="2"/>
  <c r="Z97" i="2"/>
  <c r="X97" i="2"/>
  <c r="Y97" i="2" s="1"/>
  <c r="V97" i="2"/>
  <c r="W97" i="2" s="1"/>
  <c r="T97" i="2"/>
  <c r="U97" i="2" s="1"/>
  <c r="Q97" i="2"/>
  <c r="K97" i="2"/>
  <c r="F97" i="2"/>
  <c r="E97" i="2"/>
  <c r="X96" i="2"/>
  <c r="Y96" i="2" s="1"/>
  <c r="V96" i="2"/>
  <c r="W96" i="2" s="1"/>
  <c r="T96" i="2"/>
  <c r="U96" i="2" s="1"/>
  <c r="R96" i="2"/>
  <c r="Q96" i="2"/>
  <c r="K96" i="2"/>
  <c r="F96" i="2"/>
  <c r="E96" i="2"/>
  <c r="Y95" i="2"/>
  <c r="X95" i="2"/>
  <c r="V95" i="2"/>
  <c r="W95" i="2" s="1"/>
  <c r="U95" i="2"/>
  <c r="T95" i="2"/>
  <c r="R95" i="2"/>
  <c r="Q95" i="2"/>
  <c r="K95" i="2"/>
  <c r="E95" i="2"/>
  <c r="X94" i="2"/>
  <c r="Y94" i="2" s="1"/>
  <c r="W94" i="2"/>
  <c r="V94" i="2"/>
  <c r="U94" i="2"/>
  <c r="T94" i="2"/>
  <c r="R94" i="2"/>
  <c r="Q94" i="2"/>
  <c r="K94" i="2"/>
  <c r="E94" i="2"/>
  <c r="AE91" i="2"/>
  <c r="A91" i="2"/>
  <c r="AC82" i="2"/>
  <c r="AD82" i="2" s="1"/>
  <c r="AA82" i="2"/>
  <c r="AB82" i="2" s="1"/>
  <c r="Y82" i="2"/>
  <c r="X82" i="2"/>
  <c r="W82" i="2"/>
  <c r="V82" i="2"/>
  <c r="U82" i="2"/>
  <c r="T82" i="2"/>
  <c r="Q82" i="2"/>
  <c r="Z82" i="2" s="1"/>
  <c r="K82" i="2"/>
  <c r="E82" i="2"/>
  <c r="X81" i="2"/>
  <c r="Y81" i="2" s="1"/>
  <c r="U81" i="2"/>
  <c r="P81" i="2"/>
  <c r="O81" i="2"/>
  <c r="V81" i="2" s="1"/>
  <c r="W81" i="2" s="1"/>
  <c r="N81" i="2"/>
  <c r="T81" i="2" s="1"/>
  <c r="J81" i="2"/>
  <c r="I81" i="2"/>
  <c r="H81" i="2"/>
  <c r="D81" i="2"/>
  <c r="C81" i="2"/>
  <c r="B81" i="2"/>
  <c r="Z80" i="2"/>
  <c r="X80" i="2"/>
  <c r="Y80" i="2" s="1"/>
  <c r="V80" i="2"/>
  <c r="W80" i="2" s="1"/>
  <c r="T80" i="2"/>
  <c r="U80" i="2" s="1"/>
  <c r="Q80" i="2"/>
  <c r="K80" i="2"/>
  <c r="F80" i="2"/>
  <c r="E80" i="2"/>
  <c r="X79" i="2"/>
  <c r="Y79" i="2" s="1"/>
  <c r="V79" i="2"/>
  <c r="W79" i="2" s="1"/>
  <c r="T79" i="2"/>
  <c r="U79" i="2" s="1"/>
  <c r="Q79" i="2"/>
  <c r="Z79" i="2" s="1"/>
  <c r="K79" i="2"/>
  <c r="K81" i="2" s="1"/>
  <c r="F79" i="2"/>
  <c r="E79" i="2"/>
  <c r="Y78" i="2"/>
  <c r="X78" i="2"/>
  <c r="V78" i="2"/>
  <c r="W78" i="2" s="1"/>
  <c r="T78" i="2"/>
  <c r="U78" i="2" s="1"/>
  <c r="R78" i="2"/>
  <c r="Q78" i="2"/>
  <c r="K78" i="2"/>
  <c r="E78" i="2"/>
  <c r="Z77" i="2"/>
  <c r="X77" i="2"/>
  <c r="Y77" i="2" s="1"/>
  <c r="V77" i="2"/>
  <c r="W77" i="2" s="1"/>
  <c r="U77" i="2"/>
  <c r="T77" i="2"/>
  <c r="R77" i="2"/>
  <c r="Q77" i="2"/>
  <c r="K77" i="2"/>
  <c r="E77" i="2"/>
  <c r="Z76" i="2"/>
  <c r="X76" i="2"/>
  <c r="Y76" i="2" s="1"/>
  <c r="V76" i="2"/>
  <c r="W76" i="2" s="1"/>
  <c r="T76" i="2"/>
  <c r="U76" i="2" s="1"/>
  <c r="R76" i="2"/>
  <c r="Q76" i="2"/>
  <c r="K76" i="2"/>
  <c r="E76" i="2"/>
  <c r="AE73" i="2"/>
  <c r="A73" i="2"/>
  <c r="AC64" i="2"/>
  <c r="AD64" i="2" s="1"/>
  <c r="AA64" i="2"/>
  <c r="AB64" i="2" s="1"/>
  <c r="X64" i="2"/>
  <c r="Y64" i="2" s="1"/>
  <c r="V64" i="2"/>
  <c r="W64" i="2" s="1"/>
  <c r="T64" i="2"/>
  <c r="U64" i="2" s="1"/>
  <c r="Q64" i="2"/>
  <c r="K64" i="2"/>
  <c r="E64" i="2"/>
  <c r="T63" i="2"/>
  <c r="U63" i="2" s="1"/>
  <c r="P63" i="2"/>
  <c r="X63" i="2" s="1"/>
  <c r="Y63" i="2" s="1"/>
  <c r="O63" i="2"/>
  <c r="V63" i="2" s="1"/>
  <c r="W63" i="2" s="1"/>
  <c r="N63" i="2"/>
  <c r="J63" i="2"/>
  <c r="I63" i="2"/>
  <c r="H63" i="2"/>
  <c r="D63" i="2"/>
  <c r="C63" i="2"/>
  <c r="B63" i="2"/>
  <c r="Z62" i="2"/>
  <c r="X62" i="2"/>
  <c r="Y62" i="2" s="1"/>
  <c r="V62" i="2"/>
  <c r="W62" i="2" s="1"/>
  <c r="T62" i="2"/>
  <c r="U62" i="2" s="1"/>
  <c r="Q62" i="2"/>
  <c r="K62" i="2"/>
  <c r="F62" i="2"/>
  <c r="E62" i="2"/>
  <c r="Y61" i="2"/>
  <c r="X61" i="2"/>
  <c r="W61" i="2"/>
  <c r="V61" i="2"/>
  <c r="T61" i="2"/>
  <c r="U61" i="2" s="1"/>
  <c r="Q61" i="2"/>
  <c r="K61" i="2"/>
  <c r="Z61" i="2" s="1"/>
  <c r="F61" i="2"/>
  <c r="E61" i="2"/>
  <c r="X60" i="2"/>
  <c r="Y60" i="2" s="1"/>
  <c r="W60" i="2"/>
  <c r="V60" i="2"/>
  <c r="U60" i="2"/>
  <c r="T60" i="2"/>
  <c r="R60" i="2"/>
  <c r="Q60" i="2"/>
  <c r="K60" i="2"/>
  <c r="Z60" i="2" s="1"/>
  <c r="E60" i="2"/>
  <c r="X59" i="2"/>
  <c r="Y59" i="2" s="1"/>
  <c r="V59" i="2"/>
  <c r="W59" i="2" s="1"/>
  <c r="T59" i="2"/>
  <c r="U59" i="2" s="1"/>
  <c r="R59" i="2"/>
  <c r="Q59" i="2"/>
  <c r="K59" i="2"/>
  <c r="F59" i="2"/>
  <c r="E59" i="2"/>
  <c r="Y58" i="2"/>
  <c r="X58" i="2"/>
  <c r="V58" i="2"/>
  <c r="W58" i="2" s="1"/>
  <c r="T58" i="2"/>
  <c r="U58" i="2" s="1"/>
  <c r="R58" i="2"/>
  <c r="Q58" i="2"/>
  <c r="K58" i="2"/>
  <c r="F58" i="2"/>
  <c r="E58" i="2"/>
  <c r="AE55" i="2"/>
  <c r="A55" i="2" s="1"/>
  <c r="AC46" i="2"/>
  <c r="AD46" i="2" s="1"/>
  <c r="AA46" i="2"/>
  <c r="AB46" i="2" s="1"/>
  <c r="Y46" i="2"/>
  <c r="X46" i="2"/>
  <c r="W46" i="2"/>
  <c r="V46" i="2"/>
  <c r="T46" i="2"/>
  <c r="U46" i="2" s="1"/>
  <c r="Q46" i="2"/>
  <c r="Z46" i="2" s="1"/>
  <c r="K46" i="2"/>
  <c r="E46" i="2"/>
  <c r="P45" i="2"/>
  <c r="O45" i="2"/>
  <c r="N45" i="2"/>
  <c r="J45" i="2"/>
  <c r="X45" i="2" s="1"/>
  <c r="Y45" i="2" s="1"/>
  <c r="I45" i="2"/>
  <c r="H45" i="2"/>
  <c r="T45" i="2" s="1"/>
  <c r="U45" i="2" s="1"/>
  <c r="D45" i="2"/>
  <c r="C45" i="2"/>
  <c r="B45" i="2"/>
  <c r="X44" i="2"/>
  <c r="Y44" i="2" s="1"/>
  <c r="V44" i="2"/>
  <c r="W44" i="2" s="1"/>
  <c r="T44" i="2"/>
  <c r="U44" i="2" s="1"/>
  <c r="R44" i="2"/>
  <c r="Q44" i="2"/>
  <c r="Z44" i="2" s="1"/>
  <c r="K44" i="2"/>
  <c r="E44" i="2"/>
  <c r="E45" i="2" s="1"/>
  <c r="X43" i="2"/>
  <c r="Y43" i="2" s="1"/>
  <c r="V43" i="2"/>
  <c r="W43" i="2" s="1"/>
  <c r="T43" i="2"/>
  <c r="U43" i="2" s="1"/>
  <c r="Q43" i="2"/>
  <c r="Z43" i="2" s="1"/>
  <c r="K43" i="2"/>
  <c r="E43" i="2"/>
  <c r="X42" i="2"/>
  <c r="Y42" i="2" s="1"/>
  <c r="W42" i="2"/>
  <c r="V42" i="2"/>
  <c r="U42" i="2"/>
  <c r="T42" i="2"/>
  <c r="Q42" i="2"/>
  <c r="K42" i="2"/>
  <c r="Z42" i="2" s="1"/>
  <c r="F42" i="2"/>
  <c r="E42" i="2"/>
  <c r="Y41" i="2"/>
  <c r="X41" i="2"/>
  <c r="W41" i="2"/>
  <c r="V41" i="2"/>
  <c r="T41" i="2"/>
  <c r="U41" i="2" s="1"/>
  <c r="R41" i="2"/>
  <c r="Q41" i="2"/>
  <c r="K41" i="2"/>
  <c r="F41" i="2"/>
  <c r="E41" i="2"/>
  <c r="X40" i="2"/>
  <c r="Y40" i="2" s="1"/>
  <c r="V40" i="2"/>
  <c r="W40" i="2" s="1"/>
  <c r="T40" i="2"/>
  <c r="U40" i="2" s="1"/>
  <c r="R40" i="2"/>
  <c r="Q40" i="2"/>
  <c r="K40" i="2"/>
  <c r="E40" i="2"/>
  <c r="AE37" i="2"/>
  <c r="A37" i="2"/>
  <c r="AD28" i="2"/>
  <c r="AC28" i="2"/>
  <c r="AB28" i="2"/>
  <c r="AA28" i="2"/>
  <c r="Z28" i="2"/>
  <c r="X28" i="2"/>
  <c r="Y28" i="2" s="1"/>
  <c r="W28" i="2"/>
  <c r="V28" i="2"/>
  <c r="U28" i="2"/>
  <c r="T28" i="2"/>
  <c r="Q28" i="2"/>
  <c r="K28" i="2"/>
  <c r="E28" i="2"/>
  <c r="P27" i="2"/>
  <c r="O27" i="2"/>
  <c r="N27" i="2"/>
  <c r="J27" i="2"/>
  <c r="X27" i="2" s="1"/>
  <c r="Y27" i="2" s="1"/>
  <c r="I27" i="2"/>
  <c r="V27" i="2" s="1"/>
  <c r="W27" i="2" s="1"/>
  <c r="H27" i="2"/>
  <c r="T27" i="2" s="1"/>
  <c r="U27" i="2" s="1"/>
  <c r="D27" i="2"/>
  <c r="C27" i="2"/>
  <c r="B27" i="2"/>
  <c r="Z26" i="2"/>
  <c r="Y26" i="2"/>
  <c r="X26" i="2"/>
  <c r="V26" i="2"/>
  <c r="W26" i="2" s="1"/>
  <c r="T26" i="2"/>
  <c r="U26" i="2" s="1"/>
  <c r="R26" i="2"/>
  <c r="Q26" i="2"/>
  <c r="K26" i="2"/>
  <c r="E26" i="2"/>
  <c r="Z25" i="2"/>
  <c r="X25" i="2"/>
  <c r="Y25" i="2" s="1"/>
  <c r="V25" i="2"/>
  <c r="W25" i="2" s="1"/>
  <c r="T25" i="2"/>
  <c r="U25" i="2" s="1"/>
  <c r="Q25" i="2"/>
  <c r="K25" i="2"/>
  <c r="F25" i="2"/>
  <c r="E25" i="2"/>
  <c r="X24" i="2"/>
  <c r="Y24" i="2" s="1"/>
  <c r="V24" i="2"/>
  <c r="W24" i="2" s="1"/>
  <c r="T24" i="2"/>
  <c r="U24" i="2" s="1"/>
  <c r="Q24" i="2"/>
  <c r="Z24" i="2" s="1"/>
  <c r="K24" i="2"/>
  <c r="F24" i="2"/>
  <c r="E24" i="2"/>
  <c r="Y23" i="2"/>
  <c r="X23" i="2"/>
  <c r="W23" i="2"/>
  <c r="V23" i="2"/>
  <c r="U23" i="2"/>
  <c r="T23" i="2"/>
  <c r="Q23" i="2"/>
  <c r="Z23" i="2" s="1"/>
  <c r="K23" i="2"/>
  <c r="E23" i="2"/>
  <c r="Z22" i="2"/>
  <c r="X22" i="2"/>
  <c r="Y22" i="2" s="1"/>
  <c r="W22" i="2"/>
  <c r="V22" i="2"/>
  <c r="U22" i="2"/>
  <c r="T22" i="2"/>
  <c r="Q22" i="2"/>
  <c r="K22" i="2"/>
  <c r="K27" i="2" s="1"/>
  <c r="F22" i="2"/>
  <c r="E22" i="2"/>
  <c r="E27" i="2" s="1"/>
  <c r="AE19" i="2"/>
  <c r="A19" i="2" s="1"/>
  <c r="AD11" i="2"/>
  <c r="AC11" i="2"/>
  <c r="AB11" i="2"/>
  <c r="AA11" i="2"/>
  <c r="X11" i="2"/>
  <c r="Y11" i="2" s="1"/>
  <c r="V11" i="2"/>
  <c r="W11" i="2" s="1"/>
  <c r="T11" i="2"/>
  <c r="U11" i="2" s="1"/>
  <c r="Q11" i="2"/>
  <c r="K11" i="2"/>
  <c r="E11" i="2"/>
  <c r="V9" i="2"/>
  <c r="W9" i="2" s="1"/>
  <c r="U9" i="2"/>
  <c r="Q9" i="2"/>
  <c r="Z9" i="2" s="1"/>
  <c r="P9" i="2"/>
  <c r="X9" i="2" s="1"/>
  <c r="Y9" i="2" s="1"/>
  <c r="O9" i="2"/>
  <c r="N9" i="2"/>
  <c r="T9" i="2" s="1"/>
  <c r="J9" i="2"/>
  <c r="I9" i="2"/>
  <c r="K9" i="2" s="1"/>
  <c r="H9" i="2"/>
  <c r="D9" i="2"/>
  <c r="C9" i="2"/>
  <c r="B9" i="2"/>
  <c r="E9" i="2" s="1"/>
  <c r="P8" i="2"/>
  <c r="X8" i="2" s="1"/>
  <c r="Y8" i="2" s="1"/>
  <c r="O8" i="2"/>
  <c r="N8" i="2"/>
  <c r="K8" i="2"/>
  <c r="J8" i="2"/>
  <c r="I8" i="2"/>
  <c r="H8" i="2"/>
  <c r="D8" i="2"/>
  <c r="C8" i="2"/>
  <c r="B8" i="2"/>
  <c r="F8" i="2" s="1"/>
  <c r="T7" i="2"/>
  <c r="U7" i="2" s="1"/>
  <c r="P7" i="2"/>
  <c r="O7" i="2"/>
  <c r="N7" i="2"/>
  <c r="Q7" i="2" s="1"/>
  <c r="J7" i="2"/>
  <c r="I7" i="2"/>
  <c r="H7" i="2"/>
  <c r="F7" i="2"/>
  <c r="D7" i="2"/>
  <c r="C7" i="2"/>
  <c r="B7" i="2"/>
  <c r="R6" i="2"/>
  <c r="Q6" i="2"/>
  <c r="E6" i="2"/>
  <c r="AH5" i="2"/>
  <c r="Q5" i="2"/>
  <c r="F5" i="2"/>
  <c r="E5" i="2"/>
  <c r="A2" i="2"/>
  <c r="A1" i="2"/>
  <c r="FN26" i="1"/>
  <c r="FK26" i="1"/>
  <c r="FI26" i="1"/>
  <c r="EX26" i="1"/>
  <c r="EU26" i="1"/>
  <c r="ES26" i="1"/>
  <c r="EH26" i="1"/>
  <c r="EE26" i="1"/>
  <c r="EC26" i="1"/>
  <c r="DR26" i="1"/>
  <c r="DO26" i="1"/>
  <c r="DM26" i="1"/>
  <c r="DB26" i="1"/>
  <c r="CY26" i="1"/>
  <c r="CW26" i="1"/>
  <c r="CL26" i="1"/>
  <c r="CI26" i="1"/>
  <c r="CG26" i="1"/>
  <c r="BV26" i="1"/>
  <c r="BS26" i="1"/>
  <c r="BQ26" i="1"/>
  <c r="BF26" i="1"/>
  <c r="BC26" i="1"/>
  <c r="BA26" i="1"/>
  <c r="AP26" i="1"/>
  <c r="AM26" i="1"/>
  <c r="AK26" i="1"/>
  <c r="FN25" i="1"/>
  <c r="FO25" i="1" s="1"/>
  <c r="FK25" i="1"/>
  <c r="FI25" i="1"/>
  <c r="FS25" i="1" s="1"/>
  <c r="FE25" i="1"/>
  <c r="EX25" i="1"/>
  <c r="EU25" i="1"/>
  <c r="ES25" i="1"/>
  <c r="EO25" i="1"/>
  <c r="EH25" i="1"/>
  <c r="EE25" i="1"/>
  <c r="EC25" i="1"/>
  <c r="DY25" i="1"/>
  <c r="DW25" i="1"/>
  <c r="DR25" i="1"/>
  <c r="DS25" i="1" s="1"/>
  <c r="DO25" i="1"/>
  <c r="DB25" i="1"/>
  <c r="CY25" i="1"/>
  <c r="CW25" i="1"/>
  <c r="CS25" i="1"/>
  <c r="CQ25" i="1"/>
  <c r="CO25" i="1"/>
  <c r="CM25" i="1"/>
  <c r="CL25" i="1"/>
  <c r="CI25" i="1"/>
  <c r="CC25" i="1"/>
  <c r="BV25" i="1"/>
  <c r="BS25" i="1"/>
  <c r="BQ25" i="1"/>
  <c r="BM25" i="1"/>
  <c r="BK25" i="1"/>
  <c r="BF25" i="1"/>
  <c r="BC25" i="1"/>
  <c r="AW25" i="1"/>
  <c r="AP25" i="1"/>
  <c r="AM25" i="1"/>
  <c r="AK25" i="1"/>
  <c r="Z25" i="1"/>
  <c r="W25" i="1"/>
  <c r="Q25" i="1"/>
  <c r="A25" i="1"/>
  <c r="AG25" i="1" s="1"/>
  <c r="FS24" i="1"/>
  <c r="FR24" i="1"/>
  <c r="FQ24" i="1"/>
  <c r="FP24" i="1"/>
  <c r="FO24" i="1"/>
  <c r="FM24" i="1"/>
  <c r="FC24" i="1"/>
  <c r="FB24" i="1"/>
  <c r="FA24" i="1"/>
  <c r="EZ24" i="1"/>
  <c r="EY24" i="1"/>
  <c r="EW24" i="1"/>
  <c r="EM24" i="1"/>
  <c r="EL24" i="1"/>
  <c r="EK24" i="1"/>
  <c r="EJ24" i="1"/>
  <c r="EI24" i="1"/>
  <c r="EG24" i="1"/>
  <c r="DW24" i="1"/>
  <c r="DV24" i="1"/>
  <c r="DU24" i="1"/>
  <c r="DT24" i="1"/>
  <c r="DS24" i="1"/>
  <c r="DQ24" i="1"/>
  <c r="DG24" i="1"/>
  <c r="DF24" i="1"/>
  <c r="DE24" i="1"/>
  <c r="DD24" i="1"/>
  <c r="DC24" i="1"/>
  <c r="DA24" i="1"/>
  <c r="CQ24" i="1"/>
  <c r="CP24" i="1"/>
  <c r="CO24" i="1"/>
  <c r="CN24" i="1"/>
  <c r="CM24" i="1"/>
  <c r="CK24" i="1"/>
  <c r="CA24" i="1"/>
  <c r="BZ24" i="1"/>
  <c r="BY24" i="1"/>
  <c r="BX24" i="1"/>
  <c r="BW24" i="1"/>
  <c r="BU24" i="1"/>
  <c r="BK24" i="1"/>
  <c r="BJ24" i="1"/>
  <c r="BI24" i="1"/>
  <c r="BH24" i="1"/>
  <c r="BG24" i="1"/>
  <c r="BE24" i="1"/>
  <c r="AU24" i="1"/>
  <c r="AT24" i="1"/>
  <c r="AS24" i="1"/>
  <c r="AR24" i="1"/>
  <c r="AQ24" i="1"/>
  <c r="AO24" i="1"/>
  <c r="AE24" i="1"/>
  <c r="AD24" i="1"/>
  <c r="AC24" i="1"/>
  <c r="AB24" i="1"/>
  <c r="AA24" i="1"/>
  <c r="Y24" i="1"/>
  <c r="O24" i="1"/>
  <c r="N24" i="1"/>
  <c r="M24" i="1"/>
  <c r="L24" i="1"/>
  <c r="K24" i="1"/>
  <c r="I24" i="1"/>
  <c r="FS23" i="1"/>
  <c r="FR23" i="1"/>
  <c r="FQ23" i="1"/>
  <c r="FP23" i="1"/>
  <c r="FO23" i="1"/>
  <c r="FM23" i="1"/>
  <c r="FC23" i="1"/>
  <c r="FB23" i="1"/>
  <c r="FA23" i="1"/>
  <c r="EZ23" i="1"/>
  <c r="EY23" i="1"/>
  <c r="EW23" i="1"/>
  <c r="EM23" i="1"/>
  <c r="EL23" i="1"/>
  <c r="EK23" i="1"/>
  <c r="EJ23" i="1"/>
  <c r="EI23" i="1"/>
  <c r="EG23" i="1"/>
  <c r="DW23" i="1"/>
  <c r="DV23" i="1"/>
  <c r="DU23" i="1"/>
  <c r="DT23" i="1"/>
  <c r="DS23" i="1"/>
  <c r="DQ23" i="1"/>
  <c r="DG23" i="1"/>
  <c r="DF23" i="1"/>
  <c r="DE23" i="1"/>
  <c r="DD23" i="1"/>
  <c r="DC23" i="1"/>
  <c r="DA23" i="1"/>
  <c r="CQ23" i="1"/>
  <c r="CP23" i="1"/>
  <c r="CO23" i="1"/>
  <c r="CN23" i="1"/>
  <c r="CM23" i="1"/>
  <c r="CK23" i="1"/>
  <c r="CA23" i="1"/>
  <c r="BZ23" i="1"/>
  <c r="BY23" i="1"/>
  <c r="BX23" i="1"/>
  <c r="BW23" i="1"/>
  <c r="BU23" i="1"/>
  <c r="BK23" i="1"/>
  <c r="BJ23" i="1"/>
  <c r="BI23" i="1"/>
  <c r="BH23" i="1"/>
  <c r="BG23" i="1"/>
  <c r="BE23" i="1"/>
  <c r="AU23" i="1"/>
  <c r="AT23" i="1"/>
  <c r="AS23" i="1"/>
  <c r="AR23" i="1"/>
  <c r="AQ23" i="1"/>
  <c r="AO23" i="1"/>
  <c r="AE23" i="1"/>
  <c r="AD23" i="1"/>
  <c r="AC23" i="1"/>
  <c r="AB23" i="1"/>
  <c r="AA23" i="1"/>
  <c r="Y23" i="1"/>
  <c r="O23" i="1"/>
  <c r="N23" i="1"/>
  <c r="M23" i="1"/>
  <c r="L23" i="1"/>
  <c r="K23" i="1"/>
  <c r="I23" i="1"/>
  <c r="FS22" i="1"/>
  <c r="FR22" i="1"/>
  <c r="FQ22" i="1"/>
  <c r="FP22" i="1"/>
  <c r="FO22" i="1"/>
  <c r="FM22" i="1"/>
  <c r="FC22" i="1"/>
  <c r="FB22" i="1"/>
  <c r="FA22" i="1"/>
  <c r="EZ22" i="1"/>
  <c r="EY22" i="1"/>
  <c r="EW22" i="1"/>
  <c r="EM22" i="1"/>
  <c r="EL22" i="1"/>
  <c r="EK22" i="1"/>
  <c r="EJ22" i="1"/>
  <c r="EI22" i="1"/>
  <c r="EG22" i="1"/>
  <c r="DW22" i="1"/>
  <c r="DV22" i="1"/>
  <c r="DU22" i="1"/>
  <c r="DT22" i="1"/>
  <c r="DS22" i="1"/>
  <c r="DQ22" i="1"/>
  <c r="DG22" i="1"/>
  <c r="DF22" i="1"/>
  <c r="DE22" i="1"/>
  <c r="DD22" i="1"/>
  <c r="DC22" i="1"/>
  <c r="DA22" i="1"/>
  <c r="CQ22" i="1"/>
  <c r="CP22" i="1"/>
  <c r="CO22" i="1"/>
  <c r="CN22" i="1"/>
  <c r="CM22" i="1"/>
  <c r="CK22" i="1"/>
  <c r="CA22" i="1"/>
  <c r="BZ22" i="1"/>
  <c r="BY22" i="1"/>
  <c r="BX22" i="1"/>
  <c r="BW22" i="1"/>
  <c r="BU22" i="1"/>
  <c r="BK22" i="1"/>
  <c r="BJ22" i="1"/>
  <c r="BI22" i="1"/>
  <c r="BH22" i="1"/>
  <c r="BG22" i="1"/>
  <c r="BE22" i="1"/>
  <c r="AU22" i="1"/>
  <c r="AT22" i="1"/>
  <c r="AS22" i="1"/>
  <c r="AR22" i="1"/>
  <c r="AQ22" i="1"/>
  <c r="AO22" i="1"/>
  <c r="AE22" i="1"/>
  <c r="AD22" i="1"/>
  <c r="AC22" i="1"/>
  <c r="AB22" i="1"/>
  <c r="AA22" i="1"/>
  <c r="Y22" i="1"/>
  <c r="O22" i="1"/>
  <c r="N22" i="1"/>
  <c r="M22" i="1"/>
  <c r="L22" i="1"/>
  <c r="K22" i="1"/>
  <c r="FS21" i="1"/>
  <c r="FR21" i="1"/>
  <c r="FQ21" i="1"/>
  <c r="FP21" i="1"/>
  <c r="FO21" i="1"/>
  <c r="FM21" i="1"/>
  <c r="FC21" i="1"/>
  <c r="FB21" i="1"/>
  <c r="FA21" i="1"/>
  <c r="EZ21" i="1"/>
  <c r="EY21" i="1"/>
  <c r="EW21" i="1"/>
  <c r="EM21" i="1"/>
  <c r="EL21" i="1"/>
  <c r="EK21" i="1"/>
  <c r="EJ21" i="1"/>
  <c r="EI21" i="1"/>
  <c r="EG21" i="1"/>
  <c r="DW21" i="1"/>
  <c r="DV21" i="1"/>
  <c r="DU21" i="1"/>
  <c r="DT21" i="1"/>
  <c r="DS21" i="1"/>
  <c r="DQ21" i="1"/>
  <c r="DG21" i="1"/>
  <c r="DF21" i="1"/>
  <c r="DE21" i="1"/>
  <c r="DD21" i="1"/>
  <c r="DC21" i="1"/>
  <c r="DA21" i="1"/>
  <c r="CQ21" i="1"/>
  <c r="CP21" i="1"/>
  <c r="CO21" i="1"/>
  <c r="CN21" i="1"/>
  <c r="CM21" i="1"/>
  <c r="CK21" i="1"/>
  <c r="CA21" i="1"/>
  <c r="BZ21" i="1"/>
  <c r="BY21" i="1"/>
  <c r="BX21" i="1"/>
  <c r="BW21" i="1"/>
  <c r="BU21" i="1"/>
  <c r="BK21" i="1"/>
  <c r="BJ21" i="1"/>
  <c r="BI21" i="1"/>
  <c r="BH21" i="1"/>
  <c r="BG21" i="1"/>
  <c r="BE21" i="1"/>
  <c r="AU21" i="1"/>
  <c r="AT21" i="1"/>
  <c r="AS21" i="1"/>
  <c r="AR21" i="1"/>
  <c r="AQ21" i="1"/>
  <c r="AO21" i="1"/>
  <c r="AE21" i="1"/>
  <c r="AD21" i="1"/>
  <c r="AC21" i="1"/>
  <c r="AB21" i="1"/>
  <c r="AA21" i="1"/>
  <c r="Y21" i="1"/>
  <c r="O21" i="1"/>
  <c r="N21" i="1"/>
  <c r="M21" i="1"/>
  <c r="L21" i="1"/>
  <c r="K21" i="1"/>
  <c r="FS20" i="1"/>
  <c r="FQ20" i="1"/>
  <c r="FO20" i="1"/>
  <c r="FG20" i="1"/>
  <c r="FF20" i="1"/>
  <c r="FC20" i="1"/>
  <c r="FA20" i="1"/>
  <c r="EY20" i="1"/>
  <c r="EQ20" i="1"/>
  <c r="EP20" i="1"/>
  <c r="EM20" i="1"/>
  <c r="EK20" i="1"/>
  <c r="EI20" i="1"/>
  <c r="EA20" i="1"/>
  <c r="DZ20" i="1"/>
  <c r="DW20" i="1"/>
  <c r="DU20" i="1"/>
  <c r="DS20" i="1"/>
  <c r="DK20" i="1"/>
  <c r="DJ20" i="1"/>
  <c r="DG20" i="1"/>
  <c r="DE20" i="1"/>
  <c r="DC20" i="1"/>
  <c r="CU20" i="1"/>
  <c r="CT20" i="1"/>
  <c r="CQ20" i="1"/>
  <c r="CO20" i="1"/>
  <c r="CM20" i="1"/>
  <c r="CE20" i="1"/>
  <c r="CD20" i="1"/>
  <c r="CA20" i="1"/>
  <c r="BY20" i="1"/>
  <c r="BW20" i="1"/>
  <c r="BO20" i="1"/>
  <c r="BN20" i="1"/>
  <c r="BK20" i="1"/>
  <c r="BI20" i="1"/>
  <c r="BG20" i="1"/>
  <c r="AY20" i="1"/>
  <c r="AX20" i="1"/>
  <c r="AU20" i="1"/>
  <c r="AS20" i="1"/>
  <c r="AQ20" i="1"/>
  <c r="AI20" i="1"/>
  <c r="AH20" i="1"/>
  <c r="AE20" i="1"/>
  <c r="AC20" i="1"/>
  <c r="AA20" i="1"/>
  <c r="S20" i="1"/>
  <c r="R20" i="1"/>
  <c r="J20" i="1"/>
  <c r="M20" i="1" s="1"/>
  <c r="G20" i="1"/>
  <c r="E20" i="1"/>
  <c r="FS19" i="1"/>
  <c r="FQ19" i="1"/>
  <c r="FO19" i="1"/>
  <c r="FG19" i="1"/>
  <c r="FF19" i="1"/>
  <c r="FC19" i="1"/>
  <c r="FA19" i="1"/>
  <c r="EY19" i="1"/>
  <c r="EQ19" i="1"/>
  <c r="EP19" i="1"/>
  <c r="EM19" i="1"/>
  <c r="EK19" i="1"/>
  <c r="EI19" i="1"/>
  <c r="EA19" i="1"/>
  <c r="DZ19" i="1"/>
  <c r="DW19" i="1"/>
  <c r="DU19" i="1"/>
  <c r="DS19" i="1"/>
  <c r="DK19" i="1"/>
  <c r="DJ19" i="1"/>
  <c r="DG19" i="1"/>
  <c r="DE19" i="1"/>
  <c r="DC19" i="1"/>
  <c r="CU19" i="1"/>
  <c r="CT19" i="1"/>
  <c r="CQ19" i="1"/>
  <c r="CO19" i="1"/>
  <c r="CM19" i="1"/>
  <c r="CE19" i="1"/>
  <c r="CD19" i="1"/>
  <c r="CA19" i="1"/>
  <c r="BY19" i="1"/>
  <c r="BW19" i="1"/>
  <c r="BO19" i="1"/>
  <c r="BN19" i="1"/>
  <c r="BK19" i="1"/>
  <c r="BI19" i="1"/>
  <c r="BG19" i="1"/>
  <c r="AY19" i="1"/>
  <c r="AX19" i="1"/>
  <c r="AU19" i="1"/>
  <c r="AS19" i="1"/>
  <c r="AQ19" i="1"/>
  <c r="AI19" i="1"/>
  <c r="AH19" i="1"/>
  <c r="AE19" i="1"/>
  <c r="AC19" i="1"/>
  <c r="AA19" i="1"/>
  <c r="S19" i="1"/>
  <c r="R19" i="1"/>
  <c r="J19" i="1"/>
  <c r="G19" i="1"/>
  <c r="E19" i="1"/>
  <c r="FS18" i="1"/>
  <c r="FQ18" i="1"/>
  <c r="FO18" i="1"/>
  <c r="FG18" i="1"/>
  <c r="FF18" i="1"/>
  <c r="FC18" i="1"/>
  <c r="FA18" i="1"/>
  <c r="EY18" i="1"/>
  <c r="EQ18" i="1"/>
  <c r="EP18" i="1"/>
  <c r="EM18" i="1"/>
  <c r="EK18" i="1"/>
  <c r="EI18" i="1"/>
  <c r="EF18" i="1"/>
  <c r="EL18" i="1" s="1"/>
  <c r="EA18" i="1"/>
  <c r="DZ18" i="1"/>
  <c r="DW18" i="1"/>
  <c r="DU18" i="1"/>
  <c r="DS18" i="1"/>
  <c r="DP18" i="1"/>
  <c r="DN18" i="1"/>
  <c r="DQ18" i="1" s="1"/>
  <c r="DL18" i="1"/>
  <c r="DK18" i="1"/>
  <c r="DJ18" i="1"/>
  <c r="DG18" i="1"/>
  <c r="DE18" i="1"/>
  <c r="DC18" i="1"/>
  <c r="CZ18" i="1"/>
  <c r="CX18" i="1"/>
  <c r="CV18" i="1"/>
  <c r="CU18" i="1"/>
  <c r="CT18" i="1"/>
  <c r="CQ18" i="1"/>
  <c r="CO18" i="1"/>
  <c r="CM18" i="1"/>
  <c r="CE18" i="1"/>
  <c r="CD18" i="1"/>
  <c r="CA18" i="1"/>
  <c r="BY18" i="1"/>
  <c r="BW18" i="1"/>
  <c r="BP18" i="1"/>
  <c r="BO18" i="1"/>
  <c r="BN18" i="1"/>
  <c r="BK18" i="1"/>
  <c r="BI18" i="1"/>
  <c r="BG18" i="1"/>
  <c r="AY18" i="1"/>
  <c r="AX18" i="1"/>
  <c r="AU18" i="1"/>
  <c r="AS18" i="1"/>
  <c r="AQ18" i="1"/>
  <c r="AI18" i="1"/>
  <c r="AH18" i="1"/>
  <c r="AE18" i="1"/>
  <c r="AC18" i="1"/>
  <c r="AA18" i="1"/>
  <c r="X18" i="1"/>
  <c r="V18" i="1"/>
  <c r="T18" i="1"/>
  <c r="S18" i="1"/>
  <c r="R18" i="1"/>
  <c r="J18" i="1"/>
  <c r="G18" i="1"/>
  <c r="K18" i="1" s="1"/>
  <c r="E18" i="1"/>
  <c r="FS17" i="1"/>
  <c r="FQ17" i="1"/>
  <c r="FO17" i="1"/>
  <c r="FG17" i="1"/>
  <c r="FF17" i="1"/>
  <c r="FC17" i="1"/>
  <c r="FA17" i="1"/>
  <c r="EY17" i="1"/>
  <c r="EQ17" i="1"/>
  <c r="EP17" i="1"/>
  <c r="EM17" i="1"/>
  <c r="EK17" i="1"/>
  <c r="EI17" i="1"/>
  <c r="EA17" i="1"/>
  <c r="DZ17" i="1"/>
  <c r="DW17" i="1"/>
  <c r="DU17" i="1"/>
  <c r="DS17" i="1"/>
  <c r="DP17" i="1"/>
  <c r="DQ17" i="1" s="1"/>
  <c r="DN17" i="1"/>
  <c r="DK17" i="1"/>
  <c r="DJ17" i="1"/>
  <c r="DG17" i="1"/>
  <c r="DE17" i="1"/>
  <c r="DC17" i="1"/>
  <c r="CZ17" i="1"/>
  <c r="CX17" i="1"/>
  <c r="CV17" i="1"/>
  <c r="CU17" i="1"/>
  <c r="CT17" i="1"/>
  <c r="CQ17" i="1"/>
  <c r="CO17" i="1"/>
  <c r="CM17" i="1"/>
  <c r="CE17" i="1"/>
  <c r="CD17" i="1"/>
  <c r="CA17" i="1"/>
  <c r="BY17" i="1"/>
  <c r="BW17" i="1"/>
  <c r="BO17" i="1"/>
  <c r="BN17" i="1"/>
  <c r="BK17" i="1"/>
  <c r="BI17" i="1"/>
  <c r="BG17" i="1"/>
  <c r="AY17" i="1"/>
  <c r="AX17" i="1"/>
  <c r="AU17" i="1"/>
  <c r="AS17" i="1"/>
  <c r="AQ17" i="1"/>
  <c r="AI17" i="1"/>
  <c r="AH17" i="1"/>
  <c r="AE17" i="1"/>
  <c r="AC17" i="1"/>
  <c r="AA17" i="1"/>
  <c r="S17" i="1"/>
  <c r="R17" i="1"/>
  <c r="J17" i="1"/>
  <c r="O17" i="1" s="1"/>
  <c r="G17" i="1"/>
  <c r="E17" i="1"/>
  <c r="FS16" i="1"/>
  <c r="FQ16" i="1"/>
  <c r="FO16" i="1"/>
  <c r="FG16" i="1"/>
  <c r="FF16" i="1"/>
  <c r="FC16" i="1"/>
  <c r="FA16" i="1"/>
  <c r="EY16" i="1"/>
  <c r="EQ16" i="1"/>
  <c r="EP16" i="1"/>
  <c r="EM16" i="1"/>
  <c r="EK16" i="1"/>
  <c r="EI16" i="1"/>
  <c r="EA16" i="1"/>
  <c r="DZ16" i="1"/>
  <c r="DW16" i="1"/>
  <c r="DU16" i="1"/>
  <c r="DS16" i="1"/>
  <c r="DK16" i="1"/>
  <c r="DJ16" i="1"/>
  <c r="DG16" i="1"/>
  <c r="DE16" i="1"/>
  <c r="DC16" i="1"/>
  <c r="CU16" i="1"/>
  <c r="CT16" i="1"/>
  <c r="CQ16" i="1"/>
  <c r="CO16" i="1"/>
  <c r="CM16" i="1"/>
  <c r="CE16" i="1"/>
  <c r="CD16" i="1"/>
  <c r="CA16" i="1"/>
  <c r="BY16" i="1"/>
  <c r="BW16" i="1"/>
  <c r="BO16" i="1"/>
  <c r="BN16" i="1"/>
  <c r="BK16" i="1"/>
  <c r="BI16" i="1"/>
  <c r="BG16" i="1"/>
  <c r="AY16" i="1"/>
  <c r="AX16" i="1"/>
  <c r="AU16" i="1"/>
  <c r="AS16" i="1"/>
  <c r="AQ16" i="1"/>
  <c r="AI16" i="1"/>
  <c r="AH16" i="1"/>
  <c r="AE16" i="1"/>
  <c r="AC16" i="1"/>
  <c r="AA16" i="1"/>
  <c r="T16" i="1"/>
  <c r="S16" i="1"/>
  <c r="R16" i="1"/>
  <c r="K16" i="1"/>
  <c r="J16" i="1"/>
  <c r="G16" i="1"/>
  <c r="E16" i="1"/>
  <c r="FS15" i="1"/>
  <c r="FQ15" i="1"/>
  <c r="FG15" i="1"/>
  <c r="FF15" i="1"/>
  <c r="FC15" i="1"/>
  <c r="FA15" i="1"/>
  <c r="EQ15" i="1"/>
  <c r="EP15" i="1"/>
  <c r="EM15" i="1"/>
  <c r="EK15" i="1"/>
  <c r="EA15" i="1"/>
  <c r="DZ15" i="1"/>
  <c r="DW15" i="1"/>
  <c r="DU15" i="1"/>
  <c r="DK15" i="1"/>
  <c r="DJ15" i="1"/>
  <c r="DG15" i="1"/>
  <c r="DE15" i="1"/>
  <c r="CU15" i="1"/>
  <c r="CT15" i="1"/>
  <c r="CQ15" i="1"/>
  <c r="CO15" i="1"/>
  <c r="CE15" i="1"/>
  <c r="CD15" i="1"/>
  <c r="CA15" i="1"/>
  <c r="BY15" i="1"/>
  <c r="BO15" i="1"/>
  <c r="BN15" i="1"/>
  <c r="BK15" i="1"/>
  <c r="BI15" i="1"/>
  <c r="AY15" i="1"/>
  <c r="AX15" i="1"/>
  <c r="AU15" i="1"/>
  <c r="AS15" i="1"/>
  <c r="AI15" i="1"/>
  <c r="AH15" i="1"/>
  <c r="AE15" i="1"/>
  <c r="AC15" i="1"/>
  <c r="S15" i="1"/>
  <c r="R15" i="1"/>
  <c r="O15" i="1"/>
  <c r="FS14" i="1"/>
  <c r="FR14" i="1"/>
  <c r="FQ14" i="1"/>
  <c r="FP14" i="1"/>
  <c r="FM14" i="1"/>
  <c r="FG14" i="1"/>
  <c r="FF14" i="1"/>
  <c r="FC14" i="1"/>
  <c r="FB14" i="1"/>
  <c r="FA14" i="1"/>
  <c r="EZ14" i="1"/>
  <c r="EW14" i="1"/>
  <c r="EQ14" i="1"/>
  <c r="EP14" i="1"/>
  <c r="EM14" i="1"/>
  <c r="EL14" i="1"/>
  <c r="EK14" i="1"/>
  <c r="EJ14" i="1"/>
  <c r="EG14" i="1"/>
  <c r="EA14" i="1"/>
  <c r="DZ14" i="1"/>
  <c r="DW14" i="1"/>
  <c r="DV14" i="1"/>
  <c r="DU14" i="1"/>
  <c r="DT14" i="1"/>
  <c r="DQ14" i="1"/>
  <c r="DK14" i="1"/>
  <c r="DJ14" i="1"/>
  <c r="DG14" i="1"/>
  <c r="DF14" i="1"/>
  <c r="DE14" i="1"/>
  <c r="DD14" i="1"/>
  <c r="DA14" i="1"/>
  <c r="CU14" i="1"/>
  <c r="CT14" i="1"/>
  <c r="CQ14" i="1"/>
  <c r="CP14" i="1"/>
  <c r="CO14" i="1"/>
  <c r="CN14" i="1"/>
  <c r="CK14" i="1"/>
  <c r="CE14" i="1"/>
  <c r="CD14" i="1"/>
  <c r="CA14" i="1"/>
  <c r="BZ14" i="1"/>
  <c r="BY14" i="1"/>
  <c r="BX14" i="1"/>
  <c r="BU14" i="1"/>
  <c r="BO14" i="1"/>
  <c r="BN14" i="1"/>
  <c r="BK14" i="1"/>
  <c r="BJ14" i="1"/>
  <c r="BI14" i="1"/>
  <c r="BH14" i="1"/>
  <c r="BE14" i="1"/>
  <c r="AY14" i="1"/>
  <c r="AX14" i="1"/>
  <c r="AU14" i="1"/>
  <c r="AT14" i="1"/>
  <c r="AS14" i="1"/>
  <c r="AR14" i="1"/>
  <c r="AO14" i="1"/>
  <c r="AI14" i="1"/>
  <c r="AH14" i="1"/>
  <c r="AE14" i="1"/>
  <c r="AD14" i="1"/>
  <c r="AC14" i="1"/>
  <c r="AB14" i="1"/>
  <c r="Y14" i="1"/>
  <c r="S14" i="1"/>
  <c r="R14" i="1"/>
  <c r="O14" i="1"/>
  <c r="FS13" i="1"/>
  <c r="FQ13" i="1"/>
  <c r="FO13" i="1"/>
  <c r="FG13" i="1"/>
  <c r="FF13" i="1"/>
  <c r="FE13" i="1"/>
  <c r="FC13" i="1"/>
  <c r="FA13" i="1"/>
  <c r="EY13" i="1"/>
  <c r="EQ13" i="1"/>
  <c r="EP13" i="1"/>
  <c r="EO13" i="1"/>
  <c r="EM13" i="1"/>
  <c r="EK13" i="1"/>
  <c r="EI13" i="1"/>
  <c r="EA13" i="1"/>
  <c r="DZ13" i="1"/>
  <c r="DY13" i="1"/>
  <c r="DW13" i="1"/>
  <c r="DU13" i="1"/>
  <c r="DS13" i="1"/>
  <c r="DL13" i="1"/>
  <c r="DL15" i="1" s="1"/>
  <c r="DK13" i="1"/>
  <c r="DJ13" i="1"/>
  <c r="DI13" i="1"/>
  <c r="DG13" i="1"/>
  <c r="DE13" i="1"/>
  <c r="DC13" i="1"/>
  <c r="CU13" i="1"/>
  <c r="CT13" i="1"/>
  <c r="CS13" i="1"/>
  <c r="CQ13" i="1"/>
  <c r="CO13" i="1"/>
  <c r="CM13" i="1"/>
  <c r="CE13" i="1"/>
  <c r="CD13" i="1"/>
  <c r="CC13" i="1"/>
  <c r="CA13" i="1"/>
  <c r="BY13" i="1"/>
  <c r="BW13" i="1"/>
  <c r="BO13" i="1"/>
  <c r="BN13" i="1"/>
  <c r="BM13" i="1"/>
  <c r="BK13" i="1"/>
  <c r="BI13" i="1"/>
  <c r="BG13" i="1"/>
  <c r="AY13" i="1"/>
  <c r="AX13" i="1"/>
  <c r="AW13" i="1"/>
  <c r="AU13" i="1"/>
  <c r="AS13" i="1"/>
  <c r="AQ13" i="1"/>
  <c r="AI13" i="1"/>
  <c r="AH13" i="1"/>
  <c r="AG13" i="1"/>
  <c r="AE13" i="1"/>
  <c r="AC13" i="1"/>
  <c r="AA13" i="1"/>
  <c r="T13" i="1"/>
  <c r="T15" i="1" s="1"/>
  <c r="S13" i="1"/>
  <c r="R13" i="1"/>
  <c r="Q13" i="1"/>
  <c r="O13" i="1"/>
  <c r="M13" i="1"/>
  <c r="K13" i="1"/>
  <c r="J13" i="1"/>
  <c r="G13" i="1"/>
  <c r="E13" i="1"/>
  <c r="FS12" i="1"/>
  <c r="FQ12" i="1"/>
  <c r="FO12" i="1"/>
  <c r="FG12" i="1"/>
  <c r="FF12" i="1"/>
  <c r="FC12" i="1"/>
  <c r="FA12" i="1"/>
  <c r="EY12" i="1"/>
  <c r="EQ12" i="1"/>
  <c r="EP12" i="1"/>
  <c r="EM12" i="1"/>
  <c r="EK12" i="1"/>
  <c r="EI12" i="1"/>
  <c r="EA12" i="1"/>
  <c r="DZ12" i="1"/>
  <c r="DW12" i="1"/>
  <c r="DU12" i="1"/>
  <c r="DS12" i="1"/>
  <c r="DK12" i="1"/>
  <c r="DJ12" i="1"/>
  <c r="DG12" i="1"/>
  <c r="DE12" i="1"/>
  <c r="DC12" i="1"/>
  <c r="CU12" i="1"/>
  <c r="CT12" i="1"/>
  <c r="CQ12" i="1"/>
  <c r="CO12" i="1"/>
  <c r="CM12" i="1"/>
  <c r="CE12" i="1"/>
  <c r="CD12" i="1"/>
  <c r="CA12" i="1"/>
  <c r="BY12" i="1"/>
  <c r="BW12" i="1"/>
  <c r="BO12" i="1"/>
  <c r="BN12" i="1"/>
  <c r="BK12" i="1"/>
  <c r="BI12" i="1"/>
  <c r="BG12" i="1"/>
  <c r="AY12" i="1"/>
  <c r="AX12" i="1"/>
  <c r="AU12" i="1"/>
  <c r="AS12" i="1"/>
  <c r="AQ12" i="1"/>
  <c r="AI12" i="1"/>
  <c r="AH12" i="1"/>
  <c r="AE12" i="1"/>
  <c r="AC12" i="1"/>
  <c r="AA12" i="1"/>
  <c r="S12" i="1"/>
  <c r="R12" i="1"/>
  <c r="J12" i="1"/>
  <c r="O12" i="1" s="1"/>
  <c r="G12" i="1"/>
  <c r="E12" i="1"/>
  <c r="FS11" i="1"/>
  <c r="FQ11" i="1"/>
  <c r="FO11" i="1"/>
  <c r="FG11" i="1"/>
  <c r="FF11" i="1"/>
  <c r="FC11" i="1"/>
  <c r="FA11" i="1"/>
  <c r="EY11" i="1"/>
  <c r="EQ11" i="1"/>
  <c r="EP11" i="1"/>
  <c r="EM11" i="1"/>
  <c r="EK11" i="1"/>
  <c r="EI11" i="1"/>
  <c r="EA11" i="1"/>
  <c r="DZ11" i="1"/>
  <c r="DW11" i="1"/>
  <c r="DU11" i="1"/>
  <c r="DS11" i="1"/>
  <c r="DK11" i="1"/>
  <c r="DJ11" i="1"/>
  <c r="DG11" i="1"/>
  <c r="DE11" i="1"/>
  <c r="DC11" i="1"/>
  <c r="CU11" i="1"/>
  <c r="CT11" i="1"/>
  <c r="CQ11" i="1"/>
  <c r="CO11" i="1"/>
  <c r="CM11" i="1"/>
  <c r="CE11" i="1"/>
  <c r="CD11" i="1"/>
  <c r="CA11" i="1"/>
  <c r="BY11" i="1"/>
  <c r="BW11" i="1"/>
  <c r="BO11" i="1"/>
  <c r="BN11" i="1"/>
  <c r="BK11" i="1"/>
  <c r="BI11" i="1"/>
  <c r="BG11" i="1"/>
  <c r="AY11" i="1"/>
  <c r="AX11" i="1"/>
  <c r="AU11" i="1"/>
  <c r="AS11" i="1"/>
  <c r="AQ11" i="1"/>
  <c r="AI11" i="1"/>
  <c r="AH11" i="1"/>
  <c r="AE11" i="1"/>
  <c r="AC11" i="1"/>
  <c r="AA11" i="1"/>
  <c r="S11" i="1"/>
  <c r="R11" i="1"/>
  <c r="K11" i="1"/>
  <c r="J11" i="1"/>
  <c r="G11" i="1"/>
  <c r="E11" i="1"/>
  <c r="FS10" i="1"/>
  <c r="FQ10" i="1"/>
  <c r="FO10" i="1"/>
  <c r="FG10" i="1"/>
  <c r="FF10" i="1"/>
  <c r="FC10" i="1"/>
  <c r="FA10" i="1"/>
  <c r="EY10" i="1"/>
  <c r="EQ10" i="1"/>
  <c r="EP10" i="1"/>
  <c r="EM10" i="1"/>
  <c r="EK10" i="1"/>
  <c r="EI10" i="1"/>
  <c r="EF10" i="1"/>
  <c r="EA10" i="1"/>
  <c r="DZ10" i="1"/>
  <c r="DW10" i="1"/>
  <c r="DU10" i="1"/>
  <c r="DS10" i="1"/>
  <c r="DP10" i="1"/>
  <c r="DN10" i="1"/>
  <c r="DK10" i="1"/>
  <c r="DJ10" i="1"/>
  <c r="DG10" i="1"/>
  <c r="DF10" i="1"/>
  <c r="DE10" i="1"/>
  <c r="DC10" i="1"/>
  <c r="CZ10" i="1"/>
  <c r="DD10" i="1" s="1"/>
  <c r="CX10" i="1"/>
  <c r="CV10" i="1"/>
  <c r="CU10" i="1"/>
  <c r="CT10" i="1"/>
  <c r="CQ10" i="1"/>
  <c r="CO10" i="1"/>
  <c r="CM10" i="1"/>
  <c r="CE10" i="1"/>
  <c r="CD10" i="1"/>
  <c r="CA10" i="1"/>
  <c r="BY10" i="1"/>
  <c r="BW10" i="1"/>
  <c r="BO10" i="1"/>
  <c r="BN10" i="1"/>
  <c r="BK10" i="1"/>
  <c r="BI10" i="1"/>
  <c r="BG10" i="1"/>
  <c r="AY10" i="1"/>
  <c r="AX10" i="1"/>
  <c r="AU10" i="1"/>
  <c r="AS10" i="1"/>
  <c r="AQ10" i="1"/>
  <c r="AN10" i="1"/>
  <c r="AI10" i="1"/>
  <c r="AH10" i="1"/>
  <c r="AE10" i="1"/>
  <c r="AC10" i="1"/>
  <c r="AA10" i="1"/>
  <c r="X10" i="1"/>
  <c r="V10" i="1"/>
  <c r="S10" i="1"/>
  <c r="R10" i="1"/>
  <c r="M10" i="1"/>
  <c r="K10" i="1"/>
  <c r="J10" i="1"/>
  <c r="O10" i="1" s="1"/>
  <c r="G10" i="1"/>
  <c r="E10" i="1"/>
  <c r="FS9" i="1"/>
  <c r="FQ9" i="1"/>
  <c r="FO9" i="1"/>
  <c r="FJ9" i="1"/>
  <c r="FH9" i="1"/>
  <c r="FG9" i="1"/>
  <c r="FF9" i="1"/>
  <c r="FC9" i="1"/>
  <c r="FA9" i="1"/>
  <c r="EY9" i="1"/>
  <c r="EQ9" i="1"/>
  <c r="EP9" i="1"/>
  <c r="EM9" i="1"/>
  <c r="EK9" i="1"/>
  <c r="EI9" i="1"/>
  <c r="EA9" i="1"/>
  <c r="DZ9" i="1"/>
  <c r="DW9" i="1"/>
  <c r="DU9" i="1"/>
  <c r="DS9" i="1"/>
  <c r="DN9" i="1"/>
  <c r="DL9" i="1"/>
  <c r="DK9" i="1"/>
  <c r="DJ9" i="1"/>
  <c r="DG9" i="1"/>
  <c r="DE9" i="1"/>
  <c r="DC9" i="1"/>
  <c r="CU9" i="1"/>
  <c r="CT9" i="1"/>
  <c r="CQ9" i="1"/>
  <c r="CO9" i="1"/>
  <c r="CM9" i="1"/>
  <c r="CE9" i="1"/>
  <c r="CD9" i="1"/>
  <c r="CA9" i="1"/>
  <c r="BY9" i="1"/>
  <c r="BW9" i="1"/>
  <c r="BO9" i="1"/>
  <c r="BN9" i="1"/>
  <c r="BK9" i="1"/>
  <c r="BI9" i="1"/>
  <c r="BG9" i="1"/>
  <c r="BD9" i="1"/>
  <c r="BE9" i="1" s="1"/>
  <c r="BB9" i="1"/>
  <c r="AY9" i="1"/>
  <c r="AX9" i="1"/>
  <c r="AU9" i="1"/>
  <c r="AS9" i="1"/>
  <c r="AQ9" i="1"/>
  <c r="AN9" i="1"/>
  <c r="AO9" i="1" s="1"/>
  <c r="AL9" i="1"/>
  <c r="AJ9" i="1"/>
  <c r="AI9" i="1"/>
  <c r="AH9" i="1"/>
  <c r="AE9" i="1"/>
  <c r="AC9" i="1"/>
  <c r="AA9" i="1"/>
  <c r="X9" i="1"/>
  <c r="V9" i="1"/>
  <c r="T9" i="1"/>
  <c r="S9" i="1"/>
  <c r="R9" i="1"/>
  <c r="O9" i="1"/>
  <c r="J9" i="1"/>
  <c r="M9" i="1" s="1"/>
  <c r="G9" i="1"/>
  <c r="E9" i="1"/>
  <c r="FS8" i="1"/>
  <c r="FQ8" i="1"/>
  <c r="FO8" i="1"/>
  <c r="FG8" i="1"/>
  <c r="FF8" i="1"/>
  <c r="FC8" i="1"/>
  <c r="FA8" i="1"/>
  <c r="EY8" i="1"/>
  <c r="EQ8" i="1"/>
  <c r="EP8" i="1"/>
  <c r="EM8" i="1"/>
  <c r="EK8" i="1"/>
  <c r="EI8" i="1"/>
  <c r="EA8" i="1"/>
  <c r="DZ8" i="1"/>
  <c r="DW8" i="1"/>
  <c r="DU8" i="1"/>
  <c r="DS8" i="1"/>
  <c r="DK8" i="1"/>
  <c r="DJ8" i="1"/>
  <c r="DG8" i="1"/>
  <c r="DE8" i="1"/>
  <c r="DC8" i="1"/>
  <c r="CU8" i="1"/>
  <c r="CT8" i="1"/>
  <c r="CQ8" i="1"/>
  <c r="CO8" i="1"/>
  <c r="CM8" i="1"/>
  <c r="CE8" i="1"/>
  <c r="CD8" i="1"/>
  <c r="CA8" i="1"/>
  <c r="BY8" i="1"/>
  <c r="BW8" i="1"/>
  <c r="BO8" i="1"/>
  <c r="BN8" i="1"/>
  <c r="BK8" i="1"/>
  <c r="BI8" i="1"/>
  <c r="BG8" i="1"/>
  <c r="AY8" i="1"/>
  <c r="AX8" i="1"/>
  <c r="AU8" i="1"/>
  <c r="AS8" i="1"/>
  <c r="AQ8" i="1"/>
  <c r="AI8" i="1"/>
  <c r="AH8" i="1"/>
  <c r="AE8" i="1"/>
  <c r="AC8" i="1"/>
  <c r="AA8" i="1"/>
  <c r="S8" i="1"/>
  <c r="R8" i="1"/>
  <c r="J8" i="1"/>
  <c r="G8" i="1"/>
  <c r="E8" i="1"/>
  <c r="O8" i="1" s="1"/>
  <c r="FS7" i="1"/>
  <c r="FG7" i="1"/>
  <c r="FF7" i="1"/>
  <c r="FC7" i="1"/>
  <c r="EQ7" i="1"/>
  <c r="EP7" i="1"/>
  <c r="EM7" i="1"/>
  <c r="EA7" i="1"/>
  <c r="DZ7" i="1"/>
  <c r="DW7" i="1"/>
  <c r="DK7" i="1"/>
  <c r="DJ7" i="1"/>
  <c r="DG7" i="1"/>
  <c r="CU7" i="1"/>
  <c r="CT7" i="1"/>
  <c r="CQ7" i="1"/>
  <c r="CE7" i="1"/>
  <c r="CD7" i="1"/>
  <c r="CA7" i="1"/>
  <c r="BO7" i="1"/>
  <c r="BN7" i="1"/>
  <c r="BK7" i="1"/>
  <c r="AY7" i="1"/>
  <c r="AX7" i="1"/>
  <c r="AU7" i="1"/>
  <c r="AJ7" i="1"/>
  <c r="AI7" i="1"/>
  <c r="AH7" i="1"/>
  <c r="AE7" i="1"/>
  <c r="S7" i="1"/>
  <c r="R7" i="1"/>
  <c r="O7" i="1"/>
  <c r="FS6" i="1"/>
  <c r="FR6" i="1"/>
  <c r="FP6" i="1"/>
  <c r="FM6" i="1"/>
  <c r="FG6" i="1"/>
  <c r="FF6" i="1"/>
  <c r="FC6" i="1"/>
  <c r="FB6" i="1"/>
  <c r="EZ6" i="1"/>
  <c r="EW6" i="1"/>
  <c r="EQ6" i="1"/>
  <c r="EP6" i="1"/>
  <c r="EM6" i="1"/>
  <c r="EL6" i="1"/>
  <c r="EJ6" i="1"/>
  <c r="EG6" i="1"/>
  <c r="EA6" i="1"/>
  <c r="DZ6" i="1"/>
  <c r="DW6" i="1"/>
  <c r="DV6" i="1"/>
  <c r="DT6" i="1"/>
  <c r="DQ6" i="1"/>
  <c r="DK6" i="1"/>
  <c r="DJ6" i="1"/>
  <c r="DG6" i="1"/>
  <c r="DF6" i="1"/>
  <c r="DD6" i="1"/>
  <c r="DA6" i="1"/>
  <c r="CU6" i="1"/>
  <c r="CT6" i="1"/>
  <c r="CQ6" i="1"/>
  <c r="CP6" i="1"/>
  <c r="CN6" i="1"/>
  <c r="CK6" i="1"/>
  <c r="CE6" i="1"/>
  <c r="CD6" i="1"/>
  <c r="CA6" i="1"/>
  <c r="BZ6" i="1"/>
  <c r="BX6" i="1"/>
  <c r="BU6" i="1"/>
  <c r="BO6" i="1"/>
  <c r="BN6" i="1"/>
  <c r="BK6" i="1"/>
  <c r="BJ6" i="1"/>
  <c r="BH6" i="1"/>
  <c r="BE6" i="1"/>
  <c r="AY6" i="1"/>
  <c r="AX6" i="1"/>
  <c r="AU6" i="1"/>
  <c r="AT6" i="1"/>
  <c r="AR6" i="1"/>
  <c r="AO6" i="1"/>
  <c r="AI6" i="1"/>
  <c r="AH6" i="1"/>
  <c r="AE6" i="1"/>
  <c r="AD6" i="1"/>
  <c r="AB6" i="1"/>
  <c r="Y6" i="1"/>
  <c r="S6" i="1"/>
  <c r="R6" i="1"/>
  <c r="O6" i="1"/>
  <c r="FS5" i="1"/>
  <c r="FQ5" i="1"/>
  <c r="FO5" i="1"/>
  <c r="FG5" i="1"/>
  <c r="FF5" i="1"/>
  <c r="FE5" i="1"/>
  <c r="FC5" i="1"/>
  <c r="FA5" i="1"/>
  <c r="EY5" i="1"/>
  <c r="EQ5" i="1"/>
  <c r="EP5" i="1"/>
  <c r="EO5" i="1"/>
  <c r="EM5" i="1"/>
  <c r="EK5" i="1"/>
  <c r="EI5" i="1"/>
  <c r="EF5" i="1"/>
  <c r="EA5" i="1"/>
  <c r="DZ5" i="1"/>
  <c r="DY5" i="1"/>
  <c r="DW5" i="1"/>
  <c r="DU5" i="1"/>
  <c r="DS5" i="1"/>
  <c r="DP5" i="1"/>
  <c r="DN5" i="1"/>
  <c r="DN8" i="1" s="1"/>
  <c r="DM5" i="1"/>
  <c r="DM25" i="1" s="1"/>
  <c r="DU25" i="1" s="1"/>
  <c r="DK5" i="1"/>
  <c r="DJ5" i="1"/>
  <c r="DI5" i="1"/>
  <c r="DG5" i="1"/>
  <c r="DE5" i="1"/>
  <c r="DC5" i="1"/>
  <c r="CZ5" i="1"/>
  <c r="CW5" i="1"/>
  <c r="CU5" i="1"/>
  <c r="CT5" i="1"/>
  <c r="CS5" i="1"/>
  <c r="CQ5" i="1"/>
  <c r="CO5" i="1"/>
  <c r="CM5" i="1"/>
  <c r="CG5" i="1"/>
  <c r="CG25" i="1" s="1"/>
  <c r="CE5" i="1"/>
  <c r="CD5" i="1"/>
  <c r="CC5" i="1"/>
  <c r="CA5" i="1"/>
  <c r="BY5" i="1"/>
  <c r="BW5" i="1"/>
  <c r="BQ5" i="1"/>
  <c r="BO5" i="1"/>
  <c r="BN5" i="1"/>
  <c r="BM5" i="1"/>
  <c r="BK5" i="1"/>
  <c r="BG5" i="1"/>
  <c r="BA5" i="1"/>
  <c r="BA25" i="1" s="1"/>
  <c r="AY5" i="1"/>
  <c r="AX5" i="1"/>
  <c r="AW5" i="1"/>
  <c r="AU5" i="1"/>
  <c r="AS5" i="1"/>
  <c r="AQ5" i="1"/>
  <c r="AK5" i="1"/>
  <c r="AJ5" i="1"/>
  <c r="AJ8" i="1" s="1"/>
  <c r="AI5" i="1"/>
  <c r="AH5" i="1"/>
  <c r="AG5" i="1"/>
  <c r="AE5" i="1"/>
  <c r="AD5" i="1"/>
  <c r="AA5" i="1"/>
  <c r="X5" i="1"/>
  <c r="V5" i="1"/>
  <c r="U5" i="1"/>
  <c r="T5" i="1"/>
  <c r="S5" i="1"/>
  <c r="R5" i="1"/>
  <c r="Q5" i="1"/>
  <c r="J5" i="1"/>
  <c r="G5" i="1"/>
  <c r="E5" i="1"/>
  <c r="FS4" i="1"/>
  <c r="FR4" i="1"/>
  <c r="FQ4" i="1"/>
  <c r="FP4" i="1"/>
  <c r="FO4" i="1"/>
  <c r="FN4" i="1"/>
  <c r="FM4" i="1"/>
  <c r="FL4" i="1"/>
  <c r="FK4" i="1"/>
  <c r="FJ4" i="1"/>
  <c r="FI4" i="1"/>
  <c r="FH4" i="1"/>
  <c r="FC4" i="1"/>
  <c r="FB4" i="1"/>
  <c r="FA4" i="1"/>
  <c r="EZ4" i="1"/>
  <c r="EY4" i="1"/>
  <c r="EX4" i="1"/>
  <c r="EW4" i="1"/>
  <c r="EV4" i="1"/>
  <c r="EU4" i="1"/>
  <c r="ET4" i="1"/>
  <c r="ES4" i="1"/>
  <c r="ER4" i="1"/>
  <c r="EM4" i="1"/>
  <c r="EL4" i="1"/>
  <c r="EK4" i="1"/>
  <c r="EJ4" i="1"/>
  <c r="EI4" i="1"/>
  <c r="EH4" i="1"/>
  <c r="EG4" i="1"/>
  <c r="EF4" i="1"/>
  <c r="EE4" i="1"/>
  <c r="ED4" i="1"/>
  <c r="EC4" i="1"/>
  <c r="EB4" i="1"/>
  <c r="DW4" i="1"/>
  <c r="DV4" i="1"/>
  <c r="DU4" i="1"/>
  <c r="DT4" i="1"/>
  <c r="DS4" i="1"/>
  <c r="DR4" i="1"/>
  <c r="DQ4" i="1"/>
  <c r="DP4" i="1"/>
  <c r="DO4" i="1"/>
  <c r="DN4" i="1"/>
  <c r="DM4" i="1"/>
  <c r="DL4" i="1"/>
  <c r="DG4" i="1"/>
  <c r="DF4" i="1"/>
  <c r="DE4" i="1"/>
  <c r="DD4" i="1"/>
  <c r="DC4" i="1"/>
  <c r="DB4" i="1"/>
  <c r="DA4" i="1"/>
  <c r="CZ4" i="1"/>
  <c r="CY4" i="1"/>
  <c r="CX4" i="1"/>
  <c r="CW4" i="1"/>
  <c r="CV4" i="1"/>
  <c r="CQ4" i="1"/>
  <c r="CP4" i="1"/>
  <c r="CO4" i="1"/>
  <c r="CN4" i="1"/>
  <c r="CM4" i="1"/>
  <c r="CL4" i="1"/>
  <c r="CK4" i="1"/>
  <c r="CJ4" i="1"/>
  <c r="CI4" i="1"/>
  <c r="CH4" i="1"/>
  <c r="CG4" i="1"/>
  <c r="CF4" i="1"/>
  <c r="CA4" i="1"/>
  <c r="BZ4" i="1"/>
  <c r="BY4" i="1"/>
  <c r="BX4" i="1"/>
  <c r="BW4" i="1"/>
  <c r="BV4" i="1"/>
  <c r="BU4" i="1"/>
  <c r="BT4" i="1"/>
  <c r="BS4" i="1"/>
  <c r="BR4" i="1"/>
  <c r="BQ4" i="1"/>
  <c r="BP4" i="1"/>
  <c r="BK4" i="1"/>
  <c r="BJ4" i="1"/>
  <c r="BI4" i="1"/>
  <c r="BH4" i="1"/>
  <c r="BG4" i="1"/>
  <c r="BF4" i="1"/>
  <c r="BE4" i="1"/>
  <c r="BD4" i="1"/>
  <c r="BC4" i="1"/>
  <c r="BB4" i="1"/>
  <c r="BA4" i="1"/>
  <c r="AZ4" i="1"/>
  <c r="AU4" i="1"/>
  <c r="AT4" i="1"/>
  <c r="AS4" i="1"/>
  <c r="AR4" i="1"/>
  <c r="AQ4" i="1"/>
  <c r="AP4" i="1"/>
  <c r="AO4" i="1"/>
  <c r="AN4" i="1"/>
  <c r="AM4" i="1"/>
  <c r="AL4" i="1"/>
  <c r="AK4" i="1"/>
  <c r="AJ4" i="1"/>
  <c r="AE4" i="1"/>
  <c r="AD4" i="1"/>
  <c r="AC4" i="1"/>
  <c r="AB4" i="1"/>
  <c r="AA4" i="1"/>
  <c r="Z4" i="1"/>
  <c r="Y4" i="1"/>
  <c r="X4" i="1"/>
  <c r="W4" i="1"/>
  <c r="V4" i="1"/>
  <c r="U4" i="1"/>
  <c r="T4" i="1"/>
  <c r="FR3" i="1"/>
  <c r="FP3" i="1"/>
  <c r="FL3" i="1"/>
  <c r="FJ3" i="1"/>
  <c r="FH3" i="1"/>
  <c r="FG3" i="1"/>
  <c r="FF3" i="1"/>
  <c r="FE3" i="1"/>
  <c r="FB3" i="1"/>
  <c r="EZ3" i="1"/>
  <c r="EV3" i="1"/>
  <c r="ET3" i="1"/>
  <c r="ER3" i="1"/>
  <c r="EQ3" i="1"/>
  <c r="EP3" i="1"/>
  <c r="EO3" i="1"/>
  <c r="EL3" i="1"/>
  <c r="EJ3" i="1"/>
  <c r="EF3" i="1"/>
  <c r="ED3" i="1"/>
  <c r="EB3" i="1"/>
  <c r="EA3" i="1"/>
  <c r="DZ3" i="1"/>
  <c r="DY3" i="1"/>
  <c r="DV3" i="1"/>
  <c r="DT3" i="1"/>
  <c r="DP3" i="1"/>
  <c r="DN3" i="1"/>
  <c r="DL3" i="1"/>
  <c r="DK3" i="1"/>
  <c r="DJ3" i="1"/>
  <c r="DI3" i="1"/>
  <c r="DF3" i="1"/>
  <c r="DD3" i="1"/>
  <c r="CZ3" i="1"/>
  <c r="CX3" i="1"/>
  <c r="CV3" i="1"/>
  <c r="CU3" i="1"/>
  <c r="CT3" i="1"/>
  <c r="CS3" i="1"/>
  <c r="CP3" i="1"/>
  <c r="CN3" i="1"/>
  <c r="CJ3" i="1"/>
  <c r="CH3" i="1"/>
  <c r="CF3" i="1"/>
  <c r="CE3" i="1"/>
  <c r="CD3" i="1"/>
  <c r="CC3" i="1"/>
  <c r="BZ3" i="1"/>
  <c r="BX3" i="1"/>
  <c r="BT3" i="1"/>
  <c r="BR3" i="1"/>
  <c r="BP3" i="1"/>
  <c r="BO3" i="1"/>
  <c r="BN3" i="1"/>
  <c r="BM3" i="1"/>
  <c r="BJ3" i="1"/>
  <c r="BH3" i="1"/>
  <c r="BD3" i="1"/>
  <c r="BB3" i="1"/>
  <c r="AZ3" i="1"/>
  <c r="AY3" i="1"/>
  <c r="AX3" i="1"/>
  <c r="AW3" i="1"/>
  <c r="AT3" i="1"/>
  <c r="AR3" i="1"/>
  <c r="AN3" i="1"/>
  <c r="AL3" i="1"/>
  <c r="AJ3" i="1"/>
  <c r="AI3" i="1"/>
  <c r="AH3" i="1"/>
  <c r="AG3" i="1"/>
  <c r="AD3" i="1"/>
  <c r="AB3" i="1"/>
  <c r="X3" i="1"/>
  <c r="V3" i="1"/>
  <c r="T3" i="1"/>
  <c r="S3" i="1"/>
  <c r="R3" i="1"/>
  <c r="Q3" i="1"/>
  <c r="FT2" i="1"/>
  <c r="FI1" i="1" s="1"/>
  <c r="FK1" i="1" s="1"/>
  <c r="FN1" i="1" s="1"/>
  <c r="FE2" i="1"/>
  <c r="FD2" i="1"/>
  <c r="EN2" i="1"/>
  <c r="EB18" i="1" s="1"/>
  <c r="DX2" i="1"/>
  <c r="DN13" i="1" s="1"/>
  <c r="DI2" i="1"/>
  <c r="DH2" i="1"/>
  <c r="CX9" i="1" s="1"/>
  <c r="CS2" i="1"/>
  <c r="CR2" i="1"/>
  <c r="CF10" i="1" s="1"/>
  <c r="CC2" i="1"/>
  <c r="CB2" i="1"/>
  <c r="BT9" i="1" s="1"/>
  <c r="BM2" i="1"/>
  <c r="BL2" i="1"/>
  <c r="AW2" i="1"/>
  <c r="AV2" i="1"/>
  <c r="AL5" i="1" s="1"/>
  <c r="AL8" i="1" s="1"/>
  <c r="AF2" i="1"/>
  <c r="X17" i="1" s="1"/>
  <c r="Q2" i="1"/>
  <c r="A2" i="1"/>
  <c r="DM1" i="1"/>
  <c r="DO1" i="1" s="1"/>
  <c r="DR1" i="1" s="1"/>
  <c r="CW1" i="1"/>
  <c r="CY1" i="1" s="1"/>
  <c r="DB1" i="1" s="1"/>
  <c r="CG1" i="1"/>
  <c r="CI1" i="1" s="1"/>
  <c r="CL1" i="1" s="1"/>
  <c r="AK1" i="1"/>
  <c r="AM1" i="1" s="1"/>
  <c r="AP1" i="1" s="1"/>
  <c r="W1" i="1"/>
  <c r="Z1" i="1" s="1"/>
  <c r="U1" i="1"/>
  <c r="A1" i="1"/>
  <c r="C29" i="3" a="1"/>
  <c r="A29" i="3"/>
  <c r="A23" i="3"/>
  <c r="A20" i="3"/>
  <c r="A17" i="3"/>
  <c r="A14" i="3"/>
  <c r="A11" i="3"/>
  <c r="A8" i="3"/>
  <c r="C30" i="3" a="1"/>
  <c r="A28" i="3"/>
  <c r="A15" i="3"/>
  <c r="A6" i="3"/>
  <c r="A22" i="3"/>
  <c r="A13" i="3"/>
  <c r="J6" i="2" a="1"/>
  <c r="A30" i="3"/>
  <c r="H5" i="2" a="1"/>
  <c r="A9" i="3"/>
  <c r="A7" i="3"/>
  <c r="C27" i="3" a="1"/>
  <c r="A18" i="3"/>
  <c r="I6" i="2" a="1"/>
  <c r="C32" i="3" a="1"/>
  <c r="H6" i="2" a="1"/>
  <c r="A16" i="3"/>
  <c r="I5" i="2" a="1"/>
  <c r="A21" i="3"/>
  <c r="C28" i="3" a="1"/>
  <c r="A19" i="3"/>
  <c r="J5" i="2" a="1"/>
  <c r="A12" i="3"/>
  <c r="A10" i="3"/>
  <c r="BP8" i="7" l="1"/>
  <c r="AT15" i="7"/>
  <c r="AV8" i="7"/>
  <c r="L10" i="7"/>
  <c r="M10" i="7"/>
  <c r="K12" i="7"/>
  <c r="BO10" i="7"/>
  <c r="Z4" i="7"/>
  <c r="AU8" i="7"/>
  <c r="AA4" i="7"/>
  <c r="BV6" i="7"/>
  <c r="BV15" i="7"/>
  <c r="W15" i="7"/>
  <c r="W17" i="7" s="1"/>
  <c r="W10" i="7"/>
  <c r="W12" i="7" s="1"/>
  <c r="AA12" i="7" s="1"/>
  <c r="D16" i="7"/>
  <c r="AJ2" i="7"/>
  <c r="AM4" i="7"/>
  <c r="AK4" i="7"/>
  <c r="AL4" i="7"/>
  <c r="AU4" i="7"/>
  <c r="AT6" i="7"/>
  <c r="BA6" i="7"/>
  <c r="BA15" i="7"/>
  <c r="AF17" i="7"/>
  <c r="AH15" i="7"/>
  <c r="I25" i="6"/>
  <c r="J25" i="6" s="1"/>
  <c r="K25" i="6" s="1"/>
  <c r="AG15" i="7"/>
  <c r="BW4" i="7"/>
  <c r="Y15" i="7"/>
  <c r="D8" i="7"/>
  <c r="AA8" i="7"/>
  <c r="Z8" i="7"/>
  <c r="M16" i="7"/>
  <c r="L16" i="7"/>
  <c r="AS15" i="7"/>
  <c r="AS17" i="7" s="1"/>
  <c r="AS6" i="7"/>
  <c r="AS10" i="7" s="1"/>
  <c r="AS12" i="7" s="1"/>
  <c r="BB4" i="7"/>
  <c r="M6" i="7"/>
  <c r="E7" i="7"/>
  <c r="F7" i="7"/>
  <c r="BO17" i="7"/>
  <c r="BQ8" i="7"/>
  <c r="BX16" i="7"/>
  <c r="BW16" i="7"/>
  <c r="AH4" i="7"/>
  <c r="AG4" i="7"/>
  <c r="AF6" i="7"/>
  <c r="BX4" i="7"/>
  <c r="BJ10" i="7"/>
  <c r="BI10" i="7"/>
  <c r="BH12" i="7"/>
  <c r="BI6" i="7"/>
  <c r="AZ4" i="7"/>
  <c r="AY4" i="7"/>
  <c r="BJ6" i="7"/>
  <c r="AD15" i="7"/>
  <c r="AD17" i="7" s="1"/>
  <c r="I15" i="7"/>
  <c r="I17" i="7" s="1"/>
  <c r="B16" i="7"/>
  <c r="BT17" i="7"/>
  <c r="BJ4" i="7"/>
  <c r="BF15" i="7"/>
  <c r="BF17" i="7" s="1"/>
  <c r="E9" i="7"/>
  <c r="C16" i="7"/>
  <c r="BU17" i="7"/>
  <c r="AO16" i="7"/>
  <c r="BI16" i="7"/>
  <c r="BQ4" i="7"/>
  <c r="BH15" i="7"/>
  <c r="F9" i="7"/>
  <c r="AH16" i="7"/>
  <c r="J17" i="7"/>
  <c r="F5" i="7"/>
  <c r="L6" i="7"/>
  <c r="R4" i="7"/>
  <c r="Q4" i="7"/>
  <c r="P4" i="7"/>
  <c r="AR4" i="7"/>
  <c r="AR6" i="7" s="1"/>
  <c r="AR10" i="7" s="1"/>
  <c r="AR12" i="7" s="1"/>
  <c r="BI8" i="7"/>
  <c r="B4" i="7"/>
  <c r="B6" i="7" s="1"/>
  <c r="B10" i="7" s="1"/>
  <c r="B12" i="7" s="1"/>
  <c r="K15" i="7"/>
  <c r="M4" i="7"/>
  <c r="L4" i="7"/>
  <c r="X6" i="7"/>
  <c r="X15" i="7"/>
  <c r="X17" i="7" s="1"/>
  <c r="BJ8" i="7"/>
  <c r="AU16" i="7"/>
  <c r="AV16" i="7"/>
  <c r="BM4" i="7"/>
  <c r="BM6" i="7" s="1"/>
  <c r="BM10" i="7" s="1"/>
  <c r="BM12" i="7" s="1"/>
  <c r="AC2" i="7"/>
  <c r="BN4" i="7"/>
  <c r="E5" i="7"/>
  <c r="BW8" i="7"/>
  <c r="AG16" i="7"/>
  <c r="E11" i="7"/>
  <c r="J5" i="2"/>
  <c r="C28" i="3"/>
  <c r="N21" i="3"/>
  <c r="I5" i="2"/>
  <c r="H6" i="2"/>
  <c r="C32" i="3"/>
  <c r="I6" i="2"/>
  <c r="V6" i="2" s="1"/>
  <c r="W6" i="2" s="1"/>
  <c r="N18" i="3"/>
  <c r="C27" i="3"/>
  <c r="N9" i="3"/>
  <c r="H5" i="2"/>
  <c r="J6" i="2"/>
  <c r="X6" i="2" s="1"/>
  <c r="Y6" i="2" s="1"/>
  <c r="M13" i="3"/>
  <c r="M22" i="3"/>
  <c r="N15" i="3"/>
  <c r="C30" i="3"/>
  <c r="N11" i="3"/>
  <c r="M11" i="3"/>
  <c r="N20" i="3"/>
  <c r="M20" i="3"/>
  <c r="M29" i="3"/>
  <c r="C29" i="3"/>
  <c r="DD5" i="1"/>
  <c r="ER18" i="1"/>
  <c r="EV17" i="1"/>
  <c r="EV10" i="1"/>
  <c r="ET17" i="1"/>
  <c r="ET10" i="1"/>
  <c r="ET18" i="1"/>
  <c r="F18" i="1" s="1"/>
  <c r="ER10" i="1"/>
  <c r="ET5" i="1"/>
  <c r="EV13" i="1"/>
  <c r="ER5" i="1"/>
  <c r="ER17" i="1"/>
  <c r="ET13" i="1"/>
  <c r="ER13" i="1"/>
  <c r="EO2" i="1"/>
  <c r="ET9" i="1"/>
  <c r="EV9" i="1"/>
  <c r="EV5" i="1"/>
  <c r="EV18" i="1"/>
  <c r="G25" i="1"/>
  <c r="K5" i="1"/>
  <c r="M5" i="1"/>
  <c r="J25" i="1"/>
  <c r="O5" i="1"/>
  <c r="DA5" i="1"/>
  <c r="F10" i="1"/>
  <c r="ES1" i="1"/>
  <c r="EU1" i="1" s="1"/>
  <c r="EX1" i="1" s="1"/>
  <c r="DF17" i="1"/>
  <c r="DD17" i="1"/>
  <c r="DA17" i="1"/>
  <c r="DN7" i="1"/>
  <c r="DG25" i="1"/>
  <c r="DE25" i="1"/>
  <c r="DC25" i="1"/>
  <c r="F63" i="2"/>
  <c r="AL7" i="1"/>
  <c r="FJ17" i="1"/>
  <c r="EJ18" i="1"/>
  <c r="G10" i="3"/>
  <c r="AC25" i="1"/>
  <c r="CA25" i="1"/>
  <c r="BY25" i="1"/>
  <c r="BW25" i="1"/>
  <c r="BP5" i="1"/>
  <c r="BR9" i="1"/>
  <c r="F9" i="1" s="1"/>
  <c r="DV18" i="1"/>
  <c r="DT18" i="1"/>
  <c r="AA25" i="1"/>
  <c r="Z59" i="2"/>
  <c r="Z7" i="2"/>
  <c r="BB5" i="1"/>
  <c r="BA1" i="1"/>
  <c r="BC1" i="1" s="1"/>
  <c r="BF1" i="1" s="1"/>
  <c r="BD18" i="1"/>
  <c r="BD13" i="1"/>
  <c r="BD10" i="1"/>
  <c r="BD5" i="1"/>
  <c r="AZ18" i="1"/>
  <c r="AZ13" i="1"/>
  <c r="BD17" i="1"/>
  <c r="BB18" i="1"/>
  <c r="BB13" i="1"/>
  <c r="BB10" i="1"/>
  <c r="AZ10" i="1"/>
  <c r="AZ5" i="1"/>
  <c r="Q10" i="2"/>
  <c r="CZ8" i="1"/>
  <c r="CZ7" i="1"/>
  <c r="DQ5" i="1"/>
  <c r="I12" i="3"/>
  <c r="G12" i="3"/>
  <c r="EL10" i="1"/>
  <c r="EJ10" i="1"/>
  <c r="EG18" i="1"/>
  <c r="FC25" i="1"/>
  <c r="Q171" i="2"/>
  <c r="Z166" i="2"/>
  <c r="Y18" i="1"/>
  <c r="AD18" i="1"/>
  <c r="AB18" i="1"/>
  <c r="BP9" i="1"/>
  <c r="BZ9" i="1" s="1"/>
  <c r="V8" i="1"/>
  <c r="V7" i="1"/>
  <c r="AZ17" i="1"/>
  <c r="K63" i="2"/>
  <c r="AO10" i="1"/>
  <c r="EM25" i="1"/>
  <c r="EK25" i="1"/>
  <c r="EI25" i="1"/>
  <c r="FJ18" i="1"/>
  <c r="FH18" i="1"/>
  <c r="FL17" i="1"/>
  <c r="FL10" i="1"/>
  <c r="FL5" i="1"/>
  <c r="FH13" i="1"/>
  <c r="FL13" i="1"/>
  <c r="FJ5" i="1"/>
  <c r="FL18" i="1"/>
  <c r="FJ13" i="1"/>
  <c r="FJ10" i="1"/>
  <c r="FH5" i="1"/>
  <c r="FH10" i="1"/>
  <c r="FH17" i="1"/>
  <c r="FL9" i="1"/>
  <c r="BQ1" i="1"/>
  <c r="BS1" i="1" s="1"/>
  <c r="BV1" i="1" s="1"/>
  <c r="BP10" i="1"/>
  <c r="BT13" i="1"/>
  <c r="BT5" i="1"/>
  <c r="BR5" i="1"/>
  <c r="BR18" i="1"/>
  <c r="BR13" i="1"/>
  <c r="BT10" i="1"/>
  <c r="BT18" i="1"/>
  <c r="BP13" i="1"/>
  <c r="BR10" i="1"/>
  <c r="BT17" i="1"/>
  <c r="BR17" i="1"/>
  <c r="BP17" i="1"/>
  <c r="M8" i="1"/>
  <c r="Z130" i="2"/>
  <c r="Q135" i="2"/>
  <c r="Z135" i="2" s="1"/>
  <c r="AB10" i="1"/>
  <c r="EG10" i="1"/>
  <c r="CF9" i="1"/>
  <c r="D9" i="1" s="1"/>
  <c r="CH9" i="1"/>
  <c r="CJ5" i="1"/>
  <c r="CF5" i="1"/>
  <c r="CJ13" i="1"/>
  <c r="CH5" i="1"/>
  <c r="CF13" i="1"/>
  <c r="CH13" i="1"/>
  <c r="CJ10" i="1"/>
  <c r="CH10" i="1"/>
  <c r="CF17" i="1"/>
  <c r="CJ9" i="1"/>
  <c r="H9" i="1" s="1"/>
  <c r="CF18" i="1"/>
  <c r="D18" i="1" s="1"/>
  <c r="CJ17" i="1"/>
  <c r="CJ18" i="1"/>
  <c r="CH18" i="1"/>
  <c r="CH17" i="1"/>
  <c r="ER9" i="1"/>
  <c r="DP7" i="1"/>
  <c r="E25" i="1"/>
  <c r="X8" i="1"/>
  <c r="X7" i="1"/>
  <c r="AB5" i="1"/>
  <c r="Y5" i="1"/>
  <c r="EF8" i="1"/>
  <c r="EF7" i="1"/>
  <c r="DP8" i="1"/>
  <c r="AZ9" i="1"/>
  <c r="BJ9" i="1" s="1"/>
  <c r="O11" i="1"/>
  <c r="M11" i="1"/>
  <c r="M16" i="1"/>
  <c r="O16" i="1"/>
  <c r="BB17" i="1"/>
  <c r="M18" i="1"/>
  <c r="O18" i="1"/>
  <c r="M19" i="1"/>
  <c r="K19" i="1"/>
  <c r="O19" i="1"/>
  <c r="Z58" i="2"/>
  <c r="Q63" i="2"/>
  <c r="Z63" i="2" s="1"/>
  <c r="Z136" i="2"/>
  <c r="B10" i="2"/>
  <c r="Z170" i="2"/>
  <c r="K20" i="1"/>
  <c r="AU25" i="1"/>
  <c r="D10" i="2"/>
  <c r="Q45" i="2"/>
  <c r="G8" i="3"/>
  <c r="K8" i="1"/>
  <c r="DV10" i="1"/>
  <c r="DT10" i="1"/>
  <c r="K12" i="1"/>
  <c r="O20" i="1"/>
  <c r="AS25" i="1"/>
  <c r="E7" i="2"/>
  <c r="E10" i="2" s="1"/>
  <c r="Q8" i="2"/>
  <c r="Z8" i="2" s="1"/>
  <c r="T8" i="2"/>
  <c r="U8" i="2" s="1"/>
  <c r="K45" i="2"/>
  <c r="Z40" i="2"/>
  <c r="Z41" i="2"/>
  <c r="E117" i="2"/>
  <c r="DN16" i="1"/>
  <c r="DN15" i="1"/>
  <c r="Y10" i="1"/>
  <c r="DQ10" i="1"/>
  <c r="M12" i="1"/>
  <c r="FQ25" i="1"/>
  <c r="R8" i="2"/>
  <c r="V8" i="2"/>
  <c r="W8" i="2" s="1"/>
  <c r="N10" i="2"/>
  <c r="K99" i="2"/>
  <c r="Z94" i="2"/>
  <c r="Z95" i="2"/>
  <c r="K117" i="2"/>
  <c r="E153" i="2"/>
  <c r="G16" i="3"/>
  <c r="M24" i="3"/>
  <c r="M27" i="3"/>
  <c r="F150" i="2"/>
  <c r="F78" i="2"/>
  <c r="M18" i="3"/>
  <c r="M16" i="3"/>
  <c r="M9" i="3"/>
  <c r="M7" i="3"/>
  <c r="M30" i="3"/>
  <c r="B33" i="3"/>
  <c r="M25" i="3"/>
  <c r="M23" i="3"/>
  <c r="M14" i="3"/>
  <c r="M21" i="3"/>
  <c r="M17" i="3"/>
  <c r="M15" i="3"/>
  <c r="M6" i="3"/>
  <c r="F186" i="2"/>
  <c r="F60" i="2"/>
  <c r="M12" i="3"/>
  <c r="M26" i="3"/>
  <c r="M19" i="3"/>
  <c r="M10" i="3"/>
  <c r="M8" i="3"/>
  <c r="F132" i="2"/>
  <c r="M28" i="3"/>
  <c r="DF18" i="1"/>
  <c r="DD18" i="1"/>
  <c r="Z11" i="2"/>
  <c r="K17" i="1"/>
  <c r="DA18" i="1"/>
  <c r="AR9" i="1"/>
  <c r="AT9" i="1"/>
  <c r="M17" i="1"/>
  <c r="AQ25" i="1"/>
  <c r="T7" i="1"/>
  <c r="T8" i="1"/>
  <c r="BI5" i="1"/>
  <c r="AD9" i="1"/>
  <c r="AB9" i="1"/>
  <c r="EB9" i="1"/>
  <c r="P10" i="2"/>
  <c r="Z96" i="2"/>
  <c r="F153" i="2"/>
  <c r="AA170" i="2"/>
  <c r="AB170" i="2" s="1"/>
  <c r="ED17" i="1"/>
  <c r="ED10" i="1"/>
  <c r="EB17" i="1"/>
  <c r="EB10" i="1"/>
  <c r="EB5" i="1"/>
  <c r="DY2" i="1"/>
  <c r="EC1" i="1"/>
  <c r="EE1" i="1" s="1"/>
  <c r="EH1" i="1" s="1"/>
  <c r="EF9" i="1"/>
  <c r="EF17" i="1"/>
  <c r="EF13" i="1"/>
  <c r="EB13" i="1"/>
  <c r="ED13" i="1"/>
  <c r="AL18" i="1"/>
  <c r="AL10" i="1"/>
  <c r="AG2" i="1"/>
  <c r="AJ17" i="1"/>
  <c r="AJ18" i="1"/>
  <c r="AN13" i="1"/>
  <c r="AJ10" i="1"/>
  <c r="AR10" i="1" s="1"/>
  <c r="AL17" i="1"/>
  <c r="AN17" i="1"/>
  <c r="AL13" i="1"/>
  <c r="AJ13" i="1"/>
  <c r="AN5" i="1"/>
  <c r="AC5" i="1"/>
  <c r="U25" i="1"/>
  <c r="AE25" i="1" s="1"/>
  <c r="ED5" i="1"/>
  <c r="Y9" i="1"/>
  <c r="ED9" i="1"/>
  <c r="AN18" i="1"/>
  <c r="ED18" i="1"/>
  <c r="Z78" i="2"/>
  <c r="Q81" i="2"/>
  <c r="Z81" i="2" s="1"/>
  <c r="Z113" i="2"/>
  <c r="Q117" i="2"/>
  <c r="Z116" i="2"/>
  <c r="K171" i="2"/>
  <c r="AA188" i="2"/>
  <c r="AB188" i="2" s="1"/>
  <c r="DA10" i="1"/>
  <c r="CV13" i="1"/>
  <c r="I6" i="3"/>
  <c r="G6" i="3"/>
  <c r="K9" i="1"/>
  <c r="CV9" i="1"/>
  <c r="V13" i="1"/>
  <c r="CX13" i="1"/>
  <c r="DL16" i="1"/>
  <c r="T17" i="1"/>
  <c r="EY25" i="1"/>
  <c r="F170" i="2"/>
  <c r="L152" i="2"/>
  <c r="R134" i="2"/>
  <c r="AA134" i="2" s="1"/>
  <c r="AB134" i="2" s="1"/>
  <c r="F98" i="2"/>
  <c r="L80" i="2"/>
  <c r="R62" i="2"/>
  <c r="F167" i="2"/>
  <c r="F95" i="2"/>
  <c r="F152" i="2"/>
  <c r="F130" i="2"/>
  <c r="F116" i="2"/>
  <c r="L44" i="2"/>
  <c r="AA44" i="2" s="1"/>
  <c r="AB44" i="2" s="1"/>
  <c r="R185" i="2"/>
  <c r="F166" i="2"/>
  <c r="F112" i="2"/>
  <c r="L26" i="2"/>
  <c r="AA26" i="2" s="1"/>
  <c r="AB26" i="2" s="1"/>
  <c r="R9" i="2"/>
  <c r="F9" i="2"/>
  <c r="R152" i="2"/>
  <c r="F131" i="2"/>
  <c r="R98" i="2"/>
  <c r="AA98" i="2" s="1"/>
  <c r="AB98" i="2" s="1"/>
  <c r="F94" i="2"/>
  <c r="R81" i="2"/>
  <c r="L9" i="2"/>
  <c r="F6" i="2"/>
  <c r="R80" i="2"/>
  <c r="AA80" i="2" s="1"/>
  <c r="AB80" i="2" s="1"/>
  <c r="R63" i="2"/>
  <c r="L62" i="2"/>
  <c r="F23" i="2"/>
  <c r="F27" i="2" s="1"/>
  <c r="R22" i="2"/>
  <c r="F135" i="2"/>
  <c r="R116" i="2"/>
  <c r="AA116" i="2" s="1"/>
  <c r="AB116" i="2" s="1"/>
  <c r="F44" i="2"/>
  <c r="R5" i="2"/>
  <c r="X7" i="2"/>
  <c r="Y7" i="2" s="1"/>
  <c r="F26" i="2"/>
  <c r="F134" i="2"/>
  <c r="X135" i="2"/>
  <c r="Y135" i="2" s="1"/>
  <c r="F184" i="2"/>
  <c r="N12" i="3"/>
  <c r="G24" i="3"/>
  <c r="O10" i="2"/>
  <c r="V7" i="2"/>
  <c r="W7" i="2" s="1"/>
  <c r="G17" i="3"/>
  <c r="CV5" i="1"/>
  <c r="DL17" i="1"/>
  <c r="DT17" i="1" s="1"/>
  <c r="DL10" i="1"/>
  <c r="DP9" i="1"/>
  <c r="DL5" i="1"/>
  <c r="CZ9" i="1"/>
  <c r="X13" i="1"/>
  <c r="CZ13" i="1"/>
  <c r="DP13" i="1"/>
  <c r="V17" i="1"/>
  <c r="FA25" i="1"/>
  <c r="E8" i="2"/>
  <c r="R23" i="2"/>
  <c r="F40" i="2"/>
  <c r="F76" i="2"/>
  <c r="F77" i="2"/>
  <c r="F81" i="2" s="1"/>
  <c r="E81" i="2"/>
  <c r="F185" i="2"/>
  <c r="F189" i="2" s="1"/>
  <c r="L188" i="2"/>
  <c r="N8" i="3"/>
  <c r="N17" i="3"/>
  <c r="Z167" i="2"/>
  <c r="N27" i="3"/>
  <c r="E31" i="3"/>
  <c r="N28" i="3"/>
  <c r="N22" i="3"/>
  <c r="N19" i="3"/>
  <c r="N16" i="3"/>
  <c r="N13" i="3"/>
  <c r="N10" i="3"/>
  <c r="N7" i="3"/>
  <c r="R186" i="2"/>
  <c r="R114" i="2"/>
  <c r="R42" i="2"/>
  <c r="D33" i="3"/>
  <c r="N30" i="3"/>
  <c r="R168" i="2"/>
  <c r="N25" i="3"/>
  <c r="N23" i="3"/>
  <c r="N14" i="3"/>
  <c r="R132" i="2"/>
  <c r="R150" i="2"/>
  <c r="N29" i="3"/>
  <c r="CX5" i="1"/>
  <c r="T10" i="1"/>
  <c r="BI25" i="1"/>
  <c r="C10" i="2"/>
  <c r="R7" i="2"/>
  <c r="R10" i="2" s="1"/>
  <c r="R24" i="2"/>
  <c r="E63" i="2"/>
  <c r="N6" i="3"/>
  <c r="N24" i="3"/>
  <c r="F187" i="2"/>
  <c r="F115" i="2"/>
  <c r="F117" i="2" s="1"/>
  <c r="F43" i="2"/>
  <c r="F45" i="2" s="1"/>
  <c r="R151" i="2"/>
  <c r="R153" i="2" s="1"/>
  <c r="R79" i="2"/>
  <c r="F169" i="2"/>
  <c r="F171" i="2" s="1"/>
  <c r="R61" i="2"/>
  <c r="R43" i="2"/>
  <c r="F151" i="2"/>
  <c r="F133" i="2"/>
  <c r="Q27" i="2"/>
  <c r="Z27" i="2" s="1"/>
  <c r="Z64" i="2"/>
  <c r="R97" i="2"/>
  <c r="E171" i="2"/>
  <c r="I15" i="3"/>
  <c r="G15" i="3"/>
  <c r="I21" i="3"/>
  <c r="G21" i="3"/>
  <c r="BG25" i="1"/>
  <c r="DI25" i="1"/>
  <c r="K7" i="2"/>
  <c r="R25" i="2"/>
  <c r="V45" i="2"/>
  <c r="W45" i="2" s="1"/>
  <c r="E99" i="2"/>
  <c r="K135" i="2"/>
  <c r="Z152" i="2"/>
  <c r="Z118" i="2"/>
  <c r="Z185" i="2"/>
  <c r="Q189" i="2"/>
  <c r="Z189" i="2" s="1"/>
  <c r="I9" i="3"/>
  <c r="G9" i="3"/>
  <c r="I18" i="3"/>
  <c r="G18" i="3"/>
  <c r="Q99" i="2"/>
  <c r="Z99" i="2" s="1"/>
  <c r="AG17" i="7" l="1"/>
  <c r="AH17" i="7"/>
  <c r="BA17" i="7"/>
  <c r="BC15" i="7"/>
  <c r="L15" i="7"/>
  <c r="M15" i="7"/>
  <c r="K17" i="7"/>
  <c r="BH17" i="7"/>
  <c r="BJ15" i="7"/>
  <c r="BI15" i="7"/>
  <c r="AZ15" i="7"/>
  <c r="AZ17" i="7" s="1"/>
  <c r="AZ6" i="7"/>
  <c r="AZ10" i="7" s="1"/>
  <c r="AZ12" i="7" s="1"/>
  <c r="AT10" i="7"/>
  <c r="AU6" i="7"/>
  <c r="AV6" i="7"/>
  <c r="AA10" i="7"/>
  <c r="R6" i="7"/>
  <c r="T4" i="7"/>
  <c r="R15" i="7"/>
  <c r="S4" i="7"/>
  <c r="D4" i="7"/>
  <c r="Y17" i="7"/>
  <c r="AA15" i="7"/>
  <c r="Z15" i="7"/>
  <c r="AL6" i="7"/>
  <c r="AL10" i="7" s="1"/>
  <c r="AL12" i="7" s="1"/>
  <c r="AL15" i="7"/>
  <c r="AL17" i="7" s="1"/>
  <c r="F16" i="7"/>
  <c r="E16" i="7"/>
  <c r="BN6" i="7"/>
  <c r="BN15" i="7"/>
  <c r="AT17" i="7"/>
  <c r="AU15" i="7"/>
  <c r="AY15" i="7"/>
  <c r="AY17" i="7" s="1"/>
  <c r="AY6" i="7"/>
  <c r="AY10" i="7" s="1"/>
  <c r="AY12" i="7" s="1"/>
  <c r="BC6" i="7"/>
  <c r="BB6" i="7"/>
  <c r="BA10" i="7"/>
  <c r="BP4" i="7"/>
  <c r="P6" i="7"/>
  <c r="P10" i="7" s="1"/>
  <c r="P12" i="7" s="1"/>
  <c r="P15" i="7"/>
  <c r="P17" i="7" s="1"/>
  <c r="BJ12" i="7"/>
  <c r="BI12" i="7"/>
  <c r="AV4" i="7"/>
  <c r="AK6" i="7"/>
  <c r="AK10" i="7" s="1"/>
  <c r="AK12" i="7" s="1"/>
  <c r="AK15" i="7"/>
  <c r="AK17" i="7" s="1"/>
  <c r="BQ6" i="7"/>
  <c r="BM15" i="7"/>
  <c r="BV17" i="7"/>
  <c r="BX15" i="7"/>
  <c r="BW15" i="7"/>
  <c r="F8" i="7"/>
  <c r="E8" i="7"/>
  <c r="X10" i="7"/>
  <c r="Z6" i="7"/>
  <c r="AR15" i="7"/>
  <c r="AR17" i="7" s="1"/>
  <c r="AM6" i="7"/>
  <c r="AM15" i="7"/>
  <c r="AO4" i="7"/>
  <c r="AN4" i="7"/>
  <c r="BO12" i="7"/>
  <c r="BQ10" i="7"/>
  <c r="B15" i="7"/>
  <c r="B17" i="7" s="1"/>
  <c r="BW6" i="7"/>
  <c r="BV10" i="7"/>
  <c r="BX6" i="7"/>
  <c r="Q6" i="7"/>
  <c r="Q10" i="7" s="1"/>
  <c r="Q12" i="7" s="1"/>
  <c r="Q15" i="7"/>
  <c r="Q17" i="7" s="1"/>
  <c r="C4" i="7"/>
  <c r="BC4" i="7"/>
  <c r="AF10" i="7"/>
  <c r="AH6" i="7"/>
  <c r="AG6" i="7"/>
  <c r="M12" i="7"/>
  <c r="L12" i="7"/>
  <c r="N9" i="1"/>
  <c r="L9" i="1"/>
  <c r="I9" i="1"/>
  <c r="BP15" i="1"/>
  <c r="BP16" i="1"/>
  <c r="BE13" i="1"/>
  <c r="BH13" i="1"/>
  <c r="BJ13" i="1"/>
  <c r="BD16" i="1"/>
  <c r="BD15" i="1"/>
  <c r="DA13" i="1"/>
  <c r="DF13" i="1"/>
  <c r="DD13" i="1"/>
  <c r="CZ16" i="1"/>
  <c r="CZ15" i="1"/>
  <c r="AL15" i="1"/>
  <c r="AL16" i="1"/>
  <c r="Y8" i="1"/>
  <c r="AD8" i="1"/>
  <c r="AB8" i="1"/>
  <c r="EZ18" i="1"/>
  <c r="EW18" i="1"/>
  <c r="FB18" i="1"/>
  <c r="T5" i="2"/>
  <c r="U5" i="2" s="1"/>
  <c r="H10" i="2"/>
  <c r="K5" i="2"/>
  <c r="R171" i="2"/>
  <c r="EG17" i="1"/>
  <c r="EJ17" i="1"/>
  <c r="EL17" i="1"/>
  <c r="AZ8" i="1"/>
  <c r="D8" i="1" s="1"/>
  <c r="AZ7" i="1"/>
  <c r="F29" i="3"/>
  <c r="G29" i="3" s="1"/>
  <c r="I29" i="3"/>
  <c r="L29" i="3"/>
  <c r="FH7" i="1"/>
  <c r="FH8" i="1"/>
  <c r="BB7" i="1"/>
  <c r="F7" i="1" s="1"/>
  <c r="F6" i="1" s="1"/>
  <c r="BB8" i="1"/>
  <c r="DL7" i="1"/>
  <c r="DV7" i="1" s="1"/>
  <c r="DL8" i="1"/>
  <c r="DV8" i="1" s="1"/>
  <c r="BB15" i="1"/>
  <c r="BB16" i="1"/>
  <c r="EB7" i="1"/>
  <c r="EB8" i="1"/>
  <c r="EL5" i="1"/>
  <c r="FM18" i="1"/>
  <c r="FR18" i="1"/>
  <c r="FP18" i="1"/>
  <c r="ER16" i="1"/>
  <c r="ER15" i="1"/>
  <c r="I32" i="3"/>
  <c r="F32" i="3"/>
  <c r="G32" i="3" s="1"/>
  <c r="AA152" i="2"/>
  <c r="AB152" i="2" s="1"/>
  <c r="F99" i="2"/>
  <c r="ET15" i="1"/>
  <c r="ET16" i="1"/>
  <c r="CV7" i="1"/>
  <c r="DF7" i="1" s="1"/>
  <c r="CV8" i="1"/>
  <c r="DD8" i="1" s="1"/>
  <c r="CX16" i="1"/>
  <c r="CX15" i="1"/>
  <c r="Z117" i="2"/>
  <c r="Z45" i="2"/>
  <c r="EJ8" i="1"/>
  <c r="EL8" i="1"/>
  <c r="CK13" i="1"/>
  <c r="CN13" i="1"/>
  <c r="CJ16" i="1"/>
  <c r="CJ15" i="1"/>
  <c r="CP13" i="1"/>
  <c r="FM13" i="1"/>
  <c r="FL15" i="1"/>
  <c r="FL16" i="1"/>
  <c r="FR13" i="1"/>
  <c r="FP13" i="1"/>
  <c r="AT10" i="1"/>
  <c r="AZ15" i="1"/>
  <c r="AZ16" i="1"/>
  <c r="DV17" i="1"/>
  <c r="BX9" i="1"/>
  <c r="L30" i="3"/>
  <c r="I30" i="3"/>
  <c r="F30" i="3"/>
  <c r="G30" i="3" s="1"/>
  <c r="I10" i="2"/>
  <c r="V10" i="2" s="1"/>
  <c r="W10" i="2" s="1"/>
  <c r="V5" i="2"/>
  <c r="W5" i="2" s="1"/>
  <c r="EB15" i="1"/>
  <c r="EB16" i="1"/>
  <c r="AB7" i="1"/>
  <c r="Y7" i="1"/>
  <c r="AD7" i="1"/>
  <c r="FP9" i="1"/>
  <c r="FR9" i="1"/>
  <c r="FM9" i="1"/>
  <c r="BU10" i="1"/>
  <c r="BZ10" i="1"/>
  <c r="BX10" i="1"/>
  <c r="EZ5" i="1"/>
  <c r="EV8" i="1"/>
  <c r="EW5" i="1"/>
  <c r="FB5" i="1"/>
  <c r="EV7" i="1"/>
  <c r="DA9" i="1"/>
  <c r="DF9" i="1"/>
  <c r="DD9" i="1"/>
  <c r="BR15" i="1"/>
  <c r="BR16" i="1"/>
  <c r="BP7" i="1"/>
  <c r="D7" i="1" s="1"/>
  <c r="D6" i="1" s="1"/>
  <c r="BP8" i="1"/>
  <c r="O25" i="1"/>
  <c r="M25" i="1"/>
  <c r="K25" i="1"/>
  <c r="L27" i="3"/>
  <c r="I27" i="3"/>
  <c r="C31" i="3"/>
  <c r="F27" i="3"/>
  <c r="G27" i="3" s="1"/>
  <c r="AR18" i="1"/>
  <c r="AO18" i="1"/>
  <c r="AT18" i="1"/>
  <c r="CN10" i="1"/>
  <c r="CK10" i="1"/>
  <c r="CP10" i="1"/>
  <c r="EW10" i="1"/>
  <c r="FB10" i="1"/>
  <c r="EZ10" i="1"/>
  <c r="AN15" i="1"/>
  <c r="AO13" i="1"/>
  <c r="AN16" i="1"/>
  <c r="AR13" i="1"/>
  <c r="AT13" i="1"/>
  <c r="CH16" i="1"/>
  <c r="CH15" i="1"/>
  <c r="EZ17" i="1"/>
  <c r="EW17" i="1"/>
  <c r="FB17" i="1"/>
  <c r="DQ8" i="1"/>
  <c r="BH9" i="1"/>
  <c r="ED7" i="1"/>
  <c r="EG7" i="1" s="1"/>
  <c r="ED8" i="1"/>
  <c r="EG8" i="1" s="1"/>
  <c r="EG5" i="1"/>
  <c r="CH8" i="1"/>
  <c r="CH7" i="1"/>
  <c r="BJ17" i="1"/>
  <c r="BE17" i="1"/>
  <c r="BH17" i="1"/>
  <c r="T6" i="2"/>
  <c r="U6" i="2" s="1"/>
  <c r="K6" i="2"/>
  <c r="Z6" i="2" s="1"/>
  <c r="F10" i="2"/>
  <c r="AA62" i="2"/>
  <c r="AB62" i="2" s="1"/>
  <c r="F13" i="1"/>
  <c r="V16" i="1"/>
  <c r="V15" i="1"/>
  <c r="EJ5" i="1"/>
  <c r="CF8" i="1"/>
  <c r="CF7" i="1"/>
  <c r="FH16" i="1"/>
  <c r="FH15" i="1"/>
  <c r="Z171" i="2"/>
  <c r="F5" i="1"/>
  <c r="DV5" i="1"/>
  <c r="ER8" i="1"/>
  <c r="ER7" i="1"/>
  <c r="BU9" i="1"/>
  <c r="FM17" i="1"/>
  <c r="FP17" i="1"/>
  <c r="FR17" i="1"/>
  <c r="BZ18" i="1"/>
  <c r="BX18" i="1"/>
  <c r="BU18" i="1"/>
  <c r="Y13" i="1"/>
  <c r="X16" i="1"/>
  <c r="H13" i="1"/>
  <c r="X15" i="1"/>
  <c r="AD13" i="1"/>
  <c r="AB13" i="1"/>
  <c r="CV16" i="1"/>
  <c r="CV15" i="1"/>
  <c r="F8" i="1"/>
  <c r="EG9" i="1"/>
  <c r="EL9" i="1"/>
  <c r="EJ9" i="1"/>
  <c r="E33" i="3"/>
  <c r="DQ7" i="1"/>
  <c r="R45" i="2"/>
  <c r="FJ16" i="1"/>
  <c r="FJ15" i="1"/>
  <c r="H18" i="1"/>
  <c r="BT7" i="1"/>
  <c r="BU5" i="1"/>
  <c r="BX5" i="1"/>
  <c r="BZ5" i="1"/>
  <c r="BT8" i="1"/>
  <c r="CX8" i="1"/>
  <c r="DA8" i="1" s="1"/>
  <c r="CX7" i="1"/>
  <c r="DA7" i="1" s="1"/>
  <c r="R117" i="2"/>
  <c r="T10" i="2"/>
  <c r="U10" i="2" s="1"/>
  <c r="FJ7" i="1"/>
  <c r="FJ8" i="1"/>
  <c r="D5" i="1"/>
  <c r="CP18" i="1"/>
  <c r="CK18" i="1"/>
  <c r="CN18" i="1"/>
  <c r="CJ8" i="1"/>
  <c r="CJ7" i="1"/>
  <c r="CP5" i="1"/>
  <c r="CN5" i="1"/>
  <c r="CK5" i="1"/>
  <c r="BX17" i="1"/>
  <c r="BZ17" i="1"/>
  <c r="BU17" i="1"/>
  <c r="FP5" i="1"/>
  <c r="FL8" i="1"/>
  <c r="FM5" i="1"/>
  <c r="FR5" i="1"/>
  <c r="FL7" i="1"/>
  <c r="DF5" i="1"/>
  <c r="BE5" i="1"/>
  <c r="BJ5" i="1"/>
  <c r="BH5" i="1"/>
  <c r="BD8" i="1"/>
  <c r="BD7" i="1"/>
  <c r="DT5" i="1"/>
  <c r="EW13" i="1"/>
  <c r="EV15" i="1"/>
  <c r="FB13" i="1"/>
  <c r="EZ13" i="1"/>
  <c r="EV16" i="1"/>
  <c r="F28" i="3"/>
  <c r="G28" i="3" s="1"/>
  <c r="L28" i="3"/>
  <c r="I28" i="3"/>
  <c r="DP16" i="1"/>
  <c r="DQ13" i="1"/>
  <c r="DV13" i="1"/>
  <c r="DP15" i="1"/>
  <c r="DT13" i="1"/>
  <c r="AJ15" i="1"/>
  <c r="AJ16" i="1"/>
  <c r="D13" i="1"/>
  <c r="EF15" i="1"/>
  <c r="EF16" i="1"/>
  <c r="EG13" i="1"/>
  <c r="EJ13" i="1"/>
  <c r="EL13" i="1"/>
  <c r="CK9" i="1"/>
  <c r="CP9" i="1"/>
  <c r="CN9" i="1"/>
  <c r="BH18" i="1"/>
  <c r="BE18" i="1"/>
  <c r="BJ18" i="1"/>
  <c r="AT17" i="1"/>
  <c r="AO17" i="1"/>
  <c r="AR17" i="1"/>
  <c r="H17" i="1"/>
  <c r="R99" i="2"/>
  <c r="FB9" i="1"/>
  <c r="EZ9" i="1"/>
  <c r="EW9" i="1"/>
  <c r="DT9" i="1"/>
  <c r="DQ9" i="1"/>
  <c r="DV9" i="1"/>
  <c r="BR8" i="1"/>
  <c r="BR7" i="1"/>
  <c r="D10" i="1"/>
  <c r="AD10" i="1"/>
  <c r="D17" i="1"/>
  <c r="AD17" i="1"/>
  <c r="CF16" i="1"/>
  <c r="CF15" i="1"/>
  <c r="EJ7" i="1"/>
  <c r="EL7" i="1"/>
  <c r="BU13" i="1"/>
  <c r="BT15" i="1"/>
  <c r="BT16" i="1"/>
  <c r="BZ13" i="1"/>
  <c r="BX13" i="1"/>
  <c r="R135" i="2"/>
  <c r="F17" i="1"/>
  <c r="Y17" i="1"/>
  <c r="R27" i="2"/>
  <c r="AA9" i="2"/>
  <c r="AB9" i="2" s="1"/>
  <c r="R189" i="2"/>
  <c r="AR5" i="1"/>
  <c r="AO5" i="1"/>
  <c r="AN8" i="1"/>
  <c r="H5" i="1"/>
  <c r="AT5" i="1"/>
  <c r="AN7" i="1"/>
  <c r="H7" i="1" s="1"/>
  <c r="ED15" i="1"/>
  <c r="ED16" i="1"/>
  <c r="AB17" i="1"/>
  <c r="CN17" i="1"/>
  <c r="CP17" i="1"/>
  <c r="CK17" i="1"/>
  <c r="FM10" i="1"/>
  <c r="FP10" i="1"/>
  <c r="FR10" i="1"/>
  <c r="BE10" i="1"/>
  <c r="BH10" i="1"/>
  <c r="BJ10" i="1"/>
  <c r="ET8" i="1"/>
  <c r="ET7" i="1"/>
  <c r="H10" i="1"/>
  <c r="J10" i="2"/>
  <c r="X10" i="2" s="1"/>
  <c r="Y10" i="2" s="1"/>
  <c r="X5" i="2"/>
  <c r="Y5" i="2" s="1"/>
  <c r="D6" i="7" l="1"/>
  <c r="F4" i="7"/>
  <c r="E4" i="7"/>
  <c r="BV12" i="7"/>
  <c r="BX10" i="7"/>
  <c r="BW10" i="7"/>
  <c r="X12" i="7"/>
  <c r="Z12" i="7" s="1"/>
  <c r="Z10" i="7"/>
  <c r="T15" i="7"/>
  <c r="S15" i="7"/>
  <c r="R17" i="7"/>
  <c r="BN17" i="7"/>
  <c r="BP17" i="7" s="1"/>
  <c r="BP15" i="7"/>
  <c r="BJ17" i="7"/>
  <c r="BI17" i="7"/>
  <c r="AG10" i="7"/>
  <c r="AH10" i="7"/>
  <c r="AF12" i="7"/>
  <c r="BX17" i="7"/>
  <c r="BW17" i="7"/>
  <c r="BB15" i="7"/>
  <c r="D15" i="7"/>
  <c r="S6" i="7"/>
  <c r="T6" i="7"/>
  <c r="R10" i="7"/>
  <c r="BA12" i="7"/>
  <c r="BB10" i="7"/>
  <c r="BC10" i="7"/>
  <c r="BM17" i="7"/>
  <c r="BQ17" i="7" s="1"/>
  <c r="BQ15" i="7"/>
  <c r="BC17" i="7"/>
  <c r="BB17" i="7"/>
  <c r="AV17" i="7"/>
  <c r="AU17" i="7"/>
  <c r="BN10" i="7"/>
  <c r="BP6" i="7"/>
  <c r="M17" i="7"/>
  <c r="L17" i="7"/>
  <c r="BQ12" i="7"/>
  <c r="C6" i="7"/>
  <c r="C10" i="7" s="1"/>
  <c r="C12" i="7" s="1"/>
  <c r="C15" i="7"/>
  <c r="C17" i="7" s="1"/>
  <c r="AM17" i="7"/>
  <c r="AO15" i="7"/>
  <c r="AN15" i="7"/>
  <c r="AV10" i="7"/>
  <c r="AU10" i="7"/>
  <c r="AT12" i="7"/>
  <c r="AV15" i="7"/>
  <c r="AN6" i="7"/>
  <c r="AO6" i="7"/>
  <c r="AM10" i="7"/>
  <c r="Z17" i="7"/>
  <c r="AA17" i="7"/>
  <c r="N7" i="1"/>
  <c r="L7" i="1"/>
  <c r="I7" i="1"/>
  <c r="H6" i="1"/>
  <c r="EW16" i="1"/>
  <c r="EZ16" i="1"/>
  <c r="FB16" i="1"/>
  <c r="EZ15" i="1"/>
  <c r="EW15" i="1"/>
  <c r="FB15" i="1"/>
  <c r="AR15" i="1"/>
  <c r="AO15" i="1"/>
  <c r="AT15" i="1"/>
  <c r="DT15" i="1"/>
  <c r="DQ15" i="1"/>
  <c r="DV15" i="1"/>
  <c r="EZ7" i="1"/>
  <c r="FB7" i="1"/>
  <c r="EW7" i="1"/>
  <c r="CP15" i="1"/>
  <c r="CN15" i="1"/>
  <c r="CK15" i="1"/>
  <c r="DF16" i="1"/>
  <c r="DD16" i="1"/>
  <c r="DA16" i="1"/>
  <c r="N5" i="1"/>
  <c r="L5" i="1"/>
  <c r="I5" i="1"/>
  <c r="BH8" i="1"/>
  <c r="BE8" i="1"/>
  <c r="BJ8" i="1"/>
  <c r="L17" i="1"/>
  <c r="N17" i="1"/>
  <c r="I17" i="1"/>
  <c r="DQ16" i="1"/>
  <c r="DT16" i="1"/>
  <c r="DV16" i="1"/>
  <c r="DF8" i="1"/>
  <c r="F16" i="1"/>
  <c r="EW8" i="1"/>
  <c r="EZ8" i="1"/>
  <c r="FB8" i="1"/>
  <c r="EJ15" i="1"/>
  <c r="EG15" i="1"/>
  <c r="EL15" i="1"/>
  <c r="CN7" i="1"/>
  <c r="CP7" i="1"/>
  <c r="CK7" i="1"/>
  <c r="BJ16" i="1"/>
  <c r="BE16" i="1"/>
  <c r="BH16" i="1"/>
  <c r="L10" i="1"/>
  <c r="N10" i="1"/>
  <c r="I10" i="1"/>
  <c r="D16" i="1"/>
  <c r="AO16" i="1"/>
  <c r="AR16" i="1"/>
  <c r="AT16" i="1"/>
  <c r="FP16" i="1"/>
  <c r="FR16" i="1"/>
  <c r="FM16" i="1"/>
  <c r="FR8" i="1"/>
  <c r="FP8" i="1"/>
  <c r="FM8" i="1"/>
  <c r="DT7" i="1"/>
  <c r="L132" i="2"/>
  <c r="AA132" i="2" s="1"/>
  <c r="AB132" i="2" s="1"/>
  <c r="L60" i="2"/>
  <c r="AA60" i="2" s="1"/>
  <c r="AB60" i="2" s="1"/>
  <c r="L186" i="2"/>
  <c r="AA186" i="2" s="1"/>
  <c r="AB186" i="2" s="1"/>
  <c r="C33" i="3"/>
  <c r="F33" i="3" s="1"/>
  <c r="G33" i="3" s="1"/>
  <c r="L150" i="2"/>
  <c r="AA150" i="2" s="1"/>
  <c r="AB150" i="2" s="1"/>
  <c r="L24" i="2"/>
  <c r="AA24" i="2" s="1"/>
  <c r="AB24" i="2" s="1"/>
  <c r="L42" i="2"/>
  <c r="AA42" i="2" s="1"/>
  <c r="AB42" i="2" s="1"/>
  <c r="L114" i="2"/>
  <c r="AA114" i="2" s="1"/>
  <c r="AB114" i="2" s="1"/>
  <c r="L168" i="2"/>
  <c r="AA168" i="2" s="1"/>
  <c r="AB168" i="2" s="1"/>
  <c r="L78" i="2"/>
  <c r="AA78" i="2" s="1"/>
  <c r="AB78" i="2" s="1"/>
  <c r="L96" i="2"/>
  <c r="AA96" i="2" s="1"/>
  <c r="AB96" i="2" s="1"/>
  <c r="L7" i="2"/>
  <c r="AA7" i="2" s="1"/>
  <c r="AB7" i="2" s="1"/>
  <c r="F31" i="3"/>
  <c r="G31" i="3" s="1"/>
  <c r="DF15" i="1"/>
  <c r="DD15" i="1"/>
  <c r="DA15" i="1"/>
  <c r="AD16" i="1"/>
  <c r="H16" i="1"/>
  <c r="Y16" i="1"/>
  <c r="AB16" i="1"/>
  <c r="BU7" i="1"/>
  <c r="BZ7" i="1"/>
  <c r="BX7" i="1"/>
  <c r="F15" i="1"/>
  <c r="F14" i="1" s="1"/>
  <c r="CP16" i="1"/>
  <c r="CN16" i="1"/>
  <c r="CK16" i="1"/>
  <c r="I18" i="1"/>
  <c r="N18" i="1"/>
  <c r="L18" i="1"/>
  <c r="DD7" i="1"/>
  <c r="FP7" i="1"/>
  <c r="FM7" i="1"/>
  <c r="FR7" i="1"/>
  <c r="CP8" i="1"/>
  <c r="CK8" i="1"/>
  <c r="CN8" i="1"/>
  <c r="H8" i="1"/>
  <c r="D15" i="1"/>
  <c r="D14" i="1" s="1"/>
  <c r="BX8" i="1"/>
  <c r="BZ8" i="1"/>
  <c r="BU8" i="1"/>
  <c r="DT8" i="1"/>
  <c r="FR15" i="1"/>
  <c r="FP15" i="1"/>
  <c r="FM15" i="1"/>
  <c r="AB15" i="1"/>
  <c r="AD15" i="1"/>
  <c r="H15" i="1"/>
  <c r="Y15" i="1"/>
  <c r="AR7" i="1"/>
  <c r="AT7" i="1"/>
  <c r="AO7" i="1"/>
  <c r="I13" i="1"/>
  <c r="L13" i="1"/>
  <c r="N13" i="1"/>
  <c r="K10" i="2"/>
  <c r="Z10" i="2" s="1"/>
  <c r="Z5" i="2"/>
  <c r="BH7" i="1"/>
  <c r="BJ7" i="1"/>
  <c r="BE7" i="1"/>
  <c r="AO8" i="1"/>
  <c r="AT8" i="1"/>
  <c r="AR8" i="1"/>
  <c r="BZ16" i="1"/>
  <c r="BX16" i="1"/>
  <c r="BU16" i="1"/>
  <c r="BZ15" i="1"/>
  <c r="BX15" i="1"/>
  <c r="BU15" i="1"/>
  <c r="EG16" i="1"/>
  <c r="EL16" i="1"/>
  <c r="EJ16" i="1"/>
  <c r="BH15" i="1"/>
  <c r="BE15" i="1"/>
  <c r="BJ15" i="1"/>
  <c r="AM12" i="7" l="1"/>
  <c r="AO10" i="7"/>
  <c r="AN10" i="7"/>
  <c r="BW12" i="7"/>
  <c r="BX12" i="7"/>
  <c r="T17" i="7"/>
  <c r="S17" i="7"/>
  <c r="AO17" i="7"/>
  <c r="AN17" i="7"/>
  <c r="AH12" i="7"/>
  <c r="AG12" i="7"/>
  <c r="BC12" i="7"/>
  <c r="BB12" i="7"/>
  <c r="AV12" i="7"/>
  <c r="AU12" i="7"/>
  <c r="BN12" i="7"/>
  <c r="BP12" i="7" s="1"/>
  <c r="BP10" i="7"/>
  <c r="D17" i="7"/>
  <c r="F15" i="7"/>
  <c r="E15" i="7"/>
  <c r="R12" i="7"/>
  <c r="T10" i="7"/>
  <c r="S10" i="7"/>
  <c r="F6" i="7"/>
  <c r="E6" i="7"/>
  <c r="D10" i="7"/>
  <c r="H14" i="1"/>
  <c r="I15" i="1"/>
  <c r="N15" i="1"/>
  <c r="L15" i="1"/>
  <c r="N16" i="1"/>
  <c r="L16" i="1"/>
  <c r="I16" i="1"/>
  <c r="I6" i="1"/>
  <c r="N6" i="1"/>
  <c r="L6" i="1"/>
  <c r="I8" i="1"/>
  <c r="N8" i="1"/>
  <c r="L8" i="1"/>
  <c r="T12" i="7" l="1"/>
  <c r="S12" i="7"/>
  <c r="D12" i="7"/>
  <c r="F10" i="7"/>
  <c r="E10" i="7"/>
  <c r="F17" i="7"/>
  <c r="E17" i="7"/>
  <c r="AO12" i="7"/>
  <c r="AN12" i="7"/>
  <c r="N14" i="1"/>
  <c r="L14" i="1"/>
  <c r="I14" i="1"/>
  <c r="E12" i="7" l="1"/>
  <c r="F12" i="7"/>
  <c r="M188" i="2" l="1"/>
  <c r="G170" i="2"/>
  <c r="G134" i="2"/>
  <c r="G26" i="2"/>
  <c r="S152" i="2"/>
  <c r="AC152" i="2" s="1"/>
  <c r="AD152" i="2" s="1"/>
  <c r="M9" i="2"/>
  <c r="G188" i="2"/>
  <c r="S98" i="2"/>
  <c r="M116" i="2"/>
  <c r="M80" i="2"/>
  <c r="G116" i="2"/>
  <c r="S26" i="2"/>
  <c r="AC26" i="2" s="1"/>
  <c r="AD26" i="2" s="1"/>
  <c r="M170" i="2"/>
  <c r="S62" i="2"/>
  <c r="S9" i="2"/>
  <c r="S134" i="2"/>
  <c r="G98" i="2"/>
  <c r="S170" i="2"/>
  <c r="AC170" i="2" s="1"/>
  <c r="AD170" i="2" s="1"/>
  <c r="G44" i="2"/>
  <c r="M62" i="2"/>
  <c r="S44" i="2"/>
  <c r="AC44" i="2" s="1"/>
  <c r="AD44" i="2" s="1"/>
  <c r="S80" i="2"/>
  <c r="AC80" i="2" s="1"/>
  <c r="AD80" i="2" s="1"/>
  <c r="S188" i="2"/>
  <c r="AC188" i="2" s="1"/>
  <c r="AD188" i="2" s="1"/>
  <c r="M98" i="2"/>
  <c r="M152" i="2"/>
  <c r="M44" i="2"/>
  <c r="G9" i="2"/>
  <c r="G152" i="2"/>
  <c r="M26" i="2"/>
  <c r="M134" i="2"/>
  <c r="G62" i="2"/>
  <c r="S116" i="2"/>
  <c r="G80" i="2"/>
  <c r="G78" i="2"/>
  <c r="G60" i="2"/>
  <c r="M150" i="2"/>
  <c r="G132" i="2"/>
  <c r="G24" i="2"/>
  <c r="S168" i="2"/>
  <c r="G150" i="2"/>
  <c r="M60" i="2"/>
  <c r="G168" i="2"/>
  <c r="S24" i="2"/>
  <c r="AC24" i="2" s="1"/>
  <c r="AD24" i="2" s="1"/>
  <c r="M78" i="2"/>
  <c r="G96" i="2"/>
  <c r="S186" i="2"/>
  <c r="AC186" i="2" s="1"/>
  <c r="AD186" i="2" s="1"/>
  <c r="S7" i="2"/>
  <c r="AC7" i="2" s="1"/>
  <c r="AD7" i="2" s="1"/>
  <c r="M96" i="2"/>
  <c r="G114" i="2"/>
  <c r="M132" i="2"/>
  <c r="G42" i="2"/>
  <c r="S60" i="2"/>
  <c r="S78" i="2"/>
  <c r="M186" i="2"/>
  <c r="S132" i="2"/>
  <c r="AC132" i="2" s="1"/>
  <c r="AD132" i="2" s="1"/>
  <c r="M168" i="2"/>
  <c r="G7" i="2"/>
  <c r="S114" i="2"/>
  <c r="M114" i="2"/>
  <c r="G186" i="2"/>
  <c r="M7" i="2"/>
  <c r="S96" i="2"/>
  <c r="M24" i="2"/>
  <c r="S42" i="2"/>
  <c r="S150" i="2"/>
  <c r="M42" i="2"/>
  <c r="AC114" i="2" l="1"/>
  <c r="AD114" i="2" s="1"/>
  <c r="AC98" i="2"/>
  <c r="AD98" i="2" s="1"/>
  <c r="AC42" i="2"/>
  <c r="AD42" i="2" s="1"/>
  <c r="AC168" i="2"/>
  <c r="AD168" i="2" s="1"/>
  <c r="AC9" i="2"/>
  <c r="AD9" i="2" s="1"/>
  <c r="AC150" i="2"/>
  <c r="AD150" i="2" s="1"/>
  <c r="AC60" i="2"/>
  <c r="AD60" i="2" s="1"/>
  <c r="AC134" i="2"/>
  <c r="AD134" i="2" s="1"/>
  <c r="AC96" i="2"/>
  <c r="AD96" i="2" s="1"/>
  <c r="AC62" i="2"/>
  <c r="AD62" i="2" s="1"/>
  <c r="AC116" i="2"/>
  <c r="AD116" i="2" s="1"/>
  <c r="AC78" i="2"/>
  <c r="AD78" i="2" s="1"/>
  <c r="S5" i="2"/>
  <c r="G5" i="2"/>
  <c r="G10" i="2" s="1"/>
  <c r="G40" i="2"/>
  <c r="G45" i="2" s="1"/>
  <c r="G184" i="2"/>
  <c r="G189" i="2" s="1"/>
  <c r="S166" i="2"/>
  <c r="M22" i="2"/>
  <c r="M27" i="2" s="1"/>
  <c r="S148" i="2"/>
  <c r="M166" i="2"/>
  <c r="M171" i="2" s="1"/>
  <c r="M112" i="2"/>
  <c r="M117" i="2" s="1"/>
  <c r="M40" i="2"/>
  <c r="M45" i="2" s="1"/>
  <c r="G94" i="2"/>
  <c r="G99" i="2" s="1"/>
  <c r="S58" i="2"/>
  <c r="S94" i="2"/>
  <c r="S130" i="2"/>
  <c r="S40" i="2"/>
  <c r="M184" i="2"/>
  <c r="M189" i="2" s="1"/>
  <c r="S184" i="2"/>
  <c r="G58" i="2"/>
  <c r="G63" i="2" s="1"/>
  <c r="M76" i="2"/>
  <c r="M81" i="2" s="1"/>
  <c r="M94" i="2"/>
  <c r="M99" i="2" s="1"/>
  <c r="G148" i="2"/>
  <c r="G153" i="2" s="1"/>
  <c r="M130" i="2"/>
  <c r="M135" i="2" s="1"/>
  <c r="G166" i="2"/>
  <c r="G171" i="2" s="1"/>
  <c r="G22" i="2"/>
  <c r="G27" i="2" s="1"/>
  <c r="M58" i="2"/>
  <c r="M63" i="2" s="1"/>
  <c r="M148" i="2"/>
  <c r="M153" i="2" s="1"/>
  <c r="S76" i="2"/>
  <c r="G130" i="2"/>
  <c r="G135" i="2" s="1"/>
  <c r="S22" i="2"/>
  <c r="S112" i="2"/>
  <c r="G76" i="2"/>
  <c r="G81" i="2" s="1"/>
  <c r="G112" i="2"/>
  <c r="G117" i="2" s="1"/>
  <c r="M5" i="2"/>
  <c r="M10" i="2" s="1"/>
  <c r="AC184" i="2" l="1"/>
  <c r="AD184" i="2" s="1"/>
  <c r="S189" i="2"/>
  <c r="AC189" i="2" s="1"/>
  <c r="AD189" i="2" s="1"/>
  <c r="AC76" i="2"/>
  <c r="AD76" i="2" s="1"/>
  <c r="S81" i="2"/>
  <c r="AC81" i="2" s="1"/>
  <c r="AD81" i="2" s="1"/>
  <c r="AC130" i="2"/>
  <c r="AD130" i="2" s="1"/>
  <c r="S135" i="2"/>
  <c r="AC135" i="2" s="1"/>
  <c r="AD135" i="2" s="1"/>
  <c r="AC112" i="2"/>
  <c r="AD112" i="2" s="1"/>
  <c r="S117" i="2"/>
  <c r="AC117" i="2" s="1"/>
  <c r="AD117" i="2" s="1"/>
  <c r="S27" i="2"/>
  <c r="AC27" i="2" s="1"/>
  <c r="AD27" i="2" s="1"/>
  <c r="AC22" i="2"/>
  <c r="AD22" i="2" s="1"/>
  <c r="AC40" i="2"/>
  <c r="AD40" i="2" s="1"/>
  <c r="S45" i="2"/>
  <c r="AC45" i="2" s="1"/>
  <c r="AD45" i="2" s="1"/>
  <c r="S99" i="2"/>
  <c r="AC99" i="2" s="1"/>
  <c r="AD99" i="2" s="1"/>
  <c r="AC94" i="2"/>
  <c r="AD94" i="2" s="1"/>
  <c r="S10" i="2"/>
  <c r="AC10" i="2" s="1"/>
  <c r="AD10" i="2" s="1"/>
  <c r="AC5" i="2"/>
  <c r="AD5" i="2" s="1"/>
  <c r="AC148" i="2"/>
  <c r="AD148" i="2" s="1"/>
  <c r="S153" i="2"/>
  <c r="AC153" i="2" s="1"/>
  <c r="AD153" i="2" s="1"/>
  <c r="S171" i="2"/>
  <c r="AC171" i="2" s="1"/>
  <c r="AD171" i="2" s="1"/>
  <c r="AC166" i="2"/>
  <c r="AD166" i="2" s="1"/>
  <c r="S63" i="2"/>
  <c r="AC63" i="2" s="1"/>
  <c r="AD63" i="2" s="1"/>
  <c r="AC58" i="2"/>
  <c r="AD58" i="2" s="1"/>
  <c r="L97" i="2" l="1"/>
  <c r="AA97" i="2" s="1"/>
  <c r="AB97" i="2" s="1"/>
  <c r="L79" i="2"/>
  <c r="AA79" i="2" s="1"/>
  <c r="AB79" i="2" s="1"/>
  <c r="L61" i="2"/>
  <c r="AA61" i="2" s="1"/>
  <c r="AB61" i="2" s="1"/>
  <c r="L43" i="2"/>
  <c r="AA43" i="2" s="1"/>
  <c r="AB43" i="2" s="1"/>
  <c r="L151" i="2"/>
  <c r="AA151" i="2" s="1"/>
  <c r="AB151" i="2" s="1"/>
  <c r="L187" i="2"/>
  <c r="AA187" i="2" s="1"/>
  <c r="AB187" i="2" s="1"/>
  <c r="L133" i="2"/>
  <c r="AA133" i="2" s="1"/>
  <c r="AB133" i="2" s="1"/>
  <c r="L25" i="2"/>
  <c r="AA25" i="2" s="1"/>
  <c r="AB25" i="2" s="1"/>
  <c r="L115" i="2"/>
  <c r="AA115" i="2" s="1"/>
  <c r="AB115" i="2" s="1"/>
  <c r="L8" i="2"/>
  <c r="AA8" i="2" s="1"/>
  <c r="AB8" i="2" s="1"/>
  <c r="L169" i="2"/>
  <c r="AA169" i="2" s="1"/>
  <c r="AB169" i="2" s="1"/>
  <c r="L23" i="2"/>
  <c r="L185" i="2"/>
  <c r="L113" i="2"/>
  <c r="L77" i="2"/>
  <c r="L131" i="2"/>
  <c r="L41" i="2"/>
  <c r="L6" i="2"/>
  <c r="L59" i="2"/>
  <c r="L149" i="2"/>
  <c r="L95" i="2"/>
  <c r="L167" i="2"/>
  <c r="L5" i="2"/>
  <c r="AA5" i="2" s="1"/>
  <c r="AB5" i="2" s="1"/>
  <c r="L112" i="2"/>
  <c r="AA112" i="2" s="1"/>
  <c r="AB112" i="2" s="1"/>
  <c r="L148" i="2"/>
  <c r="AA148" i="2" s="1"/>
  <c r="AB148" i="2" s="1"/>
  <c r="L130" i="2"/>
  <c r="AA130" i="2" s="1"/>
  <c r="AB130" i="2" s="1"/>
  <c r="L94" i="2"/>
  <c r="AA94" i="2" s="1"/>
  <c r="AB94" i="2" s="1"/>
  <c r="L58" i="2"/>
  <c r="AA58" i="2" s="1"/>
  <c r="AB58" i="2" s="1"/>
  <c r="L166" i="2"/>
  <c r="AA166" i="2" s="1"/>
  <c r="AB166" i="2" s="1"/>
  <c r="L76" i="2"/>
  <c r="AA76" i="2" s="1"/>
  <c r="AB76" i="2" s="1"/>
  <c r="L40" i="2"/>
  <c r="AA40" i="2" s="1"/>
  <c r="AB40" i="2" s="1"/>
  <c r="L184" i="2"/>
  <c r="AA184" i="2" s="1"/>
  <c r="AB184" i="2" s="1"/>
  <c r="L22" i="2"/>
  <c r="AA22" i="2" s="1"/>
  <c r="AB22" i="2" s="1"/>
  <c r="L27" i="2" l="1"/>
  <c r="AA27" i="2" s="1"/>
  <c r="AB27" i="2" s="1"/>
  <c r="AA23" i="2"/>
  <c r="AB23" i="2" s="1"/>
  <c r="AA167" i="2"/>
  <c r="AB167" i="2" s="1"/>
  <c r="L171" i="2"/>
  <c r="AA171" i="2" s="1"/>
  <c r="AB171" i="2" s="1"/>
  <c r="L45" i="2"/>
  <c r="AA45" i="2" s="1"/>
  <c r="AB45" i="2" s="1"/>
  <c r="AA41" i="2"/>
  <c r="AB41" i="2" s="1"/>
  <c r="L135" i="2"/>
  <c r="AA135" i="2" s="1"/>
  <c r="AB135" i="2" s="1"/>
  <c r="AA131" i="2"/>
  <c r="AB131" i="2" s="1"/>
  <c r="AA77" i="2"/>
  <c r="AB77" i="2" s="1"/>
  <c r="L81" i="2"/>
  <c r="AA81" i="2" s="1"/>
  <c r="AB81" i="2" s="1"/>
  <c r="AA149" i="2"/>
  <c r="AB149" i="2" s="1"/>
  <c r="L153" i="2"/>
  <c r="AA153" i="2" s="1"/>
  <c r="AB153" i="2" s="1"/>
  <c r="L117" i="2"/>
  <c r="AA117" i="2" s="1"/>
  <c r="AB117" i="2" s="1"/>
  <c r="AA113" i="2"/>
  <c r="AB113" i="2" s="1"/>
  <c r="AA95" i="2"/>
  <c r="AB95" i="2" s="1"/>
  <c r="L99" i="2"/>
  <c r="AA99" i="2" s="1"/>
  <c r="AB99" i="2" s="1"/>
  <c r="L63" i="2"/>
  <c r="AA63" i="2" s="1"/>
  <c r="AB63" i="2" s="1"/>
  <c r="AA59" i="2"/>
  <c r="AB59" i="2" s="1"/>
  <c r="L10" i="2"/>
  <c r="AA10" i="2" s="1"/>
  <c r="AB10" i="2" s="1"/>
  <c r="AA6" i="2"/>
  <c r="AB6" i="2" s="1"/>
  <c r="L189" i="2"/>
  <c r="AA189" i="2" s="1"/>
  <c r="AB189" i="2" s="1"/>
  <c r="AA185" i="2"/>
  <c r="AB185"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<sst xmlns="http://schemas.openxmlformats.org/spreadsheetml/2006/main" count="1207" uniqueCount="262">
  <si>
    <t>بخش</t>
  </si>
  <si>
    <t xml:space="preserve">شرح خدمات  </t>
  </si>
  <si>
    <t xml:space="preserve">واحد سنجش </t>
  </si>
  <si>
    <t>عملکرد سال قبل</t>
  </si>
  <si>
    <t>بودجه دوره رسیدگی سال جاری</t>
  </si>
  <si>
    <t>عملکرد دوره رسیدگی سال جاری</t>
  </si>
  <si>
    <t>تغییرات مقداری سال جاری و سال قبل</t>
  </si>
  <si>
    <t>تغییرات درصدی سال جاری و سال قبل</t>
  </si>
  <si>
    <t>عملکرد عملیاتی</t>
  </si>
  <si>
    <t>ارزش ریالی ارائه خدمات
(میلیون ریال)</t>
  </si>
  <si>
    <t>بودجه عملیاتی</t>
  </si>
  <si>
    <t>درصد تحقق بودجه
(عملیاتی)</t>
  </si>
  <si>
    <t>درصد تحقق بودجه
(ریالی)</t>
  </si>
  <si>
    <t>واردات</t>
  </si>
  <si>
    <t>انبارداری</t>
  </si>
  <si>
    <t>تن</t>
  </si>
  <si>
    <t>میانگین مدت ماندگاری کالا</t>
  </si>
  <si>
    <t>روز</t>
  </si>
  <si>
    <t>تن روز</t>
  </si>
  <si>
    <t>باربری</t>
  </si>
  <si>
    <t>حمل یکسره</t>
  </si>
  <si>
    <t>ترانشیپ</t>
  </si>
  <si>
    <t>خدمات باربری</t>
  </si>
  <si>
    <t>میلیون ریال</t>
  </si>
  <si>
    <t/>
  </si>
  <si>
    <t>بیمه</t>
  </si>
  <si>
    <t>صادرات</t>
  </si>
  <si>
    <t>حمل و نقل</t>
  </si>
  <si>
    <t>داخلی</t>
  </si>
  <si>
    <t>صدور بارنامه</t>
  </si>
  <si>
    <t>حمل بار</t>
  </si>
  <si>
    <t>بین المللی</t>
  </si>
  <si>
    <t>توضیحات تکمیلی (دلایل انحرافات 10%± عملکرد و بودجه):
1-
2-
3-
4-</t>
  </si>
  <si>
    <t>توضیحات تکمیلی (دلایل انحرافات 10%± عملکرد و بودجه):
1- انحراف نامساعد ایجاد شده در کلیه رویه های شعبه شهید کاوه به جهت فعالیت انبار شهرک صنعتی و حمایت های گمرک از این مجموعه و انتقال بخش زیادی از کالاها به این شرکت می باشد
2-
3-
4-</t>
  </si>
  <si>
    <t>توضیحات تکمیلی (دلایل انحرافات 10%± عملکرد و بودجه):
1- مهمترین دلیل انحراف نامساعد ایجاد شده در رویه واردات به جهت فعالیت گمرک شهرک صنعتی توس  به عنوان رقیب اصلی انبارهای عمومی بوده به شکلی که اغلب کالاهای وارداتی به این گمرک منتقل شده و موجب شده ورود برخی از کالا ها از جمله کالای برنج و و حبوبات کاهش چشمگیری داشته باشد. 
2- انحراف مساعد در رویه حمل یکسره ورود کالای کنجاله آفتابگردان به صورت حمل یکسره 
3- انحراف مساعد ایجاد شده ترانشیپ در رویه واردات : ورود کالای شکر و روغن در رویه ترانزیت و به منظور حمل ریلی و انتقال به آسیای میانه
4</t>
  </si>
  <si>
    <t>توضیحات تکمیلی (دلایل انحرافات 10%± عملکرد و بودجه):
1-انحراف نامساعد ایجاد شده در رویه واردات  به دلیل کاهش صدور دستور تخلیه خودروهای سواری از سوی گمرک و به جهت محدودیت فضای انبار بارانداز شعبه بوده است همچنین محدودیت  ورود کالای حبوبات و نخ پنبه به شعبه  به دلیل شرایط جنگی در ماههای ابتدایی سال  از جمله علل انحراف نامساعد ایجاد شده می باشند.
2- انحراف مساعد ایجاد شده در رویه صادرات و ترانشیپ صادرات به جهت ایجاد شرایط جنگی و بسته شدن مرزهای آبی در جنوب کشور و تغییر مسیر صادرات کالاها از مرزهای زمینی می باشد از جمله کالاهای مصنوعات پلاستیکی و فلزی ، ماشین آلات ، مواد خوراکی بلورجات و ...
3-انحراف مساعد ایجاد شده مدت توقف کالا در صاردات نیز به دلیل کمبود ناوگان حمل با توجه به محدودیت ایجاد شده توسط کشور ترکمنستان در نوع وسیله حمل (تاکید بر استفاده از وسیله حمل چادری)
4-انحراف مساعد ایجاد شده در رویه ترانشیپ صادرات : تناژ و درآمد صادرات در رویه واردات وارد شده است.</t>
  </si>
  <si>
    <t>توضیحات تکمیلی (دلایل انحرافات 10%± عملکرد و بودجه):
1- مهمترین دلایل  انحراف مساعد ایجاد شده در کلیه رویه های جاری شعبه : ایجاد شرایط جنگی و بسته شدن مرزهای آبی کشور و تغییر مسیر کالا به مرزهای زمینی -    گسترش محوطه عملیاتی در زمین شرکت و  استفاده بهینه از ظرفیت سکوی ریلی - افزایش تجهیزات عملیاتی از جمله لیفتراک - بازگشایی درب  گمرک از محوطه 12 هکتاری شرکت موجب افزایش ظرفیت ترانشیپمنت شده است.
2-انحراف نامساعد ایجاد شده در مدت نگهداری کالادر رویه صادرات : درآمد انبارداری صادرات نسبت به تناژ آن کاهش داشته است .</t>
  </si>
  <si>
    <t>توضیحات تکمیلی (دلایل انحرافات 10%± عملکرد و بودجه):
1-انحراف مساعد ایجاد شده به جهت ورود کالاهای جدید از جمله اسید فسفوریک و بدنه یخچال در شعبه بوده است.
2-انحراف مساعد ایجاد شده در رویه واردات انبارداری به جهت ماندگاری کالا در انبارهای شعبه بوده است.
3-انحراف مساعد ایجاد شده در انبارداری واردات به جهت افزایش میانگین مدت ماندگاری کالا می باشد. 
4--</t>
  </si>
  <si>
    <t>توضیحات تکمیلی (دلایل انحرافات 10%± عملکرد و بودجه):
1-انحراف مساعد ایجاد شده در رویه واردات به دلیل افزایش سطح تعامالات با گمرک ستادی خراسان جنوبی ( بیرجند ) و مساعدت در ورود کالای شمش، مس، کنجد و حبوبات بوده است .  
2-
3-
4-</t>
  </si>
  <si>
    <t>توضیحات تکمیلی (دلایل انحرافات 10%± عملکرد و بودجه):
 1- مهمترین دلایل انحراف مساعد ایجاد شده در شعبه ایجاد شرایط جنگی در کشور و تغییر مسیر کالاها از بنادر به سمت مرزهای زمینی بوده است همچنین مهمترین کالاهای وارداتی شعبه  پنبه ، گوگرد ، حبوبات  و مهمترین اقلام صادراتی  ماشین آلات ، آهن آلات مواد اولیه بلورجات بوده است.
2-انحراف مساعد ایجاد شده در باربری واردات نسبت درآمد به تناژ بدلیل ورود کالاهای خاص و خطرناک مانند گوگرد و پنبه می باشد.</t>
  </si>
  <si>
    <t>توضیحات تکمیلی (دلایل انحرافات 10%± عملکرد و بودجه):
1- مهمترین دلیل انحراف نامساعد ایجاد شده در رویه واردات شعبه صدور مجوز انبارهای اختصاصی توسط گمرک به واحدهای تولیدی بوده است . شایان ذکر است با توجه به فعالیتهای شرکتهای مرزنشین و صادرات انجام گرفته توسط این شرکتها  در شش ماه دوم قطعاْ با افزایش حجم عملیات واردات توسط شرکتهای مرزنشینان در این شعبه روبرو خواهیم شد.
2-
3-</t>
  </si>
  <si>
    <t>توضیحات تکمیلی (دلایل انحرافات 10%± عملکرد و بودجه):
1- مهمترین دلیل انحراف مساعد ایجاد شده در شعبه افزایش سطح تعاملات با گمرک و مساعدت گمرک در صدور دستور تخلیه کالا بوده است  از جمله این کالاها برنج ، تخم آفتابگردان ، گردو و کنجد بوده است - شایان ذکر است جذب نیروهای بومی ، تهیه ملزومات عملیات از جمله پالت پلاستیکی و ... در میزان مساعدت گمرک در ورود کالا تاثیر گذار بوده است . 
2- 
3-
4-</t>
  </si>
  <si>
    <t>1- جدول مربوطه به تفکیک شرکت اصلی و شعب تابعه و همچنین به صورت تجمیعی تکمیل گردد.
2- ارقام تناژ عملکردهای عملیاتی در سال های قبل و جاری باید با گزارشات ارسالی به معاونت عملیات و امور گمرکی شرکت مرکزی و جدول عملکرد و بودجه عملیاتی گزارش مطابقت داشته باشد.
3- جمع کل ریالی به عنوان درآمد عملیاتی با جداول مالی مطابقت داشته باشد.
4- نحوه محاسبه باربری در جدول در بخش عملیاتی برابر  با تناژ بارگیری * 2 می باشد و در بخش ریالی نیز فقط سرفصل درآمدی در حوزه باربری (بابت تخلیه و بارگیری کالاها) محاسبه می گردد.
5- نحوه محاسبه ترانشیپ در جدول در بخش عملیاتی برابر  با تناژ ترانشیپ می باشد و در بخش ریالی نیز فقط سرفصل درآمدی ترانشیپ محاسبه می گردد.
6- نحوه محاسبه خدمات باربری در جدول در بخش عملیاتی فاقد اطلاعات بوده (خط تیره) و در بخش ریالی نیز فقط سایر سرفصل های درآمدی در حوزه باربری (دیماند، صدور بیجک، باربری مضاعف، استریپ، استافینگ، خن کاری، تسمه کشی، تفکیک قبض و ...) محاسبه می‌گردد.
7- برخی از سرفصل های درآمدی در سیستم حسابداری مانند پارکینگ، خدمات رایانه، بازبینی، باسکول و ... در بخش سایر درآمدهای عملیاتی محاسبه و منظور می‌گردد.</t>
  </si>
  <si>
    <t>شرح</t>
  </si>
  <si>
    <t>عملكرد دوره مشابه سال قبل</t>
  </si>
  <si>
    <t>بودجه دوره مورد رسیدگی سال جاری</t>
  </si>
  <si>
    <t>عملکرد دوره مورد رسیدگی سال جاری</t>
  </si>
  <si>
    <t>درصد تحقق بودجه</t>
  </si>
  <si>
    <t>رسمي</t>
  </si>
  <si>
    <t>موقت</t>
  </si>
  <si>
    <t>پرسنل پيمانكار</t>
  </si>
  <si>
    <t>جمع</t>
  </si>
  <si>
    <t>سرانه پرسنلی مستقیم</t>
  </si>
  <si>
    <t>سرانه پرسنلی پیمانکار</t>
  </si>
  <si>
    <t>متوسط تعداد پرسنل مستقیم توليد (نفر)</t>
  </si>
  <si>
    <t>متوسط تعداد پرسنل غیرمستقیم توليد (نفر)</t>
  </si>
  <si>
    <t>هزینه پرسنل پیمانکار</t>
  </si>
  <si>
    <t>متوسط تعداد پرسنل مستقیم ارائه خدمات (نفر)</t>
  </si>
  <si>
    <t>متوسط تعداد پرسنل غیرمستقیم خدمات (نفر)</t>
  </si>
  <si>
    <t>متوسط تعداد پرسنل اداري، تشكيلاتي و فروش (نفر)</t>
  </si>
  <si>
    <t>جمع (گروه)</t>
  </si>
  <si>
    <t>تعداد پرسنل شرکت اصلی</t>
  </si>
  <si>
    <t>توضیحات</t>
  </si>
  <si>
    <t>مبالغ به میلیون ریال</t>
  </si>
  <si>
    <t>عملكرد دوره مشابه
سال قبل</t>
  </si>
  <si>
    <t>دوره مورد رسیدگی سال جاری</t>
  </si>
  <si>
    <t>بودجه</t>
  </si>
  <si>
    <t>عملکرد</t>
  </si>
  <si>
    <t>درصد اختلاف با دوره مشابه سال قبل</t>
  </si>
  <si>
    <t>درصد تحقق
 بودجه</t>
  </si>
  <si>
    <t>انحراف</t>
  </si>
  <si>
    <t>کمکی صفحه بندی</t>
  </si>
  <si>
    <t>هزینه پس انداز صندوق پس انداز</t>
  </si>
  <si>
    <t>سایر</t>
  </si>
  <si>
    <t>جمع هزینه‌ها</t>
  </si>
  <si>
    <t>-</t>
  </si>
  <si>
    <t>اضافه (کسر) مي‌شود: ساير</t>
  </si>
  <si>
    <t>جمع نهایی هزینه</t>
  </si>
  <si>
    <t>شرکت / شعبه</t>
  </si>
  <si>
    <t>شرح فعالیت(طرح/پروژه)</t>
  </si>
  <si>
    <t>ردیف بودجه 1405</t>
  </si>
  <si>
    <t>حوزه پروژه</t>
  </si>
  <si>
    <t>برآورد زمانی پروژه (کل اجرا)</t>
  </si>
  <si>
    <t>پیشرفت فیزیکی پروژه (درصد)</t>
  </si>
  <si>
    <t>مبلغ کل طرح / پروژه</t>
  </si>
  <si>
    <t>هزینه اجرای پروژه (میلیون ریال)</t>
  </si>
  <si>
    <t>منابع مالی پروژه</t>
  </si>
  <si>
    <t>توضیحات و الزامات پروژه</t>
  </si>
  <si>
    <t xml:space="preserve"> </t>
  </si>
  <si>
    <t>عمرانی</t>
  </si>
  <si>
    <t>تجهیزات عملیاتی</t>
  </si>
  <si>
    <t>تجهیزات غیر عملیاتی</t>
  </si>
  <si>
    <t>HSE</t>
  </si>
  <si>
    <t>مدت انجام طرح (ماه)</t>
  </si>
  <si>
    <t>شروع طرح</t>
  </si>
  <si>
    <t xml:space="preserve">خاتمه طرح </t>
  </si>
  <si>
    <t>تا پایان 
سال قبل</t>
  </si>
  <si>
    <t>برآورد سال جاری</t>
  </si>
  <si>
    <t>بودجه 6 ماهه اول سال جاری</t>
  </si>
  <si>
    <t>درصد تحقق</t>
  </si>
  <si>
    <t>تسهیلات</t>
  </si>
  <si>
    <t>مشارکتی</t>
  </si>
  <si>
    <t>کاوه (مجتمع خراسان)</t>
  </si>
  <si>
    <t>خرید یکدستگاه خودرو سواری (واحد برنامه ریزی)</t>
  </si>
  <si>
    <t>*</t>
  </si>
  <si>
    <t>1405/07/01</t>
  </si>
  <si>
    <t>1405/12/29</t>
  </si>
  <si>
    <t>طی شناسه مکاتبه 724251 مورخ 1405/06/31 جهت تاییده برگزاری کمیسون معاملات به ستاد مرکزی ارسال گردیده است.</t>
  </si>
  <si>
    <t>مطهری</t>
  </si>
  <si>
    <t>خرید یک دستگاه کامیونت آتش نشانی</t>
  </si>
  <si>
    <t>1405/01/01</t>
  </si>
  <si>
    <t>1405/06/31</t>
  </si>
  <si>
    <t>قرارداد با شرکت سنگین کار صنعت در تاریخ 24 فروردین 1405 توسط ستاد مرکزی عقد شده است و 25 درصد از کل مبلغ به عنوان پیش پرداخت به شرکت سنگین کار صنعت واریز گردیده است
پیمانکار موظف می باشد حداکثر طی 8 ماه کامیونت را تحویل دهد.</t>
  </si>
  <si>
    <t>خرید یک دستگاه تراکتور مدل 1500</t>
  </si>
  <si>
    <t>طی شناسه مکاتبه 709934 مورخ 1405/05/05 جهت طی مراحل خرید به معاونت محترم عملیات ستاد مرکزی ارسال گردید.
طی شناسه 724901 کمیسون معاملات تشکیل و دستور خرید از شرکت های تراکتور سازی توسط ستاد مرکزی صادر گردیده است.</t>
  </si>
  <si>
    <t xml:space="preserve">خرید دو دستگاه کفی </t>
  </si>
  <si>
    <t>طی شناسه  709940 مورخ 1405/05/05 به معاونت محترم عملیات ستاد مرکزی جهت تایید و خرید مکاتبه گردید.
طی شناسه مکاتبه 724898 کمیسون معاملات تشکیل و مقرر گرید در صورت وجود دستگاه مازاد در شعبات کشور تامین در غیر این صورت خرید گردد.</t>
  </si>
  <si>
    <t>خرید یکدستگاه تراکتور مدل 399</t>
  </si>
  <si>
    <t>طی شناسه مکاتبه 709934 مورخ 1405/05/05 جهت طی مراحل خرید به معاونت محترم عملیات ستاد مرکزی ارسال گردید.
طی شناسه 724901 کمیسون معاملات تشکیل و دستور خرسد از شرکت های تراکتور سازی توسط ستاد مرکزی صادر گردیده است.</t>
  </si>
  <si>
    <t>خرید 2 دستگاه جرثقیل 15 تا 35 تن</t>
  </si>
  <si>
    <t>طی شناسه 710378 مورخ 1405/05/10 به معاونت محترم عملیات ستاد مرکزی جهت دستور خرید مکاتبه گردید.
طی شناسه مکاتبه 717966 مورخ 1405/06/04 مقرر گردید موضوع از طریق کمیسون معاملات پیگیری گردد.</t>
  </si>
  <si>
    <t>ماهیرود</t>
  </si>
  <si>
    <t>خرید یک دستگاه موتورسیکلت (حراست)</t>
  </si>
  <si>
    <t>طی شناسه مکاتبه 712276 مورخ 1405/05/17 جهت طی ادامه مراحل خرید به معاونت محترم توسعه و مدیریت ارسال گردیده است.</t>
  </si>
  <si>
    <t>لطف آباد</t>
  </si>
  <si>
    <t>خرید 3 دستگاه جرثقیل 15 تا 35 تن</t>
  </si>
  <si>
    <t>خرید یک دستگاه لیفتراک 3 تن</t>
  </si>
  <si>
    <t>طی شناسه مکاتبه 711533 مورخ 1405/05/12 به معاونت محترم توسعه مدیریت جهت طی ادامه مراحل خرید ارسال گردیده است.
طی شناسه مکاتبه 717969 مورخ 1405/06/04 مقرر گردید موضوع از طریق کمیسون معاملات بررسی و تصمیم گیری گردد.</t>
  </si>
  <si>
    <t>خرید یک دستگاه لیفتراک  5 تن</t>
  </si>
  <si>
    <t>خرید یک دستگاه لیفتراک 7 تن</t>
  </si>
  <si>
    <t xml:space="preserve">خرید دو دستگاه موتورسیکلت  (حراست و  عملیات ) </t>
  </si>
  <si>
    <t xml:space="preserve">ساخت انبار مسقف </t>
  </si>
  <si>
    <t>درخواست به مشاور  ( شرکت پردیسان سازه طراحان )جهت تکمیل طرح اجرایی</t>
  </si>
  <si>
    <t>ساخت سر درب ورودی</t>
  </si>
  <si>
    <t>اجرای سیستم پایش تصویری</t>
  </si>
  <si>
    <t>1405/04/01</t>
  </si>
  <si>
    <t>با توجه به  مذاکره با ستاد مرکزی، حراست ستاد در حال انعقاد قرارداد با یک شرکت پیمانکار جهت انجام پروژه می باشد.</t>
  </si>
  <si>
    <t>توسعه سکوی تخلیه بارگیری ریلی</t>
  </si>
  <si>
    <t>درخواست به مشاور  ( شرکت پردیسان سازه طراحان )جهت تکمیل طرح اجرایی فاز2</t>
  </si>
  <si>
    <t xml:space="preserve">تسطیح محوطه </t>
  </si>
  <si>
    <t>مبلغ 23,469 میلیون ریال  بابت تسطیح محوطه و مبلغ 54,025 میلیون ریال بابت ساخت ساختمان رفاهی بوده که با نوجه به عدم وجود ردیف بودجه این مبلغ در این ردیف بودجه درج گردیده است.</t>
  </si>
  <si>
    <t>سرخس</t>
  </si>
  <si>
    <t>محوطه سازی و خاکریزی و احداث سکو فاز اول پروژه زمین منطقه ویژه سرخس</t>
  </si>
  <si>
    <t>1404/01/01</t>
  </si>
  <si>
    <t>1404/12/29</t>
  </si>
  <si>
    <t>تسطیح و رگلاژ بستر انجام شده است و خاکریزی و دیوار کشی محوطه در حال اجرا توسط پیمانکار می باشد.شماره قرارداد04/8034
طی مکاتبه شناسه 724968 پیمانکار جهت تحویل موقت اعلام آمادگی نموده است و پروژه در مرحله اتمام کار می باشد.</t>
  </si>
  <si>
    <t>خرید یکدستگاه  خودرو تک کابین (کارپردازی و عملیات)</t>
  </si>
  <si>
    <t>طی شناسه مکاتبه 711479  مورخ 1405/05/11 جهت طی مراحل خرید و تشکیل کمیسیون معاملات به معاونت محترم توسعه و مدیریت منابع ارسال گردید.</t>
  </si>
  <si>
    <t>تهیه و نصب سیستم اعلان حریق</t>
  </si>
  <si>
    <t>طی شناسه مکاتبه 713563 لیست تجهیزات و تایید نوع سیستم الان حریق توسط مجری ذیصلاح سازمان آتشنشانی به واحد HSE ستاد مرکزی ارسال گردید. استعلام اخذ و در انتظار طرح در کمیسیون معاملات مجتمع خراسان.</t>
  </si>
  <si>
    <t>خرید یک دستگاه ماشین کامیونت  آتش نشانی</t>
  </si>
  <si>
    <t>طی شناسه مکاتبه 716102 مورخ 1405/06/01 به معاونت محترم توسعه مدیریت جهت طرح در کمیسون معاملات ارجاع گردیده است.</t>
  </si>
  <si>
    <t>خرید یک دستگاه جرثقیل 15 تا 35 تن</t>
  </si>
  <si>
    <t>دوغارون</t>
  </si>
  <si>
    <t>خرید یک دستگاه سواری -  سرپرست شعبه</t>
  </si>
  <si>
    <t>با توجه به شروع پروژه از 1405/07/01 مکابته به همان زمان موکول می گردد.</t>
  </si>
  <si>
    <t>خرید یک دستگاه موتور سیکلت - انتظامات</t>
  </si>
  <si>
    <t>خرید زمین و سرمایه گذاری در منطقه آزاد دوغارون</t>
  </si>
  <si>
    <t>حفظ سهم بازار و ایجاد درآمد پایدار- در صورت ارائه زمین برای خرید اقدام می شود و در صورت عدم ارائه، نسبت به سرمایه گذاری اقدام می گردد.</t>
  </si>
  <si>
    <t>طیی شناسه مکاتبه 712276 مورخ 1405/05/17 جهت طی ادامه مراحل خرید به معاونت محترم توسعه و مدیریت ارسال گردیده است.</t>
  </si>
  <si>
    <t>طی شناسه مکاتبه 713563 لیست تجهیزات و تایید نوع سیستم الان حریق توسط مجری ذیصلاح سازمان آتشنشانی به واحد HSE ستاد مرکزی ارسال گردید.</t>
  </si>
  <si>
    <t>بیرجند</t>
  </si>
  <si>
    <t>بجنورد</t>
  </si>
  <si>
    <t xml:space="preserve"> ماشین آلات و تجهیزات عملیاتی</t>
  </si>
  <si>
    <t>جرثقیل</t>
  </si>
  <si>
    <t>لیفتراک (دیزلی)</t>
  </si>
  <si>
    <t>لیفتراک (برقی)</t>
  </si>
  <si>
    <t>ریج تراک</t>
  </si>
  <si>
    <t>تراک</t>
  </si>
  <si>
    <t>امپیتی‌استاکر</t>
  </si>
  <si>
    <t>ریچ‌استاکر</t>
  </si>
  <si>
    <t>تاپ لیفت</t>
  </si>
  <si>
    <t>کامیون حمل بار</t>
  </si>
  <si>
    <t>کامیون آتش نشانی</t>
  </si>
  <si>
    <t>پیشرو آتش نشانی</t>
  </si>
  <si>
    <t>موتور سیکلت آتش نشانی</t>
  </si>
  <si>
    <t>تراکتور</t>
  </si>
  <si>
    <t>کشنده (تک مستر)</t>
  </si>
  <si>
    <t>بیل بکهولودر</t>
  </si>
  <si>
    <t>Mover 7.5 T</t>
  </si>
  <si>
    <t>چنگک</t>
  </si>
  <si>
    <t>کفی تریلر</t>
  </si>
  <si>
    <t>تسمه نقاله</t>
  </si>
  <si>
    <t>پمپ هیدرانت</t>
  </si>
  <si>
    <t>جک پالت دستی</t>
  </si>
  <si>
    <t>جک پالت برقی</t>
  </si>
  <si>
    <t>استاکر دستی</t>
  </si>
  <si>
    <t>جمع کل</t>
  </si>
  <si>
    <t>3 تن کامیونی</t>
  </si>
  <si>
    <t>12 تن کامیونی</t>
  </si>
  <si>
    <t>10 تن</t>
  </si>
  <si>
    <t>12 تن</t>
  </si>
  <si>
    <t>13 تن</t>
  </si>
  <si>
    <t>15 تن</t>
  </si>
  <si>
    <t>16 تن</t>
  </si>
  <si>
    <t>25 تن</t>
  </si>
  <si>
    <t>30 تن</t>
  </si>
  <si>
    <t>32 تن</t>
  </si>
  <si>
    <t>35 تن</t>
  </si>
  <si>
    <t>40 تن</t>
  </si>
  <si>
    <t>45 تن</t>
  </si>
  <si>
    <t>50 تن</t>
  </si>
  <si>
    <t>55 تن</t>
  </si>
  <si>
    <t>60 تن</t>
  </si>
  <si>
    <t>65 تن</t>
  </si>
  <si>
    <t>90 تن</t>
  </si>
  <si>
    <t>2 تن</t>
  </si>
  <si>
    <t>3 تن</t>
  </si>
  <si>
    <t>4 تن</t>
  </si>
  <si>
    <t>5 تن</t>
  </si>
  <si>
    <t>7 تن</t>
  </si>
  <si>
    <t>8 تن</t>
  </si>
  <si>
    <t>11 تن</t>
  </si>
  <si>
    <t>20 تن</t>
  </si>
  <si>
    <t>1.5 تن</t>
  </si>
  <si>
    <t>2.5 تن</t>
  </si>
  <si>
    <t>شهید کاوه</t>
  </si>
  <si>
    <t>نیشابور</t>
  </si>
  <si>
    <t>باجگیران</t>
  </si>
  <si>
    <t>نام شرکت / شعبه</t>
  </si>
  <si>
    <t>نوع عملیات</t>
  </si>
  <si>
    <t>مسقف</t>
  </si>
  <si>
    <t>هانگار</t>
  </si>
  <si>
    <t>بارانداز</t>
  </si>
  <si>
    <t>تعداد</t>
  </si>
  <si>
    <t>متراژ</t>
  </si>
  <si>
    <t>تناژ رسوب</t>
  </si>
  <si>
    <t xml:space="preserve">تناژ تخلیه </t>
  </si>
  <si>
    <t>تناژ بارگیری</t>
  </si>
  <si>
    <t>ظرفیت اسمی</t>
  </si>
  <si>
    <t>ظرفیت خالی انبارها</t>
  </si>
  <si>
    <t>درصد ظرفیت خالی انبارها</t>
  </si>
  <si>
    <t>درصد استفاده شده از انبارها</t>
  </si>
  <si>
    <t xml:space="preserve">گمرکی </t>
  </si>
  <si>
    <t>غیر گمرکی</t>
  </si>
  <si>
    <t>غیرگمرکی</t>
  </si>
  <si>
    <t>توضیحات:</t>
  </si>
  <si>
    <t xml:space="preserve"> گزارش مقایسه درآمد، هزینه، سود ( زیان) مجتمع خراسان</t>
  </si>
  <si>
    <t>دوره مشابه سال قبل</t>
  </si>
  <si>
    <t>درصد تحقق 
بودجه سال جاری</t>
  </si>
  <si>
    <t>درصد تغییرات عملکرد سال جاری به سال قبل</t>
  </si>
  <si>
    <t>درآمد حاصل از ارائه خدمات (عملیاتی)</t>
  </si>
  <si>
    <t>بهای تمام شده ارائه خدمات</t>
  </si>
  <si>
    <t>سود (زیان) ناخالص</t>
  </si>
  <si>
    <t xml:space="preserve">هزینه های اداری و عمومی </t>
  </si>
  <si>
    <t>سایر درآمدهای عملیاتی</t>
  </si>
  <si>
    <t>سایر هزینه های عملیاتی</t>
  </si>
  <si>
    <t xml:space="preserve">سود ( زیان ) عملیاتی </t>
  </si>
  <si>
    <t>سایر درآمد (هزینه) غیر عملیاتی</t>
  </si>
  <si>
    <t>سود (زیان) خالص (قبل از مالیات)</t>
  </si>
  <si>
    <t>کل درآمد ها</t>
  </si>
  <si>
    <t>کل هزینه ها</t>
  </si>
  <si>
    <t>توضیحات تکمیلی (دلایل انحرافات 10%± عملکرد و بودجه):
1-
2-
3- 
4-</t>
  </si>
  <si>
    <t>توضیحات تکمیلی (دلایل انحرافات 10%± عملکرد و بودجه):
1- انحراف هزینه های قیمت تمام شده : افزایش حقوق کارکنان و کمک های غیر نقدی پرسنل- افزایش هزینه استهلاک  -  افزایش هزینه تعمیر و نگهداری 
2- انحراف عملکردی هزینه های اداری و عمومی : افزایش حقوق کارکنان و کمک های غیر نقدی پرسنل- افزایش هزینه تعمیر و نگهداری -افزایش هزینه سوخت و تعمیرات وسائط نقلیه
3-
4-</t>
  </si>
  <si>
    <t xml:space="preserve">توضیحات تکمیلی (دلایل انحرافات 10%± عملکرد و بودجه):
1- انحراف هزینه های قیمت تمام شده : افزایش حقوق کارکنان و کمک های غیر نقدی پرسنل-   افزایش هزینه حق الزحمه خدمات قراردادی (انعقاد قرارداد پیمانکاری در فاز 2 شعبه مطهری) -افزایش هزینه سوخت و تعمیرات ماشین آلات 
2-  </t>
  </si>
  <si>
    <t>توضیحات تکمیلی (دلایل انحرافات 10%± عملکرد و بودجه):
 1- انحراف هزینه های قیمت تمام شده : افزایش حقوق کارکنان و کمک های غیر نقدی پرسنل- افزایش هزینه استهلاک ماشین آلات - افزایش هزینه سوخت و تعمیرات ماشین آلات - افزایش هزینه پذیرایی و تشریفات ( برقراری نهار گمرک )
2-  انحراف هزینه های اداری و عمومی : افزایش حقوق کارکنان و کمک های غیر نقدی پرسنل</t>
  </si>
  <si>
    <t>توضیحات تکمیلی (دلایل انحرافات 10%± عملکرد و بودجه):
1- انحراف هزینه های قیمت تمام شده : افزایش حقوق کارکنان و کمک های غیر نقدی پرسنل-  افزایش هزینه سوخت و تعمیرات ماشین آلات -افزایش هزینه ایاب و ذهاب ( سرویس گمرک)
 2-انحراف هزینه های اداری و عمومی : افزایش حقوق کارکنان و کمک های غیر نقدی پرسنل -  ثبت استهلاک در سال 1405- افزایش قبوض خدماتی در سال 1405</t>
  </si>
  <si>
    <t>توضیحات تکمیلی (دلایل انحرافات 10%± عملکرد و بودجه):
1-انحراف هزینه های قیمت تمام شده : افزایش حقوق کارکنان و کمک های غیر نقدی پرسنل -افزایش هزینه خدمات قراردادی ( قرارداد پیمانکار)-  
2-انحراف هزینه های اداری و عمومی : افزایش خرید ابزار و لوازم مصرفی  در سال 1405  
3-
4-</t>
  </si>
  <si>
    <t>توضیحات تکمیلی (دلایل انحرافات 10%± عملکرد و بودجه):
1-  انحراف هزینه های قیمت تمام شده : افزایش حقوق کارکنان و کمک های غیر نقدی پرسنل و درج هزینه حقوق نیروهای پیمانکاری به صورت سه ماهه در سال 1404 -افزایش هزینه چاپ و مطبوعات  
2- انحراف هزینه های اداری و عمومی : کاهش هزینه های تعمیر و نگهداری و هزینه سوخت و تعمیرات وسائط نقلیه در سال 1405 
3-
4-</t>
  </si>
  <si>
    <t xml:space="preserve">توضیحات تکمیلی (دلایل انحرافات 10%± عملکرد و بودجه):
 1- انحراف هزینه های قیمت تمام شده : افزایش حقوق کارکنان و کمک های غیر نقدی پرسنل  -افزایش هزینه استهلاک -افزایش هزینه سوخت و تعمیرات ماشین آلات - افزایش هزینه قبوض
2- انحراف هزینه های اداری و عمومی : افزایش حقوق کارکنان و کمک های غیر نقدی پرسنل- افزایش هزینه تعمیر و نگهداری </t>
  </si>
  <si>
    <t>توضیحات تکمیلی (دلایل انحرافات 10%± عملکرد و بودجه):
1- انحراف هزینه های قیمت تمام شده : افزایش و اصلاح هزینه حقوق کارکنان و کمک های غیر نقدی پرسنل  -
2-انحراف هزینه های اداری و عمومی : اصلاح هزینه حقوق کارکنان و کمک های غیر نقدی پرسنل به قیمت تمام شده در سال 1405- 
3-</t>
  </si>
  <si>
    <t>توضیحات تکمیلی (دلایل انحرافات 10%± عملکرد و بودجه):
1-  انحراف هزینه های قیمت تمام شده : افزایش و اصلاح هزینه حقوق کارکنان و کمک های غیر نقدی پرسنل- افزایش هزینه قبوض -افزایش هزینه پذیرایی و تشریفات
2-  انحراف هزینه های اداری و عمومی : اصلاح هزینه های حقوق و دستمزد و کارکنان از اداری به قیمت تمام شده در سال 1405 - کاهش هزینه های ابزار و لوازم مصرفی - 
3-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</si>
</sst>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0;\(#,##0\)"/>
    <numFmt numFmtId="166" formatCode="_(* #,##0.00_);_(* \(#,##0.00\);_(* &quot;-&quot;??_);_(@_)"/>
    <numFmt numFmtId="167" formatCode="#,##0;[Red]#,##0"/>
  </numFmts>
  <fonts count="64" x14ac:knownFonts="1">
    <font>
      <sz val="11"/>
      <color theme="1"/>
      <name val="Aptos Narrow"/>
      <family val="2"/>
      <charset val="178"/>
      <scheme val="minor"/>
    </font>
    <font>
      <sz val="11"/>
      <color theme="1"/>
      <name val="Aptos Narrow"/>
      <family val="2"/>
      <charset val="178"/>
      <scheme val="minor"/>
    </font>
    <font>
      <sz val="11"/>
      <color rgb="FF006100"/>
      <name val="Aptos Narrow"/>
      <family val="2"/>
      <charset val="178"/>
      <scheme val="minor"/>
    </font>
    <font>
      <sz val="11"/>
      <color rgb="FF9C0006"/>
      <name val="Aptos Narrow"/>
      <family val="2"/>
      <charset val="178"/>
      <scheme val="minor"/>
    </font>
    <font>
      <sz val="11"/>
      <color rgb="FFFF0000"/>
      <name val="Aptos Narrow"/>
      <family val="2"/>
      <charset val="178"/>
      <scheme val="minor"/>
    </font>
    <font>
      <sz val="11"/>
      <color theme="0"/>
      <name val="Aptos Narrow"/>
      <family val="2"/>
      <charset val="178"/>
      <scheme val="minor"/>
    </font>
    <font>
      <b/>
      <sz val="14"/>
      <color theme="1"/>
      <name val="B Nazanin"/>
      <charset val="178"/>
    </font>
    <font>
      <b/>
      <sz val="14"/>
      <color theme="0"/>
      <name val="B Nazanin"/>
      <charset val="178"/>
    </font>
    <font>
      <sz val="14"/>
      <color theme="1"/>
      <name val="B Titr"/>
      <charset val="178"/>
    </font>
    <font>
      <sz val="10"/>
      <name val="Arial"/>
      <family val="2"/>
    </font>
    <font>
      <b/>
      <sz val="14"/>
      <name val="B Titr"/>
      <charset val="178"/>
    </font>
    <font>
      <sz val="12"/>
      <color theme="1"/>
      <name val="B Titr"/>
      <charset val="178"/>
    </font>
    <font>
      <sz val="14"/>
      <color theme="8" tint="-0.499984740745262"/>
      <name val="B Titr"/>
      <charset val="178"/>
    </font>
    <font>
      <b/>
      <sz val="14"/>
      <name val="B Nazanin"/>
      <charset val="178"/>
    </font>
    <font>
      <sz val="12"/>
      <name val="B Lotus"/>
      <charset val="178"/>
    </font>
    <font>
      <b/>
      <sz val="12"/>
      <name val="B Nazanin"/>
      <charset val="178"/>
    </font>
    <font>
      <b/>
      <sz val="10"/>
      <name val="B Nazanin"/>
      <charset val="178"/>
    </font>
    <font>
      <sz val="12"/>
      <color theme="0"/>
      <name val="B Lotus"/>
      <charset val="178"/>
    </font>
    <font>
      <b/>
      <sz val="12"/>
      <color rgb="FFFF0000"/>
      <name val="B Nazanin"/>
      <charset val="178"/>
    </font>
    <font>
      <b/>
      <sz val="12"/>
      <color theme="1"/>
      <name val="B Nazanin"/>
      <charset val="178"/>
    </font>
    <font>
      <b/>
      <sz val="10"/>
      <color theme="1"/>
      <name val="B Nazanin"/>
      <charset val="178"/>
    </font>
    <font>
      <sz val="12"/>
      <color theme="1"/>
      <name val="Aptos Narrow"/>
      <family val="2"/>
      <charset val="178"/>
      <scheme val="minor"/>
    </font>
    <font>
      <b/>
      <sz val="12"/>
      <color theme="0" tint="-0.34998626667073579"/>
      <name val="B Nazanin"/>
      <charset val="178"/>
    </font>
    <font>
      <b/>
      <sz val="16"/>
      <name val="B Nazanin"/>
      <charset val="178"/>
    </font>
    <font>
      <sz val="16"/>
      <name val="B Lotus"/>
      <charset val="178"/>
    </font>
    <font>
      <b/>
      <sz val="18"/>
      <name val="B Nazanin"/>
      <charset val="178"/>
    </font>
    <font>
      <b/>
      <u val="double"/>
      <sz val="26"/>
      <name val="B Nazanin"/>
      <charset val="178"/>
    </font>
    <font>
      <sz val="26"/>
      <name val="B Lotus"/>
      <charset val="178"/>
    </font>
    <font>
      <b/>
      <sz val="22"/>
      <name val="B Nazanin"/>
      <charset val="178"/>
    </font>
    <font>
      <b/>
      <sz val="20"/>
      <name val="B Nazanin"/>
      <charset val="178"/>
    </font>
    <font>
      <b/>
      <sz val="16"/>
      <color rgb="FFC00000"/>
      <name val="B Nazanin"/>
      <charset val="178"/>
    </font>
    <font>
      <sz val="12"/>
      <name val="B Nazanin"/>
      <charset val="178"/>
    </font>
    <font>
      <b/>
      <sz val="11"/>
      <name val="B Nazanin"/>
      <charset val="178"/>
    </font>
    <font>
      <sz val="14"/>
      <color theme="4" tint="-0.249977111117893"/>
      <name val="B Titr"/>
      <charset val="178"/>
    </font>
    <font>
      <b/>
      <sz val="12"/>
      <name val="B Titr"/>
      <charset val="178"/>
    </font>
    <font>
      <sz val="11"/>
      <name val="Aptos Narrow"/>
      <family val="2"/>
      <charset val="178"/>
      <scheme val="minor"/>
    </font>
    <font>
      <sz val="11"/>
      <color rgb="FFFF0000"/>
      <name val="B Titr"/>
      <charset val="178"/>
    </font>
    <font>
      <sz val="12"/>
      <color rgb="FFFF0000"/>
      <name val="B Lotus"/>
      <charset val="178"/>
    </font>
    <font>
      <b/>
      <sz val="9"/>
      <name val="B Nazanin"/>
      <charset val="178"/>
    </font>
    <font>
      <sz val="10"/>
      <name val="B Nazanin"/>
      <charset val="178"/>
    </font>
    <font>
      <b/>
      <sz val="9"/>
      <name val="B Titr"/>
      <charset val="178"/>
    </font>
    <font>
      <b/>
      <sz val="10"/>
      <name val="B Titr"/>
      <charset val="178"/>
    </font>
    <font>
      <b/>
      <sz val="11"/>
      <color rgb="FF000000"/>
      <name val="B Nazanin"/>
      <charset val="178"/>
    </font>
    <font>
      <b/>
      <sz val="11"/>
      <color theme="1"/>
      <name val="B Nazanin"/>
      <charset val="178"/>
    </font>
    <font>
      <sz val="9"/>
      <color theme="1"/>
      <name val="Aptos Narrow"/>
      <family val="2"/>
      <charset val="178"/>
      <scheme val="minor"/>
    </font>
    <font>
      <sz val="12"/>
      <color theme="1"/>
      <name val="B Nazanin"/>
      <charset val="178"/>
    </font>
    <font>
      <sz val="14"/>
      <color theme="1"/>
      <name val="Aptos Narrow"/>
      <family val="2"/>
      <charset val="178"/>
      <scheme val="minor"/>
    </font>
    <font>
      <sz val="28"/>
      <color theme="1"/>
      <name val="B Nazanin"/>
      <charset val="178"/>
    </font>
    <font>
      <sz val="11"/>
      <color theme="1"/>
      <name val="Aptos Narrow"/>
      <family val="2"/>
      <scheme val="minor"/>
    </font>
    <font>
      <sz val="14"/>
      <color theme="1"/>
      <name val="B Zar"/>
      <charset val="178"/>
    </font>
    <font>
      <sz val="14"/>
      <name val="B Nazanin"/>
      <charset val="178"/>
    </font>
    <font>
      <sz val="14"/>
      <color theme="1"/>
      <name val="B Nazanin"/>
      <charset val="178"/>
    </font>
    <font>
      <b/>
      <sz val="16"/>
      <color theme="1"/>
      <name val="B Zar"/>
      <charset val="178"/>
    </font>
    <font>
      <b/>
      <sz val="15"/>
      <color theme="1"/>
      <name val="B Zar"/>
      <charset val="178"/>
    </font>
    <font>
      <sz val="14"/>
      <color theme="0"/>
      <name val="B Zar"/>
      <charset val="178"/>
    </font>
    <font>
      <b/>
      <sz val="15"/>
      <name val="B Zar"/>
      <charset val="178"/>
    </font>
    <font>
      <b/>
      <sz val="15"/>
      <color theme="0"/>
      <name val="B Zar"/>
      <charset val="178"/>
    </font>
    <font>
      <b/>
      <sz val="20"/>
      <color theme="1"/>
      <name val="Aptos Narrow"/>
      <family val="2"/>
      <scheme val="minor"/>
    </font>
    <font>
      <sz val="16"/>
      <color theme="1"/>
      <name val="Aptos Narrow"/>
      <family val="2"/>
      <scheme val="minor"/>
    </font>
    <font>
      <sz val="20"/>
      <color theme="1"/>
      <name val="Aptos Narrow"/>
      <family val="2"/>
      <scheme val="minor"/>
    </font>
    <font>
      <b/>
      <sz val="12"/>
      <color theme="8" tint="-0.499984740745262"/>
      <name val="B Titr"/>
      <charset val="178"/>
    </font>
    <font>
      <b/>
      <sz val="10"/>
      <color theme="0"/>
      <name val="B Titr"/>
      <charset val="178"/>
    </font>
    <font>
      <sz val="12"/>
      <color theme="1"/>
      <name val="B Badr"/>
      <charset val="178"/>
    </font>
    <font>
      <b/>
      <sz val="16"/>
      <color theme="1"/>
      <name val="B Nazanin"/>
      <charset val="178"/>
    </font>
  </fonts>
  <fills count="15">
    <fill>
      <patternFill patternType="none"/>
    </fill>
    <fill>
      <patternFill patternType="gray125"/>
    </fill>
    <fill>
      <patternFill patternType="solid">
        <fgColor rgb="FFC6EFCE"/>
      </patternFill>
    </fill>
    <fill>
      <patternFill patternType="solid">
        <fgColor rgb="FFFFC7CE"/>
      </patternFill>
    </fill>
    <fill>
      <patternFill patternType="solid">
        <fgColor theme="4" tint="0.59999389629810485"/>
        <bgColor indexed="65"/>
      </patternFill>
    </fill>
    <fill>
      <patternFill patternType="solid">
        <fgColor theme="6" tint="-0.249977111117893"/>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0"/>
        <bgColor indexed="64"/>
      </patternFill>
    </fill>
    <fill>
      <patternFill patternType="mediumGray">
        <bgColor theme="0"/>
      </patternFill>
    </fill>
    <fill>
      <patternFill patternType="solid">
        <fgColor theme="1" tint="0.249977111117893"/>
        <bgColor indexed="64"/>
      </patternFill>
    </fill>
    <fill>
      <patternFill patternType="mediumGray"/>
    </fill>
    <fill>
      <patternFill patternType="solid">
        <fgColor theme="6" tint="-0.249977111117893"/>
        <bgColor indexed="8"/>
      </patternFill>
    </fill>
    <fill>
      <patternFill patternType="solid">
        <fgColor theme="6" tint="0.79998168889431442"/>
        <bgColor indexed="64"/>
      </patternFill>
    </fill>
    <fill>
      <patternFill patternType="solid">
        <fgColor theme="5" tint="0.59999389629810485"/>
        <bgColor indexed="64"/>
      </patternFill>
    </fill>
  </fills>
  <borders count="165">
    <border>
      <left/>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dashed">
        <color indexed="64"/>
      </top>
      <bottom style="dashed">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dashed">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right/>
      <top/>
      <bottom style="thin">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dashed">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top style="medium">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style="thin">
        <color indexed="64"/>
      </top>
      <bottom/>
      <diagonal/>
    </border>
    <border>
      <left style="thin">
        <color auto="1"/>
      </left>
      <right/>
      <top style="thin">
        <color auto="1"/>
      </top>
      <bottom/>
      <diagonal/>
    </border>
    <border>
      <left/>
      <right/>
      <top style="thin">
        <color indexed="64"/>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double">
        <color auto="1"/>
      </left>
      <right/>
      <top style="double">
        <color auto="1"/>
      </top>
      <bottom style="double">
        <color auto="1"/>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auto="1"/>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dashed">
        <color indexed="64"/>
      </bottom>
      <diagonal/>
    </border>
    <border>
      <left style="thin">
        <color indexed="64"/>
      </left>
      <right style="thin">
        <color indexed="64"/>
      </right>
      <top style="medium">
        <color indexed="64"/>
      </top>
      <bottom style="dashed">
        <color indexed="64"/>
      </bottom>
      <diagonal/>
    </border>
    <border>
      <left style="thin">
        <color indexed="64"/>
      </left>
      <right style="medium">
        <color indexed="64"/>
      </right>
      <top style="medium">
        <color indexed="64"/>
      </top>
      <bottom style="dashed">
        <color indexed="64"/>
      </bottom>
      <diagonal/>
    </border>
    <border>
      <left/>
      <right style="medium">
        <color indexed="64"/>
      </right>
      <top style="medium">
        <color indexed="64"/>
      </top>
      <bottom style="dashed">
        <color indexed="64"/>
      </bottom>
      <diagonal/>
    </border>
    <border>
      <left style="medium">
        <color indexed="64"/>
      </left>
      <right/>
      <top style="medium">
        <color indexed="64"/>
      </top>
      <bottom style="dashed">
        <color indexed="64"/>
      </bottom>
      <diagonal/>
    </border>
    <border>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style="thin">
        <color indexed="64"/>
      </left>
      <right/>
      <top style="medium">
        <color indexed="64"/>
      </top>
      <bottom/>
      <diagonal/>
    </border>
    <border>
      <left style="medium">
        <color indexed="64"/>
      </left>
      <right style="medium">
        <color indexed="64"/>
      </right>
      <top style="dashed">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style="medium">
        <color indexed="64"/>
      </right>
      <top style="dashed">
        <color indexed="64"/>
      </top>
      <bottom style="dashed">
        <color indexed="64"/>
      </bottom>
      <diagonal/>
    </border>
    <border>
      <left/>
      <right style="medium">
        <color indexed="64"/>
      </right>
      <top style="dashed">
        <color indexed="64"/>
      </top>
      <bottom style="dashed">
        <color indexed="64"/>
      </bottom>
      <diagonal/>
    </border>
    <border>
      <left style="thin">
        <color indexed="64"/>
      </left>
      <right style="medium">
        <color indexed="64"/>
      </right>
      <top/>
      <bottom style="dashed">
        <color indexed="64"/>
      </bottom>
      <diagonal/>
    </border>
    <border>
      <left style="medium">
        <color indexed="64"/>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style="thin">
        <color indexed="64"/>
      </left>
      <right/>
      <top/>
      <bottom style="dashed">
        <color indexed="64"/>
      </bottom>
      <diagonal/>
    </border>
    <border>
      <left/>
      <right style="medium">
        <color indexed="64"/>
      </right>
      <top/>
      <bottom style="dashed">
        <color indexed="64"/>
      </bottom>
      <diagonal/>
    </border>
    <border>
      <left style="thin">
        <color indexed="64"/>
      </left>
      <right style="medium">
        <color indexed="64"/>
      </right>
      <top style="dashed">
        <color indexed="64"/>
      </top>
      <bottom/>
      <diagonal/>
    </border>
    <border>
      <left style="thin">
        <color indexed="64"/>
      </left>
      <right/>
      <top style="dashed">
        <color indexed="64"/>
      </top>
      <bottom/>
      <diagonal/>
    </border>
    <border>
      <left/>
      <right style="medium">
        <color indexed="64"/>
      </right>
      <top style="dashed">
        <color indexed="64"/>
      </top>
      <bottom/>
      <diagonal/>
    </border>
    <border>
      <left style="medium">
        <color indexed="64"/>
      </left>
      <right style="medium">
        <color indexed="64"/>
      </right>
      <top style="dashed">
        <color indexed="64"/>
      </top>
      <bottom style="medium">
        <color indexed="64"/>
      </bottom>
      <diagonal/>
    </border>
    <border>
      <left style="medium">
        <color indexed="64"/>
      </left>
      <right style="thin">
        <color indexed="64"/>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right style="medium">
        <color indexed="64"/>
      </right>
      <top style="dashed">
        <color indexed="64"/>
      </top>
      <bottom style="medium">
        <color indexed="64"/>
      </bottom>
      <diagonal/>
    </border>
    <border>
      <left style="medium">
        <color indexed="64"/>
      </left>
      <right/>
      <top style="dashed">
        <color indexed="64"/>
      </top>
      <bottom style="medium">
        <color indexed="64"/>
      </bottom>
      <diagonal/>
    </border>
    <border>
      <left/>
      <right style="thin">
        <color indexed="64"/>
      </right>
      <top style="dashed">
        <color indexed="64"/>
      </top>
      <bottom style="medium">
        <color indexed="64"/>
      </bottom>
      <diagonal/>
    </border>
    <border>
      <left style="thin">
        <color indexed="64"/>
      </left>
      <right/>
      <top style="dashed">
        <color indexed="64"/>
      </top>
      <bottom style="medium">
        <color indexed="64"/>
      </bottom>
      <diagonal/>
    </border>
    <border>
      <left style="medium">
        <color indexed="64"/>
      </left>
      <right style="medium">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medium">
        <color indexed="64"/>
      </left>
      <right style="medium">
        <color indexed="64"/>
      </right>
      <top style="double">
        <color indexed="64"/>
      </top>
      <bottom style="medium">
        <color indexed="64"/>
      </bottom>
      <diagonal/>
    </border>
    <border>
      <left style="medium">
        <color indexed="64"/>
      </left>
      <right style="thin">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top style="double">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style="medium">
        <color indexed="64"/>
      </top>
      <bottom style="thin">
        <color indexed="64"/>
      </bottom>
      <diagonal/>
    </border>
    <border>
      <left style="thin">
        <color indexed="64"/>
      </left>
      <right style="thin">
        <color indexed="64"/>
      </right>
      <top style="medium">
        <color indexed="64"/>
      </top>
      <bottom style="dotted">
        <color indexed="64"/>
      </bottom>
      <diagonal/>
    </border>
    <border>
      <left style="thin">
        <color indexed="64"/>
      </left>
      <right/>
      <top style="medium">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thin">
        <color indexed="64"/>
      </left>
      <right/>
      <top style="dotted">
        <color indexed="64"/>
      </top>
      <bottom style="medium">
        <color indexed="64"/>
      </bottom>
      <diagonal/>
    </border>
    <border>
      <left/>
      <right style="medium">
        <color indexed="64"/>
      </right>
      <top style="dotted">
        <color indexed="64"/>
      </top>
      <bottom style="medium">
        <color indexed="64"/>
      </bottom>
      <diagonal/>
    </border>
    <border>
      <left style="medium">
        <color indexed="64"/>
      </left>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dashed">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ck">
        <color theme="1"/>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theme="1"/>
      </right>
      <top/>
      <bottom style="thin">
        <color indexed="64"/>
      </bottom>
      <diagonal/>
    </border>
    <border>
      <left/>
      <right style="thick">
        <color theme="1"/>
      </right>
      <top/>
      <bottom style="thin">
        <color indexed="64"/>
      </bottom>
      <diagonal/>
    </border>
    <border>
      <left style="medium">
        <color indexed="64"/>
      </left>
      <right/>
      <top/>
      <bottom style="thin">
        <color indexed="64"/>
      </bottom>
      <diagonal/>
    </border>
    <border>
      <left style="thick">
        <color theme="1"/>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medium">
        <color theme="1"/>
      </right>
      <top style="thin">
        <color indexed="64"/>
      </top>
      <bottom style="medium">
        <color indexed="64"/>
      </bottom>
      <diagonal/>
    </border>
    <border>
      <left/>
      <right style="thick">
        <color theme="1"/>
      </right>
      <top style="thin">
        <color indexed="64"/>
      </top>
      <bottom style="medium">
        <color indexed="64"/>
      </bottom>
      <diagonal/>
    </border>
    <border>
      <left style="thick">
        <color theme="1"/>
      </left>
      <right style="thin">
        <color indexed="64"/>
      </right>
      <top style="medium">
        <color indexed="64"/>
      </top>
      <bottom style="thin">
        <color indexed="64"/>
      </bottom>
      <diagonal/>
    </border>
    <border>
      <left style="medium">
        <color indexed="64"/>
      </left>
      <right style="medium">
        <color theme="1"/>
      </right>
      <top style="medium">
        <color indexed="64"/>
      </top>
      <bottom style="thin">
        <color indexed="64"/>
      </bottom>
      <diagonal/>
    </border>
    <border>
      <left/>
      <right style="thick">
        <color theme="1"/>
      </right>
      <top style="medium">
        <color indexed="64"/>
      </top>
      <bottom style="thin">
        <color indexed="64"/>
      </bottom>
      <diagonal/>
    </border>
    <border>
      <left style="thick">
        <color theme="1"/>
      </left>
      <right style="thin">
        <color indexed="64"/>
      </right>
      <top style="thin">
        <color indexed="64"/>
      </top>
      <bottom style="medium">
        <color indexed="64"/>
      </bottom>
      <diagonal/>
    </border>
    <border>
      <left style="thick">
        <color theme="1"/>
      </left>
      <right style="thin">
        <color indexed="64"/>
      </right>
      <top/>
      <bottom/>
      <diagonal/>
    </border>
    <border>
      <left style="thin">
        <color indexed="64"/>
      </left>
      <right/>
      <top/>
      <bottom/>
      <diagonal/>
    </border>
    <border>
      <left style="medium">
        <color indexed="64"/>
      </left>
      <right style="medium">
        <color indexed="64"/>
      </right>
      <top/>
      <bottom/>
      <diagonal/>
    </border>
    <border>
      <left style="medium">
        <color indexed="64"/>
      </left>
      <right style="medium">
        <color theme="1"/>
      </right>
      <top/>
      <bottom/>
      <diagonal/>
    </border>
    <border>
      <left/>
      <right style="thick">
        <color theme="1"/>
      </right>
      <top/>
      <bottom/>
      <diagonal/>
    </border>
    <border>
      <left style="thick">
        <color theme="1"/>
      </left>
      <right style="thin">
        <color indexed="64"/>
      </right>
      <top style="thin">
        <color indexed="64"/>
      </top>
      <bottom style="thick">
        <color theme="1"/>
      </bottom>
      <diagonal/>
    </border>
    <border>
      <left style="medium">
        <color indexed="64"/>
      </left>
      <right style="medium">
        <color indexed="64"/>
      </right>
      <top style="thin">
        <color indexed="64"/>
      </top>
      <bottom style="thick">
        <color theme="1"/>
      </bottom>
      <diagonal/>
    </border>
    <border>
      <left/>
      <right/>
      <top style="thin">
        <color indexed="64"/>
      </top>
      <bottom style="thick">
        <color theme="1"/>
      </bottom>
      <diagonal/>
    </border>
    <border>
      <left style="medium">
        <color indexed="64"/>
      </left>
      <right style="medium">
        <color theme="1"/>
      </right>
      <top style="thin">
        <color indexed="64"/>
      </top>
      <bottom style="thick">
        <color theme="1"/>
      </bottom>
      <diagonal/>
    </border>
    <border>
      <left/>
      <right style="thick">
        <color theme="1"/>
      </right>
      <top style="thin">
        <color indexed="64"/>
      </top>
      <bottom style="thick">
        <color theme="1"/>
      </bottom>
      <diagonal/>
    </border>
    <border>
      <left style="medium">
        <color indexed="64"/>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right style="dashed">
        <color indexed="64"/>
      </right>
      <top style="dashed">
        <color indexed="64"/>
      </top>
      <bottom style="dashed">
        <color indexed="64"/>
      </bottom>
      <diagonal/>
    </border>
    <border>
      <left style="medium">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medium">
        <color indexed="64"/>
      </right>
      <top style="dashed">
        <color indexed="64"/>
      </top>
      <bottom style="medium">
        <color indexed="64"/>
      </bottom>
      <diagonal/>
    </border>
  </borders>
  <cellStyleXfs count="11">
    <xf numFmtId="0" fontId="0" fillId="0" borderId="0"/>
    <xf numFmtId="0" fontId="9" fillId="0" borderId="0"/>
    <xf numFmtId="166" fontId="1" fillId="0" borderId="0" applyFont="0" applyFill="0" applyBorder="0" applyAlignment="0" applyProtection="0"/>
    <xf numFmtId="0" fontId="1" fillId="0" borderId="0"/>
    <xf numFmtId="0" fontId="48" fillId="0" borderId="0"/>
    <xf numFmtId="0" fontId="48" fillId="0" borderId="0"/>
    <xf numFmtId="0" fontId="1" fillId="0" borderId="0"/>
    <xf numFmtId="0" fontId="1" fillId="4" borderId="0" applyNumberFormat="0" applyBorder="0" applyAlignment="0" applyProtection="0"/>
    <xf numFmtId="0" fontId="3" fillId="3" borderId="0" applyNumberFormat="0" applyBorder="0" applyAlignment="0" applyProtection="0"/>
    <xf numFmtId="0" fontId="2" fillId="2" borderId="0" applyNumberFormat="0" applyBorder="0" applyAlignment="0" applyProtection="0"/>
    <xf numFmtId="0" fontId="48" fillId="0" borderId="0"/>
  </cellStyleXfs>
  <cellXfs count="707">
    <xf numFmtId="0" fontId="0" fillId="0" borderId="0" xfId="0"/>
    <xf numFmtId="3" fontId="6" fillId="0" borderId="0" xfId="0" applyNumberFormat="1" applyFont="1" applyAlignment="1" applyProtection="1">
      <alignment horizontal="center" vertical="center"/>
      <protection locked="0"/>
    </xf>
    <xf numFmtId="3" fontId="6" fillId="0" borderId="0" xfId="0" applyNumberFormat="1" applyFont="1" applyAlignment="1" applyProtection="1">
      <alignment vertical="center"/>
      <protection locked="0"/>
    </xf>
    <xf numFmtId="3" fontId="7" fillId="0" borderId="0" xfId="0" applyNumberFormat="1" applyFont="1" applyAlignment="1" applyProtection="1">
      <alignment horizontal="center" vertical="center"/>
      <protection locked="0"/>
    </xf>
    <xf numFmtId="3" fontId="5" fillId="0" borderId="0" xfId="0" applyNumberFormat="1" applyFont="1" applyAlignment="1" applyProtection="1">
      <alignment horizontal="center"/>
      <protection locked="0"/>
    </xf>
    <xf numFmtId="3" fontId="0" fillId="0" borderId="0" xfId="0" applyNumberFormat="1" applyProtection="1">
      <protection locked="0"/>
    </xf>
    <xf numFmtId="3" fontId="8" fillId="0" borderId="0" xfId="0" applyNumberFormat="1" applyFont="1" applyAlignment="1" applyProtection="1">
      <alignment horizontal="centerContinuous"/>
      <protection locked="0"/>
    </xf>
    <xf numFmtId="3" fontId="10" fillId="0" borderId="0" xfId="1" applyNumberFormat="1" applyFont="1" applyAlignment="1">
      <alignment horizontal="centerContinuous" vertical="center" wrapText="1" readingOrder="2"/>
    </xf>
    <xf numFmtId="3" fontId="11" fillId="0" borderId="0" xfId="0" applyNumberFormat="1" applyFont="1" applyProtection="1">
      <protection locked="0"/>
    </xf>
    <xf numFmtId="3" fontId="12" fillId="0" borderId="1" xfId="0" applyNumberFormat="1" applyFont="1" applyBorder="1" applyAlignment="1" applyProtection="1">
      <alignment horizontal="center"/>
      <protection locked="0"/>
    </xf>
    <xf numFmtId="3" fontId="5" fillId="0" borderId="0" xfId="0" applyNumberFormat="1" applyFont="1" applyProtection="1">
      <protection locked="0"/>
    </xf>
    <xf numFmtId="3" fontId="13" fillId="5" borderId="2" xfId="1" applyNumberFormat="1" applyFont="1" applyFill="1" applyBorder="1" applyAlignment="1" applyProtection="1">
      <alignment horizontal="center" vertical="center"/>
      <protection locked="0"/>
    </xf>
    <xf numFmtId="3" fontId="13" fillId="5" borderId="3" xfId="1" applyNumberFormat="1" applyFont="1" applyFill="1" applyBorder="1" applyAlignment="1">
      <alignment horizontal="center" vertical="center" wrapText="1" readingOrder="2"/>
    </xf>
    <xf numFmtId="3" fontId="13" fillId="5" borderId="4" xfId="1" applyNumberFormat="1" applyFont="1" applyFill="1" applyBorder="1" applyAlignment="1" applyProtection="1">
      <alignment horizontal="center" vertical="center" wrapText="1" readingOrder="2"/>
      <protection locked="0"/>
    </xf>
    <xf numFmtId="3" fontId="13" fillId="5" borderId="5" xfId="1" applyNumberFormat="1" applyFont="1" applyFill="1" applyBorder="1" applyAlignment="1" applyProtection="1">
      <alignment horizontal="centerContinuous" vertical="center" wrapText="1" readingOrder="2"/>
      <protection locked="0"/>
    </xf>
    <xf numFmtId="3" fontId="13" fillId="5" borderId="6" xfId="1" applyNumberFormat="1" applyFont="1" applyFill="1" applyBorder="1" applyAlignment="1" applyProtection="1">
      <alignment horizontal="centerContinuous" vertical="center" wrapText="1" readingOrder="2"/>
      <protection locked="0"/>
    </xf>
    <xf numFmtId="3" fontId="13" fillId="5" borderId="7" xfId="1" applyNumberFormat="1" applyFont="1" applyFill="1" applyBorder="1" applyAlignment="1" applyProtection="1">
      <alignment horizontal="centerContinuous" vertical="center" wrapText="1" readingOrder="2"/>
      <protection locked="0"/>
    </xf>
    <xf numFmtId="3" fontId="14" fillId="0" borderId="0" xfId="1" applyNumberFormat="1" applyFont="1" applyProtection="1">
      <protection locked="0"/>
    </xf>
    <xf numFmtId="3" fontId="13" fillId="5" borderId="8" xfId="1" applyNumberFormat="1" applyFont="1" applyFill="1" applyBorder="1" applyAlignment="1" applyProtection="1">
      <alignment horizontal="center" vertical="center"/>
      <protection locked="0"/>
    </xf>
    <xf numFmtId="3" fontId="13" fillId="5" borderId="9" xfId="1" applyNumberFormat="1" applyFont="1" applyFill="1" applyBorder="1" applyAlignment="1">
      <alignment horizontal="center" vertical="center" wrapText="1" readingOrder="2"/>
    </xf>
    <xf numFmtId="3" fontId="13" fillId="5" borderId="10" xfId="1" applyNumberFormat="1" applyFont="1" applyFill="1" applyBorder="1" applyAlignment="1" applyProtection="1">
      <alignment horizontal="center" vertical="center" wrapText="1" readingOrder="2"/>
      <protection locked="0"/>
    </xf>
    <xf numFmtId="3" fontId="15" fillId="5" borderId="8" xfId="1" applyNumberFormat="1" applyFont="1" applyFill="1" applyBorder="1" applyAlignment="1" applyProtection="1">
      <alignment horizontal="center" vertical="center" wrapText="1" readingOrder="2"/>
      <protection locked="0"/>
    </xf>
    <xf numFmtId="3" fontId="15" fillId="5" borderId="10" xfId="1" applyNumberFormat="1" applyFont="1" applyFill="1" applyBorder="1" applyAlignment="1" applyProtection="1">
      <alignment horizontal="center" vertical="center" wrapText="1" readingOrder="2"/>
      <protection locked="0"/>
    </xf>
    <xf numFmtId="3" fontId="15" fillId="5" borderId="9" xfId="1" applyNumberFormat="1" applyFont="1" applyFill="1" applyBorder="1" applyAlignment="1" applyProtection="1">
      <alignment horizontal="center" vertical="center" wrapText="1" readingOrder="2"/>
      <protection locked="0"/>
    </xf>
    <xf numFmtId="3" fontId="15" fillId="5" borderId="11" xfId="1" applyNumberFormat="1" applyFont="1" applyFill="1" applyBorder="1" applyAlignment="1" applyProtection="1">
      <alignment horizontal="center" vertical="center" wrapText="1" readingOrder="2"/>
      <protection locked="0"/>
    </xf>
    <xf numFmtId="3" fontId="13" fillId="6" borderId="12" xfId="1" applyNumberFormat="1" applyFont="1" applyFill="1" applyBorder="1" applyAlignment="1">
      <alignment horizontal="center" vertical="center" textRotation="180"/>
    </xf>
    <xf numFmtId="3" fontId="15" fillId="6" borderId="13" xfId="1" applyNumberFormat="1" applyFont="1" applyFill="1" applyBorder="1" applyAlignment="1" applyProtection="1">
      <alignment horizontal="center" vertical="center" wrapText="1" readingOrder="2"/>
      <protection hidden="1"/>
    </xf>
    <xf numFmtId="3" fontId="16" fillId="6" borderId="14" xfId="1" applyNumberFormat="1" applyFont="1" applyFill="1" applyBorder="1" applyAlignment="1" applyProtection="1">
      <alignment horizontal="center" vertical="center" wrapText="1" readingOrder="2"/>
      <protection hidden="1"/>
    </xf>
    <xf numFmtId="3" fontId="16" fillId="7" borderId="15" xfId="1" applyNumberFormat="1" applyFont="1" applyFill="1" applyBorder="1" applyAlignment="1">
      <alignment horizontal="center" vertical="center" wrapText="1" readingOrder="2"/>
    </xf>
    <xf numFmtId="3" fontId="15" fillId="8" borderId="16" xfId="1" applyNumberFormat="1" applyFont="1" applyFill="1" applyBorder="1" applyAlignment="1" applyProtection="1">
      <alignment horizontal="center" vertical="center" wrapText="1" readingOrder="2"/>
      <protection locked="0" hidden="1"/>
    </xf>
    <xf numFmtId="3" fontId="16" fillId="7" borderId="17" xfId="1" applyNumberFormat="1" applyFont="1" applyFill="1" applyBorder="1" applyAlignment="1">
      <alignment horizontal="center" vertical="center" wrapText="1" readingOrder="2"/>
    </xf>
    <xf numFmtId="3" fontId="15" fillId="6" borderId="18" xfId="1" applyNumberFormat="1" applyFont="1" applyFill="1" applyBorder="1" applyAlignment="1" applyProtection="1">
      <alignment horizontal="center" vertical="center" wrapText="1" readingOrder="2"/>
      <protection locked="0" hidden="1"/>
    </xf>
    <xf numFmtId="3" fontId="15" fillId="0" borderId="19" xfId="1" applyNumberFormat="1" applyFont="1" applyBorder="1" applyAlignment="1" applyProtection="1">
      <alignment horizontal="center" vertical="center" wrapText="1" readingOrder="2"/>
      <protection locked="0" hidden="1"/>
    </xf>
    <xf numFmtId="3" fontId="15" fillId="6" borderId="20" xfId="1" applyNumberFormat="1" applyFont="1" applyFill="1" applyBorder="1" applyAlignment="1" applyProtection="1">
      <alignment horizontal="center" vertical="center" wrapText="1" readingOrder="2"/>
      <protection locked="0"/>
    </xf>
    <xf numFmtId="3" fontId="15" fillId="6" borderId="18" xfId="1" applyNumberFormat="1" applyFont="1" applyFill="1" applyBorder="1" applyAlignment="1" applyProtection="1">
      <alignment horizontal="center" vertical="center" wrapText="1" readingOrder="2"/>
      <protection locked="0"/>
    </xf>
    <xf numFmtId="3" fontId="15" fillId="6" borderId="16" xfId="1" applyNumberFormat="1" applyFont="1" applyFill="1" applyBorder="1" applyAlignment="1" applyProtection="1">
      <alignment horizontal="center" vertical="center" wrapText="1" readingOrder="2"/>
      <protection locked="0"/>
    </xf>
    <xf numFmtId="3" fontId="15" fillId="6" borderId="21" xfId="1" applyNumberFormat="1" applyFont="1" applyFill="1" applyBorder="1" applyAlignment="1" applyProtection="1">
      <alignment horizontal="center" vertical="center" wrapText="1" readingOrder="2"/>
      <protection locked="0"/>
    </xf>
    <xf numFmtId="3" fontId="15" fillId="6" borderId="4" xfId="1" applyNumberFormat="1" applyFont="1" applyFill="1" applyBorder="1" applyAlignment="1" applyProtection="1">
      <alignment horizontal="center" vertical="center" wrapText="1" readingOrder="2"/>
      <protection locked="0"/>
    </xf>
    <xf numFmtId="3" fontId="17" fillId="8" borderId="0" xfId="1" applyNumberFormat="1" applyFont="1" applyFill="1" applyProtection="1">
      <protection locked="0"/>
    </xf>
    <xf numFmtId="3" fontId="15" fillId="7" borderId="2" xfId="1" applyNumberFormat="1" applyFont="1" applyFill="1" applyBorder="1" applyAlignment="1" applyProtection="1">
      <alignment horizontal="center" vertical="center" wrapText="1" readingOrder="2"/>
      <protection locked="0" hidden="1"/>
    </xf>
    <xf numFmtId="3" fontId="15" fillId="8" borderId="22" xfId="1" applyNumberFormat="1" applyFont="1" applyFill="1" applyBorder="1" applyAlignment="1" applyProtection="1">
      <alignment horizontal="center" vertical="center" wrapText="1" readingOrder="2"/>
      <protection locked="0" hidden="1"/>
    </xf>
    <xf numFmtId="3" fontId="15" fillId="8" borderId="22" xfId="1" applyNumberFormat="1" applyFont="1" applyFill="1" applyBorder="1" applyAlignment="1" applyProtection="1">
      <alignment horizontal="center" vertical="center" wrapText="1" readingOrder="2"/>
      <protection locked="0"/>
    </xf>
    <xf numFmtId="3" fontId="15" fillId="6" borderId="13" xfId="1" applyNumberFormat="1" applyFont="1" applyFill="1" applyBorder="1" applyAlignment="1" applyProtection="1">
      <alignment horizontal="center" vertical="center" wrapText="1" readingOrder="2"/>
      <protection locked="0" hidden="1"/>
    </xf>
    <xf numFmtId="3" fontId="18" fillId="6" borderId="18" xfId="1" applyNumberFormat="1" applyFont="1" applyFill="1" applyBorder="1" applyAlignment="1" applyProtection="1">
      <alignment horizontal="center" vertical="center" wrapText="1" readingOrder="2"/>
      <protection locked="0"/>
    </xf>
    <xf numFmtId="3" fontId="18" fillId="6" borderId="16" xfId="1" applyNumberFormat="1" applyFont="1" applyFill="1" applyBorder="1" applyAlignment="1" applyProtection="1">
      <alignment horizontal="center" vertical="center" wrapText="1" readingOrder="2"/>
      <protection locked="0"/>
    </xf>
    <xf numFmtId="3" fontId="17" fillId="0" borderId="0" xfId="1" applyNumberFormat="1" applyFont="1" applyProtection="1">
      <protection locked="0"/>
    </xf>
    <xf numFmtId="3" fontId="19" fillId="6" borderId="18" xfId="1" applyNumberFormat="1" applyFont="1" applyFill="1" applyBorder="1" applyAlignment="1" applyProtection="1">
      <alignment horizontal="center" vertical="center" wrapText="1" readingOrder="2"/>
      <protection locked="0"/>
    </xf>
    <xf numFmtId="3" fontId="19" fillId="6" borderId="23" xfId="1" applyNumberFormat="1" applyFont="1" applyFill="1" applyBorder="1" applyAlignment="1" applyProtection="1">
      <alignment horizontal="center" vertical="center" wrapText="1" readingOrder="2"/>
      <protection hidden="1"/>
    </xf>
    <xf numFmtId="3" fontId="20" fillId="6" borderId="24" xfId="1" applyNumberFormat="1" applyFont="1" applyFill="1" applyBorder="1" applyAlignment="1" applyProtection="1">
      <alignment horizontal="center" vertical="center" wrapText="1" readingOrder="2"/>
      <protection hidden="1"/>
    </xf>
    <xf numFmtId="3" fontId="19" fillId="0" borderId="25" xfId="1" applyNumberFormat="1" applyFont="1" applyBorder="1" applyAlignment="1" applyProtection="1">
      <alignment horizontal="center" vertical="center" wrapText="1" readingOrder="2"/>
      <protection locked="0" hidden="1"/>
    </xf>
    <xf numFmtId="3" fontId="15" fillId="8" borderId="20" xfId="1" applyNumberFormat="1" applyFont="1" applyFill="1" applyBorder="1" applyAlignment="1" applyProtection="1">
      <alignment horizontal="center" vertical="center" wrapText="1" readingOrder="2"/>
      <protection locked="0" hidden="1"/>
    </xf>
    <xf numFmtId="3" fontId="19" fillId="0" borderId="26" xfId="1" applyNumberFormat="1" applyFont="1" applyBorder="1" applyAlignment="1" applyProtection="1">
      <alignment horizontal="center" vertical="center" wrapText="1" readingOrder="2"/>
      <protection locked="0" hidden="1"/>
    </xf>
    <xf numFmtId="3" fontId="15" fillId="6" borderId="27" xfId="1" applyNumberFormat="1" applyFont="1" applyFill="1" applyBorder="1" applyAlignment="1" applyProtection="1">
      <alignment horizontal="center" vertical="center" wrapText="1" readingOrder="2"/>
      <protection locked="0" hidden="1"/>
    </xf>
    <xf numFmtId="3" fontId="15" fillId="6" borderId="27" xfId="1" applyNumberFormat="1" applyFont="1" applyFill="1" applyBorder="1" applyAlignment="1" applyProtection="1">
      <alignment horizontal="center" vertical="center" wrapText="1" readingOrder="2"/>
      <protection locked="0"/>
    </xf>
    <xf numFmtId="3" fontId="15" fillId="6" borderId="24" xfId="1" applyNumberFormat="1" applyFont="1" applyFill="1" applyBorder="1" applyAlignment="1" applyProtection="1">
      <alignment horizontal="center" vertical="center" wrapText="1" readingOrder="2"/>
      <protection locked="0"/>
    </xf>
    <xf numFmtId="3" fontId="21" fillId="0" borderId="22" xfId="0" applyNumberFormat="1" applyFont="1" applyBorder="1" applyAlignment="1" applyProtection="1">
      <alignment horizontal="center" vertical="center" wrapText="1" readingOrder="2"/>
      <protection locked="0" hidden="1"/>
    </xf>
    <xf numFmtId="3" fontId="19" fillId="0" borderId="26" xfId="1" applyNumberFormat="1" applyFont="1" applyBorder="1" applyAlignment="1" applyProtection="1">
      <alignment horizontal="center" vertical="center" wrapText="1" readingOrder="2"/>
      <protection hidden="1"/>
    </xf>
    <xf numFmtId="3" fontId="18" fillId="6" borderId="20" xfId="1" applyNumberFormat="1" applyFont="1" applyFill="1" applyBorder="1" applyAlignment="1" applyProtection="1">
      <alignment horizontal="center" vertical="center" wrapText="1" readingOrder="2"/>
      <protection locked="0"/>
    </xf>
    <xf numFmtId="3" fontId="18" fillId="6" borderId="27" xfId="1" applyNumberFormat="1" applyFont="1" applyFill="1" applyBorder="1" applyAlignment="1" applyProtection="1">
      <alignment horizontal="center" vertical="center" wrapText="1" readingOrder="2"/>
      <protection locked="0"/>
    </xf>
    <xf numFmtId="3" fontId="20" fillId="6" borderId="27" xfId="1" applyNumberFormat="1" applyFont="1" applyFill="1" applyBorder="1" applyAlignment="1" applyProtection="1">
      <alignment horizontal="center" vertical="center" wrapText="1" readingOrder="2"/>
      <protection hidden="1"/>
    </xf>
    <xf numFmtId="3" fontId="15" fillId="7" borderId="28" xfId="1" applyNumberFormat="1" applyFont="1" applyFill="1" applyBorder="1" applyAlignment="1" applyProtection="1">
      <alignment horizontal="center" vertical="center" wrapText="1" readingOrder="2"/>
      <protection locked="0" hidden="1"/>
    </xf>
    <xf numFmtId="3" fontId="15" fillId="8" borderId="14" xfId="1" applyNumberFormat="1" applyFont="1" applyFill="1" applyBorder="1" applyAlignment="1" applyProtection="1">
      <alignment horizontal="center" vertical="center" wrapText="1" readingOrder="2"/>
      <protection locked="0" hidden="1"/>
    </xf>
    <xf numFmtId="3" fontId="15" fillId="0" borderId="13" xfId="1" applyNumberFormat="1" applyFont="1" applyBorder="1" applyAlignment="1" applyProtection="1">
      <alignment horizontal="center" vertical="center" wrapText="1" readingOrder="2"/>
      <protection locked="0" hidden="1"/>
    </xf>
    <xf numFmtId="3" fontId="15" fillId="6" borderId="14" xfId="1" applyNumberFormat="1" applyFont="1" applyFill="1" applyBorder="1" applyAlignment="1" applyProtection="1">
      <alignment horizontal="center" vertical="center" wrapText="1" readingOrder="2"/>
      <protection locked="0"/>
    </xf>
    <xf numFmtId="3" fontId="15" fillId="6" borderId="28" xfId="1" applyNumberFormat="1" applyFont="1" applyFill="1" applyBorder="1" applyAlignment="1" applyProtection="1">
      <alignment horizontal="center" vertical="center" wrapText="1" readingOrder="2"/>
      <protection locked="0"/>
    </xf>
    <xf numFmtId="3" fontId="21" fillId="0" borderId="29" xfId="0" applyNumberFormat="1" applyFont="1" applyBorder="1" applyAlignment="1" applyProtection="1">
      <alignment horizontal="center" vertical="center" wrapText="1" readingOrder="2"/>
      <protection locked="0" hidden="1"/>
    </xf>
    <xf numFmtId="3" fontId="15" fillId="8" borderId="29" xfId="1" applyNumberFormat="1" applyFont="1" applyFill="1" applyBorder="1" applyAlignment="1" applyProtection="1">
      <alignment horizontal="center" vertical="center" wrapText="1" readingOrder="2"/>
      <protection locked="0"/>
    </xf>
    <xf numFmtId="3" fontId="18" fillId="6" borderId="28" xfId="1" applyNumberFormat="1" applyFont="1" applyFill="1" applyBorder="1" applyAlignment="1" applyProtection="1">
      <alignment horizontal="center" vertical="center" wrapText="1" readingOrder="2"/>
      <protection locked="0"/>
    </xf>
    <xf numFmtId="3" fontId="18" fillId="6" borderId="14" xfId="1" applyNumberFormat="1" applyFont="1" applyFill="1" applyBorder="1" applyAlignment="1" applyProtection="1">
      <alignment horizontal="center" vertical="center" wrapText="1" readingOrder="2"/>
      <protection locked="0"/>
    </xf>
    <xf numFmtId="3" fontId="15" fillId="6" borderId="23" xfId="1" applyNumberFormat="1" applyFont="1" applyFill="1" applyBorder="1" applyAlignment="1" applyProtection="1">
      <alignment horizontal="center" vertical="center" wrapText="1" readingOrder="2"/>
      <protection hidden="1"/>
    </xf>
    <xf numFmtId="3" fontId="16" fillId="6" borderId="24" xfId="1" applyNumberFormat="1" applyFont="1" applyFill="1" applyBorder="1" applyAlignment="1" applyProtection="1">
      <alignment horizontal="center" vertical="center" wrapText="1" readingOrder="2"/>
      <protection hidden="1"/>
    </xf>
    <xf numFmtId="3" fontId="15" fillId="7" borderId="26" xfId="1" applyNumberFormat="1" applyFont="1" applyFill="1" applyBorder="1" applyAlignment="1" applyProtection="1">
      <alignment horizontal="center" vertical="center" wrapText="1" readingOrder="2"/>
      <protection locked="0" hidden="1"/>
    </xf>
    <xf numFmtId="3" fontId="15" fillId="8" borderId="30" xfId="1" applyNumberFormat="1" applyFont="1" applyFill="1" applyBorder="1" applyAlignment="1" applyProtection="1">
      <alignment horizontal="center" vertical="center" wrapText="1" readingOrder="2"/>
      <protection locked="0" hidden="1"/>
    </xf>
    <xf numFmtId="3" fontId="15" fillId="0" borderId="31" xfId="1" applyNumberFormat="1" applyFont="1" applyBorder="1" applyAlignment="1" applyProtection="1">
      <alignment horizontal="center" vertical="center" wrapText="1" readingOrder="2"/>
      <protection locked="0" hidden="1"/>
    </xf>
    <xf numFmtId="3" fontId="15" fillId="6" borderId="24" xfId="1" applyNumberFormat="1" applyFont="1" applyFill="1" applyBorder="1" applyAlignment="1" applyProtection="1">
      <alignment horizontal="center" vertical="center" wrapText="1" readingOrder="2"/>
      <protection locked="0"/>
    </xf>
    <xf numFmtId="3" fontId="15" fillId="6" borderId="26" xfId="1" applyNumberFormat="1" applyFont="1" applyFill="1" applyBorder="1" applyAlignment="1" applyProtection="1">
      <alignment horizontal="center" vertical="center" wrapText="1" readingOrder="2"/>
      <protection locked="0"/>
    </xf>
    <xf numFmtId="3" fontId="15" fillId="6" borderId="25" xfId="1" applyNumberFormat="1" applyFont="1" applyFill="1" applyBorder="1" applyAlignment="1" applyProtection="1">
      <alignment horizontal="center" vertical="center" wrapText="1" readingOrder="2"/>
      <protection locked="0"/>
    </xf>
    <xf numFmtId="3" fontId="15" fillId="8" borderId="32" xfId="1" applyNumberFormat="1" applyFont="1" applyFill="1" applyBorder="1" applyAlignment="1" applyProtection="1">
      <alignment horizontal="center" vertical="center" wrapText="1" readingOrder="2"/>
      <protection locked="0" hidden="1"/>
    </xf>
    <xf numFmtId="3" fontId="15" fillId="8" borderId="32" xfId="1" applyNumberFormat="1" applyFont="1" applyFill="1" applyBorder="1" applyAlignment="1" applyProtection="1">
      <alignment horizontal="center" vertical="center" wrapText="1" readingOrder="2"/>
      <protection locked="0"/>
    </xf>
    <xf numFmtId="3" fontId="18" fillId="6" borderId="26" xfId="1" applyNumberFormat="1" applyFont="1" applyFill="1" applyBorder="1" applyAlignment="1" applyProtection="1">
      <alignment horizontal="center" vertical="center" wrapText="1" readingOrder="2"/>
      <protection locked="0"/>
    </xf>
    <xf numFmtId="3" fontId="18" fillId="6" borderId="24" xfId="1" applyNumberFormat="1" applyFont="1" applyFill="1" applyBorder="1" applyAlignment="1" applyProtection="1">
      <alignment horizontal="center" vertical="center" wrapText="1" readingOrder="2"/>
      <protection locked="0"/>
    </xf>
    <xf numFmtId="3" fontId="19" fillId="6" borderId="26" xfId="1" applyNumberFormat="1" applyFont="1" applyFill="1" applyBorder="1" applyAlignment="1" applyProtection="1">
      <alignment horizontal="center" vertical="center" wrapText="1" readingOrder="2"/>
      <protection locked="0"/>
    </xf>
    <xf numFmtId="3" fontId="16" fillId="7" borderId="26" xfId="1" applyNumberFormat="1" applyFont="1" applyFill="1" applyBorder="1" applyAlignment="1">
      <alignment horizontal="center" vertical="center" wrapText="1" readingOrder="2"/>
    </xf>
    <xf numFmtId="3" fontId="15" fillId="8" borderId="24" xfId="1" applyNumberFormat="1" applyFont="1" applyFill="1" applyBorder="1" applyAlignment="1" applyProtection="1">
      <alignment horizontal="center" vertical="center" wrapText="1" readingOrder="2"/>
      <protection locked="0" hidden="1"/>
    </xf>
    <xf numFmtId="3" fontId="15" fillId="6" borderId="31" xfId="1" applyNumberFormat="1" applyFont="1" applyFill="1" applyBorder="1" applyAlignment="1" applyProtection="1">
      <alignment horizontal="center" vertical="center" wrapText="1" readingOrder="2"/>
      <protection locked="0"/>
    </xf>
    <xf numFmtId="3" fontId="15" fillId="6" borderId="23" xfId="1" applyNumberFormat="1" applyFont="1" applyFill="1" applyBorder="1" applyAlignment="1" applyProtection="1">
      <alignment horizontal="center" vertical="center" wrapText="1" readingOrder="2"/>
      <protection locked="0" hidden="1"/>
    </xf>
    <xf numFmtId="3" fontId="16" fillId="7" borderId="33" xfId="1" applyNumberFormat="1" applyFont="1" applyFill="1" applyBorder="1" applyAlignment="1">
      <alignment horizontal="center" vertical="center" wrapText="1" readingOrder="2"/>
    </xf>
    <xf numFmtId="3" fontId="15" fillId="8" borderId="14" xfId="1" applyNumberFormat="1" applyFont="1" applyFill="1" applyBorder="1" applyAlignment="1" applyProtection="1">
      <alignment horizontal="center" vertical="center" wrapText="1" readingOrder="2"/>
      <protection locked="0" hidden="1"/>
    </xf>
    <xf numFmtId="3" fontId="15" fillId="9" borderId="27" xfId="1" applyNumberFormat="1" applyFont="1" applyFill="1" applyBorder="1" applyAlignment="1" applyProtection="1">
      <alignment horizontal="center" vertical="center" wrapText="1" readingOrder="2"/>
      <protection locked="0" hidden="1"/>
    </xf>
    <xf numFmtId="3" fontId="15" fillId="9" borderId="26" xfId="1" applyNumberFormat="1" applyFont="1" applyFill="1" applyBorder="1" applyAlignment="1" applyProtection="1">
      <alignment horizontal="center" vertical="center" wrapText="1" readingOrder="2"/>
      <protection locked="0" hidden="1"/>
    </xf>
    <xf numFmtId="3" fontId="22" fillId="9" borderId="27" xfId="1" applyNumberFormat="1" applyFont="1" applyFill="1" applyBorder="1" applyAlignment="1" applyProtection="1">
      <alignment horizontal="center" vertical="center" wrapText="1" readingOrder="2"/>
      <protection locked="0" hidden="1"/>
    </xf>
    <xf numFmtId="3" fontId="15" fillId="9" borderId="27" xfId="1" applyNumberFormat="1" applyFont="1" applyFill="1" applyBorder="1" applyAlignment="1" applyProtection="1">
      <alignment horizontal="center" vertical="center" wrapText="1" readingOrder="2"/>
      <protection locked="0"/>
    </xf>
    <xf numFmtId="3" fontId="15" fillId="9" borderId="26" xfId="1" applyNumberFormat="1" applyFont="1" applyFill="1" applyBorder="1" applyAlignment="1" applyProtection="1">
      <alignment horizontal="center" vertical="center" wrapText="1" readingOrder="2"/>
      <protection hidden="1"/>
    </xf>
    <xf numFmtId="3" fontId="22" fillId="9" borderId="26" xfId="1" applyNumberFormat="1" applyFont="1" applyFill="1" applyBorder="1" applyAlignment="1" applyProtection="1">
      <alignment horizontal="center" vertical="center" wrapText="1" readingOrder="2"/>
      <protection locked="0" hidden="1"/>
    </xf>
    <xf numFmtId="3" fontId="13" fillId="6" borderId="34" xfId="1" applyNumberFormat="1" applyFont="1" applyFill="1" applyBorder="1" applyAlignment="1">
      <alignment horizontal="center" vertical="center" textRotation="180"/>
    </xf>
    <xf numFmtId="3" fontId="15" fillId="6" borderId="9" xfId="1" applyNumberFormat="1" applyFont="1" applyFill="1" applyBorder="1" applyAlignment="1" applyProtection="1">
      <alignment horizontal="center" vertical="center" wrapText="1" readingOrder="2"/>
      <protection hidden="1"/>
    </xf>
    <xf numFmtId="3" fontId="16" fillId="6" borderId="10" xfId="1" applyNumberFormat="1" applyFont="1" applyFill="1" applyBorder="1" applyAlignment="1" applyProtection="1">
      <alignment horizontal="center" vertical="center" wrapText="1" readingOrder="2"/>
      <protection hidden="1"/>
    </xf>
    <xf numFmtId="3" fontId="15" fillId="9" borderId="35" xfId="1" applyNumberFormat="1" applyFont="1" applyFill="1" applyBorder="1" applyAlignment="1" applyProtection="1">
      <alignment horizontal="center" vertical="center" wrapText="1" readingOrder="2"/>
      <protection locked="0" hidden="1"/>
    </xf>
    <xf numFmtId="3" fontId="15" fillId="8" borderId="10" xfId="1" applyNumberFormat="1" applyFont="1" applyFill="1" applyBorder="1" applyAlignment="1" applyProtection="1">
      <alignment horizontal="center" vertical="center" wrapText="1" readingOrder="2"/>
      <protection locked="0" hidden="1"/>
    </xf>
    <xf numFmtId="3" fontId="15" fillId="9" borderId="8" xfId="1" applyNumberFormat="1" applyFont="1" applyFill="1" applyBorder="1" applyAlignment="1" applyProtection="1">
      <alignment horizontal="center" vertical="center" wrapText="1" readingOrder="2"/>
      <protection locked="0" hidden="1"/>
    </xf>
    <xf numFmtId="3" fontId="22" fillId="9" borderId="35" xfId="1" applyNumberFormat="1" applyFont="1" applyFill="1" applyBorder="1" applyAlignment="1" applyProtection="1">
      <alignment horizontal="center" vertical="center" wrapText="1" readingOrder="2"/>
      <protection locked="0" hidden="1"/>
    </xf>
    <xf numFmtId="3" fontId="15" fillId="0" borderId="36" xfId="1" applyNumberFormat="1" applyFont="1" applyBorder="1" applyAlignment="1" applyProtection="1">
      <alignment horizontal="center" vertical="center" wrapText="1" readingOrder="2"/>
      <protection locked="0" hidden="1"/>
    </xf>
    <xf numFmtId="3" fontId="15" fillId="6" borderId="10" xfId="1" applyNumberFormat="1" applyFont="1" applyFill="1" applyBorder="1" applyAlignment="1" applyProtection="1">
      <alignment horizontal="center" vertical="center" wrapText="1" readingOrder="2"/>
      <protection locked="0"/>
    </xf>
    <xf numFmtId="3" fontId="15" fillId="8" borderId="11" xfId="1" applyNumberFormat="1" applyFont="1" applyFill="1" applyBorder="1" applyAlignment="1" applyProtection="1">
      <alignment horizontal="center" vertical="center" wrapText="1" readingOrder="2"/>
      <protection locked="0" hidden="1"/>
    </xf>
    <xf numFmtId="3" fontId="15" fillId="9" borderId="8" xfId="1" applyNumberFormat="1" applyFont="1" applyFill="1" applyBorder="1" applyAlignment="1" applyProtection="1">
      <alignment horizontal="center" vertical="center" wrapText="1" readingOrder="2"/>
      <protection hidden="1"/>
    </xf>
    <xf numFmtId="3" fontId="15" fillId="8" borderId="11" xfId="1" applyNumberFormat="1" applyFont="1" applyFill="1" applyBorder="1" applyAlignment="1" applyProtection="1">
      <alignment horizontal="center" vertical="center" wrapText="1" readingOrder="2"/>
      <protection locked="0"/>
    </xf>
    <xf numFmtId="3" fontId="22" fillId="9" borderId="8" xfId="1" applyNumberFormat="1" applyFont="1" applyFill="1" applyBorder="1" applyAlignment="1" applyProtection="1">
      <alignment horizontal="center" vertical="center" wrapText="1" readingOrder="2"/>
      <protection locked="0" hidden="1"/>
    </xf>
    <xf numFmtId="3" fontId="13" fillId="6" borderId="37" xfId="1" applyNumberFormat="1" applyFont="1" applyFill="1" applyBorder="1" applyAlignment="1">
      <alignment horizontal="center" vertical="center" textRotation="180"/>
    </xf>
    <xf numFmtId="3" fontId="15" fillId="6" borderId="3" xfId="1" applyNumberFormat="1" applyFont="1" applyFill="1" applyBorder="1" applyAlignment="1" applyProtection="1">
      <alignment horizontal="center" vertical="center" wrapText="1" readingOrder="2"/>
      <protection hidden="1"/>
    </xf>
    <xf numFmtId="3" fontId="16" fillId="6" borderId="4" xfId="1" applyNumberFormat="1" applyFont="1" applyFill="1" applyBorder="1" applyAlignment="1" applyProtection="1">
      <alignment horizontal="center" vertical="center" wrapText="1" readingOrder="2"/>
      <protection hidden="1"/>
    </xf>
    <xf numFmtId="3" fontId="15" fillId="6" borderId="38" xfId="1" applyNumberFormat="1" applyFont="1" applyFill="1" applyBorder="1" applyAlignment="1" applyProtection="1">
      <alignment horizontal="center" vertical="center" wrapText="1" readingOrder="2"/>
      <protection locked="0" hidden="1"/>
    </xf>
    <xf numFmtId="3" fontId="15" fillId="0" borderId="39" xfId="1" applyNumberFormat="1" applyFont="1" applyBorder="1" applyAlignment="1" applyProtection="1">
      <alignment horizontal="center" vertical="center" wrapText="1" readingOrder="2"/>
      <protection locked="0" hidden="1"/>
    </xf>
    <xf numFmtId="3" fontId="15" fillId="6" borderId="40" xfId="1" applyNumberFormat="1" applyFont="1" applyFill="1" applyBorder="1" applyAlignment="1" applyProtection="1">
      <alignment horizontal="center" vertical="center" wrapText="1" readingOrder="2"/>
      <protection locked="0"/>
    </xf>
    <xf numFmtId="3" fontId="18" fillId="6" borderId="38" xfId="1" applyNumberFormat="1" applyFont="1" applyFill="1" applyBorder="1" applyAlignment="1" applyProtection="1">
      <alignment horizontal="center" vertical="center" wrapText="1" readingOrder="2"/>
      <protection locked="0"/>
    </xf>
    <xf numFmtId="3" fontId="19" fillId="6" borderId="38" xfId="1" applyNumberFormat="1" applyFont="1" applyFill="1" applyBorder="1" applyAlignment="1" applyProtection="1">
      <alignment horizontal="center" vertical="center" wrapText="1" readingOrder="2"/>
      <protection locked="0"/>
    </xf>
    <xf numFmtId="3" fontId="15" fillId="6" borderId="38" xfId="1" applyNumberFormat="1" applyFont="1" applyFill="1" applyBorder="1" applyAlignment="1" applyProtection="1">
      <alignment horizontal="center" vertical="center" wrapText="1" readingOrder="2"/>
      <protection locked="0"/>
    </xf>
    <xf numFmtId="3" fontId="18" fillId="6" borderId="4" xfId="1" applyNumberFormat="1" applyFont="1" applyFill="1" applyBorder="1" applyAlignment="1" applyProtection="1">
      <alignment horizontal="center" vertical="center" wrapText="1" readingOrder="2"/>
      <protection locked="0"/>
    </xf>
    <xf numFmtId="3" fontId="18" fillId="8" borderId="22" xfId="1" applyNumberFormat="1" applyFont="1" applyFill="1" applyBorder="1" applyAlignment="1" applyProtection="1">
      <alignment horizontal="center" vertical="center" wrapText="1" readingOrder="2"/>
      <protection locked="0"/>
    </xf>
    <xf numFmtId="3" fontId="18" fillId="6" borderId="24" xfId="1" applyNumberFormat="1" applyFont="1" applyFill="1" applyBorder="1" applyAlignment="1" applyProtection="1">
      <alignment horizontal="center" vertical="center" wrapText="1" readingOrder="2"/>
      <protection locked="0"/>
    </xf>
    <xf numFmtId="3" fontId="20" fillId="6" borderId="23" xfId="1" applyNumberFormat="1" applyFont="1" applyFill="1" applyBorder="1" applyAlignment="1" applyProtection="1">
      <alignment horizontal="center" vertical="center" wrapText="1" readingOrder="2"/>
      <protection hidden="1"/>
    </xf>
    <xf numFmtId="3" fontId="15" fillId="6" borderId="23" xfId="1" applyNumberFormat="1" applyFont="1" applyFill="1" applyBorder="1" applyAlignment="1" applyProtection="1">
      <alignment horizontal="center" vertical="center" wrapText="1" readingOrder="2"/>
      <protection locked="0"/>
    </xf>
    <xf numFmtId="3" fontId="18" fillId="8" borderId="29" xfId="1" applyNumberFormat="1" applyFont="1" applyFill="1" applyBorder="1" applyAlignment="1" applyProtection="1">
      <alignment horizontal="center" vertical="center" wrapText="1" readingOrder="2"/>
      <protection locked="0"/>
    </xf>
    <xf numFmtId="3" fontId="15" fillId="10" borderId="26" xfId="1" applyNumberFormat="1" applyFont="1" applyFill="1" applyBorder="1" applyAlignment="1" applyProtection="1">
      <alignment horizontal="center" vertical="center" wrapText="1" readingOrder="2"/>
      <protection locked="0" hidden="1"/>
    </xf>
    <xf numFmtId="3" fontId="15" fillId="11" borderId="26" xfId="1" applyNumberFormat="1" applyFont="1" applyFill="1" applyBorder="1" applyAlignment="1" applyProtection="1">
      <alignment vertical="center"/>
      <protection locked="0" hidden="1"/>
    </xf>
    <xf numFmtId="3" fontId="15" fillId="11" borderId="27" xfId="1" applyNumberFormat="1" applyFont="1" applyFill="1" applyBorder="1" applyAlignment="1" applyProtection="1">
      <alignment vertical="center"/>
      <protection locked="0"/>
    </xf>
    <xf numFmtId="3" fontId="15" fillId="11" borderId="27" xfId="1" applyNumberFormat="1" applyFont="1" applyFill="1" applyBorder="1" applyAlignment="1" applyProtection="1">
      <alignment vertical="center"/>
      <protection locked="0" hidden="1"/>
    </xf>
    <xf numFmtId="3" fontId="22" fillId="9" borderId="41" xfId="1" applyNumberFormat="1" applyFont="1" applyFill="1" applyBorder="1" applyAlignment="1" applyProtection="1">
      <alignment horizontal="center" vertical="center" wrapText="1" readingOrder="2"/>
      <protection locked="0"/>
    </xf>
    <xf numFmtId="3" fontId="15" fillId="11" borderId="26" xfId="1" applyNumberFormat="1" applyFont="1" applyFill="1" applyBorder="1" applyAlignment="1" applyProtection="1">
      <alignment vertical="center"/>
      <protection locked="0"/>
    </xf>
    <xf numFmtId="3" fontId="15" fillId="6" borderId="42" xfId="1" applyNumberFormat="1" applyFont="1" applyFill="1" applyBorder="1" applyAlignment="1" applyProtection="1">
      <alignment horizontal="center" vertical="center" wrapText="1" readingOrder="2"/>
      <protection hidden="1"/>
    </xf>
    <xf numFmtId="3" fontId="16" fillId="6" borderId="30" xfId="1" applyNumberFormat="1" applyFont="1" applyFill="1" applyBorder="1" applyAlignment="1" applyProtection="1">
      <alignment horizontal="center" vertical="center" wrapText="1" readingOrder="2"/>
      <protection hidden="1"/>
    </xf>
    <xf numFmtId="3" fontId="22" fillId="9" borderId="43" xfId="1" applyNumberFormat="1" applyFont="1" applyFill="1" applyBorder="1" applyAlignment="1" applyProtection="1">
      <alignment horizontal="center" vertical="center" wrapText="1" readingOrder="2"/>
      <protection locked="0" hidden="1"/>
    </xf>
    <xf numFmtId="3" fontId="22" fillId="9" borderId="44" xfId="1" applyNumberFormat="1" applyFont="1" applyFill="1" applyBorder="1" applyAlignment="1" applyProtection="1">
      <alignment horizontal="center" vertical="center" wrapText="1" readingOrder="2"/>
      <protection locked="0"/>
    </xf>
    <xf numFmtId="3" fontId="22" fillId="9" borderId="44" xfId="1" applyNumberFormat="1" applyFont="1" applyFill="1" applyBorder="1" applyAlignment="1" applyProtection="1">
      <alignment horizontal="center" vertical="center" wrapText="1" readingOrder="2"/>
      <protection locked="0" hidden="1"/>
    </xf>
    <xf numFmtId="3" fontId="15" fillId="0" borderId="45" xfId="1" applyNumberFormat="1" applyFont="1" applyBorder="1" applyAlignment="1" applyProtection="1">
      <alignment horizontal="center" vertical="center" wrapText="1" readingOrder="2"/>
      <protection locked="0" hidden="1"/>
    </xf>
    <xf numFmtId="3" fontId="22" fillId="9" borderId="46" xfId="1" applyNumberFormat="1" applyFont="1" applyFill="1" applyBorder="1" applyAlignment="1" applyProtection="1">
      <alignment horizontal="center" vertical="center" wrapText="1" readingOrder="2"/>
      <protection locked="0"/>
    </xf>
    <xf numFmtId="3" fontId="22" fillId="9" borderId="12" xfId="1" applyNumberFormat="1" applyFont="1" applyFill="1" applyBorder="1" applyAlignment="1" applyProtection="1">
      <alignment horizontal="center" vertical="center" wrapText="1" readingOrder="2"/>
      <protection locked="0" hidden="1"/>
    </xf>
    <xf numFmtId="3" fontId="22" fillId="9" borderId="47" xfId="1" applyNumberFormat="1" applyFont="1" applyFill="1" applyBorder="1" applyAlignment="1" applyProtection="1">
      <alignment horizontal="center" vertical="center" wrapText="1" readingOrder="2"/>
      <protection locked="0"/>
    </xf>
    <xf numFmtId="3" fontId="15" fillId="8" borderId="48" xfId="1" applyNumberFormat="1" applyFont="1" applyFill="1" applyBorder="1" applyAlignment="1" applyProtection="1">
      <alignment horizontal="center" vertical="center" wrapText="1" readingOrder="2"/>
      <protection locked="0"/>
    </xf>
    <xf numFmtId="3" fontId="22" fillId="9" borderId="47" xfId="1" applyNumberFormat="1" applyFont="1" applyFill="1" applyBorder="1" applyAlignment="1" applyProtection="1">
      <alignment horizontal="center" vertical="center" wrapText="1" readingOrder="2"/>
      <protection locked="0" hidden="1"/>
    </xf>
    <xf numFmtId="3" fontId="18" fillId="6" borderId="30" xfId="1" applyNumberFormat="1" applyFont="1" applyFill="1" applyBorder="1" applyAlignment="1" applyProtection="1">
      <alignment horizontal="center" vertical="center" wrapText="1" readingOrder="2"/>
      <protection locked="0"/>
    </xf>
    <xf numFmtId="3" fontId="15" fillId="6" borderId="30" xfId="1" applyNumberFormat="1" applyFont="1" applyFill="1" applyBorder="1" applyAlignment="1" applyProtection="1">
      <alignment horizontal="center" vertical="center" wrapText="1" readingOrder="2"/>
      <protection locked="0"/>
    </xf>
    <xf numFmtId="3" fontId="13" fillId="6" borderId="2" xfId="1" applyNumberFormat="1" applyFont="1" applyFill="1" applyBorder="1" applyAlignment="1">
      <alignment horizontal="center" vertical="center" textRotation="180"/>
    </xf>
    <xf numFmtId="3" fontId="15" fillId="6" borderId="39" xfId="1" applyNumberFormat="1" applyFont="1" applyFill="1" applyBorder="1" applyAlignment="1" applyProtection="1">
      <alignment horizontal="center" vertical="center" wrapText="1" readingOrder="2"/>
      <protection hidden="1"/>
    </xf>
    <xf numFmtId="3" fontId="19" fillId="0" borderId="38" xfId="1" applyNumberFormat="1" applyFont="1" applyBorder="1" applyAlignment="1" applyProtection="1">
      <alignment horizontal="center" vertical="center" wrapText="1" readingOrder="2"/>
      <protection locked="0" hidden="1"/>
    </xf>
    <xf numFmtId="3" fontId="19" fillId="8" borderId="4" xfId="1" applyNumberFormat="1" applyFont="1" applyFill="1" applyBorder="1" applyAlignment="1" applyProtection="1">
      <alignment horizontal="center" vertical="center" wrapText="1" readingOrder="2"/>
      <protection locked="0" hidden="1"/>
    </xf>
    <xf numFmtId="3" fontId="15" fillId="0" borderId="38" xfId="1" applyNumberFormat="1" applyFont="1" applyBorder="1" applyAlignment="1" applyProtection="1">
      <alignment horizontal="center" vertical="center" wrapText="1" readingOrder="2"/>
      <protection locked="0"/>
    </xf>
    <xf numFmtId="3" fontId="15" fillId="8" borderId="4" xfId="1" applyNumberFormat="1" applyFont="1" applyFill="1" applyBorder="1" applyAlignment="1" applyProtection="1">
      <alignment horizontal="center" vertical="center" wrapText="1" readingOrder="2"/>
      <protection locked="0"/>
    </xf>
    <xf numFmtId="3" fontId="15" fillId="6" borderId="3" xfId="1" applyNumberFormat="1" applyFont="1" applyFill="1" applyBorder="1" applyAlignment="1" applyProtection="1">
      <alignment horizontal="center" vertical="center" wrapText="1" readingOrder="2"/>
      <protection locked="0" hidden="1"/>
    </xf>
    <xf numFmtId="3" fontId="15" fillId="0" borderId="3" xfId="1" applyNumberFormat="1" applyFont="1" applyBorder="1" applyAlignment="1" applyProtection="1">
      <alignment horizontal="center" vertical="center" wrapText="1" readingOrder="2"/>
      <protection locked="0" hidden="1"/>
    </xf>
    <xf numFmtId="3" fontId="15" fillId="6" borderId="4" xfId="1" applyNumberFormat="1" applyFont="1" applyFill="1" applyBorder="1" applyAlignment="1" applyProtection="1">
      <alignment horizontal="center" vertical="center" wrapText="1" readingOrder="2"/>
      <protection locked="0"/>
    </xf>
    <xf numFmtId="3" fontId="15" fillId="6" borderId="49" xfId="1" applyNumberFormat="1" applyFont="1" applyFill="1" applyBorder="1" applyAlignment="1" applyProtection="1">
      <alignment horizontal="center" vertical="center" wrapText="1" readingOrder="2"/>
      <protection locked="0"/>
    </xf>
    <xf numFmtId="3" fontId="15" fillId="6" borderId="2" xfId="1" applyNumberFormat="1" applyFont="1" applyFill="1" applyBorder="1" applyAlignment="1" applyProtection="1">
      <alignment horizontal="center" vertical="center" wrapText="1" readingOrder="2"/>
      <protection locked="0"/>
    </xf>
    <xf numFmtId="3" fontId="19" fillId="0" borderId="2" xfId="1" applyNumberFormat="1" applyFont="1" applyBorder="1" applyAlignment="1" applyProtection="1">
      <alignment horizontal="center" vertical="center" wrapText="1" readingOrder="2"/>
      <protection locked="0" hidden="1"/>
    </xf>
    <xf numFmtId="3" fontId="19" fillId="8" borderId="50" xfId="1" applyNumberFormat="1" applyFont="1" applyFill="1" applyBorder="1" applyAlignment="1" applyProtection="1">
      <alignment horizontal="center" vertical="center" wrapText="1" readingOrder="2"/>
      <protection locked="0" hidden="1"/>
    </xf>
    <xf numFmtId="3" fontId="15" fillId="0" borderId="2" xfId="1" applyNumberFormat="1" applyFont="1" applyBorder="1" applyAlignment="1" applyProtection="1">
      <alignment horizontal="center" vertical="center" wrapText="1" readingOrder="2"/>
      <protection locked="0"/>
    </xf>
    <xf numFmtId="3" fontId="15" fillId="8" borderId="50" xfId="1" applyNumberFormat="1" applyFont="1" applyFill="1" applyBorder="1" applyAlignment="1" applyProtection="1">
      <alignment horizontal="center" vertical="center" wrapText="1" readingOrder="2"/>
      <protection locked="0"/>
    </xf>
    <xf numFmtId="3" fontId="15" fillId="6" borderId="13" xfId="1" applyNumberFormat="1" applyFont="1" applyFill="1" applyBorder="1" applyAlignment="1" applyProtection="1">
      <alignment horizontal="center" vertical="center" wrapText="1" readingOrder="2"/>
      <protection hidden="1"/>
    </xf>
    <xf numFmtId="3" fontId="19" fillId="0" borderId="27" xfId="1" applyNumberFormat="1" applyFont="1" applyBorder="1" applyAlignment="1" applyProtection="1">
      <alignment horizontal="center" vertical="center" wrapText="1" readingOrder="2"/>
      <protection locked="0" hidden="1"/>
    </xf>
    <xf numFmtId="3" fontId="19" fillId="8" borderId="24" xfId="1" applyNumberFormat="1" applyFont="1" applyFill="1" applyBorder="1" applyAlignment="1" applyProtection="1">
      <alignment horizontal="center" vertical="center" wrapText="1" readingOrder="2"/>
      <protection locked="0" hidden="1"/>
    </xf>
    <xf numFmtId="3" fontId="15" fillId="0" borderId="27" xfId="1" applyNumberFormat="1" applyFont="1" applyBorder="1" applyAlignment="1" applyProtection="1">
      <alignment horizontal="center" vertical="center" wrapText="1" readingOrder="2"/>
      <protection locked="0"/>
    </xf>
    <xf numFmtId="3" fontId="15" fillId="8" borderId="24" xfId="1" applyNumberFormat="1" applyFont="1" applyFill="1" applyBorder="1" applyAlignment="1" applyProtection="1">
      <alignment horizontal="center" vertical="center" wrapText="1" readingOrder="2"/>
      <protection locked="0"/>
    </xf>
    <xf numFmtId="3" fontId="15" fillId="0" borderId="23" xfId="1" applyNumberFormat="1" applyFont="1" applyBorder="1" applyAlignment="1" applyProtection="1">
      <alignment horizontal="center" vertical="center" wrapText="1" readingOrder="2"/>
      <protection locked="0" hidden="1"/>
    </xf>
    <xf numFmtId="3" fontId="19" fillId="8" borderId="32" xfId="1" applyNumberFormat="1" applyFont="1" applyFill="1" applyBorder="1" applyAlignment="1" applyProtection="1">
      <alignment horizontal="center" vertical="center" wrapText="1" readingOrder="2"/>
      <protection locked="0" hidden="1"/>
    </xf>
    <xf numFmtId="3" fontId="15" fillId="0" borderId="26" xfId="1" applyNumberFormat="1" applyFont="1" applyBorder="1" applyAlignment="1" applyProtection="1">
      <alignment horizontal="center" vertical="center" wrapText="1" readingOrder="2"/>
      <protection locked="0"/>
    </xf>
    <xf numFmtId="3" fontId="15" fillId="6" borderId="19" xfId="1" applyNumberFormat="1" applyFont="1" applyFill="1" applyBorder="1" applyAlignment="1" applyProtection="1">
      <alignment horizontal="center" vertical="center" wrapText="1" readingOrder="2"/>
      <protection hidden="1"/>
    </xf>
    <xf numFmtId="3" fontId="19" fillId="0" borderId="23" xfId="1" applyNumberFormat="1" applyFont="1" applyBorder="1" applyAlignment="1" applyProtection="1">
      <alignment horizontal="center" vertical="center" wrapText="1" readingOrder="2"/>
      <protection locked="0" hidden="1"/>
    </xf>
    <xf numFmtId="3" fontId="13" fillId="6" borderId="47" xfId="1" applyNumberFormat="1" applyFont="1" applyFill="1" applyBorder="1" applyAlignment="1">
      <alignment horizontal="center" vertical="center" textRotation="180"/>
    </xf>
    <xf numFmtId="3" fontId="19" fillId="0" borderId="44" xfId="1" applyNumberFormat="1" applyFont="1" applyBorder="1" applyAlignment="1" applyProtection="1">
      <alignment horizontal="center" vertical="center" wrapText="1" readingOrder="2"/>
      <protection locked="0" hidden="1"/>
    </xf>
    <xf numFmtId="3" fontId="19" fillId="8" borderId="30" xfId="1" applyNumberFormat="1" applyFont="1" applyFill="1" applyBorder="1" applyAlignment="1" applyProtection="1">
      <alignment horizontal="center" vertical="center" wrapText="1" readingOrder="2"/>
      <protection locked="0" hidden="1"/>
    </xf>
    <xf numFmtId="3" fontId="15" fillId="0" borderId="44" xfId="1" applyNumberFormat="1" applyFont="1" applyBorder="1" applyAlignment="1" applyProtection="1">
      <alignment horizontal="center" vertical="center" wrapText="1" readingOrder="2"/>
      <protection locked="0"/>
    </xf>
    <xf numFmtId="3" fontId="15" fillId="8" borderId="30" xfId="1" applyNumberFormat="1" applyFont="1" applyFill="1" applyBorder="1" applyAlignment="1" applyProtection="1">
      <alignment horizontal="center" vertical="center" wrapText="1" readingOrder="2"/>
      <protection locked="0"/>
    </xf>
    <xf numFmtId="3" fontId="15" fillId="6" borderId="42" xfId="1" applyNumberFormat="1" applyFont="1" applyFill="1" applyBorder="1" applyAlignment="1" applyProtection="1">
      <alignment horizontal="center" vertical="center" wrapText="1" readingOrder="2"/>
      <protection locked="0" hidden="1"/>
    </xf>
    <xf numFmtId="3" fontId="15" fillId="0" borderId="44" xfId="1" applyNumberFormat="1" applyFont="1" applyBorder="1" applyAlignment="1" applyProtection="1">
      <alignment horizontal="center" vertical="center" wrapText="1" readingOrder="2"/>
      <protection locked="0" hidden="1"/>
    </xf>
    <xf numFmtId="3" fontId="15" fillId="6" borderId="44" xfId="1" applyNumberFormat="1" applyFont="1" applyFill="1" applyBorder="1" applyAlignment="1" applyProtection="1">
      <alignment horizontal="center" vertical="center" wrapText="1" readingOrder="2"/>
      <protection locked="0"/>
    </xf>
    <xf numFmtId="3" fontId="15" fillId="6" borderId="45" xfId="1" applyNumberFormat="1" applyFont="1" applyFill="1" applyBorder="1" applyAlignment="1" applyProtection="1">
      <alignment horizontal="center" vertical="center" wrapText="1" readingOrder="2"/>
      <protection locked="0"/>
    </xf>
    <xf numFmtId="3" fontId="15" fillId="6" borderId="47" xfId="1" applyNumberFormat="1" applyFont="1" applyFill="1" applyBorder="1" applyAlignment="1" applyProtection="1">
      <alignment horizontal="center" vertical="center" wrapText="1" readingOrder="2"/>
      <protection locked="0"/>
    </xf>
    <xf numFmtId="3" fontId="13" fillId="6" borderId="51" xfId="1" applyNumberFormat="1" applyFont="1" applyFill="1" applyBorder="1" applyAlignment="1" applyProtection="1">
      <alignment horizontal="center" vertical="center"/>
      <protection locked="0"/>
    </xf>
    <xf numFmtId="3" fontId="13" fillId="6" borderId="52" xfId="1" applyNumberFormat="1" applyFont="1" applyFill="1" applyBorder="1" applyAlignment="1" applyProtection="1">
      <alignment horizontal="center" vertical="center"/>
      <protection locked="0"/>
    </xf>
    <xf numFmtId="3" fontId="13" fillId="6" borderId="53" xfId="1" applyNumberFormat="1" applyFont="1" applyFill="1" applyBorder="1" applyAlignment="1" applyProtection="1">
      <alignment horizontal="center" vertical="center"/>
      <protection locked="0"/>
    </xf>
    <xf numFmtId="3" fontId="15" fillId="11" borderId="52" xfId="1" applyNumberFormat="1" applyFont="1" applyFill="1" applyBorder="1" applyAlignment="1" applyProtection="1">
      <alignment vertical="center"/>
      <protection locked="0"/>
    </xf>
    <xf numFmtId="3" fontId="15" fillId="6" borderId="54" xfId="1" applyNumberFormat="1" applyFont="1" applyFill="1" applyBorder="1" applyAlignment="1" applyProtection="1">
      <alignment horizontal="center" vertical="center"/>
      <protection locked="0"/>
    </xf>
    <xf numFmtId="3" fontId="15" fillId="11" borderId="55" xfId="1" applyNumberFormat="1" applyFont="1" applyFill="1" applyBorder="1" applyAlignment="1" applyProtection="1">
      <alignment vertical="center"/>
      <protection locked="0"/>
    </xf>
    <xf numFmtId="3" fontId="15" fillId="6" borderId="56" xfId="1" applyNumberFormat="1" applyFont="1" applyFill="1" applyBorder="1" applyAlignment="1" applyProtection="1">
      <alignment horizontal="center" vertical="center"/>
      <protection locked="0"/>
    </xf>
    <xf numFmtId="3" fontId="15" fillId="6" borderId="53" xfId="1" applyNumberFormat="1" applyFont="1" applyFill="1" applyBorder="1" applyAlignment="1" applyProtection="1">
      <alignment horizontal="center" vertical="center" wrapText="1" readingOrder="2"/>
      <protection locked="0"/>
    </xf>
    <xf numFmtId="3" fontId="15" fillId="9" borderId="51" xfId="1" applyNumberFormat="1" applyFont="1" applyFill="1" applyBorder="1" applyAlignment="1" applyProtection="1">
      <alignment vertical="center"/>
      <protection locked="0"/>
    </xf>
    <xf numFmtId="3" fontId="15" fillId="6" borderId="54" xfId="1" applyNumberFormat="1" applyFont="1" applyFill="1" applyBorder="1" applyAlignment="1" applyProtection="1">
      <alignment horizontal="center" vertical="center" wrapText="1" readingOrder="2"/>
      <protection locked="0"/>
    </xf>
    <xf numFmtId="3" fontId="18" fillId="6" borderId="54" xfId="1" applyNumberFormat="1" applyFont="1" applyFill="1" applyBorder="1" applyAlignment="1" applyProtection="1">
      <alignment horizontal="center" vertical="center" wrapText="1" readingOrder="2"/>
      <protection locked="0"/>
    </xf>
    <xf numFmtId="3" fontId="23" fillId="8" borderId="0" xfId="1" applyNumberFormat="1" applyFont="1" applyFill="1" applyAlignment="1" applyProtection="1">
      <alignment horizontal="center" vertical="center"/>
      <protection locked="0"/>
    </xf>
    <xf numFmtId="3" fontId="24" fillId="8" borderId="0" xfId="1" applyNumberFormat="1" applyFont="1" applyFill="1" applyAlignment="1" applyProtection="1">
      <alignment horizontal="center" vertical="center" wrapText="1" readingOrder="2"/>
      <protection locked="0"/>
    </xf>
    <xf numFmtId="3" fontId="15" fillId="8" borderId="0" xfId="1" applyNumberFormat="1" applyFont="1" applyFill="1" applyAlignment="1" applyProtection="1">
      <alignment vertical="center"/>
      <protection locked="0"/>
    </xf>
    <xf numFmtId="3" fontId="25" fillId="8" borderId="0" xfId="1" applyNumberFormat="1" applyFont="1" applyFill="1" applyAlignment="1" applyProtection="1">
      <alignment horizontal="center" vertical="center"/>
      <protection locked="0"/>
    </xf>
    <xf numFmtId="3" fontId="23" fillId="8" borderId="0" xfId="1" applyNumberFormat="1" applyFont="1" applyFill="1" applyAlignment="1" applyProtection="1">
      <alignment horizontal="center" vertical="center" wrapText="1" readingOrder="2"/>
      <protection locked="0"/>
    </xf>
    <xf numFmtId="3" fontId="14" fillId="8" borderId="0" xfId="1" applyNumberFormat="1" applyFont="1" applyFill="1" applyProtection="1">
      <protection locked="0"/>
    </xf>
    <xf numFmtId="3" fontId="17" fillId="8" borderId="0" xfId="1" applyNumberFormat="1" applyFont="1" applyFill="1" applyAlignment="1" applyProtection="1">
      <alignment horizontal="center" vertical="center"/>
      <protection locked="0"/>
    </xf>
    <xf numFmtId="3" fontId="26" fillId="8" borderId="0" xfId="1" applyNumberFormat="1" applyFont="1" applyFill="1" applyAlignment="1" applyProtection="1">
      <alignment vertical="center"/>
      <protection locked="0"/>
    </xf>
    <xf numFmtId="3" fontId="26" fillId="8" borderId="0" xfId="1" applyNumberFormat="1" applyFont="1" applyFill="1" applyAlignment="1" applyProtection="1">
      <alignment horizontal="center" vertical="center"/>
      <protection locked="0"/>
    </xf>
    <xf numFmtId="3" fontId="26" fillId="8" borderId="0" xfId="1" applyNumberFormat="1" applyFont="1" applyFill="1" applyAlignment="1" applyProtection="1">
      <alignment horizontal="center" vertical="center" wrapText="1"/>
      <protection locked="0"/>
    </xf>
    <xf numFmtId="3" fontId="26" fillId="8" borderId="0" xfId="1" applyNumberFormat="1" applyFont="1" applyFill="1" applyAlignment="1" applyProtection="1">
      <alignment horizontal="center" vertical="center" wrapText="1" readingOrder="2"/>
      <protection locked="0"/>
    </xf>
    <xf numFmtId="3" fontId="27" fillId="8" borderId="0" xfId="1" applyNumberFormat="1" applyFont="1" applyFill="1" applyProtection="1">
      <protection locked="0"/>
    </xf>
    <xf numFmtId="3" fontId="28" fillId="8" borderId="57" xfId="1" applyNumberFormat="1" applyFont="1" applyFill="1" applyBorder="1" applyAlignment="1" applyProtection="1">
      <alignment horizontal="right" vertical="top" wrapText="1" readingOrder="2"/>
      <protection locked="0"/>
    </xf>
    <xf numFmtId="3" fontId="28" fillId="8" borderId="58" xfId="1" applyNumberFormat="1" applyFont="1" applyFill="1" applyBorder="1" applyAlignment="1" applyProtection="1">
      <alignment horizontal="right" vertical="top" wrapText="1" readingOrder="2"/>
      <protection locked="0"/>
    </xf>
    <xf numFmtId="3" fontId="28" fillId="8" borderId="59" xfId="1" applyNumberFormat="1" applyFont="1" applyFill="1" applyBorder="1" applyAlignment="1" applyProtection="1">
      <alignment horizontal="right" vertical="top" wrapText="1" readingOrder="2"/>
      <protection locked="0"/>
    </xf>
    <xf numFmtId="3" fontId="14" fillId="8" borderId="60" xfId="1" applyNumberFormat="1" applyFont="1" applyFill="1" applyBorder="1" applyProtection="1">
      <protection locked="0"/>
    </xf>
    <xf numFmtId="3" fontId="29" fillId="8" borderId="0" xfId="1" applyNumberFormat="1" applyFont="1" applyFill="1" applyAlignment="1" applyProtection="1">
      <alignment horizontal="right" vertical="top" wrapText="1" readingOrder="2"/>
      <protection locked="0"/>
    </xf>
    <xf numFmtId="3" fontId="30" fillId="8" borderId="0" xfId="1" applyNumberFormat="1" applyFont="1" applyFill="1" applyAlignment="1" applyProtection="1">
      <alignment horizontal="right" vertical="center" wrapText="1" readingOrder="2"/>
      <protection locked="0"/>
    </xf>
    <xf numFmtId="3" fontId="30" fillId="8" borderId="0" xfId="1" applyNumberFormat="1" applyFont="1" applyFill="1" applyAlignment="1" applyProtection="1">
      <alignment horizontal="right" vertical="center" readingOrder="2"/>
      <protection locked="0"/>
    </xf>
    <xf numFmtId="3" fontId="24" fillId="0" borderId="0" xfId="1" applyNumberFormat="1" applyFont="1" applyProtection="1">
      <protection locked="0"/>
    </xf>
    <xf numFmtId="0" fontId="6" fillId="0" borderId="0" xfId="0" applyFont="1" applyAlignment="1">
      <alignment horizontal="center" vertical="center" readingOrder="2"/>
    </xf>
    <xf numFmtId="0" fontId="6" fillId="0" borderId="0" xfId="0" applyFont="1" applyAlignment="1">
      <alignment horizontal="center" vertical="center" readingOrder="2"/>
    </xf>
    <xf numFmtId="0" fontId="0" fillId="0" borderId="0" xfId="0" applyAlignment="1" applyProtection="1">
      <alignment horizontal="center" vertical="center"/>
      <protection locked="0"/>
    </xf>
    <xf numFmtId="0" fontId="8" fillId="0" borderId="1" xfId="1" applyFont="1" applyBorder="1" applyAlignment="1">
      <alignment horizontal="center" vertical="center" readingOrder="2"/>
    </xf>
    <xf numFmtId="0" fontId="15" fillId="12" borderId="61" xfId="1" applyFont="1" applyFill="1" applyBorder="1" applyAlignment="1">
      <alignment horizontal="center" vertical="center" wrapText="1" readingOrder="2"/>
    </xf>
    <xf numFmtId="0" fontId="13" fillId="12" borderId="51" xfId="1" applyFont="1" applyFill="1" applyBorder="1" applyAlignment="1">
      <alignment horizontal="center" vertical="center" wrapText="1" readingOrder="2"/>
    </xf>
    <xf numFmtId="0" fontId="13" fillId="12" borderId="52" xfId="1" applyFont="1" applyFill="1" applyBorder="1" applyAlignment="1">
      <alignment horizontal="center" vertical="center" wrapText="1" readingOrder="2"/>
    </xf>
    <xf numFmtId="0" fontId="13" fillId="12" borderId="53" xfId="1" applyFont="1" applyFill="1" applyBorder="1" applyAlignment="1">
      <alignment horizontal="center" vertical="center" wrapText="1" readingOrder="2"/>
    </xf>
    <xf numFmtId="0" fontId="14" fillId="0" borderId="0" xfId="1" applyFont="1" applyAlignment="1" applyProtection="1">
      <alignment horizontal="center" vertical="center" wrapText="1" readingOrder="2"/>
      <protection locked="0"/>
    </xf>
    <xf numFmtId="0" fontId="15" fillId="12" borderId="62" xfId="1" applyFont="1" applyFill="1" applyBorder="1" applyAlignment="1">
      <alignment horizontal="center" vertical="center" wrapText="1" readingOrder="2"/>
    </xf>
    <xf numFmtId="0" fontId="15" fillId="12" borderId="63" xfId="1" applyFont="1" applyFill="1" applyBorder="1" applyAlignment="1">
      <alignment horizontal="center" vertical="center" wrapText="1" readingOrder="2"/>
    </xf>
    <xf numFmtId="0" fontId="15" fillId="12" borderId="56" xfId="1" applyFont="1" applyFill="1" applyBorder="1" applyAlignment="1">
      <alignment horizontal="center" vertical="center" wrapText="1" readingOrder="2"/>
    </xf>
    <xf numFmtId="0" fontId="15" fillId="12" borderId="54" xfId="1" applyFont="1" applyFill="1" applyBorder="1" applyAlignment="1">
      <alignment horizontal="center" vertical="center" wrapText="1" readingOrder="2"/>
    </xf>
    <xf numFmtId="0" fontId="15" fillId="12" borderId="64" xfId="1" applyFont="1" applyFill="1" applyBorder="1" applyAlignment="1">
      <alignment horizontal="center" vertical="center" wrapText="1" readingOrder="2"/>
    </xf>
    <xf numFmtId="0" fontId="15" fillId="12" borderId="65" xfId="1" applyFont="1" applyFill="1" applyBorder="1" applyAlignment="1">
      <alignment horizontal="center" vertical="center" wrapText="1" readingOrder="2"/>
    </xf>
    <xf numFmtId="0" fontId="15" fillId="12" borderId="51" xfId="1" applyFont="1" applyFill="1" applyBorder="1" applyAlignment="1">
      <alignment horizontal="center" vertical="center" wrapText="1" readingOrder="2"/>
    </xf>
    <xf numFmtId="0" fontId="15" fillId="12" borderId="55" xfId="1" applyFont="1" applyFill="1" applyBorder="1" applyAlignment="1">
      <alignment horizontal="center" vertical="center" wrapText="1" readingOrder="2"/>
    </xf>
    <xf numFmtId="0" fontId="15" fillId="12" borderId="66" xfId="1" applyFont="1" applyFill="1" applyBorder="1" applyAlignment="1">
      <alignment horizontal="center" vertical="center" wrapText="1" readingOrder="2"/>
    </xf>
    <xf numFmtId="0" fontId="15" fillId="12" borderId="53" xfId="1" applyFont="1" applyFill="1" applyBorder="1" applyAlignment="1">
      <alignment horizontal="center" vertical="center" wrapText="1" readingOrder="2"/>
    </xf>
    <xf numFmtId="0" fontId="31" fillId="7" borderId="67" xfId="1" applyFont="1" applyFill="1" applyBorder="1" applyAlignment="1">
      <alignment horizontal="center" vertical="center" wrapText="1" readingOrder="2"/>
    </xf>
    <xf numFmtId="3" fontId="15" fillId="0" borderId="17" xfId="1" applyNumberFormat="1" applyFont="1" applyBorder="1" applyAlignment="1" applyProtection="1">
      <alignment horizontal="center" vertical="center" wrapText="1" readingOrder="2"/>
      <protection locked="0"/>
    </xf>
    <xf numFmtId="3" fontId="15" fillId="0" borderId="68" xfId="1" applyNumberFormat="1" applyFont="1" applyBorder="1" applyAlignment="1" applyProtection="1">
      <alignment horizontal="center" vertical="center" wrapText="1" readingOrder="2"/>
      <protection locked="0"/>
    </xf>
    <xf numFmtId="3" fontId="15" fillId="0" borderId="69" xfId="1" applyNumberFormat="1" applyFont="1" applyBorder="1" applyAlignment="1" applyProtection="1">
      <alignment horizontal="center" vertical="center" wrapText="1" readingOrder="2"/>
      <protection locked="0"/>
    </xf>
    <xf numFmtId="3" fontId="15" fillId="7" borderId="70" xfId="1" applyNumberFormat="1" applyFont="1" applyFill="1" applyBorder="1" applyAlignment="1">
      <alignment horizontal="center" vertical="center" wrapText="1" readingOrder="2"/>
    </xf>
    <xf numFmtId="3" fontId="32" fillId="7" borderId="17" xfId="1" applyNumberFormat="1" applyFont="1" applyFill="1" applyBorder="1" applyAlignment="1">
      <alignment horizontal="center" vertical="center" wrapText="1" readingOrder="2"/>
    </xf>
    <xf numFmtId="3" fontId="32" fillId="7" borderId="16" xfId="1" applyNumberFormat="1" applyFont="1" applyFill="1" applyBorder="1" applyAlignment="1">
      <alignment horizontal="center" vertical="center" wrapText="1" readingOrder="2"/>
    </xf>
    <xf numFmtId="3" fontId="15" fillId="7" borderId="17" xfId="1" applyNumberFormat="1" applyFont="1" applyFill="1" applyBorder="1" applyAlignment="1" applyProtection="1">
      <alignment horizontal="center" vertical="center" wrapText="1" readingOrder="2"/>
      <protection hidden="1"/>
    </xf>
    <xf numFmtId="3" fontId="15" fillId="7" borderId="68" xfId="1" applyNumberFormat="1" applyFont="1" applyFill="1" applyBorder="1" applyAlignment="1" applyProtection="1">
      <alignment horizontal="center" vertical="center" wrapText="1" readingOrder="2"/>
      <protection hidden="1"/>
    </xf>
    <xf numFmtId="3" fontId="15" fillId="7" borderId="69" xfId="1" applyNumberFormat="1" applyFont="1" applyFill="1" applyBorder="1" applyAlignment="1" applyProtection="1">
      <alignment horizontal="center" vertical="center" wrapText="1" readingOrder="2"/>
      <protection hidden="1"/>
    </xf>
    <xf numFmtId="165" fontId="32" fillId="7" borderId="71" xfId="1" applyNumberFormat="1" applyFont="1" applyFill="1" applyBorder="1" applyAlignment="1">
      <alignment horizontal="center" vertical="center" wrapText="1" readingOrder="2"/>
    </xf>
    <xf numFmtId="165" fontId="32" fillId="7" borderId="72" xfId="1" applyNumberFormat="1" applyFont="1" applyFill="1" applyBorder="1" applyAlignment="1">
      <alignment horizontal="center" vertical="center" wrapText="1" readingOrder="2"/>
    </xf>
    <xf numFmtId="165" fontId="32" fillId="7" borderId="73" xfId="1" applyNumberFormat="1" applyFont="1" applyFill="1" applyBorder="1" applyAlignment="1">
      <alignment horizontal="center" vertical="center" wrapText="1" readingOrder="2"/>
    </xf>
    <xf numFmtId="165" fontId="32" fillId="7" borderId="70" xfId="1" applyNumberFormat="1" applyFont="1" applyFill="1" applyBorder="1" applyAlignment="1">
      <alignment horizontal="center" vertical="center" wrapText="1" readingOrder="2"/>
    </xf>
    <xf numFmtId="3" fontId="32" fillId="7" borderId="74" xfId="1" applyNumberFormat="1" applyFont="1" applyFill="1" applyBorder="1" applyAlignment="1">
      <alignment horizontal="center" vertical="center" wrapText="1" readingOrder="2"/>
    </xf>
    <xf numFmtId="165" fontId="32" fillId="7" borderId="6" xfId="1" applyNumberFormat="1" applyFont="1" applyFill="1" applyBorder="1" applyAlignment="1">
      <alignment horizontal="center" vertical="center" wrapText="1" readingOrder="2"/>
    </xf>
    <xf numFmtId="0" fontId="14" fillId="0" borderId="0" xfId="1" applyFont="1" applyAlignment="1" applyProtection="1">
      <alignment horizontal="center" vertical="center" wrapText="1" readingOrder="2"/>
      <protection hidden="1"/>
    </xf>
    <xf numFmtId="0" fontId="31" fillId="7" borderId="75" xfId="1" applyFont="1" applyFill="1" applyBorder="1" applyAlignment="1">
      <alignment horizontal="center" vertical="center" wrapText="1" readingOrder="2"/>
    </xf>
    <xf numFmtId="3" fontId="15" fillId="0" borderId="15" xfId="1" applyNumberFormat="1" applyFont="1" applyBorder="1" applyAlignment="1" applyProtection="1">
      <alignment horizontal="center" vertical="center" wrapText="1" readingOrder="2"/>
      <protection locked="0"/>
    </xf>
    <xf numFmtId="3" fontId="15" fillId="0" borderId="76" xfId="1" applyNumberFormat="1" applyFont="1" applyBorder="1" applyAlignment="1" applyProtection="1">
      <alignment horizontal="center" vertical="center" wrapText="1" readingOrder="2"/>
      <protection locked="0"/>
    </xf>
    <xf numFmtId="3" fontId="15" fillId="0" borderId="77" xfId="1" applyNumberFormat="1" applyFont="1" applyBorder="1" applyAlignment="1" applyProtection="1">
      <alignment horizontal="center" vertical="center" wrapText="1" readingOrder="2"/>
      <protection locked="0"/>
    </xf>
    <xf numFmtId="3" fontId="15" fillId="7" borderId="78" xfId="1" applyNumberFormat="1" applyFont="1" applyFill="1" applyBorder="1" applyAlignment="1">
      <alignment horizontal="center" vertical="center" wrapText="1" readingOrder="2"/>
    </xf>
    <xf numFmtId="3" fontId="32" fillId="7" borderId="15" xfId="1" applyNumberFormat="1" applyFont="1" applyFill="1" applyBorder="1" applyAlignment="1">
      <alignment horizontal="center" vertical="center" wrapText="1" readingOrder="2"/>
    </xf>
    <xf numFmtId="3" fontId="32" fillId="7" borderId="79" xfId="1" applyNumberFormat="1" applyFont="1" applyFill="1" applyBorder="1" applyAlignment="1">
      <alignment horizontal="center" vertical="center" wrapText="1" readingOrder="2"/>
    </xf>
    <xf numFmtId="3" fontId="15" fillId="7" borderId="15" xfId="1" applyNumberFormat="1" applyFont="1" applyFill="1" applyBorder="1" applyAlignment="1" applyProtection="1">
      <alignment horizontal="center" vertical="center" wrapText="1" readingOrder="2"/>
      <protection hidden="1"/>
    </xf>
    <xf numFmtId="3" fontId="15" fillId="7" borderId="76" xfId="1" applyNumberFormat="1" applyFont="1" applyFill="1" applyBorder="1" applyAlignment="1" applyProtection="1">
      <alignment horizontal="center" vertical="center" wrapText="1" readingOrder="2"/>
      <protection hidden="1"/>
    </xf>
    <xf numFmtId="3" fontId="15" fillId="7" borderId="77" xfId="1" applyNumberFormat="1" applyFont="1" applyFill="1" applyBorder="1" applyAlignment="1" applyProtection="1">
      <alignment horizontal="center" vertical="center" wrapText="1" readingOrder="2"/>
      <protection hidden="1"/>
    </xf>
    <xf numFmtId="165" fontId="32" fillId="7" borderId="80" xfId="1" applyNumberFormat="1" applyFont="1" applyFill="1" applyBorder="1" applyAlignment="1">
      <alignment horizontal="center" vertical="center" wrapText="1" readingOrder="2"/>
    </xf>
    <xf numFmtId="165" fontId="32" fillId="7" borderId="81" xfId="1" applyNumberFormat="1" applyFont="1" applyFill="1" applyBorder="1" applyAlignment="1">
      <alignment horizontal="center" vertical="center" wrapText="1" readingOrder="2"/>
    </xf>
    <xf numFmtId="165" fontId="32" fillId="7" borderId="82" xfId="1" applyNumberFormat="1" applyFont="1" applyFill="1" applyBorder="1" applyAlignment="1">
      <alignment horizontal="center" vertical="center" wrapText="1" readingOrder="2"/>
    </xf>
    <xf numFmtId="165" fontId="32" fillId="7" borderId="78" xfId="1" applyNumberFormat="1" applyFont="1" applyFill="1" applyBorder="1" applyAlignment="1">
      <alignment horizontal="center" vertical="center" wrapText="1" readingOrder="2"/>
    </xf>
    <xf numFmtId="3" fontId="32" fillId="7" borderId="83" xfId="1" applyNumberFormat="1" applyFont="1" applyFill="1" applyBorder="1" applyAlignment="1">
      <alignment horizontal="center" vertical="center" wrapText="1" readingOrder="2"/>
    </xf>
    <xf numFmtId="165" fontId="32" fillId="7" borderId="84" xfId="1" applyNumberFormat="1" applyFont="1" applyFill="1" applyBorder="1" applyAlignment="1">
      <alignment horizontal="center" vertical="center" wrapText="1" readingOrder="2"/>
    </xf>
    <xf numFmtId="3" fontId="32" fillId="7" borderId="85" xfId="1" applyNumberFormat="1" applyFont="1" applyFill="1" applyBorder="1" applyAlignment="1">
      <alignment horizontal="center" vertical="center" wrapText="1" readingOrder="2"/>
    </xf>
    <xf numFmtId="3" fontId="32" fillId="7" borderId="80" xfId="1" applyNumberFormat="1" applyFont="1" applyFill="1" applyBorder="1" applyAlignment="1">
      <alignment horizontal="center" vertical="center" wrapText="1" readingOrder="2"/>
    </xf>
    <xf numFmtId="3" fontId="32" fillId="7" borderId="81" xfId="1" applyNumberFormat="1" applyFont="1" applyFill="1" applyBorder="1" applyAlignment="1">
      <alignment horizontal="center" vertical="center" wrapText="1" readingOrder="2"/>
    </xf>
    <xf numFmtId="3" fontId="32" fillId="7" borderId="82" xfId="1" applyNumberFormat="1" applyFont="1" applyFill="1" applyBorder="1" applyAlignment="1">
      <alignment horizontal="center" vertical="center" wrapText="1" readingOrder="2"/>
    </xf>
    <xf numFmtId="3" fontId="32" fillId="7" borderId="78" xfId="1" applyNumberFormat="1" applyFont="1" applyFill="1" applyBorder="1" applyAlignment="1">
      <alignment horizontal="center" vertical="center" wrapText="1" readingOrder="2"/>
    </xf>
    <xf numFmtId="3" fontId="32" fillId="7" borderId="86" xfId="1" applyNumberFormat="1" applyFont="1" applyFill="1" applyBorder="1" applyAlignment="1">
      <alignment horizontal="center" vertical="center" wrapText="1" readingOrder="2"/>
    </xf>
    <xf numFmtId="3" fontId="32" fillId="7" borderId="87" xfId="1" applyNumberFormat="1" applyFont="1" applyFill="1" applyBorder="1" applyAlignment="1">
      <alignment horizontal="center" vertical="center" wrapText="1" readingOrder="2"/>
    </xf>
    <xf numFmtId="3" fontId="32" fillId="7" borderId="84" xfId="1" applyNumberFormat="1" applyFont="1" applyFill="1" applyBorder="1" applyAlignment="1">
      <alignment horizontal="center" vertical="center" wrapText="1" readingOrder="2"/>
    </xf>
    <xf numFmtId="0" fontId="31" fillId="7" borderId="88" xfId="1" applyFont="1" applyFill="1" applyBorder="1" applyAlignment="1">
      <alignment horizontal="center" vertical="center" wrapText="1" readingOrder="2"/>
    </xf>
    <xf numFmtId="3" fontId="15" fillId="0" borderId="89" xfId="1" applyNumberFormat="1" applyFont="1" applyBorder="1" applyAlignment="1" applyProtection="1">
      <alignment horizontal="center" vertical="center" wrapText="1" readingOrder="2"/>
      <protection locked="0"/>
    </xf>
    <xf numFmtId="3" fontId="15" fillId="0" borderId="90" xfId="1" applyNumberFormat="1" applyFont="1" applyBorder="1" applyAlignment="1" applyProtection="1">
      <alignment horizontal="center" vertical="center" wrapText="1" readingOrder="2"/>
      <protection locked="0"/>
    </xf>
    <xf numFmtId="3" fontId="15" fillId="0" borderId="91" xfId="1" applyNumberFormat="1" applyFont="1" applyBorder="1" applyAlignment="1" applyProtection="1">
      <alignment horizontal="center" vertical="center" wrapText="1" readingOrder="2"/>
      <protection locked="0"/>
    </xf>
    <xf numFmtId="3" fontId="15" fillId="7" borderId="92" xfId="1" applyNumberFormat="1" applyFont="1" applyFill="1" applyBorder="1" applyAlignment="1">
      <alignment horizontal="center" vertical="center" wrapText="1" readingOrder="2"/>
    </xf>
    <xf numFmtId="3" fontId="32" fillId="7" borderId="77" xfId="1" applyNumberFormat="1" applyFont="1" applyFill="1" applyBorder="1" applyAlignment="1">
      <alignment horizontal="center" vertical="center" wrapText="1" readingOrder="2"/>
    </xf>
    <xf numFmtId="3" fontId="32" fillId="7" borderId="93" xfId="1" applyNumberFormat="1" applyFont="1" applyFill="1" applyBorder="1" applyAlignment="1">
      <alignment horizontal="center" vertical="center" wrapText="1" readingOrder="2"/>
    </xf>
    <xf numFmtId="3" fontId="32" fillId="7" borderId="94" xfId="1" applyNumberFormat="1" applyFont="1" applyFill="1" applyBorder="1" applyAlignment="1">
      <alignment horizontal="center" vertical="center" wrapText="1" readingOrder="2"/>
    </xf>
    <xf numFmtId="3" fontId="32" fillId="7" borderId="95" xfId="1" applyNumberFormat="1" applyFont="1" applyFill="1" applyBorder="1" applyAlignment="1">
      <alignment horizontal="center" vertical="center" wrapText="1" readingOrder="2"/>
    </xf>
    <xf numFmtId="3" fontId="32" fillId="7" borderId="92" xfId="1" applyNumberFormat="1" applyFont="1" applyFill="1" applyBorder="1" applyAlignment="1">
      <alignment horizontal="center" vertical="center" wrapText="1" readingOrder="2"/>
    </xf>
    <xf numFmtId="0" fontId="15" fillId="7" borderId="96" xfId="1" applyFont="1" applyFill="1" applyBorder="1" applyAlignment="1">
      <alignment horizontal="center" vertical="center" wrapText="1" readingOrder="2"/>
    </xf>
    <xf numFmtId="3" fontId="15" fillId="7" borderId="97" xfId="1" applyNumberFormat="1" applyFont="1" applyFill="1" applyBorder="1" applyAlignment="1">
      <alignment horizontal="center" vertical="center" wrapText="1" readingOrder="2"/>
    </xf>
    <xf numFmtId="3" fontId="15" fillId="7" borderId="98" xfId="1" applyNumberFormat="1" applyFont="1" applyFill="1" applyBorder="1" applyAlignment="1">
      <alignment horizontal="center" vertical="center" wrapText="1" readingOrder="2"/>
    </xf>
    <xf numFmtId="3" fontId="15" fillId="7" borderId="99" xfId="1" applyNumberFormat="1" applyFont="1" applyFill="1" applyBorder="1" applyAlignment="1">
      <alignment horizontal="center" vertical="center" wrapText="1" readingOrder="2"/>
    </xf>
    <xf numFmtId="3" fontId="15" fillId="7" borderId="100" xfId="1" applyNumberFormat="1" applyFont="1" applyFill="1" applyBorder="1" applyAlignment="1">
      <alignment horizontal="center" vertical="center" wrapText="1" readingOrder="2"/>
    </xf>
    <xf numFmtId="3" fontId="32" fillId="7" borderId="97" xfId="1" applyNumberFormat="1" applyFont="1" applyFill="1" applyBorder="1" applyAlignment="1">
      <alignment horizontal="center" vertical="center" wrapText="1" readingOrder="2"/>
    </xf>
    <xf numFmtId="3" fontId="32" fillId="7" borderId="99" xfId="1" applyNumberFormat="1" applyFont="1" applyFill="1" applyBorder="1" applyAlignment="1">
      <alignment horizontal="center" vertical="center" wrapText="1" readingOrder="2"/>
    </xf>
    <xf numFmtId="3" fontId="32" fillId="7" borderId="101" xfId="1" applyNumberFormat="1" applyFont="1" applyFill="1" applyBorder="1" applyAlignment="1">
      <alignment horizontal="center" vertical="center" wrapText="1" readingOrder="2"/>
    </xf>
    <xf numFmtId="3" fontId="32" fillId="7" borderId="102" xfId="1" applyNumberFormat="1" applyFont="1" applyFill="1" applyBorder="1" applyAlignment="1">
      <alignment horizontal="center" vertical="center" wrapText="1" readingOrder="2"/>
    </xf>
    <xf numFmtId="3" fontId="32" fillId="7" borderId="103" xfId="1" applyNumberFormat="1" applyFont="1" applyFill="1" applyBorder="1" applyAlignment="1">
      <alignment horizontal="center" vertical="center" wrapText="1" readingOrder="2"/>
    </xf>
    <xf numFmtId="3" fontId="32" fillId="7" borderId="100" xfId="1" applyNumberFormat="1" applyFont="1" applyFill="1" applyBorder="1" applyAlignment="1">
      <alignment horizontal="center" vertical="center" wrapText="1" readingOrder="2"/>
    </xf>
    <xf numFmtId="0" fontId="15" fillId="7" borderId="104" xfId="1" applyFont="1" applyFill="1" applyBorder="1" applyAlignment="1">
      <alignment horizontal="center" vertical="center" wrapText="1" readingOrder="2"/>
    </xf>
    <xf numFmtId="3" fontId="15" fillId="0" borderId="105" xfId="1" applyNumberFormat="1" applyFont="1" applyBorder="1" applyAlignment="1" applyProtection="1">
      <alignment horizontal="center" vertical="center" wrapText="1" readingOrder="2"/>
      <protection locked="0"/>
    </xf>
    <xf numFmtId="3" fontId="15" fillId="0" borderId="106" xfId="1" applyNumberFormat="1" applyFont="1" applyBorder="1" applyAlignment="1" applyProtection="1">
      <alignment horizontal="center" vertical="center" wrapText="1" readingOrder="2"/>
      <protection locked="0"/>
    </xf>
    <xf numFmtId="3" fontId="15" fillId="0" borderId="107" xfId="1" applyNumberFormat="1" applyFont="1" applyBorder="1" applyAlignment="1" applyProtection="1">
      <alignment horizontal="center" vertical="center" wrapText="1" readingOrder="2"/>
      <protection locked="0"/>
    </xf>
    <xf numFmtId="3" fontId="15" fillId="7" borderId="108" xfId="1" applyNumberFormat="1" applyFont="1" applyFill="1" applyBorder="1" applyAlignment="1">
      <alignment horizontal="center" vertical="center" wrapText="1" readingOrder="2"/>
    </xf>
    <xf numFmtId="3" fontId="15" fillId="8" borderId="105" xfId="1" applyNumberFormat="1" applyFont="1" applyFill="1" applyBorder="1" applyAlignment="1" applyProtection="1">
      <alignment horizontal="center" vertical="center" wrapText="1" readingOrder="2"/>
      <protection locked="0"/>
    </xf>
    <xf numFmtId="3" fontId="15" fillId="8" borderId="107" xfId="1" applyNumberFormat="1" applyFont="1" applyFill="1" applyBorder="1" applyAlignment="1" applyProtection="1">
      <alignment horizontal="center" vertical="center" wrapText="1" readingOrder="2"/>
      <protection locked="0"/>
    </xf>
    <xf numFmtId="3" fontId="32" fillId="7" borderId="109" xfId="1" applyNumberFormat="1" applyFont="1" applyFill="1" applyBorder="1" applyAlignment="1">
      <alignment horizontal="center" vertical="center" wrapText="1" readingOrder="2"/>
    </xf>
    <xf numFmtId="3" fontId="32" fillId="7" borderId="110" xfId="1" applyNumberFormat="1" applyFont="1" applyFill="1" applyBorder="1" applyAlignment="1">
      <alignment horizontal="center" vertical="center" wrapText="1" readingOrder="2"/>
    </xf>
    <xf numFmtId="3" fontId="32" fillId="7" borderId="111" xfId="1" applyNumberFormat="1" applyFont="1" applyFill="1" applyBorder="1" applyAlignment="1">
      <alignment horizontal="center" vertical="center" wrapText="1" readingOrder="2"/>
    </xf>
    <xf numFmtId="3" fontId="32" fillId="7" borderId="108" xfId="1" applyNumberFormat="1" applyFont="1" applyFill="1" applyBorder="1" applyAlignment="1">
      <alignment horizontal="center" vertical="center" wrapText="1" readingOrder="2"/>
    </xf>
    <xf numFmtId="0" fontId="31" fillId="0" borderId="0" xfId="1" applyFont="1" applyAlignment="1" applyProtection="1">
      <alignment horizontal="center" vertical="center" wrapText="1" readingOrder="2"/>
      <protection locked="0"/>
    </xf>
    <xf numFmtId="0" fontId="33" fillId="0" borderId="1" xfId="1" applyFont="1" applyBorder="1" applyAlignment="1">
      <alignment horizontal="center" vertical="center" readingOrder="2"/>
    </xf>
    <xf numFmtId="0" fontId="17" fillId="0" borderId="0" xfId="1" applyFont="1" applyAlignment="1" applyProtection="1">
      <alignment horizontal="center" vertical="center" wrapText="1" readingOrder="2"/>
      <protection locked="0"/>
    </xf>
    <xf numFmtId="0" fontId="15" fillId="12" borderId="61" xfId="1" applyFont="1" applyFill="1" applyBorder="1" applyAlignment="1" applyProtection="1">
      <alignment horizontal="center" vertical="center" wrapText="1" readingOrder="2"/>
      <protection locked="0"/>
    </xf>
    <xf numFmtId="0" fontId="13" fillId="12" borderId="51" xfId="1" applyFont="1" applyFill="1" applyBorder="1" applyAlignment="1" applyProtection="1">
      <alignment horizontal="center" vertical="center" wrapText="1" readingOrder="2"/>
      <protection locked="0"/>
    </xf>
    <xf numFmtId="0" fontId="13" fillId="12" borderId="52" xfId="1" applyFont="1" applyFill="1" applyBorder="1" applyAlignment="1" applyProtection="1">
      <alignment horizontal="center" vertical="center" wrapText="1" readingOrder="2"/>
      <protection locked="0"/>
    </xf>
    <xf numFmtId="0" fontId="13" fillId="12" borderId="53" xfId="1" applyFont="1" applyFill="1" applyBorder="1" applyAlignment="1" applyProtection="1">
      <alignment horizontal="center" vertical="center" wrapText="1" readingOrder="2"/>
      <protection locked="0"/>
    </xf>
    <xf numFmtId="0" fontId="15" fillId="12" borderId="62" xfId="1" applyFont="1" applyFill="1" applyBorder="1" applyAlignment="1" applyProtection="1">
      <alignment horizontal="center" vertical="center" wrapText="1" readingOrder="2"/>
      <protection locked="0"/>
    </xf>
    <xf numFmtId="0" fontId="15" fillId="12" borderId="63" xfId="1" applyFont="1" applyFill="1" applyBorder="1" applyAlignment="1" applyProtection="1">
      <alignment horizontal="center" vertical="center" wrapText="1" readingOrder="2"/>
      <protection locked="0"/>
    </xf>
    <xf numFmtId="0" fontId="15" fillId="12" borderId="56" xfId="1" applyFont="1" applyFill="1" applyBorder="1" applyAlignment="1" applyProtection="1">
      <alignment horizontal="center" vertical="center" wrapText="1" readingOrder="2"/>
      <protection locked="0"/>
    </xf>
    <xf numFmtId="0" fontId="15" fillId="12" borderId="54" xfId="1" applyFont="1" applyFill="1" applyBorder="1" applyAlignment="1" applyProtection="1">
      <alignment horizontal="center" vertical="center" wrapText="1" readingOrder="2"/>
      <protection locked="0"/>
    </xf>
    <xf numFmtId="0" fontId="15" fillId="12" borderId="64" xfId="1" applyFont="1" applyFill="1" applyBorder="1" applyAlignment="1" applyProtection="1">
      <alignment horizontal="center" vertical="center" wrapText="1" readingOrder="2"/>
      <protection locked="0"/>
    </xf>
    <xf numFmtId="0" fontId="15" fillId="12" borderId="65" xfId="1" applyFont="1" applyFill="1" applyBorder="1" applyAlignment="1" applyProtection="1">
      <alignment horizontal="center" vertical="center" wrapText="1" readingOrder="2"/>
      <protection locked="0"/>
    </xf>
    <xf numFmtId="0" fontId="15" fillId="12" borderId="51" xfId="1" applyFont="1" applyFill="1" applyBorder="1" applyAlignment="1" applyProtection="1">
      <alignment horizontal="center" vertical="center" wrapText="1" readingOrder="2"/>
      <protection locked="0"/>
    </xf>
    <xf numFmtId="0" fontId="15" fillId="12" borderId="55" xfId="1" applyFont="1" applyFill="1" applyBorder="1" applyAlignment="1" applyProtection="1">
      <alignment horizontal="center" vertical="center" wrapText="1" readingOrder="2"/>
      <protection locked="0"/>
    </xf>
    <xf numFmtId="0" fontId="15" fillId="12" borderId="66" xfId="1" applyFont="1" applyFill="1" applyBorder="1" applyAlignment="1" applyProtection="1">
      <alignment horizontal="center" vertical="center" wrapText="1" readingOrder="2"/>
      <protection locked="0"/>
    </xf>
    <xf numFmtId="0" fontId="15" fillId="12" borderId="53" xfId="1" applyFont="1" applyFill="1" applyBorder="1" applyAlignment="1" applyProtection="1">
      <alignment horizontal="center" vertical="center" wrapText="1" readingOrder="2"/>
      <protection locked="0"/>
    </xf>
    <xf numFmtId="0" fontId="31" fillId="7" borderId="67" xfId="1" applyFont="1" applyFill="1" applyBorder="1" applyAlignment="1" applyProtection="1">
      <alignment horizontal="center" vertical="center" wrapText="1" readingOrder="2"/>
      <protection locked="0"/>
    </xf>
    <xf numFmtId="3" fontId="15" fillId="7" borderId="70" xfId="1" applyNumberFormat="1" applyFont="1" applyFill="1" applyBorder="1" applyAlignment="1" applyProtection="1">
      <alignment horizontal="center" vertical="center" wrapText="1" readingOrder="2"/>
      <protection locked="0"/>
    </xf>
    <xf numFmtId="3" fontId="32" fillId="7" borderId="17" xfId="1" applyNumberFormat="1" applyFont="1" applyFill="1" applyBorder="1" applyAlignment="1" applyProtection="1">
      <alignment horizontal="center" vertical="center" wrapText="1" readingOrder="2"/>
      <protection locked="0"/>
    </xf>
    <xf numFmtId="3" fontId="32" fillId="7" borderId="16" xfId="1" applyNumberFormat="1" applyFont="1" applyFill="1" applyBorder="1" applyAlignment="1" applyProtection="1">
      <alignment horizontal="center" vertical="center" wrapText="1" readingOrder="2"/>
      <protection locked="0"/>
    </xf>
    <xf numFmtId="3" fontId="15" fillId="7" borderId="17" xfId="1" applyNumberFormat="1" applyFont="1" applyFill="1" applyBorder="1" applyAlignment="1" applyProtection="1">
      <alignment horizontal="center" vertical="center" wrapText="1" readingOrder="2"/>
      <protection locked="0" hidden="1"/>
    </xf>
    <xf numFmtId="3" fontId="15" fillId="7" borderId="68" xfId="1" applyNumberFormat="1" applyFont="1" applyFill="1" applyBorder="1" applyAlignment="1" applyProtection="1">
      <alignment horizontal="center" vertical="center" wrapText="1" readingOrder="2"/>
      <protection locked="0" hidden="1"/>
    </xf>
    <xf numFmtId="3" fontId="15" fillId="7" borderId="69" xfId="1" applyNumberFormat="1" applyFont="1" applyFill="1" applyBorder="1" applyAlignment="1" applyProtection="1">
      <alignment horizontal="center" vertical="center" wrapText="1" readingOrder="2"/>
      <protection locked="0" hidden="1"/>
    </xf>
    <xf numFmtId="165" fontId="32" fillId="7" borderId="71" xfId="1" applyNumberFormat="1" applyFont="1" applyFill="1" applyBorder="1" applyAlignment="1" applyProtection="1">
      <alignment horizontal="center" vertical="center" wrapText="1" readingOrder="2"/>
      <protection locked="0"/>
    </xf>
    <xf numFmtId="165" fontId="32" fillId="7" borderId="72" xfId="1" applyNumberFormat="1" applyFont="1" applyFill="1" applyBorder="1" applyAlignment="1" applyProtection="1">
      <alignment horizontal="center" vertical="center" wrapText="1" readingOrder="2"/>
      <protection locked="0"/>
    </xf>
    <xf numFmtId="165" fontId="32" fillId="7" borderId="73" xfId="1" applyNumberFormat="1" applyFont="1" applyFill="1" applyBorder="1" applyAlignment="1" applyProtection="1">
      <alignment horizontal="center" vertical="center" wrapText="1" readingOrder="2"/>
      <protection locked="0"/>
    </xf>
    <xf numFmtId="165" fontId="32" fillId="7" borderId="70" xfId="1" applyNumberFormat="1" applyFont="1" applyFill="1" applyBorder="1" applyAlignment="1" applyProtection="1">
      <alignment horizontal="center" vertical="center" wrapText="1" readingOrder="2"/>
      <protection locked="0"/>
    </xf>
    <xf numFmtId="3" fontId="32" fillId="7" borderId="74" xfId="1" applyNumberFormat="1" applyFont="1" applyFill="1" applyBorder="1" applyAlignment="1" applyProtection="1">
      <alignment horizontal="center" vertical="center" wrapText="1" readingOrder="2"/>
      <protection locked="0"/>
    </xf>
    <xf numFmtId="165" fontId="32" fillId="7" borderId="6" xfId="1" applyNumberFormat="1" applyFont="1" applyFill="1" applyBorder="1" applyAlignment="1" applyProtection="1">
      <alignment horizontal="center" vertical="center" wrapText="1" readingOrder="2"/>
      <protection locked="0"/>
    </xf>
    <xf numFmtId="0" fontId="31" fillId="7" borderId="75" xfId="1" applyFont="1" applyFill="1" applyBorder="1" applyAlignment="1" applyProtection="1">
      <alignment horizontal="center" vertical="center" wrapText="1" readingOrder="2"/>
      <protection locked="0"/>
    </xf>
    <xf numFmtId="3" fontId="15" fillId="7" borderId="78" xfId="1" applyNumberFormat="1" applyFont="1" applyFill="1" applyBorder="1" applyAlignment="1" applyProtection="1">
      <alignment horizontal="center" vertical="center" wrapText="1" readingOrder="2"/>
      <protection locked="0"/>
    </xf>
    <xf numFmtId="3" fontId="32" fillId="7" borderId="15" xfId="1" applyNumberFormat="1" applyFont="1" applyFill="1" applyBorder="1" applyAlignment="1" applyProtection="1">
      <alignment horizontal="center" vertical="center" wrapText="1" readingOrder="2"/>
      <protection locked="0"/>
    </xf>
    <xf numFmtId="3" fontId="32" fillId="7" borderId="79" xfId="1" applyNumberFormat="1" applyFont="1" applyFill="1" applyBorder="1" applyAlignment="1" applyProtection="1">
      <alignment horizontal="center" vertical="center" wrapText="1" readingOrder="2"/>
      <protection locked="0"/>
    </xf>
    <xf numFmtId="3" fontId="15" fillId="7" borderId="15" xfId="1" applyNumberFormat="1" applyFont="1" applyFill="1" applyBorder="1" applyAlignment="1" applyProtection="1">
      <alignment horizontal="center" vertical="center" wrapText="1" readingOrder="2"/>
      <protection locked="0" hidden="1"/>
    </xf>
    <xf numFmtId="3" fontId="15" fillId="7" borderId="76" xfId="1" applyNumberFormat="1" applyFont="1" applyFill="1" applyBorder="1" applyAlignment="1" applyProtection="1">
      <alignment horizontal="center" vertical="center" wrapText="1" readingOrder="2"/>
      <protection locked="0" hidden="1"/>
    </xf>
    <xf numFmtId="3" fontId="15" fillId="7" borderId="77" xfId="1" applyNumberFormat="1" applyFont="1" applyFill="1" applyBorder="1" applyAlignment="1" applyProtection="1">
      <alignment horizontal="center" vertical="center" wrapText="1" readingOrder="2"/>
      <protection locked="0" hidden="1"/>
    </xf>
    <xf numFmtId="165" fontId="32" fillId="7" borderId="80" xfId="1" applyNumberFormat="1" applyFont="1" applyFill="1" applyBorder="1" applyAlignment="1" applyProtection="1">
      <alignment horizontal="center" vertical="center" wrapText="1" readingOrder="2"/>
      <protection locked="0"/>
    </xf>
    <xf numFmtId="165" fontId="32" fillId="7" borderId="81" xfId="1" applyNumberFormat="1" applyFont="1" applyFill="1" applyBorder="1" applyAlignment="1" applyProtection="1">
      <alignment horizontal="center" vertical="center" wrapText="1" readingOrder="2"/>
      <protection locked="0"/>
    </xf>
    <xf numFmtId="165" fontId="32" fillId="7" borderId="82" xfId="1" applyNumberFormat="1" applyFont="1" applyFill="1" applyBorder="1" applyAlignment="1" applyProtection="1">
      <alignment horizontal="center" vertical="center" wrapText="1" readingOrder="2"/>
      <protection locked="0"/>
    </xf>
    <xf numFmtId="165" fontId="32" fillId="7" borderId="78" xfId="1" applyNumberFormat="1" applyFont="1" applyFill="1" applyBorder="1" applyAlignment="1" applyProtection="1">
      <alignment horizontal="center" vertical="center" wrapText="1" readingOrder="2"/>
      <protection locked="0"/>
    </xf>
    <xf numFmtId="3" fontId="32" fillId="7" borderId="83" xfId="1" applyNumberFormat="1" applyFont="1" applyFill="1" applyBorder="1" applyAlignment="1" applyProtection="1">
      <alignment horizontal="center" vertical="center" wrapText="1" readingOrder="2"/>
      <protection locked="0"/>
    </xf>
    <xf numFmtId="165" fontId="32" fillId="7" borderId="84" xfId="1" applyNumberFormat="1" applyFont="1" applyFill="1" applyBorder="1" applyAlignment="1" applyProtection="1">
      <alignment horizontal="center" vertical="center" wrapText="1" readingOrder="2"/>
      <protection locked="0"/>
    </xf>
    <xf numFmtId="3" fontId="32" fillId="7" borderId="85" xfId="1" applyNumberFormat="1" applyFont="1" applyFill="1" applyBorder="1" applyAlignment="1" applyProtection="1">
      <alignment horizontal="center" vertical="center" wrapText="1" readingOrder="2"/>
      <protection locked="0"/>
    </xf>
    <xf numFmtId="3" fontId="32" fillId="7" borderId="80" xfId="1" applyNumberFormat="1" applyFont="1" applyFill="1" applyBorder="1" applyAlignment="1" applyProtection="1">
      <alignment horizontal="center" vertical="center" wrapText="1" readingOrder="2"/>
      <protection locked="0"/>
    </xf>
    <xf numFmtId="3" fontId="32" fillId="7" borderId="81" xfId="1" applyNumberFormat="1" applyFont="1" applyFill="1" applyBorder="1" applyAlignment="1" applyProtection="1">
      <alignment horizontal="center" vertical="center" wrapText="1" readingOrder="2"/>
      <protection locked="0"/>
    </xf>
    <xf numFmtId="3" fontId="32" fillId="7" borderId="82" xfId="1" applyNumberFormat="1" applyFont="1" applyFill="1" applyBorder="1" applyAlignment="1" applyProtection="1">
      <alignment horizontal="center" vertical="center" wrapText="1" readingOrder="2"/>
      <protection locked="0"/>
    </xf>
    <xf numFmtId="3" fontId="32" fillId="7" borderId="78" xfId="1" applyNumberFormat="1" applyFont="1" applyFill="1" applyBorder="1" applyAlignment="1" applyProtection="1">
      <alignment horizontal="center" vertical="center" wrapText="1" readingOrder="2"/>
      <protection locked="0"/>
    </xf>
    <xf numFmtId="3" fontId="32" fillId="7" borderId="86" xfId="1" applyNumberFormat="1" applyFont="1" applyFill="1" applyBorder="1" applyAlignment="1" applyProtection="1">
      <alignment horizontal="center" vertical="center" wrapText="1" readingOrder="2"/>
      <protection locked="0"/>
    </xf>
    <xf numFmtId="3" fontId="32" fillId="7" borderId="87" xfId="1" applyNumberFormat="1" applyFont="1" applyFill="1" applyBorder="1" applyAlignment="1" applyProtection="1">
      <alignment horizontal="center" vertical="center" wrapText="1" readingOrder="2"/>
      <protection locked="0"/>
    </xf>
    <xf numFmtId="3" fontId="32" fillId="7" borderId="84" xfId="1" applyNumberFormat="1" applyFont="1" applyFill="1" applyBorder="1" applyAlignment="1" applyProtection="1">
      <alignment horizontal="center" vertical="center" wrapText="1" readingOrder="2"/>
      <protection locked="0"/>
    </xf>
    <xf numFmtId="0" fontId="31" fillId="7" borderId="88" xfId="1" applyFont="1" applyFill="1" applyBorder="1" applyAlignment="1" applyProtection="1">
      <alignment horizontal="center" vertical="center" wrapText="1" readingOrder="2"/>
      <protection locked="0"/>
    </xf>
    <xf numFmtId="3" fontId="15" fillId="7" borderId="92" xfId="1" applyNumberFormat="1" applyFont="1" applyFill="1" applyBorder="1" applyAlignment="1" applyProtection="1">
      <alignment horizontal="center" vertical="center" wrapText="1" readingOrder="2"/>
      <protection locked="0"/>
    </xf>
    <xf numFmtId="3" fontId="32" fillId="7" borderId="77" xfId="1" applyNumberFormat="1" applyFont="1" applyFill="1" applyBorder="1" applyAlignment="1" applyProtection="1">
      <alignment horizontal="center" vertical="center" wrapText="1" readingOrder="2"/>
      <protection locked="0"/>
    </xf>
    <xf numFmtId="3" fontId="32" fillId="7" borderId="93" xfId="1" applyNumberFormat="1" applyFont="1" applyFill="1" applyBorder="1" applyAlignment="1" applyProtection="1">
      <alignment horizontal="center" vertical="center" wrapText="1" readingOrder="2"/>
      <protection locked="0"/>
    </xf>
    <xf numFmtId="3" fontId="32" fillId="7" borderId="94" xfId="1" applyNumberFormat="1" applyFont="1" applyFill="1" applyBorder="1" applyAlignment="1" applyProtection="1">
      <alignment horizontal="center" vertical="center" wrapText="1" readingOrder="2"/>
      <protection locked="0"/>
    </xf>
    <xf numFmtId="3" fontId="32" fillId="7" borderId="95" xfId="1" applyNumberFormat="1" applyFont="1" applyFill="1" applyBorder="1" applyAlignment="1" applyProtection="1">
      <alignment horizontal="center" vertical="center" wrapText="1" readingOrder="2"/>
      <protection locked="0"/>
    </xf>
    <xf numFmtId="3" fontId="32" fillId="7" borderId="92" xfId="1" applyNumberFormat="1" applyFont="1" applyFill="1" applyBorder="1" applyAlignment="1" applyProtection="1">
      <alignment horizontal="center" vertical="center" wrapText="1" readingOrder="2"/>
      <protection locked="0"/>
    </xf>
    <xf numFmtId="0" fontId="15" fillId="7" borderId="96" xfId="1" applyFont="1" applyFill="1" applyBorder="1" applyAlignment="1" applyProtection="1">
      <alignment horizontal="center" vertical="center" wrapText="1" readingOrder="2"/>
      <protection locked="0"/>
    </xf>
    <xf numFmtId="3" fontId="15" fillId="7" borderId="97" xfId="1" applyNumberFormat="1" applyFont="1" applyFill="1" applyBorder="1" applyAlignment="1" applyProtection="1">
      <alignment horizontal="center" vertical="center" wrapText="1" readingOrder="2"/>
      <protection locked="0"/>
    </xf>
    <xf numFmtId="3" fontId="15" fillId="7" borderId="98" xfId="1" applyNumberFormat="1" applyFont="1" applyFill="1" applyBorder="1" applyAlignment="1" applyProtection="1">
      <alignment horizontal="center" vertical="center" wrapText="1" readingOrder="2"/>
      <protection locked="0"/>
    </xf>
    <xf numFmtId="3" fontId="15" fillId="7" borderId="99" xfId="1" applyNumberFormat="1" applyFont="1" applyFill="1" applyBorder="1" applyAlignment="1" applyProtection="1">
      <alignment horizontal="center" vertical="center" wrapText="1" readingOrder="2"/>
      <protection locked="0"/>
    </xf>
    <xf numFmtId="3" fontId="15" fillId="7" borderId="100" xfId="1" applyNumberFormat="1" applyFont="1" applyFill="1" applyBorder="1" applyAlignment="1" applyProtection="1">
      <alignment horizontal="center" vertical="center" wrapText="1" readingOrder="2"/>
      <protection locked="0"/>
    </xf>
    <xf numFmtId="3" fontId="32" fillId="7" borderId="97" xfId="1" applyNumberFormat="1" applyFont="1" applyFill="1" applyBorder="1" applyAlignment="1" applyProtection="1">
      <alignment horizontal="center" vertical="center" wrapText="1" readingOrder="2"/>
      <protection locked="0"/>
    </xf>
    <xf numFmtId="3" fontId="32" fillId="7" borderId="99" xfId="1" applyNumberFormat="1" applyFont="1" applyFill="1" applyBorder="1" applyAlignment="1" applyProtection="1">
      <alignment horizontal="center" vertical="center" wrapText="1" readingOrder="2"/>
      <protection locked="0"/>
    </xf>
    <xf numFmtId="3" fontId="32" fillId="7" borderId="101" xfId="1" applyNumberFormat="1" applyFont="1" applyFill="1" applyBorder="1" applyAlignment="1" applyProtection="1">
      <alignment horizontal="center" vertical="center" wrapText="1" readingOrder="2"/>
      <protection locked="0"/>
    </xf>
    <xf numFmtId="3" fontId="32" fillId="7" borderId="102" xfId="1" applyNumberFormat="1" applyFont="1" applyFill="1" applyBorder="1" applyAlignment="1" applyProtection="1">
      <alignment horizontal="center" vertical="center" wrapText="1" readingOrder="2"/>
      <protection locked="0"/>
    </xf>
    <xf numFmtId="3" fontId="32" fillId="7" borderId="103" xfId="1" applyNumberFormat="1" applyFont="1" applyFill="1" applyBorder="1" applyAlignment="1" applyProtection="1">
      <alignment horizontal="center" vertical="center" wrapText="1" readingOrder="2"/>
      <protection locked="0"/>
    </xf>
    <xf numFmtId="3" fontId="32" fillId="7" borderId="100" xfId="1" applyNumberFormat="1" applyFont="1" applyFill="1" applyBorder="1" applyAlignment="1" applyProtection="1">
      <alignment horizontal="center" vertical="center" wrapText="1" readingOrder="2"/>
      <protection locked="0"/>
    </xf>
    <xf numFmtId="0" fontId="15" fillId="7" borderId="104" xfId="1" applyFont="1" applyFill="1" applyBorder="1" applyAlignment="1" applyProtection="1">
      <alignment horizontal="center" vertical="center" wrapText="1" readingOrder="2"/>
      <protection locked="0"/>
    </xf>
    <xf numFmtId="3" fontId="15" fillId="7" borderId="108" xfId="1" applyNumberFormat="1" applyFont="1" applyFill="1" applyBorder="1" applyAlignment="1" applyProtection="1">
      <alignment horizontal="center" vertical="center" wrapText="1" readingOrder="2"/>
      <protection locked="0"/>
    </xf>
    <xf numFmtId="3" fontId="32" fillId="7" borderId="109" xfId="1" applyNumberFormat="1" applyFont="1" applyFill="1" applyBorder="1" applyAlignment="1" applyProtection="1">
      <alignment horizontal="center" vertical="center" wrapText="1" readingOrder="2"/>
      <protection locked="0"/>
    </xf>
    <xf numFmtId="3" fontId="32" fillId="7" borderId="110" xfId="1" applyNumberFormat="1" applyFont="1" applyFill="1" applyBorder="1" applyAlignment="1" applyProtection="1">
      <alignment horizontal="center" vertical="center" wrapText="1" readingOrder="2"/>
      <protection locked="0"/>
    </xf>
    <xf numFmtId="3" fontId="32" fillId="7" borderId="111" xfId="1" applyNumberFormat="1" applyFont="1" applyFill="1" applyBorder="1" applyAlignment="1" applyProtection="1">
      <alignment horizontal="center" vertical="center" wrapText="1" readingOrder="2"/>
      <protection locked="0"/>
    </xf>
    <xf numFmtId="3" fontId="32" fillId="7" borderId="108" xfId="1" applyNumberFormat="1" applyFont="1" applyFill="1" applyBorder="1" applyAlignment="1" applyProtection="1">
      <alignment horizontal="center" vertical="center" wrapText="1" readingOrder="2"/>
      <protection locked="0"/>
    </xf>
    <xf numFmtId="0" fontId="34" fillId="0" borderId="7" xfId="1" applyFont="1" applyBorder="1" applyAlignment="1" applyProtection="1">
      <alignment horizontal="center" vertical="center" wrapText="1" readingOrder="2"/>
      <protection locked="0"/>
    </xf>
    <xf numFmtId="0" fontId="34" fillId="0" borderId="5" xfId="1" applyFont="1" applyBorder="1" applyAlignment="1" applyProtection="1">
      <alignment horizontal="center" vertical="center" wrapText="1" readingOrder="2"/>
      <protection locked="0"/>
    </xf>
    <xf numFmtId="0" fontId="34" fillId="0" borderId="6" xfId="1" applyFont="1" applyBorder="1" applyAlignment="1" applyProtection="1">
      <alignment horizontal="center" vertical="center" wrapText="1" readingOrder="2"/>
      <protection locked="0"/>
    </xf>
    <xf numFmtId="0" fontId="32" fillId="0" borderId="112" xfId="1" applyFont="1" applyBorder="1" applyAlignment="1" applyProtection="1">
      <alignment horizontal="right" vertical="top" wrapText="1" readingOrder="2"/>
      <protection locked="0"/>
    </xf>
    <xf numFmtId="0" fontId="32" fillId="0" borderId="0" xfId="1" applyFont="1" applyAlignment="1" applyProtection="1">
      <alignment horizontal="right" vertical="top" wrapText="1" readingOrder="2"/>
      <protection locked="0"/>
    </xf>
    <xf numFmtId="0" fontId="32" fillId="0" borderId="22" xfId="1" applyFont="1" applyBorder="1" applyAlignment="1" applyProtection="1">
      <alignment horizontal="right" vertical="top" wrapText="1" readingOrder="2"/>
      <protection locked="0"/>
    </xf>
    <xf numFmtId="0" fontId="32" fillId="0" borderId="113" xfId="1" applyFont="1" applyBorder="1" applyAlignment="1" applyProtection="1">
      <alignment horizontal="right" vertical="top" wrapText="1" readingOrder="2"/>
      <protection locked="0"/>
    </xf>
    <xf numFmtId="0" fontId="32" fillId="0" borderId="1" xfId="1" applyFont="1" applyBorder="1" applyAlignment="1" applyProtection="1">
      <alignment horizontal="right" vertical="top" wrapText="1" readingOrder="2"/>
      <protection locked="0"/>
    </xf>
    <xf numFmtId="0" fontId="32" fillId="0" borderId="64" xfId="1" applyFont="1" applyBorder="1" applyAlignment="1" applyProtection="1">
      <alignment horizontal="right" vertical="top" wrapText="1" readingOrder="2"/>
      <protection locked="0"/>
    </xf>
    <xf numFmtId="0" fontId="4" fillId="0" borderId="0" xfId="0" applyFont="1" applyProtection="1">
      <protection locked="0"/>
    </xf>
    <xf numFmtId="0" fontId="35" fillId="0" borderId="0" xfId="0" applyFont="1" applyProtection="1">
      <protection locked="0"/>
    </xf>
    <xf numFmtId="0" fontId="4" fillId="0" borderId="0" xfId="0" applyFont="1" applyProtection="1">
      <protection hidden="1"/>
    </xf>
    <xf numFmtId="0" fontId="0" fillId="0" borderId="0" xfId="0" applyProtection="1">
      <protection locked="0"/>
    </xf>
    <xf numFmtId="0" fontId="8" fillId="0" borderId="0" xfId="1" applyFont="1" applyAlignment="1">
      <alignment horizontal="centerContinuous" readingOrder="2"/>
    </xf>
    <xf numFmtId="0" fontId="10" fillId="0" borderId="0" xfId="1" applyFont="1" applyAlignment="1">
      <alignment horizontal="centerContinuous" vertical="center" wrapText="1" readingOrder="2"/>
    </xf>
    <xf numFmtId="0" fontId="36" fillId="0" borderId="0" xfId="1" applyFont="1" applyAlignment="1" applyProtection="1">
      <alignment horizontal="centerContinuous" readingOrder="2"/>
      <protection locked="0"/>
    </xf>
    <xf numFmtId="0" fontId="37" fillId="0" borderId="0" xfId="1" applyFont="1" applyAlignment="1" applyProtection="1">
      <alignment vertical="top" readingOrder="2"/>
      <protection locked="0"/>
    </xf>
    <xf numFmtId="0" fontId="13" fillId="0" borderId="1" xfId="1" applyFont="1" applyBorder="1" applyAlignment="1">
      <alignment horizontal="right" vertical="center" wrapText="1" readingOrder="2"/>
    </xf>
    <xf numFmtId="0" fontId="14" fillId="0" borderId="1" xfId="1" applyFont="1" applyBorder="1" applyAlignment="1">
      <alignment vertical="center" wrapText="1" readingOrder="2"/>
    </xf>
    <xf numFmtId="0" fontId="38" fillId="0" borderId="0" xfId="1" applyFont="1" applyAlignment="1">
      <alignment horizontal="left" vertical="center" readingOrder="2"/>
    </xf>
    <xf numFmtId="0" fontId="15" fillId="12" borderId="114" xfId="1" applyFont="1" applyFill="1" applyBorder="1" applyAlignment="1">
      <alignment horizontal="centerContinuous" vertical="center" wrapText="1" readingOrder="2"/>
    </xf>
    <xf numFmtId="0" fontId="15" fillId="12" borderId="50" xfId="1" applyFont="1" applyFill="1" applyBorder="1" applyAlignment="1">
      <alignment horizontal="centerContinuous" vertical="center" wrapText="1" readingOrder="2"/>
    </xf>
    <xf numFmtId="0" fontId="39" fillId="5" borderId="62" xfId="1" applyFont="1" applyFill="1" applyBorder="1"/>
    <xf numFmtId="0" fontId="15" fillId="12" borderId="35" xfId="1" applyFont="1" applyFill="1" applyBorder="1" applyAlignment="1">
      <alignment horizontal="center" vertical="center" wrapText="1" readingOrder="2"/>
    </xf>
    <xf numFmtId="0" fontId="15" fillId="12" borderId="9" xfId="1" applyFont="1" applyFill="1" applyBorder="1" applyAlignment="1">
      <alignment horizontal="center" vertical="center" wrapText="1" readingOrder="2"/>
    </xf>
    <xf numFmtId="0" fontId="15" fillId="12" borderId="36" xfId="1" applyFont="1" applyFill="1" applyBorder="1" applyAlignment="1">
      <alignment horizontal="center" vertical="center" wrapText="1" readingOrder="2"/>
    </xf>
    <xf numFmtId="0" fontId="15" fillId="12" borderId="11" xfId="1" applyFont="1" applyFill="1" applyBorder="1" applyAlignment="1">
      <alignment horizontal="center" vertical="center" wrapText="1" readingOrder="2"/>
    </xf>
    <xf numFmtId="0" fontId="35" fillId="0" borderId="0" xfId="0" applyFont="1" applyProtection="1">
      <protection hidden="1"/>
    </xf>
    <xf numFmtId="0" fontId="15" fillId="7" borderId="7" xfId="1" applyFont="1" applyFill="1" applyBorder="1" applyAlignment="1" applyProtection="1">
      <alignment horizontal="right" vertical="center" wrapText="1" readingOrder="2"/>
      <protection hidden="1"/>
    </xf>
    <xf numFmtId="165" fontId="15" fillId="0" borderId="67" xfId="1" applyNumberFormat="1" applyFont="1" applyBorder="1" applyAlignment="1" applyProtection="1">
      <alignment horizontal="center" vertical="center" wrapText="1" readingOrder="2"/>
      <protection locked="0"/>
    </xf>
    <xf numFmtId="165" fontId="15" fillId="0" borderId="72" xfId="1" applyNumberFormat="1" applyFont="1" applyBorder="1" applyAlignment="1" applyProtection="1">
      <alignment horizontal="center" vertical="center" wrapText="1" readingOrder="2"/>
      <protection locked="0"/>
    </xf>
    <xf numFmtId="165" fontId="16" fillId="7" borderId="115" xfId="1" applyNumberFormat="1" applyFont="1" applyFill="1" applyBorder="1" applyAlignment="1">
      <alignment horizontal="center" vertical="center" wrapText="1" readingOrder="2"/>
    </xf>
    <xf numFmtId="165" fontId="32" fillId="7" borderId="116" xfId="1" applyNumberFormat="1" applyFont="1" applyFill="1" applyBorder="1" applyAlignment="1">
      <alignment horizontal="center" vertical="center" wrapText="1" readingOrder="2"/>
    </xf>
    <xf numFmtId="0" fontId="14" fillId="0" borderId="0" xfId="1" applyFont="1" applyProtection="1">
      <protection hidden="1"/>
    </xf>
    <xf numFmtId="3" fontId="35" fillId="0" borderId="0" xfId="0" applyNumberFormat="1" applyFont="1" applyProtection="1">
      <protection hidden="1"/>
    </xf>
    <xf numFmtId="0" fontId="15" fillId="7" borderId="112" xfId="1" applyFont="1" applyFill="1" applyBorder="1" applyAlignment="1" applyProtection="1">
      <alignment horizontal="right" vertical="center" wrapText="1" readingOrder="2"/>
      <protection hidden="1"/>
    </xf>
    <xf numFmtId="165" fontId="15" fillId="0" borderId="75" xfId="1" applyNumberFormat="1" applyFont="1" applyBorder="1" applyAlignment="1" applyProtection="1">
      <alignment horizontal="center" vertical="center" wrapText="1" readingOrder="2"/>
      <protection locked="0"/>
    </xf>
    <xf numFmtId="165" fontId="15" fillId="0" borderId="81" xfId="1" applyNumberFormat="1" applyFont="1" applyBorder="1" applyAlignment="1" applyProtection="1">
      <alignment horizontal="center" vertical="center" wrapText="1" readingOrder="2"/>
      <protection locked="0"/>
    </xf>
    <xf numFmtId="165" fontId="16" fillId="7" borderId="117" xfId="1" applyNumberFormat="1" applyFont="1" applyFill="1" applyBorder="1" applyAlignment="1">
      <alignment horizontal="center" vertical="center" wrapText="1" readingOrder="2"/>
    </xf>
    <xf numFmtId="165" fontId="32" fillId="7" borderId="118" xfId="1" applyNumberFormat="1" applyFont="1" applyFill="1" applyBorder="1" applyAlignment="1">
      <alignment horizontal="center" vertical="center" wrapText="1" readingOrder="2"/>
    </xf>
    <xf numFmtId="165" fontId="32" fillId="7" borderId="119" xfId="1" applyNumberFormat="1" applyFont="1" applyFill="1" applyBorder="1" applyAlignment="1">
      <alignment horizontal="center" vertical="center" wrapText="1" readingOrder="2"/>
    </xf>
    <xf numFmtId="0" fontId="15" fillId="13" borderId="112" xfId="1" applyFont="1" applyFill="1" applyBorder="1" applyAlignment="1" applyProtection="1">
      <alignment horizontal="right" vertical="center" wrapText="1" readingOrder="2"/>
      <protection locked="0" hidden="1"/>
    </xf>
    <xf numFmtId="165" fontId="32" fillId="7" borderId="120" xfId="1" applyNumberFormat="1" applyFont="1" applyFill="1" applyBorder="1" applyAlignment="1">
      <alignment horizontal="center" vertical="center" wrapText="1" readingOrder="2"/>
    </xf>
    <xf numFmtId="165" fontId="32" fillId="7" borderId="121" xfId="1" applyNumberFormat="1" applyFont="1" applyFill="1" applyBorder="1" applyAlignment="1">
      <alignment horizontal="center" vertical="center" wrapText="1" readingOrder="2"/>
    </xf>
    <xf numFmtId="0" fontId="15" fillId="7" borderId="51" xfId="1" applyFont="1" applyFill="1" applyBorder="1" applyAlignment="1">
      <alignment horizontal="justify" vertical="center" wrapText="1" readingOrder="2"/>
    </xf>
    <xf numFmtId="165" fontId="15" fillId="7" borderId="65" xfId="1" applyNumberFormat="1" applyFont="1" applyFill="1" applyBorder="1" applyAlignment="1">
      <alignment horizontal="center" vertical="center" wrapText="1" readingOrder="2"/>
    </xf>
    <xf numFmtId="165" fontId="15" fillId="7" borderId="55" xfId="1" applyNumberFormat="1" applyFont="1" applyFill="1" applyBorder="1" applyAlignment="1">
      <alignment horizontal="center" vertical="center" wrapText="1" readingOrder="2"/>
    </xf>
    <xf numFmtId="165" fontId="15" fillId="7" borderId="56" xfId="1" applyNumberFormat="1" applyFont="1" applyFill="1" applyBorder="1" applyAlignment="1">
      <alignment horizontal="center" vertical="center" wrapText="1" readingOrder="2"/>
    </xf>
    <xf numFmtId="165" fontId="16" fillId="7" borderId="56" xfId="1" applyNumberFormat="1" applyFont="1" applyFill="1" applyBorder="1" applyAlignment="1">
      <alignment horizontal="center" vertical="center" wrapText="1" readingOrder="2"/>
    </xf>
    <xf numFmtId="165" fontId="32" fillId="7" borderId="66" xfId="1" applyNumberFormat="1" applyFont="1" applyFill="1" applyBorder="1" applyAlignment="1">
      <alignment horizontal="center" vertical="center" wrapText="1" readingOrder="2"/>
    </xf>
    <xf numFmtId="165" fontId="32" fillId="7" borderId="53" xfId="1" applyNumberFormat="1" applyFont="1" applyFill="1" applyBorder="1" applyAlignment="1">
      <alignment horizontal="center" vertical="center" wrapText="1" readingOrder="2"/>
    </xf>
    <xf numFmtId="0" fontId="31" fillId="7" borderId="51" xfId="1" applyFont="1" applyFill="1" applyBorder="1" applyAlignment="1">
      <alignment horizontal="justify" vertical="center" wrapText="1" readingOrder="2"/>
    </xf>
    <xf numFmtId="165" fontId="15" fillId="0" borderId="65" xfId="1" applyNumberFormat="1" applyFont="1" applyBorder="1" applyAlignment="1" applyProtection="1">
      <alignment horizontal="center" vertical="center" wrapText="1" readingOrder="2"/>
      <protection locked="0"/>
    </xf>
    <xf numFmtId="165" fontId="15" fillId="7" borderId="55" xfId="1" applyNumberFormat="1" applyFont="1" applyFill="1" applyBorder="1" applyAlignment="1" applyProtection="1">
      <alignment horizontal="center" vertical="center" wrapText="1" readingOrder="2"/>
      <protection hidden="1"/>
    </xf>
    <xf numFmtId="165" fontId="15" fillId="0" borderId="56" xfId="1" applyNumberFormat="1" applyFont="1" applyBorder="1" applyAlignment="1" applyProtection="1">
      <alignment horizontal="center" vertical="center" wrapText="1" readingOrder="2"/>
      <protection locked="0"/>
    </xf>
    <xf numFmtId="0" fontId="31" fillId="0" borderId="5" xfId="1" applyFont="1" applyBorder="1" applyAlignment="1" applyProtection="1">
      <alignment horizontal="justify" vertical="center" wrapText="1" readingOrder="2"/>
      <protection locked="0"/>
    </xf>
    <xf numFmtId="0" fontId="31" fillId="0" borderId="5" xfId="1" applyFont="1" applyBorder="1" applyAlignment="1" applyProtection="1">
      <alignment horizontal="justify" vertical="center" wrapText="1" readingOrder="2"/>
      <protection locked="0"/>
    </xf>
    <xf numFmtId="0" fontId="15" fillId="0" borderId="0" xfId="1" applyFont="1" applyAlignment="1" applyProtection="1">
      <alignment vertical="center" readingOrder="2"/>
      <protection locked="0"/>
    </xf>
    <xf numFmtId="0" fontId="15" fillId="0" borderId="0" xfId="1" applyFont="1" applyAlignment="1" applyProtection="1">
      <alignment horizontal="center" vertical="center" readingOrder="2"/>
      <protection locked="0"/>
    </xf>
    <xf numFmtId="0" fontId="6" fillId="0" borderId="0" xfId="0" applyFont="1" applyAlignment="1">
      <alignment horizontal="center"/>
    </xf>
    <xf numFmtId="0" fontId="21" fillId="8" borderId="0" xfId="0" applyFont="1" applyFill="1" applyProtection="1">
      <protection locked="0"/>
    </xf>
    <xf numFmtId="0" fontId="34" fillId="0" borderId="0" xfId="0" applyFont="1" applyAlignment="1">
      <alignment horizontal="centerContinuous" vertical="center" wrapText="1" readingOrder="2"/>
    </xf>
    <xf numFmtId="0" fontId="40" fillId="0" borderId="0" xfId="0" applyFont="1" applyAlignment="1">
      <alignment horizontal="centerContinuous" vertical="center" wrapText="1" readingOrder="2"/>
    </xf>
    <xf numFmtId="0" fontId="41" fillId="0" borderId="0" xfId="1" applyFont="1" applyAlignment="1">
      <alignment horizontal="centerContinuous" vertical="center" wrapText="1" readingOrder="2"/>
    </xf>
    <xf numFmtId="0" fontId="21" fillId="0" borderId="0" xfId="0" applyFont="1" applyProtection="1">
      <protection locked="0"/>
    </xf>
    <xf numFmtId="0" fontId="34" fillId="0" borderId="0" xfId="0" applyFont="1" applyAlignment="1">
      <alignment horizontal="center" vertical="center" wrapText="1" readingOrder="2"/>
    </xf>
    <xf numFmtId="0" fontId="40" fillId="0" borderId="0" xfId="0" applyFont="1" applyAlignment="1">
      <alignment horizontal="center" vertical="center" wrapText="1" readingOrder="2"/>
    </xf>
    <xf numFmtId="0" fontId="38" fillId="0" borderId="0" xfId="0" applyFont="1" applyAlignment="1">
      <alignment horizontal="left" vertical="center" wrapText="1" readingOrder="2"/>
    </xf>
    <xf numFmtId="166" fontId="19" fillId="5" borderId="40" xfId="2" applyFont="1" applyFill="1" applyBorder="1" applyAlignment="1" applyProtection="1">
      <alignment horizontal="center" vertical="center" wrapText="1" readingOrder="2"/>
    </xf>
    <xf numFmtId="166" fontId="19" fillId="5" borderId="49" xfId="2" applyFont="1" applyFill="1" applyBorder="1" applyAlignment="1" applyProtection="1">
      <alignment horizontal="center" vertical="center" readingOrder="2"/>
    </xf>
    <xf numFmtId="166" fontId="19" fillId="5" borderId="61" xfId="2" applyFont="1" applyFill="1" applyBorder="1" applyAlignment="1" applyProtection="1">
      <alignment horizontal="center" vertical="center" wrapText="1" readingOrder="2"/>
    </xf>
    <xf numFmtId="0" fontId="20" fillId="5" borderId="40" xfId="0" applyFont="1" applyFill="1" applyBorder="1" applyAlignment="1">
      <alignment horizontal="center" vertical="center" readingOrder="2"/>
    </xf>
    <xf numFmtId="0" fontId="20" fillId="5" borderId="114" xfId="0" applyFont="1" applyFill="1" applyBorder="1" applyAlignment="1">
      <alignment horizontal="center" vertical="center" readingOrder="2"/>
    </xf>
    <xf numFmtId="0" fontId="20" fillId="5" borderId="50" xfId="0" applyFont="1" applyFill="1" applyBorder="1" applyAlignment="1">
      <alignment horizontal="center" vertical="center" readingOrder="2"/>
    </xf>
    <xf numFmtId="0" fontId="19" fillId="5" borderId="40" xfId="0" applyFont="1" applyFill="1" applyBorder="1" applyAlignment="1">
      <alignment horizontal="center" vertical="center" readingOrder="2"/>
    </xf>
    <xf numFmtId="0" fontId="19" fillId="5" borderId="114" xfId="0" applyFont="1" applyFill="1" applyBorder="1" applyAlignment="1">
      <alignment horizontal="center" vertical="center" readingOrder="2"/>
    </xf>
    <xf numFmtId="0" fontId="19" fillId="5" borderId="50" xfId="0" applyFont="1" applyFill="1" applyBorder="1" applyAlignment="1">
      <alignment horizontal="center" vertical="center" readingOrder="2"/>
    </xf>
    <xf numFmtId="0" fontId="19" fillId="5" borderId="61" xfId="0" applyFont="1" applyFill="1" applyBorder="1" applyAlignment="1">
      <alignment horizontal="center" vertical="center" wrapText="1" readingOrder="2"/>
    </xf>
    <xf numFmtId="0" fontId="19" fillId="5" borderId="7" xfId="0" applyFont="1" applyFill="1" applyBorder="1" applyAlignment="1">
      <alignment horizontal="center" vertical="center" wrapText="1" readingOrder="2"/>
    </xf>
    <xf numFmtId="0" fontId="19" fillId="5" borderId="5" xfId="0" applyFont="1" applyFill="1" applyBorder="1" applyAlignment="1">
      <alignment horizontal="center" vertical="center" wrapText="1" readingOrder="2"/>
    </xf>
    <xf numFmtId="0" fontId="19" fillId="5" borderId="6" xfId="0" applyFont="1" applyFill="1" applyBorder="1" applyAlignment="1">
      <alignment horizontal="center" vertical="center" wrapText="1" readingOrder="2"/>
    </xf>
    <xf numFmtId="0" fontId="19" fillId="5" borderId="2" xfId="0" applyFont="1" applyFill="1" applyBorder="1" applyAlignment="1">
      <alignment horizontal="center" vertical="center" wrapText="1" readingOrder="2"/>
    </xf>
    <xf numFmtId="0" fontId="19" fillId="5" borderId="114" xfId="0" applyFont="1" applyFill="1" applyBorder="1" applyAlignment="1">
      <alignment horizontal="center" vertical="center" wrapText="1" readingOrder="2"/>
    </xf>
    <xf numFmtId="0" fontId="19" fillId="5" borderId="4" xfId="0" applyFont="1" applyFill="1" applyBorder="1" applyAlignment="1">
      <alignment horizontal="center" vertical="center" wrapText="1" readingOrder="2"/>
    </xf>
    <xf numFmtId="166" fontId="19" fillId="5" borderId="122" xfId="2" applyFont="1" applyFill="1" applyBorder="1" applyAlignment="1" applyProtection="1">
      <alignment horizontal="center" vertical="center" wrapText="1" readingOrder="2"/>
    </xf>
    <xf numFmtId="166" fontId="19" fillId="5" borderId="36" xfId="2" applyFont="1" applyFill="1" applyBorder="1" applyAlignment="1" applyProtection="1">
      <alignment horizontal="center" vertical="center" readingOrder="2"/>
    </xf>
    <xf numFmtId="166" fontId="19" fillId="5" borderId="62" xfId="2" applyFont="1" applyFill="1" applyBorder="1" applyAlignment="1" applyProtection="1">
      <alignment horizontal="center" vertical="center" wrapText="1" readingOrder="2"/>
    </xf>
    <xf numFmtId="0" fontId="20" fillId="5" borderId="34" xfId="0" applyFont="1" applyFill="1" applyBorder="1" applyAlignment="1">
      <alignment horizontal="center" vertical="center" textRotation="90" wrapText="1" readingOrder="2"/>
    </xf>
    <xf numFmtId="0" fontId="20" fillId="5" borderId="123" xfId="0" applyFont="1" applyFill="1" applyBorder="1" applyAlignment="1">
      <alignment horizontal="center" vertical="center" textRotation="90" wrapText="1" readingOrder="2"/>
    </xf>
    <xf numFmtId="0" fontId="20" fillId="5" borderId="124" xfId="0" applyFont="1" applyFill="1" applyBorder="1" applyAlignment="1">
      <alignment horizontal="center" vertical="center" textRotation="90" wrapText="1" readingOrder="2"/>
    </xf>
    <xf numFmtId="0" fontId="20" fillId="5" borderId="125" xfId="0" applyFont="1" applyFill="1" applyBorder="1" applyAlignment="1">
      <alignment horizontal="center" vertical="center" textRotation="90" wrapText="1" readingOrder="2"/>
    </xf>
    <xf numFmtId="0" fontId="19" fillId="5" borderId="34" xfId="0" applyFont="1" applyFill="1" applyBorder="1" applyAlignment="1">
      <alignment horizontal="center" vertical="center" wrapText="1" readingOrder="2"/>
    </xf>
    <xf numFmtId="0" fontId="19" fillId="5" borderId="124" xfId="0" applyFont="1" applyFill="1" applyBorder="1" applyAlignment="1">
      <alignment horizontal="center" vertical="center" wrapText="1" readingOrder="2"/>
    </xf>
    <xf numFmtId="0" fontId="19" fillId="5" borderId="125" xfId="0" applyFont="1" applyFill="1" applyBorder="1" applyAlignment="1">
      <alignment horizontal="center" vertical="center" wrapText="1" readingOrder="2"/>
    </xf>
    <xf numFmtId="0" fontId="19" fillId="5" borderId="8" xfId="0" applyFont="1" applyFill="1" applyBorder="1" applyAlignment="1">
      <alignment horizontal="center" vertical="center" wrapText="1" readingOrder="2"/>
    </xf>
    <xf numFmtId="0" fontId="19" fillId="5" borderId="9" xfId="0" applyFont="1" applyFill="1" applyBorder="1" applyAlignment="1">
      <alignment horizontal="center" vertical="center" wrapText="1" readingOrder="2"/>
    </xf>
    <xf numFmtId="0" fontId="19" fillId="5" borderId="62" xfId="0" applyFont="1" applyFill="1" applyBorder="1" applyAlignment="1">
      <alignment horizontal="center" vertical="center" wrapText="1" readingOrder="2"/>
    </xf>
    <xf numFmtId="0" fontId="19" fillId="5" borderId="10" xfId="0" applyFont="1" applyFill="1" applyBorder="1" applyAlignment="1">
      <alignment horizontal="center" vertical="center" wrapText="1" readingOrder="2"/>
    </xf>
    <xf numFmtId="0" fontId="19" fillId="5" borderId="34" xfId="0" applyFont="1" applyFill="1" applyBorder="1" applyAlignment="1">
      <alignment horizontal="center" vertical="center" textRotation="90" wrapText="1" readingOrder="2"/>
    </xf>
    <xf numFmtId="0" fontId="19" fillId="5" borderId="126" xfId="0" applyFont="1" applyFill="1" applyBorder="1" applyAlignment="1">
      <alignment horizontal="center" vertical="center" textRotation="90" wrapText="1" readingOrder="2"/>
    </xf>
    <xf numFmtId="0" fontId="19" fillId="5" borderId="10" xfId="0" applyFont="1" applyFill="1" applyBorder="1" applyAlignment="1">
      <alignment horizontal="center" vertical="center" textRotation="90" wrapText="1" readingOrder="2"/>
    </xf>
    <xf numFmtId="0" fontId="19" fillId="8" borderId="79" xfId="0" applyFont="1" applyFill="1" applyBorder="1" applyAlignment="1" applyProtection="1">
      <alignment horizontal="center" vertical="center" wrapText="1" readingOrder="2"/>
      <protection locked="0"/>
    </xf>
    <xf numFmtId="0" fontId="42" fillId="0" borderId="33" xfId="0" applyFont="1" applyBorder="1" applyAlignment="1" applyProtection="1">
      <alignment horizontal="center" vertical="center" wrapText="1" readingOrder="2"/>
      <protection locked="0"/>
    </xf>
    <xf numFmtId="0" fontId="42" fillId="0" borderId="127" xfId="0" applyFont="1" applyBorder="1" applyAlignment="1" applyProtection="1">
      <alignment horizontal="center" vertical="center" wrapText="1" readingOrder="2"/>
      <protection locked="0"/>
    </xf>
    <xf numFmtId="0" fontId="42" fillId="7" borderId="79" xfId="0" applyFont="1" applyFill="1" applyBorder="1" applyAlignment="1">
      <alignment horizontal="center" vertical="center" wrapText="1" readingOrder="2"/>
    </xf>
    <xf numFmtId="3" fontId="42" fillId="0" borderId="127" xfId="0" applyNumberFormat="1" applyFont="1" applyBorder="1" applyAlignment="1" applyProtection="1">
      <alignment horizontal="center" vertical="center" wrapText="1" readingOrder="2"/>
      <protection locked="0"/>
    </xf>
    <xf numFmtId="0" fontId="42" fillId="0" borderId="33" xfId="0" applyFont="1" applyBorder="1" applyAlignment="1" applyProtection="1">
      <alignment horizontal="center" vertical="center"/>
      <protection locked="0"/>
    </xf>
    <xf numFmtId="3" fontId="43" fillId="0" borderId="83" xfId="0" applyNumberFormat="1" applyFont="1" applyBorder="1" applyAlignment="1" applyProtection="1">
      <alignment horizontal="center" vertical="center" wrapText="1" readingOrder="2"/>
      <protection locked="0"/>
    </xf>
    <xf numFmtId="3" fontId="43" fillId="0" borderId="79" xfId="0" applyNumberFormat="1" applyFont="1" applyBorder="1" applyAlignment="1" applyProtection="1">
      <alignment horizontal="center" vertical="center" wrapText="1" readingOrder="2"/>
      <protection locked="0"/>
    </xf>
    <xf numFmtId="0" fontId="19" fillId="0" borderId="33" xfId="0" applyFont="1" applyBorder="1" applyAlignment="1" applyProtection="1">
      <alignment horizontal="center" vertical="center" wrapText="1" readingOrder="2"/>
      <protection locked="0"/>
    </xf>
    <xf numFmtId="0" fontId="19" fillId="0" borderId="127" xfId="0" applyFont="1" applyBorder="1" applyAlignment="1" applyProtection="1">
      <alignment horizontal="center" vertical="center" wrapText="1" readingOrder="2"/>
      <protection locked="0"/>
    </xf>
    <xf numFmtId="0" fontId="19" fillId="0" borderId="79" xfId="0" applyFont="1" applyBorder="1" applyAlignment="1" applyProtection="1">
      <alignment horizontal="center" vertical="center" wrapText="1" readingOrder="2"/>
      <protection locked="0"/>
    </xf>
    <xf numFmtId="0" fontId="19" fillId="8" borderId="85" xfId="0" applyFont="1" applyFill="1" applyBorder="1" applyAlignment="1" applyProtection="1">
      <alignment horizontal="center" vertical="center" wrapText="1" readingOrder="2"/>
      <protection locked="0"/>
    </xf>
    <xf numFmtId="0" fontId="19" fillId="8" borderId="20" xfId="0" applyFont="1" applyFill="1" applyBorder="1" applyAlignment="1" applyProtection="1">
      <alignment horizontal="center" vertical="center" wrapText="1" readingOrder="2"/>
      <protection locked="0"/>
    </xf>
    <xf numFmtId="0" fontId="19" fillId="8" borderId="79" xfId="3" applyFont="1" applyFill="1" applyBorder="1" applyAlignment="1" applyProtection="1">
      <alignment horizontal="center" vertical="center" wrapText="1" readingOrder="2"/>
      <protection locked="0"/>
    </xf>
    <xf numFmtId="0" fontId="19" fillId="8" borderId="79" xfId="0" applyFont="1" applyFill="1" applyBorder="1" applyAlignment="1" applyProtection="1">
      <alignment horizontal="center" vertical="center" wrapText="1" readingOrder="2"/>
      <protection locked="0"/>
    </xf>
    <xf numFmtId="0" fontId="19" fillId="0" borderId="79" xfId="3" applyFont="1" applyBorder="1" applyAlignment="1" applyProtection="1">
      <alignment horizontal="center" vertical="center" wrapText="1" readingOrder="2"/>
      <protection locked="0"/>
    </xf>
    <xf numFmtId="0" fontId="42" fillId="8" borderId="33" xfId="0" applyFont="1" applyFill="1" applyBorder="1" applyAlignment="1" applyProtection="1">
      <alignment horizontal="center" vertical="center"/>
      <protection locked="0"/>
    </xf>
    <xf numFmtId="3" fontId="42" fillId="8" borderId="127" xfId="0" applyNumberFormat="1" applyFont="1" applyFill="1" applyBorder="1" applyAlignment="1" applyProtection="1">
      <alignment horizontal="center" vertical="center" wrapText="1" readingOrder="2"/>
      <protection locked="0"/>
    </xf>
    <xf numFmtId="0" fontId="21" fillId="0" borderId="0" xfId="0" applyFont="1" applyAlignment="1" applyProtection="1">
      <alignment textRotation="180"/>
      <protection locked="0"/>
    </xf>
    <xf numFmtId="0" fontId="44" fillId="0" borderId="0" xfId="0" applyFont="1" applyProtection="1">
      <protection locked="0"/>
    </xf>
    <xf numFmtId="0" fontId="42" fillId="14" borderId="63" xfId="0" applyFont="1" applyFill="1" applyBorder="1" applyAlignment="1" applyProtection="1">
      <alignment horizontal="center" vertical="center"/>
      <protection locked="0"/>
    </xf>
    <xf numFmtId="3" fontId="42" fillId="14" borderId="56" xfId="0" applyNumberFormat="1" applyFont="1" applyFill="1" applyBorder="1" applyAlignment="1" applyProtection="1">
      <alignment horizontal="center" vertical="center" wrapText="1" readingOrder="2"/>
      <protection locked="0"/>
    </xf>
    <xf numFmtId="3" fontId="43" fillId="14" borderId="66" xfId="0" applyNumberFormat="1" applyFont="1" applyFill="1" applyBorder="1" applyAlignment="1" applyProtection="1">
      <alignment horizontal="center" vertical="center" wrapText="1" readingOrder="2"/>
      <protection locked="0"/>
    </xf>
    <xf numFmtId="3" fontId="43" fillId="14" borderId="54" xfId="0" applyNumberFormat="1" applyFont="1" applyFill="1" applyBorder="1" applyAlignment="1" applyProtection="1">
      <alignment horizontal="center" vertical="center" wrapText="1" readingOrder="2"/>
      <protection locked="0"/>
    </xf>
    <xf numFmtId="0" fontId="45" fillId="0" borderId="0" xfId="0" applyFont="1" applyProtection="1">
      <protection locked="0"/>
    </xf>
    <xf numFmtId="0" fontId="6" fillId="0" borderId="0" xfId="0" applyFont="1" applyAlignment="1" applyProtection="1">
      <alignment horizontal="center"/>
      <protection locked="0"/>
    </xf>
    <xf numFmtId="0" fontId="10" fillId="0" borderId="0" xfId="0" applyFont="1" applyAlignment="1" applyProtection="1">
      <alignment horizontal="centerContinuous" vertical="center" wrapText="1" readingOrder="2"/>
      <protection locked="0"/>
    </xf>
    <xf numFmtId="0" fontId="46" fillId="0" borderId="0" xfId="0" applyFont="1" applyProtection="1">
      <protection locked="0"/>
    </xf>
    <xf numFmtId="0" fontId="6" fillId="5" borderId="7" xfId="0" applyFont="1" applyFill="1" applyBorder="1" applyAlignment="1" applyProtection="1">
      <alignment horizontal="center" vertical="center"/>
      <protection locked="0"/>
    </xf>
    <xf numFmtId="0" fontId="6" fillId="5" borderId="5" xfId="0" applyFont="1" applyFill="1" applyBorder="1" applyAlignment="1" applyProtection="1">
      <alignment horizontal="center" vertical="center"/>
      <protection locked="0"/>
    </xf>
    <xf numFmtId="0" fontId="6" fillId="5" borderId="50" xfId="0" applyFont="1" applyFill="1" applyBorder="1" applyAlignment="1" applyProtection="1">
      <alignment horizontal="center" vertical="center"/>
      <protection locked="0"/>
    </xf>
    <xf numFmtId="0" fontId="0" fillId="8" borderId="0" xfId="0" applyFill="1" applyProtection="1">
      <protection locked="0"/>
    </xf>
    <xf numFmtId="0" fontId="6" fillId="5" borderId="112" xfId="0" applyFont="1" applyFill="1" applyBorder="1" applyAlignment="1" applyProtection="1">
      <alignment horizontal="center" vertical="center"/>
      <protection locked="0"/>
    </xf>
    <xf numFmtId="0" fontId="19" fillId="5" borderId="40" xfId="0" applyFont="1" applyFill="1" applyBorder="1" applyAlignment="1" applyProtection="1">
      <alignment horizontal="center" vertical="center"/>
      <protection locked="0"/>
    </xf>
    <xf numFmtId="0" fontId="19" fillId="5" borderId="114" xfId="0" applyFont="1" applyFill="1" applyBorder="1" applyAlignment="1" applyProtection="1">
      <alignment horizontal="center" vertical="center"/>
      <protection locked="0"/>
    </xf>
    <xf numFmtId="0" fontId="19" fillId="5" borderId="50" xfId="0" applyFont="1" applyFill="1" applyBorder="1" applyAlignment="1" applyProtection="1">
      <alignment horizontal="center" vertical="center"/>
      <protection locked="0"/>
    </xf>
    <xf numFmtId="0" fontId="19" fillId="5" borderId="61" xfId="0" applyFont="1" applyFill="1" applyBorder="1" applyAlignment="1" applyProtection="1">
      <alignment horizontal="center" vertical="center" textRotation="90" wrapText="1"/>
      <protection locked="0"/>
    </xf>
    <xf numFmtId="0" fontId="19" fillId="5" borderId="39" xfId="0" applyFont="1" applyFill="1" applyBorder="1" applyAlignment="1" applyProtection="1">
      <alignment horizontal="center" vertical="center" textRotation="90" readingOrder="2"/>
      <protection locked="0"/>
    </xf>
    <xf numFmtId="0" fontId="19" fillId="5" borderId="16" xfId="0" applyFont="1" applyFill="1" applyBorder="1" applyAlignment="1" applyProtection="1">
      <alignment horizontal="center" vertical="center" textRotation="90" readingOrder="2"/>
      <protection locked="0"/>
    </xf>
    <xf numFmtId="0" fontId="19" fillId="5" borderId="61" xfId="0" applyFont="1" applyFill="1" applyBorder="1" applyAlignment="1" applyProtection="1">
      <alignment horizontal="center" vertical="center" wrapText="1"/>
      <protection locked="0"/>
    </xf>
    <xf numFmtId="0" fontId="6" fillId="5" borderId="113" xfId="0" applyFont="1" applyFill="1" applyBorder="1" applyAlignment="1" applyProtection="1">
      <alignment horizontal="center" vertical="center"/>
      <protection locked="0"/>
    </xf>
    <xf numFmtId="0" fontId="19" fillId="5" borderId="113" xfId="0" applyFont="1" applyFill="1" applyBorder="1" applyAlignment="1" applyProtection="1">
      <alignment horizontal="center" vertical="center" textRotation="90" readingOrder="2"/>
      <protection locked="0"/>
    </xf>
    <xf numFmtId="0" fontId="19" fillId="5" borderId="9" xfId="0" applyFont="1" applyFill="1" applyBorder="1" applyAlignment="1" applyProtection="1">
      <alignment horizontal="center" vertical="center" textRotation="90" readingOrder="2"/>
      <protection locked="0"/>
    </xf>
    <xf numFmtId="0" fontId="19" fillId="5" borderId="36" xfId="0" applyFont="1" applyFill="1" applyBorder="1" applyAlignment="1" applyProtection="1">
      <alignment horizontal="center" vertical="center" textRotation="90" readingOrder="2"/>
      <protection locked="0"/>
    </xf>
    <xf numFmtId="0" fontId="19" fillId="5" borderId="10" xfId="0" applyFont="1" applyFill="1" applyBorder="1" applyAlignment="1" applyProtection="1">
      <alignment horizontal="center" vertical="center" textRotation="90" readingOrder="2"/>
      <protection locked="0"/>
    </xf>
    <xf numFmtId="0" fontId="19" fillId="5" borderId="8" xfId="0" applyFont="1" applyFill="1" applyBorder="1" applyAlignment="1" applyProtection="1">
      <alignment horizontal="center" vertical="center" textRotation="90" readingOrder="2"/>
      <protection locked="0"/>
    </xf>
    <xf numFmtId="0" fontId="19" fillId="5" borderId="42" xfId="0" applyFont="1" applyFill="1" applyBorder="1" applyAlignment="1" applyProtection="1">
      <alignment horizontal="center" vertical="center" textRotation="90" readingOrder="2"/>
      <protection locked="0"/>
    </xf>
    <xf numFmtId="0" fontId="19" fillId="5" borderId="62" xfId="0" applyFont="1" applyFill="1" applyBorder="1" applyAlignment="1" applyProtection="1">
      <alignment horizontal="center" vertical="center" textRotation="90" wrapText="1"/>
      <protection locked="0"/>
    </xf>
    <xf numFmtId="0" fontId="19" fillId="5" borderId="124" xfId="0" applyFont="1" applyFill="1" applyBorder="1" applyAlignment="1" applyProtection="1">
      <alignment horizontal="center" vertical="center" textRotation="90" readingOrder="2"/>
      <protection locked="0"/>
    </xf>
    <xf numFmtId="0" fontId="19" fillId="5" borderId="125" xfId="0" applyFont="1" applyFill="1" applyBorder="1" applyAlignment="1" applyProtection="1">
      <alignment horizontal="center" vertical="center" textRotation="90" readingOrder="2"/>
      <protection locked="0"/>
    </xf>
    <xf numFmtId="0" fontId="19" fillId="5" borderId="62" xfId="0" applyFont="1" applyFill="1" applyBorder="1" applyAlignment="1" applyProtection="1">
      <alignment horizontal="center" vertical="center"/>
      <protection locked="0"/>
    </xf>
    <xf numFmtId="0" fontId="6" fillId="8" borderId="40" xfId="0" applyFont="1" applyFill="1" applyBorder="1" applyAlignment="1" applyProtection="1">
      <alignment horizontal="center" vertical="center"/>
      <protection locked="0"/>
    </xf>
    <xf numFmtId="0" fontId="19" fillId="0" borderId="28" xfId="0" applyFont="1" applyBorder="1" applyAlignment="1" applyProtection="1">
      <alignment horizontal="center" vertical="center"/>
      <protection locked="0"/>
    </xf>
    <xf numFmtId="0" fontId="19" fillId="0" borderId="13" xfId="0" applyFont="1" applyBorder="1" applyAlignment="1" applyProtection="1">
      <alignment horizontal="center" vertical="center"/>
      <protection locked="0"/>
    </xf>
    <xf numFmtId="0" fontId="19" fillId="0" borderId="3" xfId="0" applyFont="1" applyBorder="1" applyAlignment="1" applyProtection="1">
      <alignment horizontal="center" vertical="center"/>
      <protection locked="0"/>
    </xf>
    <xf numFmtId="0" fontId="19" fillId="0" borderId="128" xfId="0" applyFont="1" applyBorder="1" applyAlignment="1" applyProtection="1">
      <alignment horizontal="center" vertical="center"/>
      <protection locked="0"/>
    </xf>
    <xf numFmtId="0" fontId="19" fillId="0" borderId="14" xfId="0" applyFont="1" applyBorder="1" applyAlignment="1" applyProtection="1">
      <alignment horizontal="center" vertical="center"/>
      <protection locked="0"/>
    </xf>
    <xf numFmtId="0" fontId="0" fillId="0" borderId="23" xfId="0" applyBorder="1" applyProtection="1">
      <protection locked="0"/>
    </xf>
    <xf numFmtId="0" fontId="6" fillId="7" borderId="129" xfId="0" applyFont="1" applyFill="1" applyBorder="1" applyAlignment="1" applyProtection="1">
      <alignment horizontal="center" vertical="center"/>
      <protection locked="0"/>
    </xf>
    <xf numFmtId="0" fontId="6" fillId="8" borderId="25" xfId="0" applyFont="1" applyFill="1" applyBorder="1" applyAlignment="1" applyProtection="1">
      <alignment horizontal="center" vertical="center"/>
      <protection locked="0"/>
    </xf>
    <xf numFmtId="0" fontId="19" fillId="0" borderId="26" xfId="0" applyFont="1" applyBorder="1" applyAlignment="1" applyProtection="1">
      <alignment horizontal="center" vertical="center"/>
      <protection locked="0"/>
    </xf>
    <xf numFmtId="0" fontId="19" fillId="0" borderId="23" xfId="0" applyFont="1" applyBorder="1" applyAlignment="1" applyProtection="1">
      <alignment horizontal="center" vertical="center"/>
      <protection locked="0"/>
    </xf>
    <xf numFmtId="0" fontId="19" fillId="0" borderId="31" xfId="0" applyFont="1" applyBorder="1" applyAlignment="1" applyProtection="1">
      <alignment horizontal="center" vertical="center"/>
      <protection locked="0"/>
    </xf>
    <xf numFmtId="0" fontId="19" fillId="0" borderId="24" xfId="0" applyFont="1" applyBorder="1" applyAlignment="1" applyProtection="1">
      <alignment horizontal="center" vertical="center"/>
      <protection locked="0"/>
    </xf>
    <xf numFmtId="0" fontId="6" fillId="7" borderId="130" xfId="0" applyFont="1" applyFill="1" applyBorder="1" applyAlignment="1" applyProtection="1">
      <alignment horizontal="center" vertical="center"/>
      <protection locked="0"/>
    </xf>
    <xf numFmtId="0" fontId="0" fillId="8" borderId="23" xfId="0" applyFill="1" applyBorder="1" applyProtection="1">
      <protection locked="0"/>
    </xf>
    <xf numFmtId="0" fontId="6" fillId="7" borderId="51" xfId="0" applyFont="1" applyFill="1" applyBorder="1" applyAlignment="1" applyProtection="1">
      <alignment horizontal="center" vertical="center"/>
      <protection locked="0"/>
    </xf>
    <xf numFmtId="0" fontId="6" fillId="7" borderId="63" xfId="0" applyFont="1" applyFill="1" applyBorder="1" applyAlignment="1" applyProtection="1">
      <alignment horizontal="center" vertical="center"/>
      <protection locked="0"/>
    </xf>
    <xf numFmtId="0" fontId="6" fillId="7" borderId="56" xfId="0" applyFont="1" applyFill="1" applyBorder="1" applyAlignment="1" applyProtection="1">
      <alignment horizontal="center" vertical="center"/>
      <protection locked="0"/>
    </xf>
    <xf numFmtId="0" fontId="6" fillId="7" borderId="66" xfId="0" applyFont="1" applyFill="1" applyBorder="1" applyAlignment="1" applyProtection="1">
      <alignment horizontal="center" vertical="center"/>
      <protection locked="0"/>
    </xf>
    <xf numFmtId="0" fontId="6" fillId="7" borderId="54" xfId="0" applyFont="1" applyFill="1" applyBorder="1" applyAlignment="1" applyProtection="1">
      <alignment horizontal="center" vertical="center"/>
      <protection locked="0"/>
    </xf>
    <xf numFmtId="0" fontId="6" fillId="7" borderId="65" xfId="0" applyFont="1" applyFill="1" applyBorder="1" applyAlignment="1" applyProtection="1">
      <alignment horizontal="center" vertical="center"/>
      <protection locked="0"/>
    </xf>
    <xf numFmtId="0" fontId="47" fillId="0" borderId="0" xfId="0" applyFont="1" applyAlignment="1" applyProtection="1">
      <alignment horizontal="right" vertical="center" wrapText="1" readingOrder="2"/>
      <protection locked="0"/>
    </xf>
    <xf numFmtId="0" fontId="6" fillId="0" borderId="0" xfId="0" applyFont="1" applyProtection="1">
      <protection locked="0"/>
    </xf>
    <xf numFmtId="0" fontId="34" fillId="0" borderId="0" xfId="0" applyFont="1" applyAlignment="1" applyProtection="1">
      <alignment vertical="center" wrapText="1" readingOrder="2"/>
      <protection locked="0"/>
    </xf>
    <xf numFmtId="3" fontId="6" fillId="5" borderId="2" xfId="4" applyNumberFormat="1" applyFont="1" applyFill="1" applyBorder="1" applyAlignment="1" applyProtection="1">
      <alignment horizontal="center" vertical="center" wrapText="1"/>
      <protection locked="0"/>
    </xf>
    <xf numFmtId="3" fontId="6" fillId="5" borderId="4" xfId="4" applyNumberFormat="1" applyFont="1" applyFill="1" applyBorder="1" applyAlignment="1" applyProtection="1">
      <alignment horizontal="center" vertical="center" wrapText="1"/>
      <protection locked="0"/>
    </xf>
    <xf numFmtId="3" fontId="6" fillId="5" borderId="51" xfId="4" applyNumberFormat="1" applyFont="1" applyFill="1" applyBorder="1" applyAlignment="1" applyProtection="1">
      <alignment horizontal="center" vertical="center" wrapText="1"/>
      <protection locked="0"/>
    </xf>
    <xf numFmtId="3" fontId="6" fillId="5" borderId="52" xfId="4" applyNumberFormat="1" applyFont="1" applyFill="1" applyBorder="1" applyAlignment="1" applyProtection="1">
      <alignment horizontal="center" vertical="center" wrapText="1"/>
      <protection locked="0"/>
    </xf>
    <xf numFmtId="3" fontId="6" fillId="5" borderId="53" xfId="4" applyNumberFormat="1" applyFont="1" applyFill="1" applyBorder="1" applyAlignment="1" applyProtection="1">
      <alignment horizontal="center" vertical="center" wrapText="1"/>
      <protection locked="0"/>
    </xf>
    <xf numFmtId="3" fontId="49" fillId="0" borderId="0" xfId="4" applyNumberFormat="1" applyFont="1" applyAlignment="1" applyProtection="1">
      <alignment horizontal="center" vertical="center" wrapText="1"/>
      <protection locked="0"/>
    </xf>
    <xf numFmtId="3" fontId="6" fillId="5" borderId="8" xfId="4" applyNumberFormat="1" applyFont="1" applyFill="1" applyBorder="1" applyAlignment="1" applyProtection="1">
      <alignment horizontal="center" vertical="center" wrapText="1"/>
      <protection locked="0"/>
    </xf>
    <xf numFmtId="3" fontId="6" fillId="5" borderId="10" xfId="4" applyNumberFormat="1" applyFont="1" applyFill="1" applyBorder="1" applyAlignment="1" applyProtection="1">
      <alignment horizontal="center" vertical="center" wrapText="1"/>
      <protection locked="0"/>
    </xf>
    <xf numFmtId="3" fontId="19" fillId="5" borderId="34" xfId="4" applyNumberFormat="1" applyFont="1" applyFill="1" applyBorder="1" applyAlignment="1" applyProtection="1">
      <alignment horizontal="center" vertical="center" wrapText="1"/>
      <protection locked="0"/>
    </xf>
    <xf numFmtId="3" fontId="19" fillId="5" borderId="124" xfId="4" applyNumberFormat="1" applyFont="1" applyFill="1" applyBorder="1" applyAlignment="1" applyProtection="1">
      <alignment horizontal="center" vertical="center" wrapText="1"/>
      <protection locked="0"/>
    </xf>
    <xf numFmtId="3" fontId="19" fillId="5" borderId="126" xfId="4" applyNumberFormat="1" applyFont="1" applyFill="1" applyBorder="1" applyAlignment="1" applyProtection="1">
      <alignment horizontal="center" vertical="center" wrapText="1"/>
      <protection locked="0"/>
    </xf>
    <xf numFmtId="3" fontId="19" fillId="5" borderId="62" xfId="4" applyNumberFormat="1" applyFont="1" applyFill="1" applyBorder="1" applyAlignment="1" applyProtection="1">
      <alignment horizontal="center" vertical="center" wrapText="1"/>
      <protection locked="0"/>
    </xf>
    <xf numFmtId="3" fontId="19" fillId="5" borderId="125" xfId="4" applyNumberFormat="1" applyFont="1" applyFill="1" applyBorder="1" applyAlignment="1" applyProtection="1">
      <alignment horizontal="center" vertical="center" wrapText="1"/>
      <protection locked="0"/>
    </xf>
    <xf numFmtId="3" fontId="19" fillId="5" borderId="1" xfId="4" applyNumberFormat="1" applyFont="1" applyFill="1" applyBorder="1" applyAlignment="1" applyProtection="1">
      <alignment horizontal="center" vertical="center" wrapText="1"/>
      <protection locked="0"/>
    </xf>
    <xf numFmtId="3" fontId="50" fillId="0" borderId="37" xfId="4" applyNumberFormat="1" applyFont="1" applyBorder="1" applyAlignment="1" applyProtection="1">
      <alignment horizontal="center" vertical="center" wrapText="1"/>
      <protection locked="0"/>
    </xf>
    <xf numFmtId="3" fontId="51" fillId="7" borderId="128" xfId="4" applyNumberFormat="1" applyFont="1" applyFill="1" applyBorder="1" applyAlignment="1" applyProtection="1">
      <alignment horizontal="center" vertical="center" wrapText="1"/>
      <protection locked="0"/>
    </xf>
    <xf numFmtId="3" fontId="45" fillId="0" borderId="131" xfId="4" applyNumberFormat="1" applyFont="1" applyBorder="1" applyAlignment="1" applyProtection="1">
      <alignment horizontal="center" vertical="center" wrapText="1"/>
      <protection locked="0"/>
    </xf>
    <xf numFmtId="3" fontId="45" fillId="0" borderId="13" xfId="4" applyNumberFormat="1" applyFont="1" applyBorder="1" applyAlignment="1" applyProtection="1">
      <alignment horizontal="center" vertical="center" wrapText="1"/>
      <protection locked="0"/>
    </xf>
    <xf numFmtId="3" fontId="45" fillId="0" borderId="128" xfId="4" applyNumberFormat="1" applyFont="1" applyBorder="1" applyAlignment="1" applyProtection="1">
      <alignment horizontal="center" vertical="center" wrapText="1"/>
      <protection locked="0"/>
    </xf>
    <xf numFmtId="3" fontId="45" fillId="7" borderId="132" xfId="4" applyNumberFormat="1" applyFont="1" applyFill="1" applyBorder="1" applyAlignment="1" applyProtection="1">
      <alignment horizontal="center" vertical="center" wrapText="1"/>
      <protection locked="0"/>
    </xf>
    <xf numFmtId="3" fontId="45" fillId="7" borderId="21" xfId="4" applyNumberFormat="1" applyFont="1" applyFill="1" applyBorder="1" applyAlignment="1" applyProtection="1">
      <alignment horizontal="center" vertical="center" wrapText="1"/>
      <protection locked="0"/>
    </xf>
    <xf numFmtId="3" fontId="45" fillId="7" borderId="133" xfId="4" applyNumberFormat="1" applyFont="1" applyFill="1" applyBorder="1" applyAlignment="1" applyProtection="1">
      <alignment horizontal="center" vertical="center" wrapText="1"/>
      <protection locked="0"/>
    </xf>
    <xf numFmtId="3" fontId="45" fillId="7" borderId="134" xfId="4" applyNumberFormat="1" applyFont="1" applyFill="1" applyBorder="1" applyAlignment="1" applyProtection="1">
      <alignment horizontal="center" vertical="center" wrapText="1"/>
      <protection locked="0"/>
    </xf>
    <xf numFmtId="3" fontId="19" fillId="0" borderId="18" xfId="5" applyNumberFormat="1" applyFont="1" applyBorder="1" applyAlignment="1" applyProtection="1">
      <alignment horizontal="center" vertical="center" wrapText="1"/>
      <protection locked="0"/>
    </xf>
    <xf numFmtId="3" fontId="19" fillId="0" borderId="13" xfId="5" applyNumberFormat="1" applyFont="1" applyBorder="1" applyAlignment="1" applyProtection="1">
      <alignment horizontal="center" vertical="center" wrapText="1"/>
      <protection locked="0"/>
    </xf>
    <xf numFmtId="3" fontId="19" fillId="0" borderId="128" xfId="5" applyNumberFormat="1" applyFont="1" applyBorder="1" applyAlignment="1" applyProtection="1">
      <alignment horizontal="center" vertical="center" wrapText="1"/>
      <protection locked="0"/>
    </xf>
    <xf numFmtId="3" fontId="45" fillId="7" borderId="135" xfId="4" applyNumberFormat="1" applyFont="1" applyFill="1" applyBorder="1" applyAlignment="1" applyProtection="1">
      <alignment horizontal="center" vertical="center" wrapText="1"/>
      <protection locked="0"/>
    </xf>
    <xf numFmtId="3" fontId="50" fillId="0" borderId="34" xfId="4" applyNumberFormat="1" applyFont="1" applyBorder="1" applyAlignment="1" applyProtection="1">
      <alignment horizontal="center" vertical="center" wrapText="1"/>
      <protection locked="0"/>
    </xf>
    <xf numFmtId="3" fontId="51" fillId="7" borderId="45" xfId="4" applyNumberFormat="1" applyFont="1" applyFill="1" applyBorder="1" applyAlignment="1" applyProtection="1">
      <alignment horizontal="center" vertical="center" wrapText="1"/>
      <protection locked="0"/>
    </xf>
    <xf numFmtId="3" fontId="45" fillId="0" borderId="136" xfId="4" applyNumberFormat="1" applyFont="1" applyBorder="1" applyAlignment="1" applyProtection="1">
      <alignment horizontal="center" vertical="center" wrapText="1"/>
      <protection locked="0"/>
    </xf>
    <xf numFmtId="3" fontId="45" fillId="0" borderId="42" xfId="4" applyNumberFormat="1" applyFont="1" applyBorder="1" applyAlignment="1" applyProtection="1">
      <alignment horizontal="center" vertical="center" wrapText="1"/>
      <protection locked="0"/>
    </xf>
    <xf numFmtId="3" fontId="45" fillId="0" borderId="45" xfId="4" applyNumberFormat="1" applyFont="1" applyBorder="1" applyAlignment="1" applyProtection="1">
      <alignment horizontal="center" vertical="center" wrapText="1"/>
      <protection locked="0"/>
    </xf>
    <xf numFmtId="3" fontId="45" fillId="7" borderId="137" xfId="4" applyNumberFormat="1" applyFont="1" applyFill="1" applyBorder="1" applyAlignment="1" applyProtection="1">
      <alignment horizontal="center" vertical="center" wrapText="1"/>
      <protection locked="0"/>
    </xf>
    <xf numFmtId="3" fontId="45" fillId="7" borderId="138" xfId="4" applyNumberFormat="1" applyFont="1" applyFill="1" applyBorder="1" applyAlignment="1" applyProtection="1">
      <alignment horizontal="center" vertical="center" wrapText="1"/>
      <protection locked="0"/>
    </xf>
    <xf numFmtId="3" fontId="45" fillId="7" borderId="139" xfId="4" applyNumberFormat="1" applyFont="1" applyFill="1" applyBorder="1" applyAlignment="1" applyProtection="1">
      <alignment horizontal="center" vertical="center" wrapText="1"/>
      <protection locked="0"/>
    </xf>
    <xf numFmtId="3" fontId="45" fillId="7" borderId="140" xfId="4" applyNumberFormat="1" applyFont="1" applyFill="1" applyBorder="1" applyAlignment="1" applyProtection="1">
      <alignment horizontal="center" vertical="center" wrapText="1"/>
      <protection locked="0"/>
    </xf>
    <xf numFmtId="3" fontId="19" fillId="0" borderId="44" xfId="5" applyNumberFormat="1" applyFont="1" applyBorder="1" applyAlignment="1" applyProtection="1">
      <alignment horizontal="center" vertical="center" wrapText="1"/>
      <protection locked="0"/>
    </xf>
    <xf numFmtId="3" fontId="19" fillId="0" borderId="42" xfId="5" applyNumberFormat="1" applyFont="1" applyBorder="1" applyAlignment="1" applyProtection="1">
      <alignment horizontal="center" vertical="center" wrapText="1"/>
      <protection locked="0"/>
    </xf>
    <xf numFmtId="3" fontId="19" fillId="0" borderId="45" xfId="5" applyNumberFormat="1" applyFont="1" applyBorder="1" applyAlignment="1" applyProtection="1">
      <alignment horizontal="center" vertical="center" wrapText="1"/>
      <protection locked="0"/>
    </xf>
    <xf numFmtId="3" fontId="45" fillId="7" borderId="122" xfId="4" applyNumberFormat="1" applyFont="1" applyFill="1" applyBorder="1" applyAlignment="1" applyProtection="1">
      <alignment horizontal="center" vertical="center" wrapText="1"/>
      <protection locked="0"/>
    </xf>
    <xf numFmtId="3" fontId="51" fillId="7" borderId="49" xfId="4" applyNumberFormat="1" applyFont="1" applyFill="1" applyBorder="1" applyAlignment="1" applyProtection="1">
      <alignment horizontal="center" vertical="center" wrapText="1"/>
      <protection locked="0"/>
    </xf>
    <xf numFmtId="3" fontId="45" fillId="0" borderId="141" xfId="4" applyNumberFormat="1" applyFont="1" applyBorder="1" applyAlignment="1" applyProtection="1">
      <alignment horizontal="center" vertical="center" wrapText="1"/>
      <protection locked="0"/>
    </xf>
    <xf numFmtId="3" fontId="45" fillId="0" borderId="3" xfId="4" applyNumberFormat="1" applyFont="1" applyBorder="1" applyAlignment="1" applyProtection="1">
      <alignment horizontal="center" vertical="center" wrapText="1"/>
      <protection locked="0"/>
    </xf>
    <xf numFmtId="3" fontId="45" fillId="0" borderId="4" xfId="4" applyNumberFormat="1" applyFont="1" applyBorder="1" applyAlignment="1" applyProtection="1">
      <alignment horizontal="center" vertical="center" wrapText="1"/>
      <protection locked="0"/>
    </xf>
    <xf numFmtId="3" fontId="45" fillId="7" borderId="114" xfId="4" applyNumberFormat="1" applyFont="1" applyFill="1" applyBorder="1" applyAlignment="1" applyProtection="1">
      <alignment horizontal="center" vertical="center" wrapText="1"/>
      <protection locked="0"/>
    </xf>
    <xf numFmtId="3" fontId="45" fillId="7" borderId="142" xfId="4" applyNumberFormat="1" applyFont="1" applyFill="1" applyBorder="1" applyAlignment="1" applyProtection="1">
      <alignment horizontal="center" vertical="center" wrapText="1"/>
      <protection locked="0"/>
    </xf>
    <xf numFmtId="3" fontId="45" fillId="7" borderId="143" xfId="4" applyNumberFormat="1" applyFont="1" applyFill="1" applyBorder="1" applyAlignment="1" applyProtection="1">
      <alignment horizontal="center" vertical="center" wrapText="1"/>
      <protection locked="0"/>
    </xf>
    <xf numFmtId="3" fontId="19" fillId="0" borderId="38" xfId="5" applyNumberFormat="1" applyFont="1" applyBorder="1" applyAlignment="1" applyProtection="1">
      <alignment horizontal="center" vertical="center" wrapText="1"/>
      <protection locked="0"/>
    </xf>
    <xf numFmtId="3" fontId="19" fillId="0" borderId="3" xfId="5" applyNumberFormat="1" applyFont="1" applyBorder="1" applyAlignment="1" applyProtection="1">
      <alignment horizontal="center" vertical="center" wrapText="1"/>
      <protection locked="0"/>
    </xf>
    <xf numFmtId="3" fontId="19" fillId="0" borderId="4" xfId="5" applyNumberFormat="1" applyFont="1" applyBorder="1" applyAlignment="1" applyProtection="1">
      <alignment horizontal="center" vertical="center" wrapText="1"/>
      <protection locked="0"/>
    </xf>
    <xf numFmtId="3" fontId="45" fillId="7" borderId="129" xfId="4" applyNumberFormat="1" applyFont="1" applyFill="1" applyBorder="1" applyAlignment="1" applyProtection="1">
      <alignment horizontal="center" vertical="center" wrapText="1"/>
      <protection locked="0"/>
    </xf>
    <xf numFmtId="3" fontId="51" fillId="7" borderId="36" xfId="4" applyNumberFormat="1" applyFont="1" applyFill="1" applyBorder="1" applyAlignment="1" applyProtection="1">
      <alignment horizontal="center" vertical="center" wrapText="1"/>
      <protection locked="0"/>
    </xf>
    <xf numFmtId="3" fontId="45" fillId="0" borderId="144" xfId="4" applyNumberFormat="1" applyFont="1" applyBorder="1" applyAlignment="1" applyProtection="1">
      <alignment horizontal="center" vertical="center" wrapText="1"/>
      <protection locked="0"/>
    </xf>
    <xf numFmtId="3" fontId="45" fillId="0" borderId="9" xfId="4" applyNumberFormat="1" applyFont="1" applyBorder="1" applyAlignment="1" applyProtection="1">
      <alignment horizontal="center" vertical="center" wrapText="1"/>
      <protection locked="0"/>
    </xf>
    <xf numFmtId="3" fontId="45" fillId="0" borderId="10" xfId="4" applyNumberFormat="1" applyFont="1" applyBorder="1" applyAlignment="1" applyProtection="1">
      <alignment horizontal="center" vertical="center" wrapText="1"/>
      <protection locked="0"/>
    </xf>
    <xf numFmtId="3" fontId="19" fillId="0" borderId="35" xfId="5" applyNumberFormat="1" applyFont="1" applyBorder="1" applyAlignment="1" applyProtection="1">
      <alignment horizontal="center" vertical="center" wrapText="1"/>
      <protection locked="0"/>
    </xf>
    <xf numFmtId="3" fontId="19" fillId="0" borderId="9" xfId="5" applyNumberFormat="1" applyFont="1" applyBorder="1" applyAlignment="1" applyProtection="1">
      <alignment horizontal="center" vertical="center" wrapText="1"/>
      <protection locked="0"/>
    </xf>
    <xf numFmtId="3" fontId="19" fillId="0" borderId="10" xfId="5" applyNumberFormat="1" applyFont="1" applyBorder="1" applyAlignment="1" applyProtection="1">
      <alignment horizontal="center" vertical="center" wrapText="1"/>
      <protection locked="0"/>
    </xf>
    <xf numFmtId="3" fontId="31" fillId="0" borderId="141" xfId="4" applyNumberFormat="1" applyFont="1" applyBorder="1" applyAlignment="1" applyProtection="1">
      <alignment horizontal="center" vertical="center" wrapText="1"/>
      <protection locked="0"/>
    </xf>
    <xf numFmtId="3" fontId="31" fillId="0" borderId="3" xfId="4" applyNumberFormat="1" applyFont="1" applyBorder="1" applyAlignment="1" applyProtection="1">
      <alignment horizontal="center" vertical="center" wrapText="1"/>
      <protection locked="0"/>
    </xf>
    <xf numFmtId="3" fontId="45" fillId="0" borderId="30" xfId="4" applyNumberFormat="1" applyFont="1" applyBorder="1" applyAlignment="1" applyProtection="1">
      <alignment horizontal="center" vertical="center" wrapText="1"/>
      <protection locked="0"/>
    </xf>
    <xf numFmtId="3" fontId="19" fillId="0" borderId="30" xfId="5" applyNumberFormat="1" applyFont="1" applyBorder="1" applyAlignment="1" applyProtection="1">
      <alignment horizontal="center" vertical="center" wrapText="1"/>
      <protection locked="0"/>
    </xf>
    <xf numFmtId="3" fontId="45" fillId="0" borderId="38" xfId="5" applyNumberFormat="1" applyFont="1" applyBorder="1" applyAlignment="1" applyProtection="1">
      <alignment horizontal="center" vertical="center" wrapText="1"/>
      <protection locked="0"/>
    </xf>
    <xf numFmtId="3" fontId="45" fillId="0" borderId="3" xfId="5" applyNumberFormat="1" applyFont="1" applyBorder="1" applyAlignment="1" applyProtection="1">
      <alignment horizontal="center" vertical="center" wrapText="1"/>
      <protection locked="0"/>
    </xf>
    <xf numFmtId="3" fontId="45" fillId="0" borderId="4" xfId="5" applyNumberFormat="1" applyFont="1" applyBorder="1" applyAlignment="1" applyProtection="1">
      <alignment horizontal="center" vertical="center" wrapText="1"/>
      <protection locked="0"/>
    </xf>
    <xf numFmtId="3" fontId="45" fillId="0" borderId="35" xfId="5" applyNumberFormat="1" applyFont="1" applyBorder="1" applyAlignment="1" applyProtection="1">
      <alignment horizontal="center" vertical="center" wrapText="1"/>
      <protection locked="0"/>
    </xf>
    <xf numFmtId="3" fontId="45" fillId="0" borderId="9" xfId="5" applyNumberFormat="1" applyFont="1" applyBorder="1" applyAlignment="1" applyProtection="1">
      <alignment horizontal="center" vertical="center" wrapText="1"/>
      <protection locked="0"/>
    </xf>
    <xf numFmtId="3" fontId="45" fillId="0" borderId="10" xfId="5" applyNumberFormat="1" applyFont="1" applyBorder="1" applyAlignment="1" applyProtection="1">
      <alignment horizontal="center" vertical="center" wrapText="1"/>
      <protection locked="0"/>
    </xf>
    <xf numFmtId="3" fontId="6" fillId="7" borderId="40" xfId="4" applyNumberFormat="1" applyFont="1" applyFill="1" applyBorder="1" applyAlignment="1" applyProtection="1">
      <alignment horizontal="center" vertical="center" wrapText="1"/>
      <protection locked="0"/>
    </xf>
    <xf numFmtId="3" fontId="6" fillId="7" borderId="49" xfId="4" applyNumberFormat="1" applyFont="1" applyFill="1" applyBorder="1" applyAlignment="1" applyProtection="1">
      <alignment horizontal="center" vertical="center" wrapText="1"/>
      <protection locked="0"/>
    </xf>
    <xf numFmtId="3" fontId="6" fillId="7" borderId="3" xfId="4" applyNumberFormat="1" applyFont="1" applyFill="1" applyBorder="1" applyAlignment="1" applyProtection="1">
      <alignment horizontal="center" vertical="center" wrapText="1"/>
      <protection locked="0"/>
    </xf>
    <xf numFmtId="3" fontId="13" fillId="7" borderId="50" xfId="4" applyNumberFormat="1" applyFont="1" applyFill="1" applyBorder="1" applyAlignment="1" applyProtection="1">
      <alignment horizontal="center" vertical="center" wrapText="1"/>
      <protection locked="0"/>
    </xf>
    <xf numFmtId="3" fontId="13" fillId="7" borderId="114" xfId="4" applyNumberFormat="1" applyFont="1" applyFill="1" applyBorder="1" applyAlignment="1" applyProtection="1">
      <alignment horizontal="center" vertical="center" wrapText="1"/>
      <protection locked="0"/>
    </xf>
    <xf numFmtId="3" fontId="13" fillId="7" borderId="142" xfId="4" applyNumberFormat="1" applyFont="1" applyFill="1" applyBorder="1" applyAlignment="1" applyProtection="1">
      <alignment horizontal="center" vertical="center" wrapText="1"/>
      <protection locked="0"/>
    </xf>
    <xf numFmtId="3" fontId="13" fillId="7" borderId="143" xfId="4" applyNumberFormat="1" applyFont="1" applyFill="1" applyBorder="1" applyAlignment="1" applyProtection="1">
      <alignment horizontal="center" vertical="center" wrapText="1"/>
      <protection locked="0"/>
    </xf>
    <xf numFmtId="3" fontId="13" fillId="7" borderId="129" xfId="4" applyNumberFormat="1" applyFont="1" applyFill="1" applyBorder="1" applyAlignment="1" applyProtection="1">
      <alignment horizontal="center" vertical="center" wrapText="1"/>
      <protection locked="0"/>
    </xf>
    <xf numFmtId="3" fontId="6" fillId="7" borderId="129" xfId="4" applyNumberFormat="1" applyFont="1" applyFill="1" applyBorder="1" applyAlignment="1" applyProtection="1">
      <alignment horizontal="center" vertical="center" wrapText="1"/>
      <protection locked="0"/>
    </xf>
    <xf numFmtId="3" fontId="52" fillId="0" borderId="0" xfId="4" applyNumberFormat="1" applyFont="1" applyAlignment="1" applyProtection="1">
      <alignment horizontal="center" vertical="center" wrapText="1"/>
      <protection locked="0"/>
    </xf>
    <xf numFmtId="3" fontId="6" fillId="7" borderId="112" xfId="4" applyNumberFormat="1" applyFont="1" applyFill="1" applyBorder="1" applyAlignment="1" applyProtection="1">
      <alignment horizontal="center" vertical="center" wrapText="1"/>
      <protection locked="0"/>
    </xf>
    <xf numFmtId="3" fontId="6" fillId="7" borderId="31" xfId="4" applyNumberFormat="1" applyFont="1" applyFill="1" applyBorder="1" applyAlignment="1" applyProtection="1">
      <alignment horizontal="center" vertical="center" wrapText="1"/>
      <protection locked="0"/>
    </xf>
    <xf numFmtId="3" fontId="6" fillId="7" borderId="145" xfId="4" applyNumberFormat="1" applyFont="1" applyFill="1" applyBorder="1" applyAlignment="1" applyProtection="1">
      <alignment horizontal="center" vertical="center" wrapText="1"/>
      <protection locked="0"/>
    </xf>
    <xf numFmtId="3" fontId="6" fillId="7" borderId="19" xfId="4" applyNumberFormat="1" applyFont="1" applyFill="1" applyBorder="1" applyAlignment="1" applyProtection="1">
      <alignment horizontal="center" vertical="center" wrapText="1"/>
      <protection locked="0"/>
    </xf>
    <xf numFmtId="3" fontId="6" fillId="7" borderId="146" xfId="4" applyNumberFormat="1" applyFont="1" applyFill="1" applyBorder="1" applyAlignment="1" applyProtection="1">
      <alignment horizontal="center" vertical="center" wrapText="1"/>
      <protection locked="0"/>
    </xf>
    <xf numFmtId="3" fontId="6" fillId="7" borderId="23" xfId="4" applyNumberFormat="1" applyFont="1" applyFill="1" applyBorder="1" applyAlignment="1" applyProtection="1">
      <alignment horizontal="center" vertical="center" wrapText="1"/>
      <protection locked="0"/>
    </xf>
    <xf numFmtId="3" fontId="6" fillId="7" borderId="0" xfId="4" applyNumberFormat="1" applyFont="1" applyFill="1" applyAlignment="1" applyProtection="1">
      <alignment horizontal="center" vertical="center" wrapText="1"/>
      <protection locked="0"/>
    </xf>
    <xf numFmtId="3" fontId="13" fillId="7" borderId="147" xfId="4" applyNumberFormat="1" applyFont="1" applyFill="1" applyBorder="1" applyAlignment="1" applyProtection="1">
      <alignment horizontal="center" vertical="center" wrapText="1"/>
      <protection locked="0"/>
    </xf>
    <xf numFmtId="3" fontId="13" fillId="7" borderId="0" xfId="4" applyNumberFormat="1" applyFont="1" applyFill="1" applyAlignment="1" applyProtection="1">
      <alignment horizontal="center" vertical="center" wrapText="1"/>
      <protection locked="0"/>
    </xf>
    <xf numFmtId="3" fontId="13" fillId="7" borderId="148" xfId="4" applyNumberFormat="1" applyFont="1" applyFill="1" applyBorder="1" applyAlignment="1" applyProtection="1">
      <alignment horizontal="center" vertical="center" wrapText="1"/>
      <protection locked="0"/>
    </xf>
    <xf numFmtId="3" fontId="13" fillId="7" borderId="149" xfId="4" applyNumberFormat="1" applyFont="1" applyFill="1" applyBorder="1" applyAlignment="1" applyProtection="1">
      <alignment horizontal="center" vertical="center" wrapText="1"/>
      <protection locked="0"/>
    </xf>
    <xf numFmtId="3" fontId="6" fillId="7" borderId="43" xfId="4" applyNumberFormat="1" applyFont="1" applyFill="1" applyBorder="1" applyAlignment="1" applyProtection="1">
      <alignment horizontal="center" vertical="center" wrapText="1"/>
      <protection locked="0"/>
    </xf>
    <xf numFmtId="3" fontId="6" fillId="7" borderId="147" xfId="4" applyNumberFormat="1" applyFont="1" applyFill="1" applyBorder="1" applyAlignment="1" applyProtection="1">
      <alignment horizontal="center" vertical="center" wrapText="1"/>
      <protection locked="0"/>
    </xf>
    <xf numFmtId="3" fontId="6" fillId="7" borderId="122" xfId="4" applyNumberFormat="1" applyFont="1" applyFill="1" applyBorder="1" applyAlignment="1" applyProtection="1">
      <alignment horizontal="center" vertical="center" wrapText="1"/>
      <protection locked="0"/>
    </xf>
    <xf numFmtId="3" fontId="6" fillId="7" borderId="36" xfId="4" applyNumberFormat="1" applyFont="1" applyFill="1" applyBorder="1" applyAlignment="1" applyProtection="1">
      <alignment horizontal="center" vertical="center" wrapText="1"/>
      <protection locked="0"/>
    </xf>
    <xf numFmtId="3" fontId="6" fillId="7" borderId="150" xfId="4" applyNumberFormat="1" applyFont="1" applyFill="1" applyBorder="1" applyAlignment="1" applyProtection="1">
      <alignment horizontal="center" vertical="center" wrapText="1"/>
      <protection locked="0"/>
    </xf>
    <xf numFmtId="3" fontId="6" fillId="7" borderId="151" xfId="4" applyNumberFormat="1" applyFont="1" applyFill="1" applyBorder="1" applyAlignment="1" applyProtection="1">
      <alignment horizontal="center" vertical="center" wrapText="1"/>
      <protection locked="0"/>
    </xf>
    <xf numFmtId="3" fontId="6" fillId="7" borderId="152" xfId="4" applyNumberFormat="1" applyFont="1" applyFill="1" applyBorder="1" applyAlignment="1" applyProtection="1">
      <alignment horizontal="center" vertical="center" wrapText="1"/>
      <protection locked="0"/>
    </xf>
    <xf numFmtId="3" fontId="6" fillId="7" borderId="153" xfId="4" applyNumberFormat="1" applyFont="1" applyFill="1" applyBorder="1" applyAlignment="1" applyProtection="1">
      <alignment horizontal="center" vertical="center" wrapText="1"/>
      <protection locked="0"/>
    </xf>
    <xf numFmtId="3" fontId="6" fillId="7" borderId="154" xfId="4" applyNumberFormat="1" applyFont="1" applyFill="1" applyBorder="1" applyAlignment="1" applyProtection="1">
      <alignment horizontal="center" vertical="center" wrapText="1"/>
      <protection locked="0"/>
    </xf>
    <xf numFmtId="3" fontId="6" fillId="7" borderId="137" xfId="4" applyNumberFormat="1" applyFont="1" applyFill="1" applyBorder="1" applyAlignment="1" applyProtection="1">
      <alignment horizontal="center" vertical="center" wrapText="1"/>
      <protection locked="0"/>
    </xf>
    <xf numFmtId="3" fontId="53" fillId="0" borderId="0" xfId="4" applyNumberFormat="1" applyFont="1" applyAlignment="1" applyProtection="1">
      <alignment horizontal="right" vertical="center" wrapText="1" readingOrder="2"/>
      <protection locked="0"/>
    </xf>
    <xf numFmtId="3" fontId="53" fillId="0" borderId="0" xfId="4" applyNumberFormat="1" applyFont="1" applyAlignment="1" applyProtection="1">
      <alignment horizontal="right" vertical="center" wrapText="1"/>
      <protection locked="0"/>
    </xf>
    <xf numFmtId="3" fontId="54" fillId="8" borderId="0" xfId="4" applyNumberFormat="1" applyFont="1" applyFill="1" applyAlignment="1" applyProtection="1">
      <alignment horizontal="center" vertical="center" wrapText="1"/>
      <protection locked="0"/>
    </xf>
    <xf numFmtId="3" fontId="53" fillId="0" borderId="0" xfId="4" applyNumberFormat="1" applyFont="1" applyAlignment="1" applyProtection="1">
      <alignment horizontal="right" vertical="center" wrapText="1"/>
      <protection locked="0"/>
    </xf>
    <xf numFmtId="3" fontId="55" fillId="8" borderId="0" xfId="4" applyNumberFormat="1" applyFont="1" applyFill="1" applyAlignment="1" applyProtection="1">
      <alignment horizontal="right" vertical="top" wrapText="1"/>
      <protection locked="0"/>
    </xf>
    <xf numFmtId="3" fontId="55" fillId="8" borderId="0" xfId="4" applyNumberFormat="1" applyFont="1" applyFill="1" applyAlignment="1" applyProtection="1">
      <alignment vertical="top" wrapText="1"/>
      <protection locked="0"/>
    </xf>
    <xf numFmtId="3" fontId="56" fillId="8" borderId="0" xfId="4" applyNumberFormat="1" applyFont="1" applyFill="1" applyAlignment="1" applyProtection="1">
      <alignment horizontal="center" vertical="center" wrapText="1"/>
      <protection locked="0"/>
    </xf>
    <xf numFmtId="3" fontId="55" fillId="8" borderId="0" xfId="4" applyNumberFormat="1" applyFont="1" applyFill="1" applyAlignment="1" applyProtection="1">
      <alignment horizontal="center" vertical="top" wrapText="1"/>
      <protection locked="0"/>
    </xf>
    <xf numFmtId="3" fontId="54" fillId="8" borderId="0" xfId="4" applyNumberFormat="1" applyFont="1" applyFill="1" applyAlignment="1" applyProtection="1">
      <alignment horizontal="center" vertical="center" wrapText="1"/>
      <protection locked="0"/>
    </xf>
    <xf numFmtId="3" fontId="49" fillId="0" borderId="0" xfId="4" applyNumberFormat="1" applyFont="1" applyAlignment="1" applyProtection="1">
      <alignment horizontal="center" vertical="center" wrapText="1"/>
      <protection locked="0"/>
    </xf>
    <xf numFmtId="0" fontId="57" fillId="0" borderId="0" xfId="0" applyFont="1" applyAlignment="1" applyProtection="1">
      <alignment vertical="center"/>
      <protection locked="0"/>
    </xf>
    <xf numFmtId="0" fontId="58" fillId="0" borderId="0" xfId="0" applyFont="1" applyAlignment="1" applyProtection="1">
      <alignment vertical="center"/>
      <protection locked="0"/>
    </xf>
    <xf numFmtId="0" fontId="59" fillId="0" borderId="0" xfId="0" applyFont="1" applyAlignment="1" applyProtection="1">
      <alignment horizontal="right" vertical="center" readingOrder="2"/>
      <protection locked="0"/>
    </xf>
    <xf numFmtId="0" fontId="51" fillId="0" borderId="0" xfId="0" applyFont="1" applyAlignment="1" applyProtection="1">
      <alignment horizontal="right" vertical="center" wrapText="1" readingOrder="2"/>
      <protection locked="0"/>
    </xf>
    <xf numFmtId="167" fontId="6" fillId="0" borderId="0" xfId="0" applyNumberFormat="1" applyFont="1" applyAlignment="1" applyProtection="1">
      <alignment horizontal="center"/>
      <protection locked="0"/>
    </xf>
    <xf numFmtId="167" fontId="6" fillId="0" borderId="0" xfId="0" applyNumberFormat="1" applyFont="1" applyProtection="1">
      <protection locked="0"/>
    </xf>
    <xf numFmtId="167" fontId="21" fillId="8" borderId="0" xfId="0" applyNumberFormat="1" applyFont="1" applyFill="1" applyProtection="1">
      <protection locked="0"/>
    </xf>
    <xf numFmtId="167" fontId="34" fillId="0" borderId="0" xfId="0" applyNumberFormat="1" applyFont="1" applyAlignment="1" applyProtection="1">
      <alignment horizontal="center" vertical="center" wrapText="1" readingOrder="2"/>
      <protection locked="0"/>
    </xf>
    <xf numFmtId="167" fontId="34" fillId="0" borderId="0" xfId="0" applyNumberFormat="1" applyFont="1" applyAlignment="1" applyProtection="1">
      <alignment vertical="center" wrapText="1" readingOrder="2"/>
      <protection locked="0"/>
    </xf>
    <xf numFmtId="167" fontId="60" fillId="0" borderId="0" xfId="0" applyNumberFormat="1" applyFont="1" applyAlignment="1" applyProtection="1">
      <alignment horizontal="center" vertical="center" wrapText="1" readingOrder="2"/>
      <protection locked="0"/>
    </xf>
    <xf numFmtId="167" fontId="61" fillId="0" borderId="0" xfId="0" applyNumberFormat="1" applyFont="1" applyAlignment="1" applyProtection="1">
      <alignment vertical="center" wrapText="1" readingOrder="2"/>
      <protection locked="0"/>
    </xf>
    <xf numFmtId="167" fontId="21" fillId="0" borderId="0" xfId="0" applyNumberFormat="1" applyFont="1" applyProtection="1">
      <protection locked="0"/>
    </xf>
    <xf numFmtId="167" fontId="6" fillId="5" borderId="71" xfId="6" applyNumberFormat="1" applyFont="1" applyFill="1" applyBorder="1" applyAlignment="1" applyProtection="1">
      <alignment horizontal="center" vertical="center" readingOrder="2"/>
      <protection locked="0"/>
    </xf>
    <xf numFmtId="167" fontId="6" fillId="5" borderId="155" xfId="6" applyNumberFormat="1" applyFont="1" applyFill="1" applyBorder="1" applyAlignment="1" applyProtection="1">
      <alignment horizontal="center" vertical="center" wrapText="1" readingOrder="2"/>
      <protection locked="0"/>
    </xf>
    <xf numFmtId="167" fontId="6" fillId="5" borderId="156" xfId="6" applyNumberFormat="1" applyFont="1" applyFill="1" applyBorder="1" applyAlignment="1" applyProtection="1">
      <alignment horizontal="center" vertical="center" wrapText="1" readingOrder="2"/>
      <protection locked="0"/>
    </xf>
    <xf numFmtId="167" fontId="6" fillId="5" borderId="157" xfId="6" applyNumberFormat="1" applyFont="1" applyFill="1" applyBorder="1" applyAlignment="1" applyProtection="1">
      <alignment horizontal="center" vertical="center" wrapText="1" readingOrder="2"/>
      <protection locked="0"/>
    </xf>
    <xf numFmtId="167" fontId="1" fillId="0" borderId="0" xfId="6" applyNumberFormat="1" applyProtection="1">
      <protection locked="0"/>
    </xf>
    <xf numFmtId="167" fontId="19" fillId="7" borderId="80" xfId="7" applyNumberFormat="1" applyFont="1" applyFill="1" applyBorder="1" applyAlignment="1" applyProtection="1">
      <alignment horizontal="center" vertical="center" readingOrder="2"/>
      <protection locked="0"/>
    </xf>
    <xf numFmtId="167" fontId="15" fillId="0" borderId="158" xfId="6" applyNumberFormat="1" applyFont="1" applyBorder="1" applyAlignment="1" applyProtection="1">
      <alignment horizontal="center" vertical="center" wrapText="1" readingOrder="2"/>
      <protection locked="0"/>
    </xf>
    <xf numFmtId="167" fontId="15" fillId="0" borderId="159" xfId="6" applyNumberFormat="1" applyFont="1" applyBorder="1" applyAlignment="1" applyProtection="1">
      <alignment horizontal="center" vertical="center" wrapText="1" readingOrder="2"/>
      <protection locked="0"/>
    </xf>
    <xf numFmtId="167" fontId="15" fillId="7" borderId="159" xfId="6" applyNumberFormat="1" applyFont="1" applyFill="1" applyBorder="1" applyAlignment="1" applyProtection="1">
      <alignment horizontal="center" vertical="center" wrapText="1" readingOrder="2"/>
      <protection locked="0"/>
    </xf>
    <xf numFmtId="167" fontId="15" fillId="7" borderId="159" xfId="6" applyNumberFormat="1" applyFont="1" applyFill="1" applyBorder="1" applyAlignment="1" applyProtection="1">
      <alignment horizontal="center" vertical="center" readingOrder="2"/>
      <protection locked="0"/>
    </xf>
    <xf numFmtId="167" fontId="18" fillId="7" borderId="160" xfId="6" applyNumberFormat="1" applyFont="1" applyFill="1" applyBorder="1" applyAlignment="1" applyProtection="1">
      <alignment horizontal="center" vertical="center" readingOrder="2"/>
      <protection locked="0"/>
    </xf>
    <xf numFmtId="167" fontId="15" fillId="7" borderId="160" xfId="6" applyNumberFormat="1" applyFont="1" applyFill="1" applyBorder="1" applyAlignment="1" applyProtection="1">
      <alignment horizontal="center" vertical="center" readingOrder="2"/>
      <protection locked="0"/>
    </xf>
    <xf numFmtId="167" fontId="19" fillId="7" borderId="80" xfId="8" applyNumberFormat="1" applyFont="1" applyFill="1" applyBorder="1" applyAlignment="1" applyProtection="1">
      <alignment horizontal="center" vertical="center" readingOrder="2"/>
      <protection locked="0"/>
    </xf>
    <xf numFmtId="167" fontId="15" fillId="0" borderId="158" xfId="6" applyNumberFormat="1" applyFont="1" applyBorder="1" applyAlignment="1" applyProtection="1">
      <alignment horizontal="center" vertical="center" readingOrder="2"/>
      <protection locked="0"/>
    </xf>
    <xf numFmtId="167" fontId="15" fillId="0" borderId="159" xfId="6" applyNumberFormat="1" applyFont="1" applyBorder="1" applyAlignment="1" applyProtection="1">
      <alignment horizontal="center" vertical="center" readingOrder="2"/>
      <protection locked="0"/>
    </xf>
    <xf numFmtId="167" fontId="15" fillId="7" borderId="161" xfId="6" applyNumberFormat="1" applyFont="1" applyFill="1" applyBorder="1" applyAlignment="1" applyProtection="1">
      <alignment horizontal="center" vertical="center" readingOrder="2"/>
      <protection locked="0"/>
    </xf>
    <xf numFmtId="165" fontId="15" fillId="0" borderId="159" xfId="6" applyNumberFormat="1" applyFont="1" applyBorder="1" applyAlignment="1" applyProtection="1">
      <alignment horizontal="center" vertical="center" readingOrder="2"/>
      <protection locked="0"/>
    </xf>
    <xf numFmtId="165" fontId="15" fillId="7" borderId="161" xfId="6" applyNumberFormat="1" applyFont="1" applyFill="1" applyBorder="1" applyAlignment="1" applyProtection="1">
      <alignment horizontal="center" vertical="center" readingOrder="2"/>
      <protection locked="0"/>
    </xf>
    <xf numFmtId="167" fontId="19" fillId="7" borderId="80" xfId="9" applyNumberFormat="1" applyFont="1" applyFill="1" applyBorder="1" applyAlignment="1" applyProtection="1">
      <alignment horizontal="center" vertical="center" readingOrder="2"/>
      <protection locked="0"/>
    </xf>
    <xf numFmtId="167" fontId="15" fillId="7" borderId="158" xfId="10" applyNumberFormat="1" applyFont="1" applyFill="1" applyBorder="1" applyAlignment="1" applyProtection="1">
      <alignment horizontal="center" vertical="center" wrapText="1" readingOrder="1"/>
      <protection locked="0"/>
    </xf>
    <xf numFmtId="167" fontId="15" fillId="7" borderId="159" xfId="10" applyNumberFormat="1" applyFont="1" applyFill="1" applyBorder="1" applyAlignment="1" applyProtection="1">
      <alignment horizontal="center" vertical="center" wrapText="1" readingOrder="1"/>
      <protection locked="0"/>
    </xf>
    <xf numFmtId="167" fontId="15" fillId="7" borderId="158" xfId="6" applyNumberFormat="1" applyFont="1" applyFill="1" applyBorder="1" applyAlignment="1" applyProtection="1">
      <alignment horizontal="center" vertical="center" wrapText="1" readingOrder="2"/>
      <protection locked="0"/>
    </xf>
    <xf numFmtId="167" fontId="0" fillId="0" borderId="0" xfId="6" applyNumberFormat="1" applyFont="1" applyProtection="1">
      <protection locked="0"/>
    </xf>
    <xf numFmtId="167" fontId="19" fillId="7" borderId="93" xfId="9" applyNumberFormat="1" applyFont="1" applyFill="1" applyBorder="1" applyAlignment="1" applyProtection="1">
      <alignment horizontal="center" vertical="center" readingOrder="2"/>
      <protection locked="0"/>
    </xf>
    <xf numFmtId="167" fontId="15" fillId="7" borderId="162" xfId="6" applyNumberFormat="1" applyFont="1" applyFill="1" applyBorder="1" applyAlignment="1" applyProtection="1">
      <alignment horizontal="center" vertical="center" wrapText="1" readingOrder="2"/>
      <protection locked="0"/>
    </xf>
    <xf numFmtId="167" fontId="15" fillId="7" borderId="163" xfId="6" applyNumberFormat="1" applyFont="1" applyFill="1" applyBorder="1" applyAlignment="1" applyProtection="1">
      <alignment horizontal="center" vertical="center" wrapText="1" readingOrder="2"/>
      <protection locked="0"/>
    </xf>
    <xf numFmtId="167" fontId="15" fillId="7" borderId="163" xfId="6" applyNumberFormat="1" applyFont="1" applyFill="1" applyBorder="1" applyAlignment="1" applyProtection="1">
      <alignment horizontal="center" vertical="center" readingOrder="2"/>
      <protection locked="0"/>
    </xf>
    <xf numFmtId="167" fontId="15" fillId="7" borderId="164" xfId="6" applyNumberFormat="1" applyFont="1" applyFill="1" applyBorder="1" applyAlignment="1" applyProtection="1">
      <alignment horizontal="center" vertical="center" readingOrder="2"/>
      <protection locked="0"/>
    </xf>
    <xf numFmtId="167" fontId="62" fillId="8" borderId="0" xfId="6" applyNumberFormat="1" applyFont="1" applyFill="1" applyAlignment="1" applyProtection="1">
      <alignment horizontal="center" vertical="center" readingOrder="2"/>
      <protection locked="0"/>
    </xf>
    <xf numFmtId="167" fontId="1" fillId="8" borderId="0" xfId="6" applyNumberFormat="1" applyFill="1" applyProtection="1">
      <protection locked="0"/>
    </xf>
    <xf numFmtId="167" fontId="63" fillId="8" borderId="51" xfId="6" applyNumberFormat="1" applyFont="1" applyFill="1" applyBorder="1" applyAlignment="1" applyProtection="1">
      <alignment horizontal="right" vertical="top" wrapText="1"/>
      <protection locked="0"/>
    </xf>
    <xf numFmtId="167" fontId="63" fillId="8" borderId="52" xfId="6" applyNumberFormat="1" applyFont="1" applyFill="1" applyBorder="1" applyAlignment="1" applyProtection="1">
      <alignment horizontal="right" vertical="top" wrapText="1"/>
      <protection locked="0"/>
    </xf>
    <xf numFmtId="167" fontId="63" fillId="8" borderId="53" xfId="6" applyNumberFormat="1" applyFont="1" applyFill="1" applyBorder="1" applyAlignment="1" applyProtection="1">
      <alignment horizontal="right" vertical="top" wrapText="1"/>
      <protection locked="0"/>
    </xf>
    <xf numFmtId="167" fontId="63" fillId="8" borderId="51" xfId="6" applyNumberFormat="1" applyFont="1" applyFill="1" applyBorder="1" applyAlignment="1" applyProtection="1">
      <alignment horizontal="right" vertical="top" wrapText="1" readingOrder="2"/>
      <protection locked="0"/>
    </xf>
    <xf numFmtId="167" fontId="63" fillId="8" borderId="52" xfId="6" applyNumberFormat="1" applyFont="1" applyFill="1" applyBorder="1" applyAlignment="1" applyProtection="1">
      <alignment horizontal="right" vertical="top" wrapText="1" readingOrder="2"/>
      <protection locked="0"/>
    </xf>
    <xf numFmtId="167" fontId="63" fillId="8" borderId="53" xfId="6" applyNumberFormat="1" applyFont="1" applyFill="1" applyBorder="1" applyAlignment="1" applyProtection="1">
      <alignment horizontal="right" vertical="top" wrapText="1" readingOrder="2"/>
      <protection locked="0"/>
    </xf>
  </cellXfs>
  <cellStyles count="11">
    <cellStyle name="40% - Accent1 3" xfId="7" xr:uid="{5E20A5B5-A4E2-4846-B4FE-706255AF63F5}"/>
    <cellStyle name="Bad 2" xfId="8" xr:uid="{6C7A5DD4-4896-4A74-9C00-ABC00B95D24F}"/>
    <cellStyle name="Comma 3" xfId="2" xr:uid="{FE289730-5A31-4391-A463-48836DDE83FE}"/>
    <cellStyle name="Good 2" xfId="9" xr:uid="{82E86D30-12A3-4F9E-A78D-6599A8488B75}"/>
    <cellStyle name="Normal" xfId="0" builtinId="0"/>
    <cellStyle name="Normal 10" xfId="6" xr:uid="{E01FFE92-D843-4D11-A236-FC2B3F879271}"/>
    <cellStyle name="Normal 2" xfId="1" xr:uid="{8837AEF5-C146-478D-A16E-DB5AC23D3CA8}"/>
    <cellStyle name="Normal 2 2 3" xfId="3" xr:uid="{8262CB09-3714-4DE7-B0DB-E39EB9D4F6A1}"/>
    <cellStyle name="Normal 5" xfId="10" xr:uid="{EA22CAC6-FACD-4DA6-A6E3-071884A5D28A}"/>
    <cellStyle name="Normal 8 2" xfId="4" xr:uid="{D09A8C77-5F3D-4BCA-BE93-032B5BCB00C5}"/>
    <cellStyle name="Normal 8 2 2" xfId="5" xr:uid="{E12B1380-0E63-4014-A792-5B05005CC428}"/>
  </cellStyles>
  <dxfs count="353">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E60000"/>
      </font>
    </dxf>
    <dxf>
      <numFmt numFmtId="164" formatCode="&quot;&quot;"/>
    </dxf>
    <dxf>
      <font>
        <color rgb="FF0070C0"/>
      </font>
    </dxf>
    <dxf>
      <font>
        <color rgb="FF0070C0"/>
      </font>
    </dxf>
    <dxf>
      <font>
        <color rgb="FFC00000"/>
      </font>
    </dxf>
    <dxf>
      <font>
        <color rgb="FF0070C0"/>
      </font>
    </dxf>
    <dxf>
      <font>
        <color rgb="FF0070C0"/>
      </font>
    </dxf>
    <dxf>
      <font>
        <color rgb="FFC00000"/>
      </font>
    </dxf>
    <dxf>
      <font>
        <color rgb="FF0070C0"/>
      </font>
    </dxf>
    <dxf>
      <font>
        <color rgb="FF0070C0"/>
      </font>
    </dxf>
    <dxf>
      <font>
        <color rgb="FFC00000"/>
      </font>
    </dxf>
    <dxf>
      <font>
        <color rgb="FF0070C0"/>
      </font>
    </dxf>
    <dxf>
      <font>
        <color rgb="FF0070C0"/>
      </font>
    </dxf>
    <dxf>
      <font>
        <color rgb="FFC00000"/>
      </font>
    </dxf>
    <dxf>
      <font>
        <color rgb="FF0070C0"/>
      </font>
    </dxf>
    <dxf>
      <font>
        <color rgb="FF0070C0"/>
      </font>
    </dxf>
    <dxf>
      <font>
        <color rgb="FFC00000"/>
      </font>
    </dxf>
    <dxf>
      <font>
        <color rgb="FF0070C0"/>
      </font>
    </dxf>
    <dxf>
      <font>
        <color rgb="FF0070C0"/>
      </font>
    </dxf>
    <dxf>
      <font>
        <color rgb="FFC00000"/>
      </font>
    </dxf>
    <dxf>
      <font>
        <color rgb="FF0070C0"/>
      </font>
    </dxf>
    <dxf>
      <font>
        <color rgb="FF0070C0"/>
      </font>
    </dxf>
    <dxf>
      <font>
        <color rgb="FFC00000"/>
      </font>
    </dxf>
    <dxf>
      <font>
        <color rgb="FF0070C0"/>
      </font>
    </dxf>
    <dxf>
      <font>
        <color rgb="FF0070C0"/>
      </font>
    </dxf>
    <dxf>
      <font>
        <color rgb="FFC00000"/>
      </font>
    </dxf>
    <dxf>
      <font>
        <color rgb="FF0070C0"/>
      </font>
    </dxf>
    <dxf>
      <font>
        <color rgb="FF0070C0"/>
      </font>
    </dxf>
    <dxf>
      <font>
        <color rgb="FFC00000"/>
      </font>
    </dxf>
    <dxf>
      <font>
        <color rgb="FF0070C0"/>
      </font>
    </dxf>
    <dxf>
      <font>
        <color rgb="FF0070C0"/>
      </font>
    </dxf>
    <dxf>
      <font>
        <color rgb="FFC00000"/>
      </font>
    </dxf>
    <dxf>
      <font>
        <color rgb="FF0070C0"/>
      </font>
    </dxf>
    <dxf>
      <font>
        <color rgb="FF0070C0"/>
      </font>
    </dxf>
    <dxf>
      <font>
        <color rgb="FFC00000"/>
      </font>
    </dxf>
    <dxf>
      <font>
        <color rgb="FFE60000"/>
      </font>
    </dxf>
    <dxf>
      <numFmt numFmtId="164" formatCode="&quot;&quot;"/>
    </dxf>
    <dxf>
      <numFmt numFmtId="164" formatCode="&quot;&quot;"/>
    </dxf>
    <dxf>
      <font>
        <color rgb="FFFF0000"/>
      </font>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0000"/>
        </patternFill>
      </fill>
    </dxf>
    <dxf>
      <numFmt numFmtId="164" formatCode="&quot;&quot;"/>
    </dxf>
    <dxf>
      <numFmt numFmtId="164" formatCode="&quot;&quot;"/>
    </dxf>
    <dxf>
      <numFmt numFmtId="164" formatCode="&quot;&quot;"/>
    </dxf>
    <dxf>
      <numFmt numFmtId="164" formatCode="&quot;&quot;"/>
    </dxf>
    <dxf>
      <numFmt numFmtId="164" formatCode="&quot;&quot;"/>
    </dxf>
    <dxf>
      <numFmt numFmtId="164" formatCode="&quot;&quot;"/>
    </dxf>
    <dxf>
      <numFmt numFmtId="164" formatCode="&quot;&quot;"/>
    </dxf>
    <dxf>
      <numFmt numFmtId="164" formatCode="&quot;&quot;"/>
    </dxf>
    <dxf>
      <numFmt numFmtId="164" formatCode="&quot;&quot;"/>
    </dxf>
    <dxf>
      <numFmt numFmtId="164" formatCode="&quot;&quot;"/>
    </dxf>
    <dxf>
      <numFmt numFmtId="164" formatCode="&quot;&quot;"/>
    </dxf>
    <dxf>
      <numFmt numFmtId="164" formatCode="&quot;&quot;"/>
    </dxf>
    <dxf>
      <numFmt numFmtId="164" formatCode="&quot;&quot;"/>
    </dxf>
    <dxf>
      <numFmt numFmtId="164" formatCode="&quot;&quot;"/>
    </dxf>
    <dxf>
      <numFmt numFmtId="164" formatCode="&quot;&quot;"/>
    </dxf>
    <dxf>
      <numFmt numFmtId="164" formatCode="&quot;&quot;"/>
    </dxf>
    <dxf>
      <numFmt numFmtId="164" formatCode="&quot;&quot;"/>
    </dxf>
    <dxf>
      <numFmt numFmtId="164" formatCode="&quot;&quot;"/>
    </dxf>
    <dxf>
      <numFmt numFmtId="164" formatCode="&quot;&quot;"/>
    </dxf>
    <dxf>
      <numFmt numFmtId="164" formatCode="&quot;&quo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0070C0"/>
      </font>
    </dxf>
    <dxf>
      <font>
        <color rgb="FFE60000"/>
      </font>
    </dxf>
    <dxf>
      <font>
        <color rgb="FF0070C0"/>
      </font>
    </dxf>
    <dxf>
      <font>
        <color rgb="FFE60000"/>
      </font>
    </dxf>
    <dxf>
      <font>
        <color rgb="FF0070C0"/>
      </font>
    </dxf>
    <dxf>
      <font>
        <color rgb="FFE60000"/>
      </font>
    </dxf>
    <dxf>
      <font>
        <color rgb="FF0070C0"/>
      </font>
    </dxf>
    <dxf>
      <font>
        <color rgb="FFE60000"/>
      </font>
    </dxf>
    <dxf>
      <numFmt numFmtId="164" formatCode="&quot;&quot;"/>
    </dxf>
    <dxf>
      <font>
        <color rgb="FF0070C0"/>
      </font>
    </dxf>
    <dxf>
      <font>
        <color rgb="FFE60000"/>
      </font>
    </dxf>
    <dxf>
      <font>
        <color rgb="FF0070C0"/>
      </font>
    </dxf>
    <dxf>
      <font>
        <color rgb="FFE60000"/>
      </font>
    </dxf>
    <dxf>
      <font>
        <color rgb="FF0070C0"/>
      </font>
    </dxf>
    <dxf>
      <font>
        <color rgb="FFE60000"/>
      </font>
    </dxf>
    <dxf>
      <font>
        <color rgb="FF0070C0"/>
      </font>
    </dxf>
    <dxf>
      <font>
        <color rgb="FFE60000"/>
      </font>
    </dxf>
    <dxf>
      <numFmt numFmtId="164" formatCode="&quot;&quot;"/>
    </dxf>
    <dxf>
      <font>
        <color rgb="FF0070C0"/>
      </font>
    </dxf>
    <dxf>
      <font>
        <color rgb="FFE60000"/>
      </font>
    </dxf>
    <dxf>
      <font>
        <color rgb="FF0070C0"/>
      </font>
    </dxf>
    <dxf>
      <font>
        <color rgb="FFE60000"/>
      </font>
    </dxf>
    <dxf>
      <font>
        <color rgb="FF0070C0"/>
      </font>
    </dxf>
    <dxf>
      <font>
        <color rgb="FFE60000"/>
      </font>
    </dxf>
    <dxf>
      <font>
        <color rgb="FF0070C0"/>
      </font>
    </dxf>
    <dxf>
      <font>
        <color rgb="FFE60000"/>
      </font>
    </dxf>
    <dxf>
      <numFmt numFmtId="164" formatCode="&quot;&quot;"/>
    </dxf>
    <dxf>
      <font>
        <color rgb="FF0070C0"/>
      </font>
    </dxf>
    <dxf>
      <font>
        <color rgb="FFE60000"/>
      </font>
    </dxf>
    <dxf>
      <font>
        <color rgb="FF0070C0"/>
      </font>
    </dxf>
    <dxf>
      <font>
        <color rgb="FFE60000"/>
      </font>
    </dxf>
    <dxf>
      <font>
        <color rgb="FF0070C0"/>
      </font>
    </dxf>
    <dxf>
      <font>
        <color rgb="FFE60000"/>
      </font>
    </dxf>
    <dxf>
      <font>
        <color rgb="FF0070C0"/>
      </font>
    </dxf>
    <dxf>
      <font>
        <color rgb="FFE60000"/>
      </font>
    </dxf>
    <dxf>
      <numFmt numFmtId="164" formatCode="&quot;&quot;"/>
    </dxf>
    <dxf>
      <font>
        <color rgb="FF0070C0"/>
      </font>
    </dxf>
    <dxf>
      <font>
        <color rgb="FFE60000"/>
      </font>
    </dxf>
    <dxf>
      <font>
        <color rgb="FF0070C0"/>
      </font>
    </dxf>
    <dxf>
      <font>
        <color rgb="FFE60000"/>
      </font>
    </dxf>
    <dxf>
      <font>
        <color rgb="FF0070C0"/>
      </font>
    </dxf>
    <dxf>
      <font>
        <color rgb="FFE60000"/>
      </font>
    </dxf>
    <dxf>
      <font>
        <color rgb="FF0070C0"/>
      </font>
    </dxf>
    <dxf>
      <font>
        <color rgb="FFE60000"/>
      </font>
    </dxf>
    <dxf>
      <numFmt numFmtId="164" formatCode="&quot;&quot;"/>
    </dxf>
    <dxf>
      <font>
        <color rgb="FF0070C0"/>
      </font>
    </dxf>
    <dxf>
      <font>
        <color rgb="FFE60000"/>
      </font>
    </dxf>
    <dxf>
      <font>
        <color rgb="FF0070C0"/>
      </font>
    </dxf>
    <dxf>
      <font>
        <color rgb="FFE60000"/>
      </font>
    </dxf>
    <dxf>
      <font>
        <color rgb="FF0070C0"/>
      </font>
    </dxf>
    <dxf>
      <font>
        <color rgb="FFE60000"/>
      </font>
    </dxf>
    <dxf>
      <font>
        <color rgb="FF0070C0"/>
      </font>
    </dxf>
    <dxf>
      <font>
        <color rgb="FFE60000"/>
      </font>
    </dxf>
    <dxf>
      <numFmt numFmtId="164" formatCode="&quot;&quot;"/>
    </dxf>
    <dxf>
      <font>
        <color rgb="FF0070C0"/>
      </font>
    </dxf>
    <dxf>
      <font>
        <color rgb="FFE60000"/>
      </font>
    </dxf>
    <dxf>
      <font>
        <color rgb="FF0070C0"/>
      </font>
    </dxf>
    <dxf>
      <font>
        <color rgb="FFE60000"/>
      </font>
    </dxf>
    <dxf>
      <font>
        <color rgb="FF0070C0"/>
      </font>
    </dxf>
    <dxf>
      <font>
        <color rgb="FFE60000"/>
      </font>
    </dxf>
    <dxf>
      <font>
        <color rgb="FF0070C0"/>
      </font>
    </dxf>
    <dxf>
      <font>
        <color rgb="FFE60000"/>
      </font>
    </dxf>
    <dxf>
      <numFmt numFmtId="164" formatCode="&quot;&quot;"/>
    </dxf>
    <dxf>
      <font>
        <color rgb="FF0070C0"/>
      </font>
    </dxf>
    <dxf>
      <font>
        <color rgb="FFE60000"/>
      </font>
    </dxf>
    <dxf>
      <font>
        <color rgb="FF0070C0"/>
      </font>
    </dxf>
    <dxf>
      <font>
        <color rgb="FFE60000"/>
      </font>
    </dxf>
    <dxf>
      <font>
        <color rgb="FF0070C0"/>
      </font>
    </dxf>
    <dxf>
      <font>
        <color rgb="FFE60000"/>
      </font>
    </dxf>
    <dxf>
      <font>
        <color rgb="FF0070C0"/>
      </font>
    </dxf>
    <dxf>
      <font>
        <color rgb="FFE60000"/>
      </font>
    </dxf>
    <dxf>
      <numFmt numFmtId="164" formatCode="&quot;&quot;"/>
    </dxf>
    <dxf>
      <font>
        <color rgb="FF0070C0"/>
      </font>
    </dxf>
    <dxf>
      <font>
        <color rgb="FFE60000"/>
      </font>
    </dxf>
    <dxf>
      <font>
        <color rgb="FF0070C0"/>
      </font>
    </dxf>
    <dxf>
      <font>
        <color rgb="FFE60000"/>
      </font>
    </dxf>
    <dxf>
      <font>
        <color rgb="FF0070C0"/>
      </font>
    </dxf>
    <dxf>
      <font>
        <color rgb="FFE60000"/>
      </font>
    </dxf>
    <dxf>
      <font>
        <color rgb="FF0070C0"/>
      </font>
    </dxf>
    <dxf>
      <font>
        <color rgb="FFE60000"/>
      </font>
    </dxf>
    <dxf>
      <numFmt numFmtId="164" formatCode="&quot;&quot;"/>
    </dxf>
    <dxf>
      <font>
        <color rgb="FF0070C0"/>
      </font>
    </dxf>
    <dxf>
      <font>
        <color rgb="FFE60000"/>
      </font>
    </dxf>
    <dxf>
      <font>
        <color rgb="FF0070C0"/>
      </font>
    </dxf>
    <dxf>
      <font>
        <color rgb="FFE60000"/>
      </font>
    </dxf>
    <dxf>
      <font>
        <color rgb="FF0070C0"/>
      </font>
    </dxf>
    <dxf>
      <font>
        <color rgb="FFE60000"/>
      </font>
    </dxf>
    <dxf>
      <font>
        <color rgb="FF0070C0"/>
      </font>
    </dxf>
    <dxf>
      <font>
        <color rgb="FFE60000"/>
      </font>
    </dxf>
    <dxf>
      <font>
        <color rgb="FF0070C0"/>
      </font>
    </dxf>
    <dxf>
      <font>
        <color rgb="FFE60000"/>
      </font>
    </dxf>
    <dxf>
      <font>
        <color rgb="FF0070C0"/>
      </font>
    </dxf>
    <dxf>
      <font>
        <color rgb="FFE60000"/>
      </font>
    </dxf>
    <dxf>
      <numFmt numFmtId="164" formatCode="&quot;&quo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externalLink" Target="externalLinks/externalLink8.xml"/><Relationship Id="rId10" Type="http://schemas.openxmlformats.org/officeDocument/2006/relationships/externalLink" Target="externalLinks/externalLink3.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s>
</file>

<file path=xl/drawings/drawing1.xml><?xml version="1.0" encoding="utf-8"?>
<xdr:wsDr xmlns:xdr="http://schemas.openxmlformats.org/drawingml/2006/spreadsheetDrawing" xmlns:a="http://schemas.openxmlformats.org/drawingml/2006/main">
  <xdr:twoCellAnchor>
    <xdr:from>
      <xdr:col>21</xdr:col>
      <xdr:colOff>107157</xdr:colOff>
      <xdr:row>27</xdr:row>
      <xdr:rowOff>83342</xdr:rowOff>
    </xdr:from>
    <xdr:to>
      <xdr:col>28</xdr:col>
      <xdr:colOff>83344</xdr:colOff>
      <xdr:row>34</xdr:row>
      <xdr:rowOff>535781</xdr:rowOff>
    </xdr:to>
    <xdr:sp macro="" textlink="">
      <xdr:nvSpPr>
        <xdr:cNvPr id="2" name="TextBox 1">
          <a:extLst>
            <a:ext uri="{FF2B5EF4-FFF2-40B4-BE49-F238E27FC236}">
              <a16:creationId xmlns:a16="http://schemas.microsoft.com/office/drawing/2014/main" id="{4B6FA3B2-4F0A-4C11-9960-BA5193ABB1EE}"/>
            </a:ext>
          </a:extLst>
        </xdr:cNvPr>
        <xdr:cNvSpPr txBox="1"/>
      </xdr:nvSpPr>
      <xdr:spPr>
        <a:xfrm>
          <a:off x="9970629506" y="9541667"/>
          <a:ext cx="5710237" cy="26717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rtl="1"/>
          <a:r>
            <a:rPr lang="fa-IR" sz="1600" b="1" i="0" u="none" strike="noStrike">
              <a:solidFill>
                <a:srgbClr val="000000"/>
              </a:solidFill>
              <a:effectLst/>
              <a:latin typeface="Calibri" panose="020F0502020204030204" pitchFamily="34" charset="0"/>
              <a:cs typeface="B Titr" panose="00000700000000000000" pitchFamily="2" charset="-78"/>
            </a:rPr>
            <a:t>نحوه</a:t>
          </a:r>
          <a:r>
            <a:rPr lang="fa-IR" sz="1600" b="1" i="0" u="none" strike="noStrike" baseline="0">
              <a:solidFill>
                <a:srgbClr val="000000"/>
              </a:solidFill>
              <a:effectLst/>
              <a:latin typeface="Calibri" panose="020F0502020204030204" pitchFamily="34" charset="0"/>
              <a:cs typeface="B Titr" panose="00000700000000000000" pitchFamily="2" charset="-78"/>
            </a:rPr>
            <a:t> محاسبه ظرفیت انبارها:</a:t>
          </a:r>
        </a:p>
        <a:p>
          <a:pPr algn="l" rtl="0"/>
          <a:r>
            <a:rPr lang="en-US" sz="1600" b="1" i="0" u="none" strike="noStrike">
              <a:solidFill>
                <a:srgbClr val="000000"/>
              </a:solidFill>
              <a:effectLst/>
              <a:latin typeface="Calibri" panose="020F0502020204030204" pitchFamily="34" charset="0"/>
              <a:cs typeface="B Titr" panose="00000700000000000000" pitchFamily="2" charset="-78"/>
            </a:rPr>
            <a:t>V = M * X * A * B * T</a:t>
          </a:r>
          <a:endParaRPr lang="fa-IR" sz="1600" b="1" i="0" u="none" strike="noStrike">
            <a:solidFill>
              <a:srgbClr val="000000"/>
            </a:solidFill>
            <a:effectLst/>
            <a:latin typeface="Calibri" panose="020F0502020204030204" pitchFamily="34" charset="0"/>
            <a:cs typeface="B Titr" panose="00000700000000000000" pitchFamily="2" charset="-78"/>
          </a:endParaRPr>
        </a:p>
        <a:p>
          <a:pPr algn="l" rtl="0"/>
          <a:r>
            <a:rPr lang="en-US" sz="1200">
              <a:cs typeface="B Titr" panose="00000700000000000000" pitchFamily="2" charset="-78"/>
            </a:rPr>
            <a:t> </a:t>
          </a:r>
          <a:r>
            <a:rPr lang="en-US" sz="1200" b="0" i="0" u="none" strike="noStrike">
              <a:solidFill>
                <a:srgbClr val="000000"/>
              </a:solidFill>
              <a:effectLst/>
              <a:latin typeface="Calibri" panose="020F0502020204030204" pitchFamily="34" charset="0"/>
              <a:cs typeface="B Titr" panose="00000700000000000000" pitchFamily="2" charset="-78"/>
            </a:rPr>
            <a:t>V: </a:t>
          </a:r>
          <a:r>
            <a:rPr lang="fa-IR" sz="1200" b="0" i="0" u="none" strike="noStrike">
              <a:solidFill>
                <a:srgbClr val="000000"/>
              </a:solidFill>
              <a:effectLst/>
              <a:latin typeface="Calibri" panose="020F0502020204030204" pitchFamily="34" charset="0"/>
              <a:cs typeface="B Titr" panose="00000700000000000000" pitchFamily="2" charset="-78"/>
            </a:rPr>
            <a:t>ظرفیت </a:t>
          </a:r>
          <a:r>
            <a:rPr lang="fa-IR" sz="1200">
              <a:cs typeface="B Titr" panose="00000700000000000000" pitchFamily="2" charset="-78"/>
            </a:rPr>
            <a:t> </a:t>
          </a:r>
        </a:p>
        <a:p>
          <a:pPr algn="l" rtl="0"/>
          <a:r>
            <a:rPr lang="en-US" sz="1200" b="0" i="0" u="none" strike="noStrike">
              <a:solidFill>
                <a:srgbClr val="000000"/>
              </a:solidFill>
              <a:effectLst/>
              <a:latin typeface="Calibri" panose="020F0502020204030204" pitchFamily="34" charset="0"/>
              <a:cs typeface="B Titr" panose="00000700000000000000" pitchFamily="2" charset="-78"/>
            </a:rPr>
            <a:t>M: </a:t>
          </a:r>
          <a:r>
            <a:rPr lang="fa-IR" sz="1200" b="0" i="0" u="none" strike="noStrike">
              <a:solidFill>
                <a:srgbClr val="000000"/>
              </a:solidFill>
              <a:effectLst/>
              <a:latin typeface="Calibri" panose="020F0502020204030204" pitchFamily="34" charset="0"/>
              <a:cs typeface="B Titr" panose="00000700000000000000" pitchFamily="2" charset="-78"/>
            </a:rPr>
            <a:t>متراژ انبارها</a:t>
          </a:r>
          <a:r>
            <a:rPr lang="fa-IR" sz="1200">
              <a:cs typeface="B Titr" panose="00000700000000000000" pitchFamily="2" charset="-78"/>
            </a:rPr>
            <a:t> </a:t>
          </a:r>
        </a:p>
        <a:p>
          <a:pPr algn="l" rtl="0"/>
          <a:r>
            <a:rPr lang="en-US" sz="1200" b="0" i="0" u="none" strike="noStrike">
              <a:solidFill>
                <a:srgbClr val="000000"/>
              </a:solidFill>
              <a:effectLst/>
              <a:latin typeface="Calibri" panose="020F0502020204030204" pitchFamily="34" charset="0"/>
              <a:cs typeface="B Titr" panose="00000700000000000000" pitchFamily="2" charset="-78"/>
            </a:rPr>
            <a:t>X: </a:t>
          </a:r>
          <a:r>
            <a:rPr lang="fa-IR" sz="1200" b="0" i="0" u="none" strike="noStrike">
              <a:solidFill>
                <a:srgbClr val="000000"/>
              </a:solidFill>
              <a:effectLst/>
              <a:latin typeface="Calibri" panose="020F0502020204030204" pitchFamily="34" charset="0"/>
              <a:cs typeface="B Titr" panose="00000700000000000000" pitchFamily="2" charset="-78"/>
            </a:rPr>
            <a:t>درصد فضای مفید (مسقف: 0.65 ، هانگار: 0.68 ، بارانداز: 0.7)</a:t>
          </a:r>
        </a:p>
        <a:p>
          <a:pPr algn="l" rtl="0"/>
          <a:r>
            <a:rPr lang="fa-IR" sz="1200">
              <a:cs typeface="B Titr" panose="00000700000000000000" pitchFamily="2" charset="-78"/>
            </a:rPr>
            <a:t> </a:t>
          </a:r>
          <a:r>
            <a:rPr lang="en-US" sz="1200" b="0" i="0" u="none" strike="noStrike">
              <a:solidFill>
                <a:srgbClr val="000000"/>
              </a:solidFill>
              <a:effectLst/>
              <a:latin typeface="Calibri" panose="020F0502020204030204" pitchFamily="34" charset="0"/>
              <a:cs typeface="B Titr" panose="00000700000000000000" pitchFamily="2" charset="-78"/>
            </a:rPr>
            <a:t>A: </a:t>
          </a:r>
          <a:r>
            <a:rPr lang="fa-IR" sz="1200" b="0" i="0" u="none" strike="noStrike">
              <a:solidFill>
                <a:srgbClr val="000000"/>
              </a:solidFill>
              <a:effectLst/>
              <a:latin typeface="Calibri" panose="020F0502020204030204" pitchFamily="34" charset="0"/>
              <a:cs typeface="B Titr" panose="00000700000000000000" pitchFamily="2" charset="-78"/>
            </a:rPr>
            <a:t>مقدار کالای انبار شده در واحد سطح (تن) (مسقف: 0.5 ، هانگار: 0.6 ، بارانداز: 1.1)</a:t>
          </a:r>
          <a:r>
            <a:rPr lang="fa-IR" sz="1200">
              <a:cs typeface="B Titr" panose="00000700000000000000" pitchFamily="2" charset="-78"/>
            </a:rPr>
            <a:t> </a:t>
          </a:r>
        </a:p>
        <a:p>
          <a:pPr algn="l" rtl="0"/>
          <a:r>
            <a:rPr lang="en-US" sz="1200" b="0" i="0" u="none" strike="noStrike">
              <a:solidFill>
                <a:srgbClr val="000000"/>
              </a:solidFill>
              <a:effectLst/>
              <a:latin typeface="Calibri" panose="020F0502020204030204" pitchFamily="34" charset="0"/>
              <a:cs typeface="B Titr" panose="00000700000000000000" pitchFamily="2" charset="-78"/>
            </a:rPr>
            <a:t>B: </a:t>
          </a:r>
          <a:r>
            <a:rPr lang="fa-IR" sz="1200" b="0" i="0" u="none" strike="noStrike">
              <a:solidFill>
                <a:srgbClr val="000000"/>
              </a:solidFill>
              <a:effectLst/>
              <a:latin typeface="Calibri" panose="020F0502020204030204" pitchFamily="34" charset="0"/>
              <a:cs typeface="B Titr" panose="00000700000000000000" pitchFamily="2" charset="-78"/>
            </a:rPr>
            <a:t>مقدار کالای انبار شده در واحد ارتفاع (عدد) (مسقف: 2 ، هانگار: 2 ، بارانداز: 1)</a:t>
          </a:r>
          <a:r>
            <a:rPr lang="fa-IR" sz="1200">
              <a:cs typeface="B Titr" panose="00000700000000000000" pitchFamily="2" charset="-78"/>
            </a:rPr>
            <a:t> </a:t>
          </a:r>
        </a:p>
        <a:p>
          <a:pPr algn="l" rtl="0"/>
          <a:r>
            <a:rPr lang="en-US" sz="1200" b="0" i="0" u="none" strike="noStrike">
              <a:solidFill>
                <a:srgbClr val="000000"/>
              </a:solidFill>
              <a:effectLst/>
              <a:latin typeface="Calibri" panose="020F0502020204030204" pitchFamily="34" charset="0"/>
              <a:cs typeface="B Titr" panose="00000700000000000000" pitchFamily="2" charset="-78"/>
            </a:rPr>
            <a:t>T:</a:t>
          </a:r>
          <a:r>
            <a:rPr lang="fa-IR" sz="1200" b="0" i="0" u="none" strike="noStrike">
              <a:solidFill>
                <a:srgbClr val="000000"/>
              </a:solidFill>
              <a:effectLst/>
              <a:latin typeface="Calibri" panose="020F0502020204030204" pitchFamily="34" charset="0"/>
              <a:cs typeface="B Titr" panose="00000700000000000000" pitchFamily="2" charset="-78"/>
            </a:rPr>
            <a:t>تعداد دوره تخلیه و بارگیری</a:t>
          </a:r>
          <a:r>
            <a:rPr lang="fa-IR" sz="1200">
              <a:cs typeface="B Titr" panose="00000700000000000000" pitchFamily="2" charset="-78"/>
            </a:rPr>
            <a:t> </a:t>
          </a:r>
          <a:endParaRPr lang="en-US" sz="1200">
            <a:cs typeface="B Titr" panose="00000700000000000000" pitchFamily="2" charset="-78"/>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rive_c_14050628\&#1576;&#1608;&#1583;&#1580;&#1607;%206%20&#1605;&#1575;&#1607;&#1607;%20&#1587;&#1575;&#1604;%201405%20&#1606;&#1607;&#1575;&#1740;&#1740;%20(2).xlsm" TargetMode="External"/><Relationship Id="rId1" Type="http://schemas.openxmlformats.org/officeDocument/2006/relationships/externalLinkPath" Target="&#1576;&#1608;&#1583;&#1580;&#1607;%206%20&#1605;&#1575;&#1607;&#1607;%20&#1587;&#1575;&#1604;%201405%20&#1606;&#1607;&#1575;&#1740;&#1740;%20(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advish-srv\mali2025$\&#1576;&#1608;&#1583;&#1580;&#1607;\1405-6Month-Quarterly-Visible-Unprotected-4Sheets-&#1582;&#1585;&#1575;&#1587;&#1575;&#1606;.xlsm"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file:///\\padvish-srv\Users\Shafaghatian\Downloads\Users\auditor02\Desktop\Users\Shafaghatian\Downloads\Users\auditor01-a\Desktop\a.h\Auditor01-a\Downloads\Documents%20and%20Settings\acst-8\Desktop\&#1602;&#1740;&#1605;&#1578;%20&#1578;&#1605;&#1575;&#1605;%20&#1588;&#1583;&#1607;%20-%2031-6-91.xlsx?244A5E18" TargetMode="External"/><Relationship Id="rId1" Type="http://schemas.openxmlformats.org/officeDocument/2006/relationships/externalLinkPath" Target="file:///\\244A5E18\&#1602;&#1740;&#1605;&#1578;%20&#1578;&#1605;&#1575;&#1605;%20&#1588;&#1583;&#1607;%20-%2031-6-9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59C040A5\3-%20%20&#1602;&#1740;&#1605;&#1578;%20&#1578;&#1605;&#1575;&#1605;%20&#1588;&#1583;&#1607;.%20xlsx.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3616412\Driver.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ain-server\RAZ\pakhsh%20razi\1387\138712\138712%202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advish-srv\mali2025$\Users\Shafaghatian\Downloads\Users\auditor02\Desktop\Users\auditor01-a\Desktop\a.h\Auditor01-a\Downloads\&#1589;&#1606;&#1593;&#1578;&#1740;\&#1602;&#1740;&#1605;&#1578;%20&#1578;&#1605;&#1575;&#1605;%20&#1588;&#1583;&#1607;\&#1602;%20.%20&#1578;%20.%20&#1588;%20-%2090\&#1602;.&#1578;.&#1588;%20-%20&#1582;&#1585;&#1583;&#1575;&#1583;%20&#1605;&#1575;&#1607;%2090\3-%20%20&#1602;&#1740;&#1605;&#1578;%20&#1578;&#1605;&#1575;&#1605;%20&#1588;&#1583;&#1607;.%20xlsx.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cst-8\1390\&#1589;&#1608;&#1585;&#1578;&#1607;&#1575;&#1740;%20&#1605;&#1575;&#1604;&#1740;%20&#1580;&#1575;&#1576;&#1585;&#1575;&#1576;&#1606;%20&#1581;&#1740;&#1575;&#1606;\1390\&#1662;&#1575;&#1740;&#1575;&#1606;%20&#1587;&#1575;&#1604;89\&#1705;&#1575;&#1585;&#1576;&#1585;&#1711;%20&#1607;&#1575;&#1740;%20000\&#1605;&#1608;&#1580;&#1608;&#1583;&#1740;%20&#1580;&#1575;&#1576;&#1585;12-89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BASE"/>
      <sheetName val="BudgetDB"/>
      <sheetName val="روکش"/>
      <sheetName val="First"/>
      <sheetName val="در یک نگاه"/>
      <sheetName val="الف-ب-ج"/>
      <sheetName val="کلیات"/>
      <sheetName val="اقدامات تکالیف بودجه"/>
      <sheetName val="اقدامات تکالیف مجمع"/>
      <sheetName val="میزان اجرای برنامه"/>
      <sheetName val="مصوبات هیات مدیره"/>
      <sheetName val="اهم اقدامات"/>
      <sheetName val="صورتخلاصه درآمد آزادراه"/>
      <sheetName val="صورتخلاصه درآمد"/>
      <sheetName val="فروش داخلی تولیدی"/>
      <sheetName val="فروش B2B"/>
      <sheetName val="فروش پخش"/>
      <sheetName val="فروش داخلی تجاری"/>
      <sheetName val="عوارض"/>
      <sheetName val="واردات"/>
      <sheetName val="صادرات"/>
      <sheetName val="درآمد خدمات آزادراهی"/>
      <sheetName val="جدول فروش خدمات"/>
      <sheetName val="درآمد خدمات"/>
      <sheetName val="درآمد صادرات"/>
      <sheetName val="گردش سهام"/>
      <sheetName val="سود سهام "/>
      <sheetName val="مقادیر تولید"/>
      <sheetName val="مستندات تولید"/>
      <sheetName val="گردش محصول تولیدی"/>
      <sheetName val="خرید مواد اولیه تولید"/>
      <sheetName val="هزینه پرسنلی مستقیم تولید"/>
      <sheetName val="هزینه پرسنلی غیرمستقیم تولید"/>
      <sheetName val="هزینه سربار تولید"/>
      <sheetName val="بهای تمام شده تولید"/>
      <sheetName val="مقادیر مصرف مواد"/>
      <sheetName val="مقادیر خدمات آزادراهی"/>
      <sheetName val="خرید اقلام خدمات آزادراهی"/>
      <sheetName val="هزینه پرسنلی مستقیم خدمات 2"/>
      <sheetName val="هزینه پرسنلی غیرمستقیم خدمات 2"/>
      <sheetName val="هزینه سربار خدمات آزادراهی"/>
      <sheetName val="بهای خدمات آزادراهی"/>
      <sheetName val="مقادیر خدمات"/>
      <sheetName val="خرید اقلام خدمات"/>
      <sheetName val="تعداد پرسنل"/>
      <sheetName val="هزینه پرسنلی مستقیم خدمات"/>
      <sheetName val="هزینه پرسنلی غیرمستقیم خدمات"/>
      <sheetName val="هزینه سربار خدمات"/>
      <sheetName val="بهای خدمات"/>
      <sheetName val="نگهداری آزادراه"/>
      <sheetName val="بهره برداری آزادراه"/>
      <sheetName val="بهسازی آزادراه"/>
      <sheetName val="خرید کالای تجاری"/>
      <sheetName val="بهای کالای تجاری"/>
      <sheetName val="تعداد پرسنل آزادراه (2)"/>
      <sheetName val="تعداد پرسنل آزادراه"/>
      <sheetName val="صورت وضعیت مالی آزادراه"/>
      <sheetName val="هزینه اداری عمومی"/>
      <sheetName val="سایر عملیاتی"/>
      <sheetName val="سایر غیرعملیاتی"/>
      <sheetName val="صورت سود و زیان"/>
      <sheetName val="صورت سود و زیان - شرکت اصلی"/>
      <sheetName val="صورت وضعیت مالی "/>
      <sheetName val="صورت وضعیت مالی - شرکت اصلی"/>
      <sheetName val="اقلام عمده حسابها آزادراه"/>
      <sheetName val="اقلام عمده حسابها "/>
      <sheetName val="درآمد هزینه آزادراه"/>
      <sheetName val="صورت جریان وجوه نقد آزادراه"/>
      <sheetName val="صورت جریان وجوه نقد "/>
      <sheetName val="صورت جریان وجوه نقد - شرکت اصلی"/>
      <sheetName val="دریافت پرداخت نقد آزادراه"/>
      <sheetName val="دریافت پرداخت"/>
      <sheetName val="سود ناویژه محصول تولیدی"/>
      <sheetName val=" سود ناویژه کالای تجاری"/>
      <sheetName val="سود ناویژه صادراتی"/>
      <sheetName val="سود ناویژه خدمات آزادراهی"/>
      <sheetName val="هزینه اداری عمومی آزادراه"/>
      <sheetName val="دارایی آزادراه"/>
      <sheetName val="دارایی"/>
      <sheetName val="موجودی مواد و کالا"/>
      <sheetName val="موجودی مواد و کالا آزادراهی"/>
      <sheetName val="سایر عملیاتی آزادراهی"/>
      <sheetName val="سایر غیرعملیاتی آزادراهی"/>
      <sheetName val="سود ناویژه خدمات"/>
      <sheetName val="تسهیلات"/>
      <sheetName val="حقوقی"/>
      <sheetName val="مزایده-مناقصه"/>
      <sheetName val="استهلاک سرمایه گذاری"/>
      <sheetName val="روابط عمومی"/>
      <sheetName val="پروژه ها"/>
      <sheetName val="ریزشعب انبار"/>
      <sheetName val="ماشین آلات "/>
      <sheetName val="ظرفیت انبارها"/>
      <sheetName val="جدول درآمد-هزینه-سود شرکتها"/>
      <sheetName val="خلاصه وضعیت پروازی ناوگان"/>
      <sheetName val="درآمد فروش بليط داخلی"/>
      <sheetName val="درآمد فروش بليط خارجی"/>
      <sheetName val="سوخت"/>
      <sheetName val="کترینگ"/>
      <sheetName val="هندلینگ"/>
      <sheetName val="خدمات فرودگاهی"/>
      <sheetName val="اطلاعات واحدها"/>
      <sheetName val="ریز فروشگاه ها"/>
      <sheetName val="پایان"/>
      <sheetName val="اصلاحات"/>
      <sheetName val="تغییر در فرمول بودجه و اصلی"/>
      <sheetName val="ابهامات"/>
    </sheetNames>
    <sheetDataSet>
      <sheetData sheetId="0"/>
      <sheetData sheetId="1"/>
      <sheetData sheetId="2">
        <row r="4">
          <cell r="D4" t="str">
            <v>انبارهای عمومی و خدمات گمرکی ایران</v>
          </cell>
        </row>
        <row r="9">
          <cell r="D9">
            <v>1405</v>
          </cell>
          <cell r="F9" t="str">
            <v>شش ماهه</v>
          </cell>
        </row>
      </sheetData>
      <sheetData sheetId="3"/>
      <sheetData sheetId="4"/>
      <sheetData sheetId="5">
        <row r="9">
          <cell r="L9">
            <v>247</v>
          </cell>
          <cell r="M9">
            <v>2</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42">
          <cell r="C42">
            <v>3822</v>
          </cell>
          <cell r="D42">
            <v>11125</v>
          </cell>
          <cell r="G42">
            <v>9716.27363125185</v>
          </cell>
          <cell r="H42">
            <v>38497.26561103703</v>
          </cell>
          <cell r="I42">
            <v>0</v>
          </cell>
          <cell r="K42">
            <v>40</v>
          </cell>
          <cell r="L42">
            <v>2891</v>
          </cell>
          <cell r="AA42" t="str">
            <v>شهید کاوه</v>
          </cell>
        </row>
        <row r="43">
          <cell r="D43">
            <v>9899</v>
          </cell>
          <cell r="G43">
            <v>0</v>
          </cell>
          <cell r="H43">
            <v>16320.389275384978</v>
          </cell>
          <cell r="I43">
            <v>0</v>
          </cell>
          <cell r="K43">
            <v>493</v>
          </cell>
          <cell r="L43">
            <v>6309</v>
          </cell>
          <cell r="M43">
            <v>2207</v>
          </cell>
          <cell r="AA43" t="str">
            <v>مطهری</v>
          </cell>
        </row>
        <row r="44">
          <cell r="D44">
            <v>7882</v>
          </cell>
          <cell r="E44">
            <v>29637</v>
          </cell>
          <cell r="G44">
            <v>0</v>
          </cell>
          <cell r="H44">
            <v>9271.6113885696359</v>
          </cell>
          <cell r="I44">
            <v>35361.703312900892</v>
          </cell>
          <cell r="L44">
            <v>6778</v>
          </cell>
          <cell r="M44">
            <v>24810</v>
          </cell>
          <cell r="AA44" t="str">
            <v>سرخس</v>
          </cell>
        </row>
        <row r="45">
          <cell r="D45">
            <v>40280</v>
          </cell>
          <cell r="E45">
            <v>418170</v>
          </cell>
          <cell r="G45">
            <v>0</v>
          </cell>
          <cell r="H45">
            <v>37960.714858659485</v>
          </cell>
          <cell r="I45">
            <v>401431.40062814206</v>
          </cell>
          <cell r="L45">
            <v>62858</v>
          </cell>
          <cell r="M45">
            <v>489014</v>
          </cell>
          <cell r="AA45" t="str">
            <v>لطف آباد</v>
          </cell>
        </row>
        <row r="46">
          <cell r="C46">
            <v>1</v>
          </cell>
          <cell r="D46">
            <v>10826</v>
          </cell>
          <cell r="G46">
            <v>0</v>
          </cell>
          <cell r="H46">
            <v>5774.4347436758444</v>
          </cell>
          <cell r="I46">
            <v>0</v>
          </cell>
          <cell r="L46">
            <v>6401</v>
          </cell>
          <cell r="AA46" t="str">
            <v>نیشابور</v>
          </cell>
        </row>
        <row r="47">
          <cell r="D47">
            <v>20</v>
          </cell>
          <cell r="G47">
            <v>0</v>
          </cell>
          <cell r="H47">
            <v>33.470577777777777</v>
          </cell>
          <cell r="I47">
            <v>0</v>
          </cell>
          <cell r="L47">
            <v>1952</v>
          </cell>
          <cell r="AA47" t="str">
            <v>ماهیرود</v>
          </cell>
        </row>
        <row r="48">
          <cell r="C48">
            <v>50</v>
          </cell>
          <cell r="D48">
            <v>32693</v>
          </cell>
          <cell r="E48">
            <v>50539</v>
          </cell>
          <cell r="G48">
            <v>0</v>
          </cell>
          <cell r="H48">
            <v>37898.876855284332</v>
          </cell>
          <cell r="I48">
            <v>72638.662278350035</v>
          </cell>
          <cell r="K48">
            <v>86</v>
          </cell>
          <cell r="L48">
            <v>51694</v>
          </cell>
          <cell r="M48">
            <v>125131</v>
          </cell>
          <cell r="AA48" t="str">
            <v>دوغارون</v>
          </cell>
        </row>
        <row r="49">
          <cell r="C49">
            <v>29</v>
          </cell>
          <cell r="D49">
            <v>373</v>
          </cell>
          <cell r="G49">
            <v>58.144818976279652</v>
          </cell>
          <cell r="H49">
            <v>3069.1125766871169</v>
          </cell>
          <cell r="I49">
            <v>0</v>
          </cell>
          <cell r="K49">
            <v>38</v>
          </cell>
          <cell r="L49">
            <v>96</v>
          </cell>
          <cell r="AA49" t="str">
            <v>بجنورد</v>
          </cell>
        </row>
        <row r="50">
          <cell r="D50">
            <v>626</v>
          </cell>
          <cell r="H50">
            <v>3436.3999999999996</v>
          </cell>
          <cell r="I50">
            <v>0</v>
          </cell>
          <cell r="L50">
            <v>6747</v>
          </cell>
          <cell r="AA50" t="str">
            <v>بیرجند</v>
          </cell>
        </row>
        <row r="51">
          <cell r="AA51" t="str">
            <v>باجگیران</v>
          </cell>
        </row>
      </sheetData>
      <sheetData sheetId="20">
        <row r="1">
          <cell r="A1" t="str">
            <v>انبارهای عمومی و خدمات گمرکی ایران</v>
          </cell>
        </row>
        <row r="42">
          <cell r="C42">
            <v>18</v>
          </cell>
          <cell r="D42">
            <v>19</v>
          </cell>
          <cell r="G42">
            <v>26.040173755656109</v>
          </cell>
          <cell r="H42">
            <v>112.61888509670081</v>
          </cell>
          <cell r="I42">
            <v>0</v>
          </cell>
          <cell r="L42">
            <v>1</v>
          </cell>
          <cell r="AA42" t="str">
            <v>شهید کاوه</v>
          </cell>
        </row>
        <row r="43">
          <cell r="D43">
            <v>17690</v>
          </cell>
          <cell r="E43">
            <v>351651</v>
          </cell>
          <cell r="G43">
            <v>0</v>
          </cell>
          <cell r="H43">
            <v>30771.37165329645</v>
          </cell>
          <cell r="I43">
            <v>481483.01708012598</v>
          </cell>
          <cell r="L43">
            <v>29701</v>
          </cell>
          <cell r="M43">
            <v>433194</v>
          </cell>
          <cell r="AA43" t="str">
            <v>مطهری</v>
          </cell>
        </row>
        <row r="44">
          <cell r="D44">
            <v>5146</v>
          </cell>
          <cell r="E44">
            <v>27099</v>
          </cell>
          <cell r="G44">
            <v>0</v>
          </cell>
          <cell r="H44">
            <v>2959.1333333333341</v>
          </cell>
          <cell r="I44">
            <v>31668.177283157791</v>
          </cell>
          <cell r="L44">
            <v>7010</v>
          </cell>
          <cell r="M44">
            <v>34359</v>
          </cell>
          <cell r="AA44" t="str">
            <v>سرخس</v>
          </cell>
        </row>
        <row r="45">
          <cell r="D45">
            <v>996</v>
          </cell>
          <cell r="G45">
            <v>0</v>
          </cell>
          <cell r="H45">
            <v>1708.8143120829191</v>
          </cell>
          <cell r="I45">
            <v>0</v>
          </cell>
          <cell r="L45">
            <v>4561</v>
          </cell>
          <cell r="AA45" t="str">
            <v>لطف آباد</v>
          </cell>
        </row>
        <row r="46">
          <cell r="G46">
            <v>0</v>
          </cell>
          <cell r="H46">
            <v>0</v>
          </cell>
          <cell r="I46">
            <v>0</v>
          </cell>
          <cell r="AA46" t="str">
            <v>نیشابور</v>
          </cell>
        </row>
        <row r="47">
          <cell r="D47">
            <v>2086</v>
          </cell>
          <cell r="G47">
            <v>0</v>
          </cell>
          <cell r="H47">
            <v>895.96023497514682</v>
          </cell>
          <cell r="I47">
            <v>0</v>
          </cell>
          <cell r="L47">
            <v>924</v>
          </cell>
          <cell r="AA47" t="str">
            <v>ماهیرود</v>
          </cell>
        </row>
        <row r="48">
          <cell r="D48">
            <v>419</v>
          </cell>
          <cell r="G48">
            <v>0</v>
          </cell>
          <cell r="H48">
            <v>205.47551329154962</v>
          </cell>
          <cell r="I48">
            <v>0</v>
          </cell>
          <cell r="L48">
            <v>311</v>
          </cell>
          <cell r="AA48" t="str">
            <v>دوغارون</v>
          </cell>
        </row>
        <row r="49">
          <cell r="AA49" t="str">
            <v>بجنورد</v>
          </cell>
        </row>
        <row r="50">
          <cell r="L50">
            <v>8</v>
          </cell>
          <cell r="AA50" t="str">
            <v>بیرجند</v>
          </cell>
        </row>
        <row r="51">
          <cell r="L51">
            <v>953</v>
          </cell>
          <cell r="AA51" t="str">
            <v>باجگیران</v>
          </cell>
        </row>
      </sheetData>
      <sheetData sheetId="21"/>
      <sheetData sheetId="22">
        <row r="1">
          <cell r="U1" t="str">
            <v>شهید کاوه</v>
          </cell>
          <cell r="W1" t="str">
            <v>شهید کاوه</v>
          </cell>
          <cell r="Z1" t="str">
            <v>شهید کاوه</v>
          </cell>
          <cell r="AK1" t="str">
            <v>مطهری</v>
          </cell>
          <cell r="AM1" t="str">
            <v>مطهری</v>
          </cell>
          <cell r="AP1" t="str">
            <v>مطهری</v>
          </cell>
          <cell r="BA1" t="str">
            <v>سرخس</v>
          </cell>
          <cell r="BC1" t="str">
            <v>سرخس</v>
          </cell>
          <cell r="BF1" t="str">
            <v>سرخس</v>
          </cell>
          <cell r="BQ1" t="str">
            <v>لطف آباد</v>
          </cell>
          <cell r="BS1" t="str">
            <v>لطف آباد</v>
          </cell>
          <cell r="BV1" t="str">
            <v>لطف آباد</v>
          </cell>
          <cell r="CG1" t="str">
            <v>نیشابور</v>
          </cell>
          <cell r="CI1" t="str">
            <v>نیشابور</v>
          </cell>
          <cell r="CL1" t="str">
            <v>نیشابور</v>
          </cell>
          <cell r="CW1" t="str">
            <v>ماهیرود</v>
          </cell>
          <cell r="CY1" t="str">
            <v>ماهیرود</v>
          </cell>
          <cell r="DB1" t="str">
            <v>ماهیرود</v>
          </cell>
          <cell r="DM1" t="str">
            <v>دوغارون</v>
          </cell>
          <cell r="DO1" t="str">
            <v>دوغارون</v>
          </cell>
          <cell r="DR1" t="str">
            <v>دوغارون</v>
          </cell>
          <cell r="EC1" t="str">
            <v>بجنورد</v>
          </cell>
          <cell r="EE1" t="str">
            <v>بجنورد</v>
          </cell>
          <cell r="EH1" t="str">
            <v>بجنورد</v>
          </cell>
          <cell r="ES1" t="str">
            <v>بیرجند</v>
          </cell>
          <cell r="EU1" t="str">
            <v>بیرجند</v>
          </cell>
          <cell r="EX1" t="str">
            <v>بیرجند</v>
          </cell>
          <cell r="FI1" t="str">
            <v>باجگیران</v>
          </cell>
          <cell r="FK1" t="str">
            <v>باجگیران</v>
          </cell>
          <cell r="FN1" t="str">
            <v>باجگیران</v>
          </cell>
        </row>
        <row r="25">
          <cell r="U25">
            <v>107877</v>
          </cell>
          <cell r="W25">
            <v>388812</v>
          </cell>
          <cell r="Z25">
            <v>52103</v>
          </cell>
          <cell r="AA25">
            <v>13.400563768607965</v>
          </cell>
          <cell r="AC25">
            <v>-55774</v>
          </cell>
          <cell r="AE25">
            <v>-51.701474827813158</v>
          </cell>
          <cell r="AG25" t="str">
            <v>جمع کل (درآمد عملیاتی بدون بیمه)</v>
          </cell>
          <cell r="AK25">
            <v>97432</v>
          </cell>
          <cell r="AM25">
            <v>190176</v>
          </cell>
          <cell r="AP25">
            <v>1056293</v>
          </cell>
          <cell r="AQ25">
            <v>555.42918138987045</v>
          </cell>
          <cell r="AS25">
            <v>958861</v>
          </cell>
          <cell r="AU25">
            <v>984.13354955250838</v>
          </cell>
          <cell r="AW25" t="str">
            <v>جمع کل (درآمد عملیاتی بدون بیمه)</v>
          </cell>
          <cell r="BA25">
            <v>84888</v>
          </cell>
          <cell r="BC25">
            <v>139616</v>
          </cell>
          <cell r="BF25">
            <v>122672</v>
          </cell>
          <cell r="BG25">
            <v>87.863855145542061</v>
          </cell>
          <cell r="BI25">
            <v>37784</v>
          </cell>
          <cell r="BK25">
            <v>44.510413721609652</v>
          </cell>
          <cell r="BM25" t="str">
            <v>جمع کل (درآمد عملیاتی بدون بیمه)</v>
          </cell>
          <cell r="BQ25">
            <v>463426</v>
          </cell>
          <cell r="BS25">
            <v>615028</v>
          </cell>
          <cell r="BV25">
            <v>839456</v>
          </cell>
          <cell r="BW25">
            <v>136.49069635853976</v>
          </cell>
          <cell r="BY25">
            <v>376030</v>
          </cell>
          <cell r="CA25">
            <v>81.141325691696196</v>
          </cell>
          <cell r="CC25" t="str">
            <v>جمع کل (درآمد عملیاتی بدون بیمه)</v>
          </cell>
          <cell r="CG25">
            <v>115959</v>
          </cell>
          <cell r="CI25">
            <v>98232</v>
          </cell>
          <cell r="CL25">
            <v>170890</v>
          </cell>
          <cell r="CM25">
            <v>173.96571382034367</v>
          </cell>
          <cell r="CO25">
            <v>54931</v>
          </cell>
          <cell r="CQ25">
            <v>47.371053562034859</v>
          </cell>
          <cell r="CS25" t="str">
            <v>جمع کل (درآمد عملیاتی بدون بیمه)</v>
          </cell>
          <cell r="CW25">
            <v>9367</v>
          </cell>
          <cell r="CY25">
            <v>5444</v>
          </cell>
          <cell r="DB25">
            <v>26005</v>
          </cell>
          <cell r="DC25">
            <v>477.68185157972079</v>
          </cell>
          <cell r="DE25">
            <v>16638</v>
          </cell>
          <cell r="DG25">
            <v>177.62357211487137</v>
          </cell>
          <cell r="DI25" t="str">
            <v>جمع کل (درآمد عملیاتی بدون بیمه)</v>
          </cell>
          <cell r="DM25">
            <v>204072</v>
          </cell>
          <cell r="DO25">
            <v>274150</v>
          </cell>
          <cell r="DR25">
            <v>389082</v>
          </cell>
          <cell r="DS25">
            <v>141.92303483494436</v>
          </cell>
          <cell r="DU25">
            <v>185010</v>
          </cell>
          <cell r="DW25">
            <v>90.65917911325414</v>
          </cell>
          <cell r="DY25" t="str">
            <v>جمع کل (درآمد عملیاتی بدون بیمه)</v>
          </cell>
          <cell r="EC25">
            <v>5472</v>
          </cell>
          <cell r="EE25">
            <v>28968</v>
          </cell>
          <cell r="EH25">
            <v>812</v>
          </cell>
          <cell r="EI25">
            <v>2.8030930682132009</v>
          </cell>
          <cell r="EK25">
            <v>-4660</v>
          </cell>
          <cell r="EM25">
            <v>-85.160818713450297</v>
          </cell>
          <cell r="EO25" t="str">
            <v>جمع کل (درآمد عملیاتی بدون بیمه)</v>
          </cell>
          <cell r="ES25">
            <v>2925</v>
          </cell>
          <cell r="EU25">
            <v>12710</v>
          </cell>
          <cell r="EX25">
            <v>37848</v>
          </cell>
          <cell r="EY25">
            <v>297.78127458693945</v>
          </cell>
          <cell r="FA25">
            <v>34923</v>
          </cell>
          <cell r="FC25">
            <v>1193.948717948718</v>
          </cell>
          <cell r="FE25" t="str">
            <v>جمع کل (درآمد عملیاتی بدون بیمه)</v>
          </cell>
          <cell r="FI25">
            <v>0</v>
          </cell>
          <cell r="FK25">
            <v>0</v>
          </cell>
          <cell r="FN25">
            <v>3249</v>
          </cell>
          <cell r="FO25" t="str">
            <v/>
          </cell>
          <cell r="FQ25">
            <v>3249</v>
          </cell>
          <cell r="FS25" t="str">
            <v/>
          </cell>
        </row>
        <row r="26">
          <cell r="U26">
            <v>1</v>
          </cell>
          <cell r="W26">
            <v>2</v>
          </cell>
          <cell r="Z26">
            <v>3</v>
          </cell>
          <cell r="AK26">
            <v>1</v>
          </cell>
          <cell r="AM26">
            <v>2</v>
          </cell>
          <cell r="AP26">
            <v>3</v>
          </cell>
          <cell r="BA26">
            <v>1</v>
          </cell>
          <cell r="BC26">
            <v>2</v>
          </cell>
          <cell r="BF26">
            <v>3</v>
          </cell>
          <cell r="BQ26">
            <v>1</v>
          </cell>
          <cell r="BS26">
            <v>2</v>
          </cell>
          <cell r="BV26">
            <v>3</v>
          </cell>
          <cell r="CG26">
            <v>1</v>
          </cell>
          <cell r="CI26">
            <v>2</v>
          </cell>
          <cell r="CL26">
            <v>3</v>
          </cell>
          <cell r="CW26">
            <v>1</v>
          </cell>
          <cell r="CY26">
            <v>2</v>
          </cell>
          <cell r="DB26">
            <v>3</v>
          </cell>
          <cell r="DM26">
            <v>1</v>
          </cell>
          <cell r="DO26">
            <v>2</v>
          </cell>
          <cell r="DR26">
            <v>3</v>
          </cell>
          <cell r="EC26">
            <v>1</v>
          </cell>
          <cell r="EE26">
            <v>2</v>
          </cell>
          <cell r="EH26">
            <v>3</v>
          </cell>
          <cell r="ES26">
            <v>1</v>
          </cell>
          <cell r="EU26">
            <v>2</v>
          </cell>
          <cell r="EX26">
            <v>3</v>
          </cell>
          <cell r="FI26">
            <v>1</v>
          </cell>
          <cell r="FK26">
            <v>2</v>
          </cell>
          <cell r="FN26">
            <v>3</v>
          </cell>
        </row>
      </sheetData>
      <sheetData sheetId="23"/>
      <sheetData sheetId="24"/>
      <sheetData sheetId="25"/>
      <sheetData sheetId="26"/>
      <sheetData sheetId="27"/>
      <sheetData sheetId="28"/>
      <sheetData sheetId="29"/>
      <sheetData sheetId="30"/>
      <sheetData sheetId="31">
        <row r="31">
          <cell r="B31">
            <v>0</v>
          </cell>
          <cell r="C31">
            <v>0</v>
          </cell>
          <cell r="D31">
            <v>0</v>
          </cell>
        </row>
      </sheetData>
      <sheetData sheetId="32">
        <row r="31">
          <cell r="B31">
            <v>0</v>
          </cell>
          <cell r="C31">
            <v>0</v>
          </cell>
          <cell r="D31">
            <v>0</v>
          </cell>
        </row>
      </sheetData>
      <sheetData sheetId="33">
        <row r="1">
          <cell r="A1" t="str">
            <v>انبارهای عمومی و خدمات گمرکی ایران</v>
          </cell>
        </row>
        <row r="2">
          <cell r="A2" t="str">
            <v>صورت ريز هزينه‌هاي سربار تولید در دوره شش ماهه سال 1405</v>
          </cell>
        </row>
        <row r="3">
          <cell r="F3" t="str">
            <v>مبالغ به میلیون ریال</v>
          </cell>
        </row>
        <row r="4">
          <cell r="A4" t="str">
            <v>شرح</v>
          </cell>
          <cell r="B4" t="str">
            <v>عملكرد دوره مشابه
سال قبل</v>
          </cell>
          <cell r="C4" t="str">
            <v>دوره مورد رسیدگی سال جاری</v>
          </cell>
        </row>
        <row r="5">
          <cell r="C5" t="str">
            <v>بودجه</v>
          </cell>
          <cell r="D5" t="str">
            <v>عملکرد</v>
          </cell>
          <cell r="E5" t="str">
            <v>درصد اختلاف با دوره مشابه سال قبل</v>
          </cell>
          <cell r="F5" t="str">
            <v>درصد تحقق
 بودجه</v>
          </cell>
        </row>
        <row r="6">
          <cell r="A6">
            <v>0</v>
          </cell>
          <cell r="C6">
            <v>0</v>
          </cell>
          <cell r="E6" t="str">
            <v>-</v>
          </cell>
          <cell r="F6" t="str">
            <v>-</v>
          </cell>
        </row>
        <row r="7">
          <cell r="A7">
            <v>0</v>
          </cell>
          <cell r="C7">
            <v>0</v>
          </cell>
          <cell r="E7" t="str">
            <v>-</v>
          </cell>
          <cell r="F7" t="str">
            <v>-</v>
          </cell>
        </row>
        <row r="8">
          <cell r="A8">
            <v>0</v>
          </cell>
          <cell r="C8">
            <v>0</v>
          </cell>
          <cell r="E8" t="str">
            <v>-</v>
          </cell>
          <cell r="F8" t="str">
            <v>-</v>
          </cell>
        </row>
        <row r="9">
          <cell r="A9">
            <v>0</v>
          </cell>
          <cell r="C9">
            <v>0</v>
          </cell>
          <cell r="E9" t="str">
            <v>-</v>
          </cell>
          <cell r="F9" t="str">
            <v>-</v>
          </cell>
        </row>
        <row r="10">
          <cell r="A10">
            <v>0</v>
          </cell>
          <cell r="C10">
            <v>0</v>
          </cell>
          <cell r="E10" t="str">
            <v>-</v>
          </cell>
          <cell r="F10" t="str">
            <v>-</v>
          </cell>
        </row>
        <row r="11">
          <cell r="A11">
            <v>0</v>
          </cell>
          <cell r="C11">
            <v>0</v>
          </cell>
          <cell r="E11" t="str">
            <v>-</v>
          </cell>
          <cell r="F11" t="str">
            <v>-</v>
          </cell>
        </row>
        <row r="12">
          <cell r="A12">
            <v>0</v>
          </cell>
          <cell r="C12">
            <v>0</v>
          </cell>
          <cell r="E12" t="str">
            <v>-</v>
          </cell>
          <cell r="F12" t="str">
            <v>-</v>
          </cell>
        </row>
        <row r="13">
          <cell r="A13">
            <v>0</v>
          </cell>
          <cell r="C13">
            <v>0</v>
          </cell>
          <cell r="E13" t="str">
            <v>-</v>
          </cell>
          <cell r="F13" t="str">
            <v>-</v>
          </cell>
        </row>
        <row r="14">
          <cell r="A14">
            <v>0</v>
          </cell>
          <cell r="C14">
            <v>0</v>
          </cell>
          <cell r="E14" t="str">
            <v>-</v>
          </cell>
          <cell r="F14" t="str">
            <v>-</v>
          </cell>
        </row>
        <row r="15">
          <cell r="A15">
            <v>0</v>
          </cell>
          <cell r="C15">
            <v>0</v>
          </cell>
          <cell r="E15" t="str">
            <v>-</v>
          </cell>
          <cell r="F15" t="str">
            <v>-</v>
          </cell>
        </row>
        <row r="16">
          <cell r="A16">
            <v>0</v>
          </cell>
          <cell r="C16">
            <v>0</v>
          </cell>
          <cell r="E16" t="str">
            <v>-</v>
          </cell>
          <cell r="F16" t="str">
            <v>-</v>
          </cell>
        </row>
        <row r="17">
          <cell r="A17">
            <v>0</v>
          </cell>
          <cell r="C17">
            <v>0</v>
          </cell>
          <cell r="E17" t="str">
            <v>-</v>
          </cell>
          <cell r="F17" t="str">
            <v>-</v>
          </cell>
        </row>
        <row r="18">
          <cell r="A18">
            <v>0</v>
          </cell>
          <cell r="C18">
            <v>0</v>
          </cell>
          <cell r="E18" t="str">
            <v>-</v>
          </cell>
          <cell r="F18" t="str">
            <v>-</v>
          </cell>
        </row>
        <row r="19">
          <cell r="A19">
            <v>0</v>
          </cell>
          <cell r="C19">
            <v>0</v>
          </cell>
          <cell r="E19" t="str">
            <v>-</v>
          </cell>
          <cell r="F19" t="str">
            <v>-</v>
          </cell>
        </row>
        <row r="20">
          <cell r="A20">
            <v>0</v>
          </cell>
          <cell r="C20">
            <v>0</v>
          </cell>
          <cell r="E20" t="str">
            <v>-</v>
          </cell>
          <cell r="F20" t="str">
            <v>-</v>
          </cell>
        </row>
        <row r="21">
          <cell r="A21">
            <v>0</v>
          </cell>
          <cell r="C21">
            <v>0</v>
          </cell>
          <cell r="E21" t="str">
            <v>-</v>
          </cell>
          <cell r="F21" t="str">
            <v>-</v>
          </cell>
        </row>
        <row r="22">
          <cell r="A22">
            <v>0</v>
          </cell>
          <cell r="C22">
            <v>0</v>
          </cell>
          <cell r="E22" t="str">
            <v>-</v>
          </cell>
          <cell r="F22" t="str">
            <v>-</v>
          </cell>
        </row>
        <row r="23">
          <cell r="A23">
            <v>0</v>
          </cell>
          <cell r="C23">
            <v>0</v>
          </cell>
          <cell r="E23" t="str">
            <v>-</v>
          </cell>
          <cell r="F23" t="str">
            <v>-</v>
          </cell>
        </row>
        <row r="24">
          <cell r="A24">
            <v>0</v>
          </cell>
          <cell r="C24">
            <v>0</v>
          </cell>
          <cell r="E24" t="str">
            <v>-</v>
          </cell>
          <cell r="F24" t="str">
            <v>-</v>
          </cell>
        </row>
        <row r="25">
          <cell r="A25">
            <v>0</v>
          </cell>
          <cell r="C25">
            <v>0</v>
          </cell>
          <cell r="E25" t="str">
            <v>-</v>
          </cell>
          <cell r="F25" t="str">
            <v>-</v>
          </cell>
        </row>
        <row r="26">
          <cell r="A26" t="str">
            <v>جمع</v>
          </cell>
          <cell r="B26">
            <v>0</v>
          </cell>
          <cell r="C26">
            <v>0</v>
          </cell>
          <cell r="D26">
            <v>0</v>
          </cell>
          <cell r="E26" t="str">
            <v>-</v>
          </cell>
          <cell r="F26" t="str">
            <v>-</v>
          </cell>
        </row>
        <row r="27">
          <cell r="A27" t="str">
            <v>اضافه (کسر) مي‌شود: ساير</v>
          </cell>
          <cell r="C27">
            <v>0</v>
          </cell>
          <cell r="E27" t="str">
            <v>-</v>
          </cell>
          <cell r="F27" t="str">
            <v>-</v>
          </cell>
        </row>
        <row r="28">
          <cell r="A28" t="str">
            <v>جمع کل هزینه</v>
          </cell>
          <cell r="B28">
            <v>0</v>
          </cell>
          <cell r="C28">
            <v>0</v>
          </cell>
          <cell r="D28">
            <v>0</v>
          </cell>
          <cell r="E28" t="str">
            <v>-</v>
          </cell>
          <cell r="F28" t="str">
            <v>-</v>
          </cell>
        </row>
      </sheetData>
      <sheetData sheetId="34"/>
      <sheetData sheetId="35"/>
      <sheetData sheetId="36"/>
      <sheetData sheetId="37"/>
      <sheetData sheetId="38"/>
      <sheetData sheetId="39"/>
      <sheetData sheetId="40"/>
      <sheetData sheetId="41"/>
      <sheetData sheetId="42"/>
      <sheetData sheetId="43"/>
      <sheetData sheetId="44"/>
      <sheetData sheetId="45"/>
      <sheetData sheetId="46">
        <row r="31">
          <cell r="B31">
            <v>0</v>
          </cell>
          <cell r="C31">
            <v>0</v>
          </cell>
          <cell r="D31">
            <v>0</v>
          </cell>
        </row>
      </sheetData>
      <sheetData sheetId="47">
        <row r="1">
          <cell r="A1" t="str">
            <v>انبارهای عمومی و خدمات گمرکی ایران</v>
          </cell>
        </row>
        <row r="2">
          <cell r="A2" t="str">
            <v>صورت ريز هزينه‌هاي سربار خدمات در دوره شش ماهه سال 1405</v>
          </cell>
        </row>
        <row r="3">
          <cell r="F3" t="str">
            <v>مبالغ به میلیون ریال</v>
          </cell>
        </row>
        <row r="4">
          <cell r="A4" t="str">
            <v>شرح</v>
          </cell>
          <cell r="B4" t="str">
            <v>عملكرد دوره مشابه
سال قبل</v>
          </cell>
          <cell r="C4" t="str">
            <v>دوره مورد رسیدگی سال جاری</v>
          </cell>
        </row>
        <row r="5">
          <cell r="C5" t="str">
            <v>بودجه</v>
          </cell>
          <cell r="D5" t="str">
            <v>عملکرد</v>
          </cell>
          <cell r="E5" t="str">
            <v>درصد اختلاف با دوره مشابه سال قبل</v>
          </cell>
          <cell r="F5" t="str">
            <v>درصد تحقق
 بودجه</v>
          </cell>
        </row>
        <row r="6">
          <cell r="A6" t="str">
            <v>هزینه پرسنل پیمانکار</v>
          </cell>
          <cell r="B6">
            <v>38505</v>
          </cell>
          <cell r="C6">
            <v>123776</v>
          </cell>
          <cell r="D6">
            <v>283452</v>
          </cell>
          <cell r="E6">
            <v>636.14335800545382</v>
          </cell>
          <cell r="F6">
            <v>229.00400723888313</v>
          </cell>
        </row>
        <row r="7">
          <cell r="A7" t="str">
            <v>هزینه اجاره</v>
          </cell>
          <cell r="B7">
            <v>54680</v>
          </cell>
          <cell r="C7">
            <v>161705</v>
          </cell>
          <cell r="D7">
            <v>108902</v>
          </cell>
          <cell r="E7">
            <v>99.162399414776885</v>
          </cell>
          <cell r="F7">
            <v>67.346093194397199</v>
          </cell>
        </row>
        <row r="8">
          <cell r="A8" t="str">
            <v>سهم گمرک بابت قرارداد فیمابین</v>
          </cell>
          <cell r="C8">
            <v>0</v>
          </cell>
          <cell r="E8" t="str">
            <v>-</v>
          </cell>
          <cell r="F8" t="str">
            <v>-</v>
          </cell>
        </row>
        <row r="9">
          <cell r="A9" t="str">
            <v>لوازم مصرف‌شدنی اداری</v>
          </cell>
          <cell r="C9">
            <v>0</v>
          </cell>
          <cell r="E9" t="str">
            <v>-</v>
          </cell>
          <cell r="F9" t="str">
            <v>-</v>
          </cell>
        </row>
        <row r="10">
          <cell r="A10" t="str">
            <v>آب، برق، سوخت پست و تلفن</v>
          </cell>
          <cell r="B10">
            <v>5177</v>
          </cell>
          <cell r="C10">
            <v>6643</v>
          </cell>
          <cell r="D10">
            <v>14702</v>
          </cell>
          <cell r="E10">
            <v>183.98686497971798</v>
          </cell>
          <cell r="F10">
            <v>221.31567063073913</v>
          </cell>
        </row>
        <row r="11">
          <cell r="A11" t="str">
            <v>استهلاک</v>
          </cell>
          <cell r="B11">
            <v>141395</v>
          </cell>
          <cell r="C11">
            <v>190883</v>
          </cell>
          <cell r="D11">
            <v>126333</v>
          </cell>
          <cell r="E11">
            <v>-10.652427596449662</v>
          </cell>
          <cell r="F11">
            <v>66.183473646160209</v>
          </cell>
        </row>
        <row r="12">
          <cell r="A12" t="str">
            <v>تعمیرات و نگهداری</v>
          </cell>
          <cell r="B12">
            <v>27555</v>
          </cell>
          <cell r="C12">
            <v>42220</v>
          </cell>
          <cell r="D12">
            <v>25092</v>
          </cell>
          <cell r="E12">
            <v>-8.9384866630375619</v>
          </cell>
          <cell r="F12">
            <v>59.431549028896256</v>
          </cell>
        </row>
        <row r="13">
          <cell r="A13" t="str">
            <v>حق‌الزحمه خدمات قراردادی</v>
          </cell>
          <cell r="B13">
            <v>175395</v>
          </cell>
          <cell r="C13">
            <v>229682</v>
          </cell>
          <cell r="D13">
            <v>1015147</v>
          </cell>
          <cell r="E13">
            <v>478.77761623763507</v>
          </cell>
          <cell r="F13">
            <v>441.97934535575274</v>
          </cell>
        </row>
        <row r="14">
          <cell r="A14" t="str">
            <v>حق بیمه</v>
          </cell>
          <cell r="B14">
            <v>20209</v>
          </cell>
          <cell r="C14">
            <v>18527</v>
          </cell>
          <cell r="D14">
            <v>1495</v>
          </cell>
          <cell r="E14">
            <v>-92.602305903310409</v>
          </cell>
          <cell r="F14">
            <v>8.069304258649538</v>
          </cell>
        </row>
        <row r="15">
          <cell r="A15" t="str">
            <v>جشن و پذیرایی</v>
          </cell>
          <cell r="B15">
            <v>2815</v>
          </cell>
          <cell r="C15">
            <v>3295</v>
          </cell>
          <cell r="D15">
            <v>38213</v>
          </cell>
          <cell r="E15">
            <v>1257.4777975133215</v>
          </cell>
          <cell r="F15">
            <v>1159.7268588770864</v>
          </cell>
        </row>
        <row r="16">
          <cell r="A16" t="str">
            <v>تخلیه و بارگیری (اجاره ماشین‌آلات)</v>
          </cell>
          <cell r="C16" t="str">
            <v>.</v>
          </cell>
          <cell r="E16" t="str">
            <v>-</v>
          </cell>
          <cell r="F16" t="str">
            <v>-</v>
          </cell>
        </row>
        <row r="17">
          <cell r="A17" t="str">
            <v>سوخت و تعمیرات ماشین‌آلات و وسائط نقلیه</v>
          </cell>
          <cell r="B17">
            <v>21028</v>
          </cell>
          <cell r="C17">
            <v>32279</v>
          </cell>
          <cell r="D17">
            <v>47906</v>
          </cell>
          <cell r="E17">
            <v>127.82004945786571</v>
          </cell>
          <cell r="F17">
            <v>148.41228043000092</v>
          </cell>
        </row>
        <row r="18">
          <cell r="A18" t="str">
            <v>عوارض و جرائم</v>
          </cell>
          <cell r="C18">
            <v>0</v>
          </cell>
          <cell r="E18" t="str">
            <v>-</v>
          </cell>
          <cell r="F18" t="str">
            <v>-</v>
          </cell>
        </row>
        <row r="19">
          <cell r="A19" t="str">
            <v>سایر</v>
          </cell>
          <cell r="B19">
            <v>26129</v>
          </cell>
          <cell r="C19">
            <v>31979</v>
          </cell>
          <cell r="D19">
            <v>47292</v>
          </cell>
          <cell r="E19">
            <v>80.994297523824102</v>
          </cell>
          <cell r="F19">
            <v>147.88454923543574</v>
          </cell>
        </row>
        <row r="20">
          <cell r="A20">
            <v>0</v>
          </cell>
          <cell r="E20" t="str">
            <v>-</v>
          </cell>
          <cell r="F20" t="str">
            <v>-</v>
          </cell>
        </row>
        <row r="21">
          <cell r="A21">
            <v>0</v>
          </cell>
          <cell r="E21" t="str">
            <v>-</v>
          </cell>
          <cell r="F21" t="str">
            <v>-</v>
          </cell>
        </row>
        <row r="22">
          <cell r="A22">
            <v>0</v>
          </cell>
          <cell r="E22" t="str">
            <v>-</v>
          </cell>
          <cell r="F22" t="str">
            <v>-</v>
          </cell>
        </row>
        <row r="23">
          <cell r="A23">
            <v>0</v>
          </cell>
          <cell r="E23" t="str">
            <v>-</v>
          </cell>
          <cell r="F23" t="str">
            <v>-</v>
          </cell>
        </row>
        <row r="24">
          <cell r="A24">
            <v>0</v>
          </cell>
          <cell r="E24" t="str">
            <v>-</v>
          </cell>
          <cell r="F24" t="str">
            <v>-</v>
          </cell>
        </row>
        <row r="25">
          <cell r="A25">
            <v>0</v>
          </cell>
          <cell r="E25" t="str">
            <v>-</v>
          </cell>
          <cell r="F25" t="str">
            <v>-</v>
          </cell>
        </row>
        <row r="26">
          <cell r="A26">
            <v>0</v>
          </cell>
          <cell r="C26">
            <v>0</v>
          </cell>
          <cell r="E26" t="str">
            <v>-</v>
          </cell>
          <cell r="F26" t="str">
            <v>-</v>
          </cell>
        </row>
        <row r="27">
          <cell r="A27">
            <v>0</v>
          </cell>
          <cell r="C27">
            <v>0</v>
          </cell>
          <cell r="E27" t="str">
            <v>-</v>
          </cell>
          <cell r="F27" t="str">
            <v>-</v>
          </cell>
        </row>
        <row r="28">
          <cell r="A28">
            <v>0</v>
          </cell>
          <cell r="C28">
            <v>0</v>
          </cell>
          <cell r="E28" t="str">
            <v>-</v>
          </cell>
          <cell r="F28" t="str">
            <v>-</v>
          </cell>
        </row>
        <row r="29">
          <cell r="A29">
            <v>0</v>
          </cell>
          <cell r="C29">
            <v>0</v>
          </cell>
          <cell r="E29" t="str">
            <v>-</v>
          </cell>
          <cell r="F29" t="str">
            <v>-</v>
          </cell>
        </row>
        <row r="30">
          <cell r="A30">
            <v>0</v>
          </cell>
          <cell r="C30">
            <v>0</v>
          </cell>
          <cell r="E30" t="str">
            <v>-</v>
          </cell>
          <cell r="F30" t="str">
            <v>-</v>
          </cell>
        </row>
        <row r="31">
          <cell r="A31" t="str">
            <v>جمع</v>
          </cell>
          <cell r="B31">
            <v>512888</v>
          </cell>
          <cell r="C31">
            <v>840989</v>
          </cell>
          <cell r="D31">
            <v>1708534</v>
          </cell>
          <cell r="E31">
            <v>233.12029136965575</v>
          </cell>
          <cell r="F31">
            <v>203.1577107429467</v>
          </cell>
        </row>
        <row r="32">
          <cell r="A32" t="str">
            <v>اضافه (کسر) مي‌شود: ساير</v>
          </cell>
          <cell r="C32">
            <v>0</v>
          </cell>
          <cell r="E32" t="str">
            <v>-</v>
          </cell>
          <cell r="F32" t="str">
            <v>-</v>
          </cell>
        </row>
        <row r="33">
          <cell r="A33" t="str">
            <v>جمع کل هزینه</v>
          </cell>
          <cell r="B33">
            <v>512888</v>
          </cell>
          <cell r="C33">
            <v>840989</v>
          </cell>
          <cell r="D33">
            <v>1708534</v>
          </cell>
          <cell r="E33">
            <v>233.12029136965575</v>
          </cell>
          <cell r="F33">
            <v>203.1577107429467</v>
          </cell>
        </row>
      </sheetData>
      <sheetData sheetId="48"/>
      <sheetData sheetId="49"/>
      <sheetData sheetId="50"/>
      <sheetData sheetId="51"/>
      <sheetData sheetId="52"/>
      <sheetData sheetId="53"/>
      <sheetData sheetId="54"/>
      <sheetData sheetId="55"/>
      <sheetData sheetId="56"/>
      <sheetData sheetId="57">
        <row r="1">
          <cell r="A1" t="str">
            <v>انبارهای عمومی و خدمات گمرکی ایران</v>
          </cell>
        </row>
        <row r="2">
          <cell r="A2" t="str">
            <v>هزينه‌هاي اداري، توزيع و فروش در دوره شش ماهه سال 1405</v>
          </cell>
        </row>
        <row r="3">
          <cell r="F3" t="str">
            <v>مبالغ به میلیون ریال</v>
          </cell>
        </row>
        <row r="4">
          <cell r="A4" t="str">
            <v>شرح</v>
          </cell>
          <cell r="B4" t="str">
            <v>عملكرد دوره مشابه
سال قبل</v>
          </cell>
          <cell r="C4" t="str">
            <v>دوره مورد رسیدگی سال جاری</v>
          </cell>
        </row>
        <row r="5">
          <cell r="C5" t="str">
            <v>بودجه</v>
          </cell>
          <cell r="D5" t="str">
            <v>عملکرد</v>
          </cell>
          <cell r="E5" t="str">
            <v>درصد اختلاف با 
دوره مشابه سال قبل</v>
          </cell>
          <cell r="F5" t="str">
            <v>درصد تحقق
 بودجه</v>
          </cell>
        </row>
        <row r="6">
          <cell r="A6" t="str">
            <v>حقوق و مزایای شغل</v>
          </cell>
          <cell r="B6">
            <v>28853</v>
          </cell>
          <cell r="C6">
            <v>34395</v>
          </cell>
          <cell r="D6">
            <v>42670</v>
          </cell>
          <cell r="E6">
            <v>47.887568017190588</v>
          </cell>
          <cell r="F6">
            <v>124.05872946649222</v>
          </cell>
        </row>
        <row r="7">
          <cell r="A7" t="str">
            <v>اضافه کاری</v>
          </cell>
          <cell r="B7">
            <v>16743</v>
          </cell>
          <cell r="C7">
            <v>23298</v>
          </cell>
          <cell r="D7">
            <v>24933</v>
          </cell>
          <cell r="E7">
            <v>48.915964880845728</v>
          </cell>
          <cell r="F7">
            <v>107.01776976564511</v>
          </cell>
        </row>
        <row r="8">
          <cell r="A8" t="str">
            <v xml:space="preserve">حق جذب و حق پست </v>
          </cell>
          <cell r="B8">
            <v>10697</v>
          </cell>
          <cell r="C8">
            <v>14801</v>
          </cell>
          <cell r="D8">
            <v>16678</v>
          </cell>
          <cell r="E8">
            <v>55.91287276806581</v>
          </cell>
          <cell r="F8">
            <v>112.6815755692183</v>
          </cell>
        </row>
        <row r="9">
          <cell r="A9" t="str">
            <v>بیمه سهم کارفرما</v>
          </cell>
          <cell r="B9">
            <v>18186</v>
          </cell>
          <cell r="C9">
            <v>25697</v>
          </cell>
          <cell r="D9">
            <v>24072</v>
          </cell>
          <cell r="E9">
            <v>32.365555922137908</v>
          </cell>
          <cell r="F9">
            <v>93.676304626999254</v>
          </cell>
        </row>
        <row r="10">
          <cell r="A10" t="str">
            <v>هزینه سنوات خدمت</v>
          </cell>
          <cell r="B10">
            <v>12268</v>
          </cell>
          <cell r="C10">
            <v>11041</v>
          </cell>
          <cell r="D10">
            <v>24512</v>
          </cell>
          <cell r="E10">
            <v>99.804369090316271</v>
          </cell>
          <cell r="F10">
            <v>222.008876007608</v>
          </cell>
        </row>
        <row r="11">
          <cell r="A11" t="str">
            <v>هزینه غذا</v>
          </cell>
          <cell r="B11">
            <v>3827</v>
          </cell>
          <cell r="C11">
            <v>5863</v>
          </cell>
          <cell r="D11">
            <v>3592</v>
          </cell>
          <cell r="E11">
            <v>-6.1405800888424356</v>
          </cell>
          <cell r="F11">
            <v>61.265563704588097</v>
          </cell>
        </row>
        <row r="12">
          <cell r="A12" t="str">
            <v>عیدی و پاداش</v>
          </cell>
          <cell r="B12">
            <v>15969</v>
          </cell>
          <cell r="C12">
            <v>28204</v>
          </cell>
          <cell r="D12">
            <v>6030</v>
          </cell>
          <cell r="E12">
            <v>-62.239338718767613</v>
          </cell>
          <cell r="F12">
            <v>21.379946106935186</v>
          </cell>
        </row>
        <row r="13">
          <cell r="A13" t="str">
            <v>حق مسکن و حق اولاد</v>
          </cell>
          <cell r="B13">
            <v>3592</v>
          </cell>
          <cell r="C13">
            <v>4870</v>
          </cell>
          <cell r="D13">
            <v>7873</v>
          </cell>
          <cell r="E13">
            <v>119.18151447661469</v>
          </cell>
          <cell r="F13">
            <v>161.66324435318276</v>
          </cell>
        </row>
        <row r="14">
          <cell r="A14" t="str">
            <v xml:space="preserve">كمك‌هاي غيرنقدي </v>
          </cell>
          <cell r="B14">
            <v>10806</v>
          </cell>
          <cell r="C14">
            <v>28110</v>
          </cell>
          <cell r="D14">
            <v>44425</v>
          </cell>
          <cell r="E14">
            <v>311.11419581713864</v>
          </cell>
          <cell r="F14">
            <v>158.03984347207398</v>
          </cell>
        </row>
        <row r="15">
          <cell r="A15" t="str">
            <v xml:space="preserve">اياب و ذهاب </v>
          </cell>
          <cell r="B15">
            <v>1672</v>
          </cell>
          <cell r="C15">
            <v>2257</v>
          </cell>
          <cell r="D15">
            <v>2328</v>
          </cell>
          <cell r="E15">
            <v>39.23444976076555</v>
          </cell>
          <cell r="F15">
            <v>103.14576871953921</v>
          </cell>
        </row>
        <row r="16">
          <cell r="A16" t="str">
            <v xml:space="preserve">آموزش و سوادآموزي </v>
          </cell>
          <cell r="C16">
            <v>0</v>
          </cell>
          <cell r="E16" t="str">
            <v>-</v>
          </cell>
          <cell r="F16" t="str">
            <v>-</v>
          </cell>
        </row>
        <row r="17">
          <cell r="A17" t="str">
            <v xml:space="preserve">پوشاك و لوازم ايمني </v>
          </cell>
          <cell r="C17">
            <v>716</v>
          </cell>
          <cell r="E17" t="str">
            <v>-</v>
          </cell>
          <cell r="F17">
            <v>0</v>
          </cell>
        </row>
        <row r="18">
          <cell r="A18" t="str">
            <v xml:space="preserve">بهداشت و درمان </v>
          </cell>
          <cell r="B18">
            <v>5571</v>
          </cell>
          <cell r="C18">
            <v>6347</v>
          </cell>
          <cell r="D18">
            <v>949</v>
          </cell>
          <cell r="E18">
            <v>-82.965356309459708</v>
          </cell>
          <cell r="F18">
            <v>14.951945801165905</v>
          </cell>
        </row>
        <row r="19">
          <cell r="A19" t="str">
            <v xml:space="preserve">ورزش </v>
          </cell>
          <cell r="C19">
            <v>138</v>
          </cell>
          <cell r="D19">
            <v>340</v>
          </cell>
          <cell r="E19" t="str">
            <v>-</v>
          </cell>
          <cell r="F19">
            <v>246.37681159420291</v>
          </cell>
        </row>
        <row r="20">
          <cell r="A20" t="str">
            <v>عائله‌مندی و بن و خواربار</v>
          </cell>
          <cell r="E20" t="str">
            <v>-</v>
          </cell>
          <cell r="F20" t="str">
            <v>-</v>
          </cell>
        </row>
        <row r="21">
          <cell r="A21" t="str">
            <v>هزینه پس انداز صندوق پس انداز</v>
          </cell>
          <cell r="B21">
            <v>1327</v>
          </cell>
          <cell r="C21">
            <v>1842</v>
          </cell>
          <cell r="D21">
            <v>2038</v>
          </cell>
          <cell r="E21">
            <v>53.579502637528257</v>
          </cell>
          <cell r="F21" t="str">
            <v>-</v>
          </cell>
        </row>
        <row r="22">
          <cell r="A22" t="str">
            <v>سایر هزینه ها</v>
          </cell>
          <cell r="B22">
            <v>11861</v>
          </cell>
          <cell r="C22">
            <v>2351</v>
          </cell>
          <cell r="D22">
            <v>23994</v>
          </cell>
          <cell r="E22">
            <v>102.29322991316077</v>
          </cell>
          <cell r="F22" t="str">
            <v>-</v>
          </cell>
        </row>
        <row r="23">
          <cell r="A23">
            <v>0</v>
          </cell>
          <cell r="E23" t="str">
            <v>-</v>
          </cell>
          <cell r="F23" t="str">
            <v>-</v>
          </cell>
        </row>
        <row r="24">
          <cell r="A24">
            <v>0</v>
          </cell>
          <cell r="E24" t="str">
            <v>-</v>
          </cell>
          <cell r="F24" t="str">
            <v>-</v>
          </cell>
        </row>
        <row r="25">
          <cell r="A25">
            <v>0</v>
          </cell>
          <cell r="E25" t="str">
            <v>-</v>
          </cell>
          <cell r="F25" t="str">
            <v>-</v>
          </cell>
        </row>
        <row r="26">
          <cell r="A26" t="str">
            <v>جمع پرسنلی</v>
          </cell>
          <cell r="B26">
            <v>141372</v>
          </cell>
          <cell r="C26">
            <v>189930</v>
          </cell>
          <cell r="D26">
            <v>224434</v>
          </cell>
          <cell r="E26">
            <v>58.754208754208754</v>
          </cell>
          <cell r="F26">
            <v>118.16669299215501</v>
          </cell>
        </row>
        <row r="27">
          <cell r="A27" t="str">
            <v>هزینه پرسنل پیمانکار</v>
          </cell>
          <cell r="C27">
            <v>28731</v>
          </cell>
          <cell r="E27" t="str">
            <v>-</v>
          </cell>
          <cell r="F27">
            <v>0</v>
          </cell>
        </row>
        <row r="28">
          <cell r="A28" t="str">
            <v>استهلاک</v>
          </cell>
          <cell r="B28">
            <v>6571</v>
          </cell>
          <cell r="C28">
            <v>8871</v>
          </cell>
          <cell r="D28">
            <v>21761</v>
          </cell>
          <cell r="E28">
            <v>231.16725003804595</v>
          </cell>
          <cell r="F28">
            <v>245.30492616390487</v>
          </cell>
        </row>
        <row r="29">
          <cell r="A29" t="str">
            <v>خدمات قراردادی</v>
          </cell>
          <cell r="B29">
            <v>14</v>
          </cell>
          <cell r="C29">
            <v>0</v>
          </cell>
          <cell r="D29">
            <v>160</v>
          </cell>
          <cell r="E29">
            <v>1042.8571428571429</v>
          </cell>
          <cell r="F29" t="str">
            <v>-</v>
          </cell>
        </row>
        <row r="30">
          <cell r="A30" t="str">
            <v>تعمیرات و نگهداری</v>
          </cell>
          <cell r="B30">
            <v>1428</v>
          </cell>
          <cell r="C30">
            <v>1328</v>
          </cell>
          <cell r="D30">
            <v>6391</v>
          </cell>
          <cell r="E30">
            <v>347.54901960784315</v>
          </cell>
          <cell r="F30">
            <v>481.25</v>
          </cell>
        </row>
        <row r="31">
          <cell r="A31" t="str">
            <v>لوازم مصرفی اداری</v>
          </cell>
          <cell r="B31">
            <v>1594</v>
          </cell>
          <cell r="C31">
            <v>2806</v>
          </cell>
          <cell r="D31">
            <v>1413</v>
          </cell>
          <cell r="E31">
            <v>-11.35508155583438</v>
          </cell>
          <cell r="F31">
            <v>50.356379187455452</v>
          </cell>
        </row>
        <row r="32">
          <cell r="A32" t="str">
            <v>هزینه بیمه درمان</v>
          </cell>
          <cell r="B32">
            <v>2336</v>
          </cell>
          <cell r="C32">
            <v>1614</v>
          </cell>
          <cell r="D32">
            <v>260</v>
          </cell>
          <cell r="E32">
            <v>-88.869863013698634</v>
          </cell>
          <cell r="F32">
            <v>16.109045848822799</v>
          </cell>
        </row>
        <row r="33">
          <cell r="A33" t="str">
            <v>عوارض</v>
          </cell>
          <cell r="B33">
            <v>1</v>
          </cell>
          <cell r="C33">
            <v>1</v>
          </cell>
          <cell r="D33">
            <v>87</v>
          </cell>
          <cell r="E33">
            <v>8600</v>
          </cell>
          <cell r="F33">
            <v>8700</v>
          </cell>
        </row>
        <row r="34">
          <cell r="A34" t="str">
            <v>آب، برق و سوخت</v>
          </cell>
          <cell r="B34">
            <v>14</v>
          </cell>
          <cell r="C34">
            <v>373</v>
          </cell>
          <cell r="D34">
            <v>330</v>
          </cell>
          <cell r="E34">
            <v>2257.1428571428573</v>
          </cell>
          <cell r="F34">
            <v>88.471849865951739</v>
          </cell>
        </row>
        <row r="35">
          <cell r="A35" t="str">
            <v>جشن و پذیرایی</v>
          </cell>
          <cell r="B35">
            <v>3420</v>
          </cell>
          <cell r="C35">
            <v>3920</v>
          </cell>
          <cell r="D35">
            <v>5704</v>
          </cell>
          <cell r="E35">
            <v>66.783625730994146</v>
          </cell>
          <cell r="F35">
            <v>145.51020408163265</v>
          </cell>
        </row>
        <row r="36">
          <cell r="A36" t="str">
            <v>سوخت و تعمیر وسایل نقلیه</v>
          </cell>
          <cell r="B36">
            <v>589</v>
          </cell>
          <cell r="C36">
            <v>909</v>
          </cell>
          <cell r="D36">
            <v>1722</v>
          </cell>
          <cell r="E36">
            <v>192.35993208828523</v>
          </cell>
          <cell r="F36">
            <v>189.43894389438944</v>
          </cell>
        </row>
        <row r="37">
          <cell r="A37" t="str">
            <v>پست و تلفن</v>
          </cell>
          <cell r="B37">
            <v>221</v>
          </cell>
          <cell r="C37">
            <v>1464</v>
          </cell>
          <cell r="D37">
            <v>1431</v>
          </cell>
          <cell r="E37">
            <v>547.51131221719459</v>
          </cell>
          <cell r="F37">
            <v>97.745901639344268</v>
          </cell>
        </row>
        <row r="38">
          <cell r="A38" t="str">
            <v>کارمزد بانکی و ضمانتنامه</v>
          </cell>
          <cell r="B38">
            <v>228</v>
          </cell>
          <cell r="C38">
            <v>323</v>
          </cell>
          <cell r="D38">
            <v>336</v>
          </cell>
          <cell r="E38">
            <v>47.368421052631582</v>
          </cell>
          <cell r="F38">
            <v>104.02476780185758</v>
          </cell>
        </row>
        <row r="39">
          <cell r="A39" t="str">
            <v>حسابرسی</v>
          </cell>
          <cell r="E39" t="str">
            <v>-</v>
          </cell>
          <cell r="F39" t="str">
            <v>-</v>
          </cell>
        </row>
        <row r="40">
          <cell r="A40" t="str">
            <v>سایر</v>
          </cell>
          <cell r="B40">
            <v>348</v>
          </cell>
          <cell r="C40">
            <v>808</v>
          </cell>
          <cell r="D40">
            <v>329</v>
          </cell>
          <cell r="E40">
            <v>-5.4597701149425291</v>
          </cell>
          <cell r="F40">
            <v>40.71782178217822</v>
          </cell>
        </row>
        <row r="41">
          <cell r="A41" t="str">
            <v>مسئولیت اجتماعی</v>
          </cell>
          <cell r="B41">
            <v>220</v>
          </cell>
          <cell r="C41">
            <v>186</v>
          </cell>
          <cell r="D41">
            <v>111</v>
          </cell>
          <cell r="E41">
            <v>-49.545454545454547</v>
          </cell>
          <cell r="F41">
            <v>6.0260586319218241</v>
          </cell>
        </row>
        <row r="42">
          <cell r="E42" t="str">
            <v>-</v>
          </cell>
          <cell r="F42">
            <v>0</v>
          </cell>
        </row>
        <row r="43">
          <cell r="A43">
            <v>0</v>
          </cell>
          <cell r="E43" t="str">
            <v>-</v>
          </cell>
          <cell r="F43" t="str">
            <v>-</v>
          </cell>
        </row>
        <row r="44">
          <cell r="A44">
            <v>0</v>
          </cell>
          <cell r="E44" t="str">
            <v>-</v>
          </cell>
          <cell r="F44" t="str">
            <v>-</v>
          </cell>
        </row>
        <row r="45">
          <cell r="A45">
            <v>0</v>
          </cell>
          <cell r="E45" t="str">
            <v>-</v>
          </cell>
          <cell r="F45" t="str">
            <v>-</v>
          </cell>
        </row>
        <row r="46">
          <cell r="A46">
            <v>0</v>
          </cell>
          <cell r="E46" t="str">
            <v>-</v>
          </cell>
          <cell r="F46" t="str">
            <v>-</v>
          </cell>
        </row>
        <row r="47">
          <cell r="A47">
            <v>0</v>
          </cell>
          <cell r="E47" t="str">
            <v>-</v>
          </cell>
          <cell r="F47" t="str">
            <v>-</v>
          </cell>
        </row>
        <row r="48">
          <cell r="A48">
            <v>0</v>
          </cell>
          <cell r="E48" t="str">
            <v>-</v>
          </cell>
          <cell r="F48" t="str">
            <v>-</v>
          </cell>
        </row>
        <row r="49">
          <cell r="A49">
            <v>0</v>
          </cell>
          <cell r="E49" t="str">
            <v>-</v>
          </cell>
          <cell r="F49" t="str">
            <v>-</v>
          </cell>
        </row>
        <row r="50">
          <cell r="A50">
            <v>0</v>
          </cell>
          <cell r="E50" t="str">
            <v>-</v>
          </cell>
          <cell r="F50" t="str">
            <v>-</v>
          </cell>
        </row>
        <row r="51">
          <cell r="A51">
            <v>0</v>
          </cell>
          <cell r="E51" t="str">
            <v>-</v>
          </cell>
          <cell r="F51" t="str">
            <v>-</v>
          </cell>
        </row>
        <row r="52">
          <cell r="A52">
            <v>0</v>
          </cell>
          <cell r="E52" t="str">
            <v>-</v>
          </cell>
          <cell r="F52" t="str">
            <v>-</v>
          </cell>
        </row>
        <row r="53">
          <cell r="A53">
            <v>0</v>
          </cell>
          <cell r="E53" t="str">
            <v>-</v>
          </cell>
          <cell r="F53" t="str">
            <v>-</v>
          </cell>
        </row>
        <row r="54">
          <cell r="A54">
            <v>0</v>
          </cell>
          <cell r="E54" t="str">
            <v>-</v>
          </cell>
          <cell r="F54" t="str">
            <v>-</v>
          </cell>
        </row>
        <row r="55">
          <cell r="A55" t="str">
            <v>جمع سایر هزینه‌ها</v>
          </cell>
          <cell r="B55">
            <v>16984</v>
          </cell>
          <cell r="C55">
            <v>51334</v>
          </cell>
          <cell r="D55">
            <v>40035</v>
          </cell>
          <cell r="E55">
            <v>135.7218558643429</v>
          </cell>
          <cell r="F55">
            <v>77.989246892897498</v>
          </cell>
        </row>
        <row r="56">
          <cell r="A56" t="str">
            <v>جمع پرسنلی و سایر</v>
          </cell>
          <cell r="B56">
            <v>158356</v>
          </cell>
          <cell r="C56">
            <v>241264</v>
          </cell>
          <cell r="D56">
            <v>264469</v>
          </cell>
          <cell r="E56">
            <v>67.009143954128675</v>
          </cell>
          <cell r="F56">
            <v>109.61809470124014</v>
          </cell>
        </row>
        <row r="57">
          <cell r="A57" t="str">
            <v>اضافه (کسر) مي‌شود: ساير</v>
          </cell>
          <cell r="C57">
            <v>0</v>
          </cell>
          <cell r="E57" t="str">
            <v>-</v>
          </cell>
          <cell r="F57" t="str">
            <v>-</v>
          </cell>
        </row>
        <row r="58">
          <cell r="A58" t="str">
            <v>جمع کل هزینه</v>
          </cell>
          <cell r="B58">
            <v>158356</v>
          </cell>
          <cell r="C58">
            <v>241264</v>
          </cell>
          <cell r="D58">
            <v>264469</v>
          </cell>
          <cell r="E58">
            <v>67.009143954128675</v>
          </cell>
          <cell r="F58">
            <v>109.61809470124014</v>
          </cell>
        </row>
      </sheetData>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 val="BudgetDB"/>
      <sheetName val="روکش"/>
      <sheetName val="First"/>
      <sheetName val="در یک نگاه"/>
      <sheetName val="الف-ب-ج"/>
      <sheetName val="کلیات"/>
      <sheetName val="اقدامات تکالیف بودجه"/>
      <sheetName val="اقدامات تکالیف مجمع"/>
      <sheetName val="میزان اجرای برنامه"/>
      <sheetName val="مصوبات هیات مدیره"/>
      <sheetName val="اهم اقدامات"/>
      <sheetName val="صورتخلاصه درآمد آزادراه"/>
      <sheetName val="صورتخلاصه درآمد"/>
      <sheetName val="فروش داخلی تولیدی"/>
      <sheetName val="فروش B2B"/>
      <sheetName val="فروش پخش"/>
      <sheetName val="فروش داخلی تجاری"/>
      <sheetName val="عوارض"/>
      <sheetName val="واردات"/>
      <sheetName val="صادرات"/>
      <sheetName val="درآمد خدمات آزادراهی"/>
      <sheetName val="جدول فروش خدمات"/>
      <sheetName val="درآمد خدمات"/>
      <sheetName val="درآمد صادرات"/>
      <sheetName val="گردش سهام"/>
      <sheetName val="سود سهام "/>
      <sheetName val="مقادیر تولید"/>
      <sheetName val="مستندات تولید"/>
      <sheetName val="گردش محصول تولیدی"/>
      <sheetName val="خرید مواد اولیه تولید"/>
      <sheetName val="هزینه پرسنلی مستقیم تولید"/>
      <sheetName val="هزینه پرسنلی غیرمستقیم تولید"/>
      <sheetName val="هزینه سربار تولید"/>
      <sheetName val="بهای تمام شده تولید"/>
      <sheetName val="مقادیر مصرف مواد"/>
      <sheetName val="مقادیر خدمات آزادراهی"/>
      <sheetName val="خرید اقلام خدمات آزادراهی"/>
      <sheetName val="هزینه پرسنلی مستقیم خدمات 2"/>
      <sheetName val="هزینه پرسنلی غیرمستقیم خدمات 2"/>
      <sheetName val="هزینه سربار خدمات آزادراهی"/>
      <sheetName val="بهای خدمات آزادراهی"/>
      <sheetName val="مقادیر خدمات"/>
      <sheetName val="خرید اقلام خدمات"/>
      <sheetName val="تعداد پرسنل"/>
      <sheetName val="هزینه پرسنلی مستقیم خدمات"/>
      <sheetName val="هزینه پرسنلی غیرمستقیم خدمات"/>
      <sheetName val="هزینه سربار خدمات"/>
      <sheetName val="بهای خدمات"/>
      <sheetName val="نگهداری آزادراه"/>
      <sheetName val="بهره برداری آزادراه"/>
      <sheetName val="بهسازی آزادراه"/>
      <sheetName val="خرید کالای تجاری"/>
      <sheetName val="بهای کالای تجاری"/>
      <sheetName val="تعداد پرسنل آزادراه (2)"/>
      <sheetName val="تعداد پرسنل آزادراه"/>
      <sheetName val="صورت وضعیت مالی آزادراه"/>
      <sheetName val="هزینه اداری عمومی"/>
      <sheetName val="سایر عملیاتی"/>
      <sheetName val="سایر غیرعملیاتی"/>
      <sheetName val="صورت سود و زیان"/>
      <sheetName val="صورت سود و زیان - شرکت اصلی"/>
      <sheetName val="صورت وضعیت مالی "/>
      <sheetName val="صورت وضعیت مالی - شرکت اصلی"/>
      <sheetName val="اقلام عمده حسابها آزادراه"/>
      <sheetName val="اقلام عمده حسابها "/>
      <sheetName val="درآمد هزینه آزادراه"/>
      <sheetName val="صورت جریان وجوه نقد آزادراه"/>
      <sheetName val="صورت جریان وجوه نقد "/>
      <sheetName val="صورت جریان وجوه نقد - شرکت اصلی"/>
      <sheetName val="دریافت پرداخت نقد آزادراه"/>
      <sheetName val="دریافت پرداخت"/>
      <sheetName val="سود ناویژه محصول تولیدی"/>
      <sheetName val=" سود ناویژه کالای تجاری"/>
      <sheetName val="سود ناویژه صادراتی"/>
      <sheetName val="سود ناویژه خدمات آزادراهی"/>
      <sheetName val="هزینه اداری عمومی آزادراه"/>
      <sheetName val="دارایی آزادراه"/>
      <sheetName val="دارایی"/>
      <sheetName val="موجودی مواد و کالا"/>
      <sheetName val="موجودی مواد و کالا آزادراهی"/>
      <sheetName val="سایر عملیاتی آزادراهی"/>
      <sheetName val="سایر غیرعملیاتی آزادراهی"/>
      <sheetName val="سود ناویژه خدمات"/>
      <sheetName val="تسهیلات"/>
      <sheetName val="حقوقی"/>
      <sheetName val="مزایده-مناقصه"/>
      <sheetName val="استهلاک سرمایه گذاری"/>
      <sheetName val="روابط عمومی"/>
      <sheetName val="پروژه ها"/>
      <sheetName val="ریزشعب انبار"/>
      <sheetName val="ماشین آلات "/>
      <sheetName val="ظرفیت انبارها"/>
      <sheetName val="جدول درآمد-هزینه-سود شرکتها"/>
      <sheetName val="خلاصه وضعیت پروازی ناوگان"/>
      <sheetName val="درآمد فروش بليط داخلی"/>
      <sheetName val="درآمد فروش بليط خارجی"/>
      <sheetName val="سوخت"/>
      <sheetName val="کترینگ"/>
      <sheetName val="هندلینگ"/>
      <sheetName val="خدمات فرودگاهی"/>
      <sheetName val="اطلاعات واحدها"/>
      <sheetName val="ریز فروشگاه ها"/>
      <sheetName val="پایان"/>
      <sheetName val="اصلاحات"/>
      <sheetName val="تغییر در فرمول بودجه و اصلی"/>
      <sheetName val="ابهامات"/>
    </sheetNames>
    <sheetDataSet>
      <sheetData sheetId="0"/>
      <sheetData sheetId="1"/>
      <sheetData sheetId="2">
        <row r="9">
          <cell r="F9" t="str">
            <v>شش ماهه</v>
          </cell>
        </row>
      </sheetData>
      <sheetData sheetId="3"/>
      <sheetData sheetId="4"/>
      <sheetData sheetId="5">
        <row r="9">
          <cell r="L9">
            <v>247</v>
          </cell>
          <cell r="M9">
            <v>2</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گزارش تعداد نفرات"/>
      <sheetName val="مصرف مواد"/>
      <sheetName val="کارکرد صنایع "/>
      <sheetName val="تولید صنایع "/>
      <sheetName val="گردش کالا "/>
      <sheetName val="تسهیم هزینه"/>
      <sheetName val="آمار تولید و ساعات تولید"/>
      <sheetName val="توقفات تولید سال 91 "/>
      <sheetName val="تولید همگن و تسهیم مزد و سربار "/>
      <sheetName val="نرخ د.س کار در جریان اول دوره"/>
      <sheetName val="کار درجریان شهریور   91"/>
      <sheetName val="عوامل در مراکز91  "/>
      <sheetName val="تمام شده تولید"/>
      <sheetName val="خرید بازرگانی "/>
      <sheetName val="فروش910630"/>
      <sheetName val="3"/>
      <sheetName val="فروش "/>
      <sheetName val="برگشت کلا سنواتی (4 ماهه اول)"/>
      <sheetName val="برگشت کلا سنواتی (4 ماهه دوم)"/>
      <sheetName val="گردش کالای ساخته شده"/>
      <sheetName val="سند تولید"/>
      <sheetName val="سند بهای تمام شده"/>
      <sheetName val="سند بهای تمام شده (2)"/>
      <sheetName val="خ  د ه عملیاتی "/>
      <sheetName val="خ س د  ه غیرعملیاتی"/>
      <sheetName val="سود وزیان "/>
      <sheetName val="سود وزیان - مقایسه ای"/>
      <sheetName val="تربتی  "/>
      <sheetName val="کاربرگ محاسبه مالیات"/>
      <sheetName val="حاشیه سود"/>
      <sheetName val="گزارش1 -( کل) ارقام میلیون ریال"/>
      <sheetName val="گزارش 6 ماهه( کل) ارقام میلیون"/>
      <sheetName val="گزارش(واحد) "/>
      <sheetName val="گزارش 6  ماهه (واحد محصول)38"/>
      <sheetName val="کنترل حاشیه سود - کل"/>
      <sheetName val="کنترل حاشیه سود 6 ماهه - کل -43"/>
      <sheetName val="کنترل حاشیه سود - واحد کالا (2)"/>
      <sheetName val="کنترل حاشیه سود6 ماهه واحد کالا"/>
      <sheetName val="تعداد تولید 1391"/>
      <sheetName val="ذخیره کاهش ارزش موجودی"/>
      <sheetName val="100022"/>
      <sheetName val="ترازنامه 31-06-1391"/>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sheetData sheetId="9" refreshError="1"/>
      <sheetData sheetId="10" refreshError="1"/>
      <sheetData sheetId="11" refreshError="1"/>
      <sheetData sheetId="12"/>
      <sheetData sheetId="13"/>
      <sheetData sheetId="14" refreshError="1"/>
      <sheetData sheetId="15" refreshError="1"/>
      <sheetData sheetId="16">
        <row r="164">
          <cell r="D164">
            <v>28129095</v>
          </cell>
        </row>
      </sheetData>
      <sheetData sheetId="17" refreshError="1"/>
      <sheetData sheetId="18" refreshError="1"/>
      <sheetData sheetId="19">
        <row r="167">
          <cell r="S167">
            <v>204729070256</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1">
          <cell r="A1" t="str">
            <v>حاشیه سود محصولات تولیدی در پایان 5 ماهه 1391</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1">
          <cell r="A1" t="str">
            <v>کد حساب</v>
          </cell>
          <cell r="B1" t="str">
            <v>شرح  حساب</v>
          </cell>
          <cell r="C1" t="str">
            <v>مشترك استريل ها</v>
          </cell>
          <cell r="D1" t="str">
            <v>استريل فرزياني</v>
          </cell>
          <cell r="E1" t="str">
            <v>استريل قدس</v>
          </cell>
          <cell r="F1" t="str">
            <v>استريل بعثت</v>
          </cell>
          <cell r="G1" t="str">
            <v>استريل غفارزاده</v>
          </cell>
          <cell r="H1" t="str">
            <v>پمادوكرم</v>
          </cell>
          <cell r="I1" t="str">
            <v>سفالوسپورين</v>
          </cell>
          <cell r="J1" t="str">
            <v>پني سيلين وي</v>
          </cell>
          <cell r="K1" t="str">
            <v>نيستاتين</v>
          </cell>
          <cell r="L1" t="str">
            <v>دراژه(نيستا،سفالوس،پني سيلسن وي)</v>
          </cell>
          <cell r="M1" t="str">
            <v>قرص و كپسول و شربت</v>
          </cell>
          <cell r="N1" t="str">
            <v>مشترک اسپري ها</v>
          </cell>
          <cell r="O1" t="str">
            <v>اسپري دهاني</v>
          </cell>
          <cell r="P1" t="str">
            <v>اسپري بيني</v>
          </cell>
          <cell r="Q1" t="str">
            <v xml:space="preserve">سیل سازی </v>
          </cell>
          <cell r="R1" t="str">
            <v>سافت ژل</v>
          </cell>
          <cell r="S1" t="str">
            <v>جمع توليد</v>
          </cell>
          <cell r="T1" t="str">
            <v>بسته بندي</v>
          </cell>
          <cell r="U1" t="str">
            <v>عمومي توليد</v>
          </cell>
          <cell r="V1" t="str">
            <v>فني و مهندسي قديم</v>
          </cell>
          <cell r="W1" t="str">
            <v>فني مهندسي افشانه</v>
          </cell>
          <cell r="X1" t="str">
            <v>آزمايشگاه و چکينگ</v>
          </cell>
          <cell r="Y1" t="str">
            <v>انبارها قديم</v>
          </cell>
          <cell r="Z1" t="str">
            <v>انبار افشانه ها</v>
          </cell>
          <cell r="AA1" t="str">
            <v>مهندسي صنايع قديم</v>
          </cell>
          <cell r="AB1" t="str">
            <v>مهندسي صنايع اسپري</v>
          </cell>
          <cell r="AC1" t="str">
            <v>امور بازرگاني</v>
          </cell>
          <cell r="AD1" t="str">
            <v>انتظامات و نگهباني</v>
          </cell>
          <cell r="AE1" t="str">
            <v>خدمات عمومي</v>
          </cell>
          <cell r="AF1" t="str">
            <v>رستوران</v>
          </cell>
          <cell r="AG1" t="str">
            <v>حمل ونقل</v>
          </cell>
          <cell r="AH1" t="str">
            <v>جمع خدماتي</v>
          </cell>
          <cell r="AI1" t="str">
            <v>سربار</v>
          </cell>
          <cell r="AJ1" t="str">
            <v>فروش و بازاريابي</v>
          </cell>
          <cell r="AK1" t="str">
            <v>مديريت</v>
          </cell>
          <cell r="AL1" t="str">
            <v>تحقيقات</v>
          </cell>
          <cell r="AM1" t="str">
            <v>آموزش</v>
          </cell>
          <cell r="AN1" t="str">
            <v>مامورين</v>
          </cell>
          <cell r="AO1" t="str">
            <v>عمومي اداري</v>
          </cell>
          <cell r="AP1" t="str">
            <v>فن آوري اطلاعات</v>
          </cell>
          <cell r="AQ1" t="str">
            <v>امورمالي</v>
          </cell>
          <cell r="AR1" t="str">
            <v>دبيرخانه و كارگزيني</v>
          </cell>
          <cell r="AS1" t="str">
            <v>شورا ،انجمن و بسيج</v>
          </cell>
          <cell r="AT1" t="str">
            <v>HSE</v>
          </cell>
          <cell r="AU1" t="str">
            <v>تضمين كيفيت</v>
          </cell>
          <cell r="AV1" t="str">
            <v>جمع اداري</v>
          </cell>
        </row>
        <row r="2">
          <cell r="A2">
            <v>7101000</v>
          </cell>
          <cell r="B2" t="str">
            <v>هزينه مواداوليه توليدى</v>
          </cell>
          <cell r="C2">
            <v>0</v>
          </cell>
          <cell r="D2">
            <v>14906141895</v>
          </cell>
          <cell r="E2">
            <v>10537711017</v>
          </cell>
          <cell r="F2">
            <v>6578256662</v>
          </cell>
          <cell r="G2">
            <v>33730980659</v>
          </cell>
          <cell r="H2">
            <v>979118605</v>
          </cell>
          <cell r="I2">
            <v>11155535147</v>
          </cell>
          <cell r="J2">
            <v>9841932909</v>
          </cell>
          <cell r="K2">
            <v>754872627</v>
          </cell>
          <cell r="L2">
            <v>54084355</v>
          </cell>
          <cell r="M2">
            <v>0</v>
          </cell>
          <cell r="N2">
            <v>0</v>
          </cell>
          <cell r="O2">
            <v>0</v>
          </cell>
          <cell r="P2">
            <v>0</v>
          </cell>
          <cell r="Q2">
            <v>0</v>
          </cell>
          <cell r="R2">
            <v>7987716923</v>
          </cell>
          <cell r="S2">
            <v>96526350799</v>
          </cell>
          <cell r="T2">
            <v>0</v>
          </cell>
          <cell r="U2">
            <v>0</v>
          </cell>
          <cell r="V2">
            <v>0</v>
          </cell>
          <cell r="W2">
            <v>0</v>
          </cell>
          <cell r="X2">
            <v>0</v>
          </cell>
          <cell r="Y2">
            <v>0</v>
          </cell>
          <cell r="Z2">
            <v>0</v>
          </cell>
          <cell r="AA2">
            <v>0</v>
          </cell>
          <cell r="AB2">
            <v>0</v>
          </cell>
          <cell r="AC2">
            <v>0</v>
          </cell>
          <cell r="AD2">
            <v>0</v>
          </cell>
          <cell r="AE2">
            <v>0</v>
          </cell>
          <cell r="AF2">
            <v>0</v>
          </cell>
          <cell r="AG2">
            <v>0</v>
          </cell>
          <cell r="AH2">
            <v>0</v>
          </cell>
          <cell r="AI2">
            <v>0</v>
          </cell>
          <cell r="AJ2">
            <v>0</v>
          </cell>
          <cell r="AK2">
            <v>0</v>
          </cell>
          <cell r="AL2">
            <v>0</v>
          </cell>
          <cell r="AM2">
            <v>0</v>
          </cell>
          <cell r="AN2">
            <v>0</v>
          </cell>
          <cell r="AO2">
            <v>0</v>
          </cell>
          <cell r="AP2">
            <v>0</v>
          </cell>
          <cell r="AQ2">
            <v>0</v>
          </cell>
          <cell r="AR2">
            <v>0</v>
          </cell>
          <cell r="AS2">
            <v>0</v>
          </cell>
          <cell r="AT2">
            <v>0</v>
          </cell>
          <cell r="AU2">
            <v>0</v>
          </cell>
          <cell r="AV2">
            <v>0</v>
          </cell>
        </row>
        <row r="3">
          <cell r="A3">
            <v>7102000</v>
          </cell>
          <cell r="B3" t="str">
            <v>هزينه موادبسته بندى</v>
          </cell>
          <cell r="C3">
            <v>0</v>
          </cell>
          <cell r="D3">
            <v>1855661088</v>
          </cell>
          <cell r="E3">
            <v>6219993729</v>
          </cell>
          <cell r="F3">
            <v>2088524135</v>
          </cell>
          <cell r="G3">
            <v>11042229016</v>
          </cell>
          <cell r="H3">
            <v>373167119</v>
          </cell>
          <cell r="I3">
            <v>578048953</v>
          </cell>
          <cell r="J3">
            <v>1304482794</v>
          </cell>
          <cell r="K3">
            <v>550103597</v>
          </cell>
          <cell r="L3">
            <v>0</v>
          </cell>
          <cell r="M3">
            <v>0</v>
          </cell>
          <cell r="N3">
            <v>0</v>
          </cell>
          <cell r="O3">
            <v>0</v>
          </cell>
          <cell r="P3">
            <v>0</v>
          </cell>
          <cell r="Q3">
            <v>441709369</v>
          </cell>
          <cell r="R3">
            <v>1453605389</v>
          </cell>
          <cell r="S3">
            <v>25907525189</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row>
        <row r="4">
          <cell r="A4">
            <v>7106000</v>
          </cell>
          <cell r="B4" t="str">
            <v>هزينه مواداوليه توليدى افشانه ها</v>
          </cell>
          <cell r="C4">
            <v>0</v>
          </cell>
          <cell r="D4">
            <v>0</v>
          </cell>
          <cell r="E4">
            <v>0</v>
          </cell>
          <cell r="F4">
            <v>0</v>
          </cell>
          <cell r="G4">
            <v>0</v>
          </cell>
          <cell r="H4">
            <v>0</v>
          </cell>
          <cell r="I4">
            <v>0</v>
          </cell>
          <cell r="J4">
            <v>0</v>
          </cell>
          <cell r="K4">
            <v>0</v>
          </cell>
          <cell r="L4">
            <v>0</v>
          </cell>
          <cell r="M4">
            <v>0</v>
          </cell>
          <cell r="N4">
            <v>0</v>
          </cell>
          <cell r="O4">
            <v>3096391533</v>
          </cell>
          <cell r="P4">
            <v>423959674</v>
          </cell>
          <cell r="Q4">
            <v>0</v>
          </cell>
          <cell r="R4">
            <v>0</v>
          </cell>
          <cell r="S4">
            <v>3520351207</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row>
        <row r="5">
          <cell r="A5">
            <v>7107000</v>
          </cell>
          <cell r="B5" t="str">
            <v>هزينه موادبسته بندى افشانه ها</v>
          </cell>
          <cell r="C5">
            <v>0</v>
          </cell>
          <cell r="D5">
            <v>0</v>
          </cell>
          <cell r="E5">
            <v>0</v>
          </cell>
          <cell r="F5">
            <v>0</v>
          </cell>
          <cell r="G5">
            <v>0</v>
          </cell>
          <cell r="H5">
            <v>0</v>
          </cell>
          <cell r="I5">
            <v>0</v>
          </cell>
          <cell r="J5">
            <v>0</v>
          </cell>
          <cell r="K5">
            <v>0</v>
          </cell>
          <cell r="L5">
            <v>0</v>
          </cell>
          <cell r="M5">
            <v>0</v>
          </cell>
          <cell r="N5">
            <v>0</v>
          </cell>
          <cell r="O5">
            <v>6968425659</v>
          </cell>
          <cell r="P5">
            <v>1460021326</v>
          </cell>
          <cell r="Q5">
            <v>0</v>
          </cell>
          <cell r="R5">
            <v>0</v>
          </cell>
          <cell r="S5">
            <v>8428446985</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row>
        <row r="6">
          <cell r="A6">
            <v>7201000</v>
          </cell>
          <cell r="B6" t="str">
            <v>هزينه حقوق ودستمزد</v>
          </cell>
          <cell r="C6">
            <v>0</v>
          </cell>
          <cell r="D6">
            <v>262764339</v>
          </cell>
          <cell r="E6">
            <v>277899856</v>
          </cell>
          <cell r="F6">
            <v>104673997</v>
          </cell>
          <cell r="G6">
            <v>245600880</v>
          </cell>
          <cell r="H6">
            <v>144789984</v>
          </cell>
          <cell r="I6">
            <v>473508142</v>
          </cell>
          <cell r="J6">
            <v>253604454</v>
          </cell>
          <cell r="K6">
            <v>88647595</v>
          </cell>
          <cell r="L6">
            <v>37526106</v>
          </cell>
          <cell r="M6">
            <v>179363242</v>
          </cell>
          <cell r="N6">
            <v>199283652</v>
          </cell>
          <cell r="O6">
            <v>0</v>
          </cell>
          <cell r="P6">
            <v>0</v>
          </cell>
          <cell r="Q6">
            <v>0</v>
          </cell>
          <cell r="R6">
            <v>39217184</v>
          </cell>
          <cell r="S6">
            <v>2306879431</v>
          </cell>
          <cell r="T6">
            <v>103177241</v>
          </cell>
          <cell r="U6">
            <v>315146134</v>
          </cell>
          <cell r="V6">
            <v>1353152006</v>
          </cell>
          <cell r="W6">
            <v>194684045</v>
          </cell>
          <cell r="X6">
            <v>2200267417</v>
          </cell>
          <cell r="Y6">
            <v>426857377</v>
          </cell>
          <cell r="Z6">
            <v>30566575</v>
          </cell>
          <cell r="AA6">
            <v>283257374</v>
          </cell>
          <cell r="AB6">
            <v>24108843</v>
          </cell>
          <cell r="AC6">
            <v>571520042</v>
          </cell>
          <cell r="AD6">
            <v>104722092</v>
          </cell>
          <cell r="AE6">
            <v>38616444</v>
          </cell>
          <cell r="AF6">
            <v>0</v>
          </cell>
          <cell r="AG6">
            <v>63801450</v>
          </cell>
          <cell r="AH6">
            <v>5709877040</v>
          </cell>
          <cell r="AI6">
            <v>5709877040</v>
          </cell>
          <cell r="AJ6">
            <v>1466786622</v>
          </cell>
          <cell r="AK6">
            <v>696761510</v>
          </cell>
          <cell r="AL6">
            <v>595169773</v>
          </cell>
          <cell r="AM6">
            <v>0</v>
          </cell>
          <cell r="AN6">
            <v>35340288</v>
          </cell>
          <cell r="AO6">
            <v>0</v>
          </cell>
          <cell r="AP6">
            <v>275151658</v>
          </cell>
          <cell r="AQ6">
            <v>678683331</v>
          </cell>
          <cell r="AR6">
            <v>355740316</v>
          </cell>
          <cell r="AS6">
            <v>0</v>
          </cell>
          <cell r="AT6">
            <v>80931040</v>
          </cell>
          <cell r="AU6">
            <v>898485082</v>
          </cell>
          <cell r="AV6">
            <v>5083049620</v>
          </cell>
        </row>
        <row r="7">
          <cell r="A7">
            <v>7201001</v>
          </cell>
          <cell r="B7" t="str">
            <v>هزينه حقوق ودستمزد ( پارس پاکان)</v>
          </cell>
          <cell r="C7">
            <v>0</v>
          </cell>
          <cell r="D7">
            <v>468576043</v>
          </cell>
          <cell r="E7">
            <v>361801635</v>
          </cell>
          <cell r="F7">
            <v>525956098</v>
          </cell>
          <cell r="G7">
            <v>638615593</v>
          </cell>
          <cell r="H7">
            <v>112263491</v>
          </cell>
          <cell r="I7">
            <v>524122717</v>
          </cell>
          <cell r="J7">
            <v>523928715</v>
          </cell>
          <cell r="K7">
            <v>392899906</v>
          </cell>
          <cell r="L7">
            <v>112165177</v>
          </cell>
          <cell r="M7">
            <v>0</v>
          </cell>
          <cell r="N7">
            <v>1761622636</v>
          </cell>
          <cell r="O7">
            <v>280522303</v>
          </cell>
          <cell r="P7">
            <v>251661854</v>
          </cell>
          <cell r="Q7">
            <v>293707903</v>
          </cell>
          <cell r="R7">
            <v>1196325589</v>
          </cell>
          <cell r="S7">
            <v>7444169660</v>
          </cell>
          <cell r="T7">
            <v>162827567</v>
          </cell>
          <cell r="U7">
            <v>990062557</v>
          </cell>
          <cell r="V7">
            <v>714585939</v>
          </cell>
          <cell r="W7">
            <v>0</v>
          </cell>
          <cell r="X7">
            <v>54662632</v>
          </cell>
          <cell r="Y7">
            <v>718599292</v>
          </cell>
          <cell r="Z7">
            <v>254819291</v>
          </cell>
          <cell r="AA7">
            <v>0</v>
          </cell>
          <cell r="AB7">
            <v>0</v>
          </cell>
          <cell r="AC7">
            <v>0</v>
          </cell>
          <cell r="AD7">
            <v>526219194</v>
          </cell>
          <cell r="AE7">
            <v>3048689452</v>
          </cell>
          <cell r="AF7">
            <v>0</v>
          </cell>
          <cell r="AG7">
            <v>0</v>
          </cell>
          <cell r="AH7">
            <v>6470465924</v>
          </cell>
          <cell r="AI7">
            <v>6470465924</v>
          </cell>
          <cell r="AJ7">
            <v>147091303</v>
          </cell>
          <cell r="AK7">
            <v>0</v>
          </cell>
          <cell r="AL7">
            <v>0</v>
          </cell>
          <cell r="AM7">
            <v>43619447</v>
          </cell>
          <cell r="AN7">
            <v>0</v>
          </cell>
          <cell r="AO7">
            <v>0</v>
          </cell>
          <cell r="AP7">
            <v>0</v>
          </cell>
          <cell r="AQ7">
            <v>0</v>
          </cell>
          <cell r="AR7">
            <v>0</v>
          </cell>
          <cell r="AS7">
            <v>0</v>
          </cell>
          <cell r="AT7">
            <v>0</v>
          </cell>
          <cell r="AU7">
            <v>0</v>
          </cell>
          <cell r="AV7">
            <v>190710750</v>
          </cell>
        </row>
        <row r="8">
          <cell r="A8">
            <v>7202000</v>
          </cell>
          <cell r="B8" t="str">
            <v>هزينه مسکن</v>
          </cell>
          <cell r="C8">
            <v>0</v>
          </cell>
          <cell r="D8">
            <v>4666500</v>
          </cell>
          <cell r="E8">
            <v>4934530</v>
          </cell>
          <cell r="F8">
            <v>1830965</v>
          </cell>
          <cell r="G8">
            <v>4339986</v>
          </cell>
          <cell r="H8">
            <v>2479992</v>
          </cell>
          <cell r="I8">
            <v>8553704</v>
          </cell>
          <cell r="J8">
            <v>4522397</v>
          </cell>
          <cell r="K8">
            <v>1546359</v>
          </cell>
          <cell r="L8">
            <v>619998</v>
          </cell>
          <cell r="M8">
            <v>2479992</v>
          </cell>
          <cell r="N8">
            <v>2777413</v>
          </cell>
          <cell r="O8">
            <v>0</v>
          </cell>
          <cell r="P8">
            <v>0</v>
          </cell>
          <cell r="Q8">
            <v>0</v>
          </cell>
          <cell r="R8">
            <v>281492</v>
          </cell>
          <cell r="S8">
            <v>39033328</v>
          </cell>
          <cell r="T8">
            <v>1898482</v>
          </cell>
          <cell r="U8">
            <v>5145441</v>
          </cell>
          <cell r="V8">
            <v>22686494</v>
          </cell>
          <cell r="W8">
            <v>3278340</v>
          </cell>
          <cell r="X8">
            <v>30239128</v>
          </cell>
          <cell r="Y8">
            <v>7319588</v>
          </cell>
          <cell r="Z8">
            <v>381129</v>
          </cell>
          <cell r="AA8">
            <v>3990898</v>
          </cell>
          <cell r="AB8">
            <v>370529</v>
          </cell>
          <cell r="AC8">
            <v>7995537</v>
          </cell>
          <cell r="AD8">
            <v>1859994</v>
          </cell>
          <cell r="AE8">
            <v>619998</v>
          </cell>
          <cell r="AF8">
            <v>0</v>
          </cell>
          <cell r="AG8">
            <v>1239996</v>
          </cell>
          <cell r="AH8">
            <v>87025554</v>
          </cell>
          <cell r="AI8">
            <v>87025554</v>
          </cell>
          <cell r="AJ8">
            <v>19409333</v>
          </cell>
          <cell r="AK8">
            <v>3823321</v>
          </cell>
          <cell r="AL8">
            <v>6428466</v>
          </cell>
          <cell r="AM8">
            <v>0</v>
          </cell>
          <cell r="AN8">
            <v>619998</v>
          </cell>
          <cell r="AO8">
            <v>0</v>
          </cell>
          <cell r="AP8">
            <v>3506050</v>
          </cell>
          <cell r="AQ8">
            <v>10276531</v>
          </cell>
          <cell r="AR8">
            <v>4753318</v>
          </cell>
          <cell r="AS8">
            <v>0</v>
          </cell>
          <cell r="AT8">
            <v>1229087</v>
          </cell>
          <cell r="AU8">
            <v>9505144</v>
          </cell>
          <cell r="AV8">
            <v>59551248</v>
          </cell>
        </row>
        <row r="9">
          <cell r="A9">
            <v>7203000</v>
          </cell>
          <cell r="B9" t="str">
            <v>هزينه خواروبار</v>
          </cell>
          <cell r="C9">
            <v>0</v>
          </cell>
          <cell r="D9">
            <v>102633</v>
          </cell>
          <cell r="E9">
            <v>89469</v>
          </cell>
          <cell r="F9">
            <v>39577</v>
          </cell>
          <cell r="G9">
            <v>80610</v>
          </cell>
          <cell r="H9">
            <v>52704</v>
          </cell>
          <cell r="I9">
            <v>152492</v>
          </cell>
          <cell r="J9">
            <v>85447</v>
          </cell>
          <cell r="K9">
            <v>26814</v>
          </cell>
          <cell r="L9">
            <v>12402</v>
          </cell>
          <cell r="M9">
            <v>12408</v>
          </cell>
          <cell r="N9">
            <v>30311</v>
          </cell>
          <cell r="O9">
            <v>0</v>
          </cell>
          <cell r="P9">
            <v>0</v>
          </cell>
          <cell r="Q9">
            <v>0</v>
          </cell>
          <cell r="R9">
            <v>2815</v>
          </cell>
          <cell r="S9">
            <v>687682</v>
          </cell>
          <cell r="T9">
            <v>28293</v>
          </cell>
          <cell r="U9">
            <v>88181</v>
          </cell>
          <cell r="V9">
            <v>338779</v>
          </cell>
          <cell r="W9">
            <v>34419</v>
          </cell>
          <cell r="X9">
            <v>359031</v>
          </cell>
          <cell r="Y9">
            <v>151705</v>
          </cell>
          <cell r="Z9">
            <v>7622</v>
          </cell>
          <cell r="AA9">
            <v>51250</v>
          </cell>
          <cell r="AB9">
            <v>3704</v>
          </cell>
          <cell r="AC9">
            <v>104772</v>
          </cell>
          <cell r="AD9">
            <v>31002</v>
          </cell>
          <cell r="AE9">
            <v>12402</v>
          </cell>
          <cell r="AF9">
            <v>0</v>
          </cell>
          <cell r="AG9">
            <v>15498</v>
          </cell>
          <cell r="AH9">
            <v>1226658</v>
          </cell>
          <cell r="AI9">
            <v>1226658</v>
          </cell>
          <cell r="AJ9">
            <v>181228</v>
          </cell>
          <cell r="AK9">
            <v>49606</v>
          </cell>
          <cell r="AL9">
            <v>78785</v>
          </cell>
          <cell r="AM9">
            <v>0</v>
          </cell>
          <cell r="AN9">
            <v>12402</v>
          </cell>
          <cell r="AO9">
            <v>0</v>
          </cell>
          <cell r="AP9">
            <v>50560</v>
          </cell>
          <cell r="AQ9">
            <v>149934</v>
          </cell>
          <cell r="AR9">
            <v>68722</v>
          </cell>
          <cell r="AS9">
            <v>0</v>
          </cell>
          <cell r="AT9">
            <v>21538</v>
          </cell>
          <cell r="AU9">
            <v>107460</v>
          </cell>
          <cell r="AV9">
            <v>720235</v>
          </cell>
        </row>
        <row r="10">
          <cell r="A10">
            <v>7204000</v>
          </cell>
          <cell r="B10" t="str">
            <v>هزينه حق اولاد</v>
          </cell>
          <cell r="C10">
            <v>0</v>
          </cell>
          <cell r="D10">
            <v>36370819</v>
          </cell>
          <cell r="E10">
            <v>29657351</v>
          </cell>
          <cell r="F10">
            <v>14270578</v>
          </cell>
          <cell r="G10">
            <v>28993680</v>
          </cell>
          <cell r="H10">
            <v>19329120</v>
          </cell>
          <cell r="I10">
            <v>53781670</v>
          </cell>
          <cell r="J10">
            <v>28889642</v>
          </cell>
          <cell r="K10">
            <v>8845009</v>
          </cell>
          <cell r="L10">
            <v>4832280</v>
          </cell>
          <cell r="M10">
            <v>0</v>
          </cell>
          <cell r="N10">
            <v>4470774</v>
          </cell>
          <cell r="O10">
            <v>0</v>
          </cell>
          <cell r="P10">
            <v>0</v>
          </cell>
          <cell r="Q10">
            <v>0</v>
          </cell>
          <cell r="R10">
            <v>0</v>
          </cell>
          <cell r="S10">
            <v>229440923</v>
          </cell>
          <cell r="T10">
            <v>7256687</v>
          </cell>
          <cell r="U10">
            <v>25403716</v>
          </cell>
          <cell r="V10">
            <v>94350324</v>
          </cell>
          <cell r="W10">
            <v>2818830</v>
          </cell>
          <cell r="X10">
            <v>80143249</v>
          </cell>
          <cell r="Y10">
            <v>52372608</v>
          </cell>
          <cell r="Z10">
            <v>2970518</v>
          </cell>
          <cell r="AA10">
            <v>11470170</v>
          </cell>
          <cell r="AB10">
            <v>0</v>
          </cell>
          <cell r="AC10">
            <v>28993680</v>
          </cell>
          <cell r="AD10">
            <v>9664560</v>
          </cell>
          <cell r="AE10">
            <v>4832280</v>
          </cell>
          <cell r="AF10">
            <v>0</v>
          </cell>
          <cell r="AG10">
            <v>2416140</v>
          </cell>
          <cell r="AH10">
            <v>322692762</v>
          </cell>
          <cell r="AI10">
            <v>322692762</v>
          </cell>
          <cell r="AJ10">
            <v>18729218</v>
          </cell>
          <cell r="AK10">
            <v>13288770</v>
          </cell>
          <cell r="AL10">
            <v>14496840</v>
          </cell>
          <cell r="AM10">
            <v>0</v>
          </cell>
          <cell r="AN10">
            <v>4832280</v>
          </cell>
          <cell r="AO10">
            <v>0</v>
          </cell>
          <cell r="AP10">
            <v>12080700</v>
          </cell>
          <cell r="AQ10">
            <v>41434557</v>
          </cell>
          <cell r="AR10">
            <v>19329120</v>
          </cell>
          <cell r="AS10">
            <v>0</v>
          </cell>
          <cell r="AT10">
            <v>7205907</v>
          </cell>
          <cell r="AU10">
            <v>19329120</v>
          </cell>
          <cell r="AV10">
            <v>150726512</v>
          </cell>
        </row>
        <row r="11">
          <cell r="A11">
            <v>7205000</v>
          </cell>
          <cell r="B11" t="str">
            <v>هزينه حق جذب</v>
          </cell>
          <cell r="C11">
            <v>0</v>
          </cell>
          <cell r="D11">
            <v>70009206</v>
          </cell>
          <cell r="E11">
            <v>73934323</v>
          </cell>
          <cell r="F11">
            <v>31150038</v>
          </cell>
          <cell r="G11">
            <v>65789250</v>
          </cell>
          <cell r="H11">
            <v>40829616</v>
          </cell>
          <cell r="I11">
            <v>122166663</v>
          </cell>
          <cell r="J11">
            <v>56142933</v>
          </cell>
          <cell r="K11">
            <v>27614633</v>
          </cell>
          <cell r="L11">
            <v>15085998</v>
          </cell>
          <cell r="M11">
            <v>40686294</v>
          </cell>
          <cell r="N11">
            <v>30865296</v>
          </cell>
          <cell r="O11">
            <v>0</v>
          </cell>
          <cell r="P11">
            <v>0</v>
          </cell>
          <cell r="Q11">
            <v>0</v>
          </cell>
          <cell r="R11">
            <v>9804297</v>
          </cell>
          <cell r="S11">
            <v>584078547</v>
          </cell>
          <cell r="T11">
            <v>25515268</v>
          </cell>
          <cell r="U11">
            <v>34781948</v>
          </cell>
          <cell r="V11">
            <v>258921398</v>
          </cell>
          <cell r="W11">
            <v>24242496</v>
          </cell>
          <cell r="X11">
            <v>498380531</v>
          </cell>
          <cell r="Y11">
            <v>112704775</v>
          </cell>
          <cell r="Z11">
            <v>6113314</v>
          </cell>
          <cell r="AA11">
            <v>67264321</v>
          </cell>
          <cell r="AB11">
            <v>4821770</v>
          </cell>
          <cell r="AC11">
            <v>109107704</v>
          </cell>
          <cell r="AD11">
            <v>25978812</v>
          </cell>
          <cell r="AE11">
            <v>15477990</v>
          </cell>
          <cell r="AF11">
            <v>0</v>
          </cell>
          <cell r="AG11">
            <v>6380142</v>
          </cell>
          <cell r="AH11">
            <v>1189690469</v>
          </cell>
          <cell r="AI11">
            <v>1189690469</v>
          </cell>
          <cell r="AJ11">
            <v>282385128</v>
          </cell>
          <cell r="AK11">
            <v>52911198</v>
          </cell>
          <cell r="AL11">
            <v>139014239</v>
          </cell>
          <cell r="AM11">
            <v>0</v>
          </cell>
          <cell r="AN11">
            <v>5720802</v>
          </cell>
          <cell r="AO11">
            <v>0</v>
          </cell>
          <cell r="AP11">
            <v>53766790</v>
          </cell>
          <cell r="AQ11">
            <v>158180921</v>
          </cell>
          <cell r="AR11">
            <v>58356696</v>
          </cell>
          <cell r="AS11">
            <v>0</v>
          </cell>
          <cell r="AT11">
            <v>17892735</v>
          </cell>
          <cell r="AU11">
            <v>200920574</v>
          </cell>
          <cell r="AV11">
            <v>969149083</v>
          </cell>
        </row>
        <row r="12">
          <cell r="A12">
            <v>7206000</v>
          </cell>
          <cell r="B12" t="str">
            <v>هزينه اضافه کارى</v>
          </cell>
          <cell r="C12">
            <v>0</v>
          </cell>
          <cell r="D12">
            <v>72043030</v>
          </cell>
          <cell r="E12">
            <v>72205213</v>
          </cell>
          <cell r="F12">
            <v>18651243</v>
          </cell>
          <cell r="G12">
            <v>114919644</v>
          </cell>
          <cell r="H12">
            <v>49463917</v>
          </cell>
          <cell r="I12">
            <v>106591685</v>
          </cell>
          <cell r="J12">
            <v>63228380</v>
          </cell>
          <cell r="K12">
            <v>35890801</v>
          </cell>
          <cell r="L12">
            <v>37474893</v>
          </cell>
          <cell r="M12">
            <v>54005991</v>
          </cell>
          <cell r="N12">
            <v>38711671</v>
          </cell>
          <cell r="O12">
            <v>0</v>
          </cell>
          <cell r="P12">
            <v>0</v>
          </cell>
          <cell r="Q12">
            <v>1145455</v>
          </cell>
          <cell r="R12">
            <v>503262</v>
          </cell>
          <cell r="S12">
            <v>664835185</v>
          </cell>
          <cell r="T12">
            <v>12110768</v>
          </cell>
          <cell r="U12">
            <v>134220379</v>
          </cell>
          <cell r="V12">
            <v>1002474943</v>
          </cell>
          <cell r="W12">
            <v>54444170</v>
          </cell>
          <cell r="X12">
            <v>259181161</v>
          </cell>
          <cell r="Y12">
            <v>135789611</v>
          </cell>
          <cell r="Z12">
            <v>3089483</v>
          </cell>
          <cell r="AA12">
            <v>46125016</v>
          </cell>
          <cell r="AB12">
            <v>1534206</v>
          </cell>
          <cell r="AC12">
            <v>172333020</v>
          </cell>
          <cell r="AD12">
            <v>71812297</v>
          </cell>
          <cell r="AE12">
            <v>46462976</v>
          </cell>
          <cell r="AF12">
            <v>0</v>
          </cell>
          <cell r="AG12">
            <v>59004264</v>
          </cell>
          <cell r="AH12">
            <v>1998582294</v>
          </cell>
          <cell r="AI12">
            <v>1998582294</v>
          </cell>
          <cell r="AJ12">
            <v>44709437</v>
          </cell>
          <cell r="AK12">
            <v>259135547</v>
          </cell>
          <cell r="AL12">
            <v>41974528</v>
          </cell>
          <cell r="AM12">
            <v>0</v>
          </cell>
          <cell r="AN12">
            <v>25459516</v>
          </cell>
          <cell r="AO12">
            <v>0</v>
          </cell>
          <cell r="AP12">
            <v>77507110</v>
          </cell>
          <cell r="AQ12">
            <v>289705388</v>
          </cell>
          <cell r="AR12">
            <v>113331680</v>
          </cell>
          <cell r="AS12">
            <v>0</v>
          </cell>
          <cell r="AT12">
            <v>44132929</v>
          </cell>
          <cell r="AU12">
            <v>79031291</v>
          </cell>
          <cell r="AV12">
            <v>974987426</v>
          </cell>
        </row>
        <row r="13">
          <cell r="A13">
            <v>7206001</v>
          </cell>
          <cell r="B13" t="str">
            <v>هزينه اضافه كاري ( پارس پاکان)</v>
          </cell>
          <cell r="C13">
            <v>0</v>
          </cell>
          <cell r="D13">
            <v>30215782</v>
          </cell>
          <cell r="E13">
            <v>55054111</v>
          </cell>
          <cell r="F13">
            <v>42749084</v>
          </cell>
          <cell r="G13">
            <v>75576764</v>
          </cell>
          <cell r="H13">
            <v>7669646</v>
          </cell>
          <cell r="I13">
            <v>50659743</v>
          </cell>
          <cell r="J13">
            <v>44280471</v>
          </cell>
          <cell r="K13">
            <v>34962536</v>
          </cell>
          <cell r="L13">
            <v>22649889</v>
          </cell>
          <cell r="M13">
            <v>0</v>
          </cell>
          <cell r="N13">
            <v>154897129</v>
          </cell>
          <cell r="O13">
            <v>41464799</v>
          </cell>
          <cell r="P13">
            <v>34366955</v>
          </cell>
          <cell r="Q13">
            <v>33502747</v>
          </cell>
          <cell r="R13">
            <v>117612418</v>
          </cell>
          <cell r="S13">
            <v>745662074</v>
          </cell>
          <cell r="T13">
            <v>24294759</v>
          </cell>
          <cell r="U13">
            <v>97334415</v>
          </cell>
          <cell r="V13">
            <v>249618147</v>
          </cell>
          <cell r="W13">
            <v>0</v>
          </cell>
          <cell r="X13">
            <v>4202279</v>
          </cell>
          <cell r="Y13">
            <v>68853573</v>
          </cell>
          <cell r="Z13">
            <v>29936191</v>
          </cell>
          <cell r="AA13">
            <v>0</v>
          </cell>
          <cell r="AB13">
            <v>0</v>
          </cell>
          <cell r="AC13">
            <v>0</v>
          </cell>
          <cell r="AD13">
            <v>129638631</v>
          </cell>
          <cell r="AE13">
            <v>605163466</v>
          </cell>
          <cell r="AF13">
            <v>0</v>
          </cell>
          <cell r="AG13">
            <v>0</v>
          </cell>
          <cell r="AH13">
            <v>1209041461</v>
          </cell>
          <cell r="AI13">
            <v>1209041461</v>
          </cell>
          <cell r="AJ13">
            <v>10440952</v>
          </cell>
          <cell r="AK13">
            <v>0</v>
          </cell>
          <cell r="AL13">
            <v>0</v>
          </cell>
          <cell r="AM13">
            <v>1602192</v>
          </cell>
          <cell r="AN13">
            <v>0</v>
          </cell>
          <cell r="AO13">
            <v>0</v>
          </cell>
          <cell r="AP13">
            <v>0</v>
          </cell>
          <cell r="AQ13">
            <v>0</v>
          </cell>
          <cell r="AR13">
            <v>0</v>
          </cell>
          <cell r="AS13">
            <v>0</v>
          </cell>
          <cell r="AT13">
            <v>0</v>
          </cell>
          <cell r="AU13">
            <v>0</v>
          </cell>
          <cell r="AV13">
            <v>12043144</v>
          </cell>
        </row>
        <row r="14">
          <cell r="A14">
            <v>7207000</v>
          </cell>
          <cell r="B14" t="str">
            <v>هزينه نوبتکارى</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29364588</v>
          </cell>
          <cell r="AE14">
            <v>0</v>
          </cell>
          <cell r="AF14">
            <v>0</v>
          </cell>
          <cell r="AG14">
            <v>0</v>
          </cell>
          <cell r="AH14">
            <v>29364588</v>
          </cell>
          <cell r="AI14">
            <v>29364588</v>
          </cell>
          <cell r="AJ14">
            <v>0</v>
          </cell>
          <cell r="AK14">
            <v>0</v>
          </cell>
          <cell r="AL14">
            <v>0</v>
          </cell>
          <cell r="AM14">
            <v>0</v>
          </cell>
          <cell r="AN14">
            <v>0</v>
          </cell>
          <cell r="AO14">
            <v>0</v>
          </cell>
          <cell r="AP14">
            <v>0</v>
          </cell>
          <cell r="AQ14">
            <v>0</v>
          </cell>
          <cell r="AR14">
            <v>0</v>
          </cell>
          <cell r="AS14">
            <v>0</v>
          </cell>
          <cell r="AT14">
            <v>0</v>
          </cell>
          <cell r="AU14">
            <v>0</v>
          </cell>
          <cell r="AV14">
            <v>0</v>
          </cell>
        </row>
        <row r="15">
          <cell r="A15">
            <v>7208000</v>
          </cell>
          <cell r="B15" t="str">
            <v>هزينه شبکارى</v>
          </cell>
          <cell r="C15">
            <v>0</v>
          </cell>
          <cell r="D15">
            <v>383919</v>
          </cell>
          <cell r="E15">
            <v>556410</v>
          </cell>
          <cell r="F15">
            <v>0</v>
          </cell>
          <cell r="G15">
            <v>848967</v>
          </cell>
          <cell r="H15">
            <v>0</v>
          </cell>
          <cell r="I15">
            <v>43790</v>
          </cell>
          <cell r="J15">
            <v>0</v>
          </cell>
          <cell r="K15">
            <v>0</v>
          </cell>
          <cell r="L15">
            <v>40500</v>
          </cell>
          <cell r="M15">
            <v>31957</v>
          </cell>
          <cell r="N15">
            <v>90914</v>
          </cell>
          <cell r="O15">
            <v>0</v>
          </cell>
          <cell r="P15">
            <v>0</v>
          </cell>
          <cell r="Q15">
            <v>0</v>
          </cell>
          <cell r="R15">
            <v>0</v>
          </cell>
          <cell r="S15">
            <v>1996457</v>
          </cell>
          <cell r="T15">
            <v>0</v>
          </cell>
          <cell r="U15">
            <v>9179</v>
          </cell>
          <cell r="V15">
            <v>25426100</v>
          </cell>
          <cell r="W15">
            <v>52803</v>
          </cell>
          <cell r="X15">
            <v>2459102</v>
          </cell>
          <cell r="Y15">
            <v>147174</v>
          </cell>
          <cell r="Z15">
            <v>0</v>
          </cell>
          <cell r="AA15">
            <v>0</v>
          </cell>
          <cell r="AB15">
            <v>0</v>
          </cell>
          <cell r="AC15">
            <v>0</v>
          </cell>
          <cell r="AD15">
            <v>0</v>
          </cell>
          <cell r="AE15">
            <v>13881</v>
          </cell>
          <cell r="AF15">
            <v>0</v>
          </cell>
          <cell r="AG15">
            <v>72033</v>
          </cell>
          <cell r="AH15">
            <v>28180272</v>
          </cell>
          <cell r="AI15">
            <v>28180272</v>
          </cell>
          <cell r="AJ15">
            <v>0</v>
          </cell>
          <cell r="AK15">
            <v>475266</v>
          </cell>
          <cell r="AL15">
            <v>17909</v>
          </cell>
          <cell r="AM15">
            <v>0</v>
          </cell>
          <cell r="AN15">
            <v>0</v>
          </cell>
          <cell r="AO15">
            <v>0</v>
          </cell>
          <cell r="AP15">
            <v>23062</v>
          </cell>
          <cell r="AQ15">
            <v>722618</v>
          </cell>
          <cell r="AR15">
            <v>318993</v>
          </cell>
          <cell r="AS15">
            <v>0</v>
          </cell>
          <cell r="AT15">
            <v>0</v>
          </cell>
          <cell r="AU15">
            <v>39254</v>
          </cell>
          <cell r="AV15">
            <v>1597102</v>
          </cell>
        </row>
        <row r="16">
          <cell r="A16">
            <v>7211000</v>
          </cell>
          <cell r="B16" t="str">
            <v>هزينه عيدى وپاداش ساليانه</v>
          </cell>
          <cell r="C16">
            <v>0</v>
          </cell>
          <cell r="D16">
            <v>45488067</v>
          </cell>
          <cell r="E16">
            <v>45445572</v>
          </cell>
          <cell r="F16">
            <v>16904355</v>
          </cell>
          <cell r="G16">
            <v>40013590</v>
          </cell>
          <cell r="H16">
            <v>23470726</v>
          </cell>
          <cell r="I16">
            <v>77426773</v>
          </cell>
          <cell r="J16">
            <v>41469835</v>
          </cell>
          <cell r="K16">
            <v>14309654</v>
          </cell>
          <cell r="L16">
            <v>5941328</v>
          </cell>
          <cell r="M16">
            <v>23428719</v>
          </cell>
          <cell r="N16">
            <v>25005524</v>
          </cell>
          <cell r="O16">
            <v>0</v>
          </cell>
          <cell r="P16">
            <v>0</v>
          </cell>
          <cell r="Q16">
            <v>0</v>
          </cell>
          <cell r="R16">
            <v>2697482</v>
          </cell>
          <cell r="S16">
            <v>361601625</v>
          </cell>
          <cell r="T16">
            <v>17802576</v>
          </cell>
          <cell r="U16">
            <v>45110069</v>
          </cell>
          <cell r="V16">
            <v>209254169</v>
          </cell>
          <cell r="W16">
            <v>29984189</v>
          </cell>
          <cell r="X16">
            <v>286797264</v>
          </cell>
          <cell r="Y16">
            <v>68800271</v>
          </cell>
          <cell r="Z16">
            <v>3652276</v>
          </cell>
          <cell r="AA16">
            <v>37957583</v>
          </cell>
          <cell r="AB16">
            <v>3550713</v>
          </cell>
          <cell r="AC16">
            <v>80643491</v>
          </cell>
          <cell r="AD16">
            <v>17167555</v>
          </cell>
          <cell r="AE16">
            <v>5941328</v>
          </cell>
          <cell r="AF16">
            <v>0</v>
          </cell>
          <cell r="AG16">
            <v>10459255</v>
          </cell>
          <cell r="AH16">
            <v>817120739</v>
          </cell>
          <cell r="AI16">
            <v>817120739</v>
          </cell>
          <cell r="AJ16">
            <v>181662693</v>
          </cell>
          <cell r="AK16">
            <v>36539565</v>
          </cell>
          <cell r="AL16">
            <v>71060721</v>
          </cell>
          <cell r="AM16">
            <v>0</v>
          </cell>
          <cell r="AN16">
            <v>5793489</v>
          </cell>
          <cell r="AO16">
            <v>7927166</v>
          </cell>
          <cell r="AP16">
            <v>33319312</v>
          </cell>
          <cell r="AQ16">
            <v>97324591</v>
          </cell>
          <cell r="AR16">
            <v>44364957</v>
          </cell>
          <cell r="AS16">
            <v>0</v>
          </cell>
          <cell r="AT16">
            <v>11778116</v>
          </cell>
          <cell r="AU16">
            <v>94418190</v>
          </cell>
          <cell r="AV16">
            <v>584188800</v>
          </cell>
        </row>
        <row r="17">
          <cell r="A17">
            <v>7213000</v>
          </cell>
          <cell r="B17" t="str">
            <v>هزينه بن کالاى اساسى</v>
          </cell>
          <cell r="C17">
            <v>0</v>
          </cell>
          <cell r="D17">
            <v>16800000</v>
          </cell>
          <cell r="E17">
            <v>16800000</v>
          </cell>
          <cell r="F17">
            <v>6300000</v>
          </cell>
          <cell r="G17">
            <v>14700000</v>
          </cell>
          <cell r="H17">
            <v>8400000</v>
          </cell>
          <cell r="I17">
            <v>28700000</v>
          </cell>
          <cell r="J17">
            <v>15050000</v>
          </cell>
          <cell r="K17">
            <v>5250000</v>
          </cell>
          <cell r="L17">
            <v>2100000</v>
          </cell>
          <cell r="M17">
            <v>8400000</v>
          </cell>
          <cell r="N17">
            <v>11200000</v>
          </cell>
          <cell r="O17">
            <v>0</v>
          </cell>
          <cell r="P17">
            <v>0</v>
          </cell>
          <cell r="Q17">
            <v>0</v>
          </cell>
          <cell r="R17">
            <v>1050000</v>
          </cell>
          <cell r="S17">
            <v>134750000</v>
          </cell>
          <cell r="T17">
            <v>7000000</v>
          </cell>
          <cell r="U17">
            <v>17850000</v>
          </cell>
          <cell r="V17">
            <v>77350000</v>
          </cell>
          <cell r="W17">
            <v>11550000</v>
          </cell>
          <cell r="X17">
            <v>103950000</v>
          </cell>
          <cell r="Y17">
            <v>25200000</v>
          </cell>
          <cell r="Z17">
            <v>1400000</v>
          </cell>
          <cell r="AA17">
            <v>14350000</v>
          </cell>
          <cell r="AB17">
            <v>1400000</v>
          </cell>
          <cell r="AC17">
            <v>29400000</v>
          </cell>
          <cell r="AD17">
            <v>6300000</v>
          </cell>
          <cell r="AE17">
            <v>2100000</v>
          </cell>
          <cell r="AF17">
            <v>0</v>
          </cell>
          <cell r="AG17">
            <v>4200000</v>
          </cell>
          <cell r="AH17">
            <v>302050000</v>
          </cell>
          <cell r="AI17">
            <v>302050000</v>
          </cell>
          <cell r="AJ17">
            <v>66150000</v>
          </cell>
          <cell r="AK17">
            <v>12950000</v>
          </cell>
          <cell r="AL17">
            <v>25200000</v>
          </cell>
          <cell r="AM17">
            <v>0</v>
          </cell>
          <cell r="AN17">
            <v>2100000</v>
          </cell>
          <cell r="AO17">
            <v>0</v>
          </cell>
          <cell r="AP17">
            <v>11900000</v>
          </cell>
          <cell r="AQ17">
            <v>35000000</v>
          </cell>
          <cell r="AR17">
            <v>16100000</v>
          </cell>
          <cell r="AS17">
            <v>0</v>
          </cell>
          <cell r="AT17">
            <v>4200000</v>
          </cell>
          <cell r="AU17">
            <v>33600000</v>
          </cell>
          <cell r="AV17">
            <v>207200000</v>
          </cell>
        </row>
        <row r="18">
          <cell r="A18">
            <v>7215000</v>
          </cell>
          <cell r="B18" t="str">
            <v>هزينه حق بيمه سهم کارفرما</v>
          </cell>
          <cell r="C18">
            <v>0</v>
          </cell>
          <cell r="D18">
            <v>98471710</v>
          </cell>
          <cell r="E18">
            <v>104178411</v>
          </cell>
          <cell r="F18">
            <v>36991516</v>
          </cell>
          <cell r="G18">
            <v>108391273</v>
          </cell>
          <cell r="H18">
            <v>55365369</v>
          </cell>
          <cell r="I18">
            <v>167619481</v>
          </cell>
          <cell r="J18">
            <v>88339983</v>
          </cell>
          <cell r="K18">
            <v>35873563</v>
          </cell>
          <cell r="L18">
            <v>21296130</v>
          </cell>
          <cell r="M18">
            <v>65609772</v>
          </cell>
          <cell r="N18">
            <v>70216763</v>
          </cell>
          <cell r="O18">
            <v>0</v>
          </cell>
          <cell r="P18">
            <v>0</v>
          </cell>
          <cell r="Q18">
            <v>0</v>
          </cell>
          <cell r="R18">
            <v>15410845</v>
          </cell>
          <cell r="S18">
            <v>867764816</v>
          </cell>
          <cell r="T18">
            <v>33792248</v>
          </cell>
          <cell r="U18">
            <v>123769603</v>
          </cell>
          <cell r="V18">
            <v>629033721</v>
          </cell>
          <cell r="W18">
            <v>66505938</v>
          </cell>
          <cell r="X18">
            <v>718755119</v>
          </cell>
          <cell r="Y18">
            <v>162303220</v>
          </cell>
          <cell r="Z18">
            <v>10288284</v>
          </cell>
          <cell r="AA18">
            <v>97061342</v>
          </cell>
          <cell r="AB18">
            <v>7092983</v>
          </cell>
          <cell r="AC18">
            <v>173686871</v>
          </cell>
          <cell r="AD18">
            <v>55209942</v>
          </cell>
          <cell r="AE18">
            <v>24073846</v>
          </cell>
          <cell r="AF18">
            <v>0</v>
          </cell>
          <cell r="AG18">
            <v>31361650</v>
          </cell>
          <cell r="AH18">
            <v>2132934767</v>
          </cell>
          <cell r="AI18">
            <v>2132934767</v>
          </cell>
          <cell r="AJ18">
            <v>517003102</v>
          </cell>
          <cell r="AK18">
            <v>196276387</v>
          </cell>
          <cell r="AL18">
            <v>193338251</v>
          </cell>
          <cell r="AM18">
            <v>0</v>
          </cell>
          <cell r="AN18">
            <v>15445194</v>
          </cell>
          <cell r="AO18">
            <v>0</v>
          </cell>
          <cell r="AP18">
            <v>101474801</v>
          </cell>
          <cell r="AQ18">
            <v>283578891</v>
          </cell>
          <cell r="AR18">
            <v>132329790</v>
          </cell>
          <cell r="AS18">
            <v>0</v>
          </cell>
          <cell r="AT18">
            <v>35672076</v>
          </cell>
          <cell r="AU18">
            <v>312331342</v>
          </cell>
          <cell r="AV18">
            <v>1787449834</v>
          </cell>
        </row>
        <row r="19">
          <cell r="A19">
            <v>7216000</v>
          </cell>
          <cell r="B19" t="str">
            <v>هزينه بازخريدسنوات</v>
          </cell>
          <cell r="C19">
            <v>0</v>
          </cell>
          <cell r="D19">
            <v>163358871</v>
          </cell>
          <cell r="E19">
            <v>184604110</v>
          </cell>
          <cell r="F19">
            <v>252343164</v>
          </cell>
          <cell r="G19">
            <v>142345600</v>
          </cell>
          <cell r="H19">
            <v>83264527</v>
          </cell>
          <cell r="I19">
            <v>266911049</v>
          </cell>
          <cell r="J19">
            <v>130371975</v>
          </cell>
          <cell r="K19">
            <v>234089943</v>
          </cell>
          <cell r="L19">
            <v>20891306</v>
          </cell>
          <cell r="M19">
            <v>38385402</v>
          </cell>
          <cell r="N19">
            <v>46311419</v>
          </cell>
          <cell r="O19">
            <v>0</v>
          </cell>
          <cell r="P19">
            <v>0</v>
          </cell>
          <cell r="Q19">
            <v>0</v>
          </cell>
          <cell r="R19">
            <v>23998572</v>
          </cell>
          <cell r="S19">
            <v>1586875938</v>
          </cell>
          <cell r="T19">
            <v>78349471</v>
          </cell>
          <cell r="U19">
            <v>145728980</v>
          </cell>
          <cell r="V19">
            <v>491770340</v>
          </cell>
          <cell r="W19">
            <v>176831619</v>
          </cell>
          <cell r="X19">
            <v>893807077</v>
          </cell>
          <cell r="Y19">
            <v>262800663</v>
          </cell>
          <cell r="Z19">
            <v>11301706</v>
          </cell>
          <cell r="AA19">
            <v>386398940</v>
          </cell>
          <cell r="AB19">
            <v>6994465</v>
          </cell>
          <cell r="AC19">
            <v>228056201</v>
          </cell>
          <cell r="AD19">
            <v>62267985</v>
          </cell>
          <cell r="AE19">
            <v>22228222</v>
          </cell>
          <cell r="AF19">
            <v>0</v>
          </cell>
          <cell r="AG19">
            <v>9263315</v>
          </cell>
          <cell r="AH19">
            <v>2775798984</v>
          </cell>
          <cell r="AI19">
            <v>2775798984</v>
          </cell>
          <cell r="AJ19">
            <v>2802895125</v>
          </cell>
          <cell r="AK19">
            <v>1380605459</v>
          </cell>
          <cell r="AL19">
            <v>151518312</v>
          </cell>
          <cell r="AM19">
            <v>0</v>
          </cell>
          <cell r="AN19">
            <v>23865287</v>
          </cell>
          <cell r="AO19">
            <v>0</v>
          </cell>
          <cell r="AP19">
            <v>71095296</v>
          </cell>
          <cell r="AQ19">
            <v>685625466</v>
          </cell>
          <cell r="AR19">
            <v>71906755</v>
          </cell>
          <cell r="AS19">
            <v>0</v>
          </cell>
          <cell r="AT19">
            <v>32561351</v>
          </cell>
          <cell r="AU19">
            <v>371658010</v>
          </cell>
          <cell r="AV19">
            <v>5591731061</v>
          </cell>
        </row>
        <row r="20">
          <cell r="A20">
            <v>7217000</v>
          </cell>
          <cell r="B20" t="str">
            <v>هزينه اياب وذهاب</v>
          </cell>
          <cell r="C20">
            <v>0</v>
          </cell>
          <cell r="D20">
            <v>5230608</v>
          </cell>
          <cell r="E20">
            <v>4836078</v>
          </cell>
          <cell r="F20">
            <v>1735872</v>
          </cell>
          <cell r="G20">
            <v>4722426</v>
          </cell>
          <cell r="H20">
            <v>2302788</v>
          </cell>
          <cell r="I20">
            <v>12175710</v>
          </cell>
          <cell r="J20">
            <v>5803270</v>
          </cell>
          <cell r="K20">
            <v>2592033</v>
          </cell>
          <cell r="L20">
            <v>1211976</v>
          </cell>
          <cell r="M20">
            <v>0</v>
          </cell>
          <cell r="N20">
            <v>5200000</v>
          </cell>
          <cell r="O20">
            <v>0</v>
          </cell>
          <cell r="P20">
            <v>0</v>
          </cell>
          <cell r="Q20">
            <v>0</v>
          </cell>
          <cell r="R20">
            <v>3120000</v>
          </cell>
          <cell r="S20">
            <v>48930761</v>
          </cell>
          <cell r="T20">
            <v>1373164</v>
          </cell>
          <cell r="U20">
            <v>9607808</v>
          </cell>
          <cell r="V20">
            <v>24382284</v>
          </cell>
          <cell r="W20">
            <v>3120000</v>
          </cell>
          <cell r="X20">
            <v>21195172</v>
          </cell>
          <cell r="Y20">
            <v>11190970</v>
          </cell>
          <cell r="Z20">
            <v>0</v>
          </cell>
          <cell r="AA20">
            <v>4386960</v>
          </cell>
          <cell r="AB20">
            <v>0</v>
          </cell>
          <cell r="AC20">
            <v>11799346</v>
          </cell>
          <cell r="AD20">
            <v>18011430</v>
          </cell>
          <cell r="AE20">
            <v>20669300</v>
          </cell>
          <cell r="AF20">
            <v>0</v>
          </cell>
          <cell r="AG20">
            <v>2373665351</v>
          </cell>
          <cell r="AH20">
            <v>2245257785</v>
          </cell>
          <cell r="AI20">
            <v>2245257785</v>
          </cell>
          <cell r="AJ20">
            <v>138456000</v>
          </cell>
          <cell r="AK20">
            <v>52342500</v>
          </cell>
          <cell r="AL20">
            <v>0</v>
          </cell>
          <cell r="AM20">
            <v>0</v>
          </cell>
          <cell r="AN20">
            <v>0</v>
          </cell>
          <cell r="AO20">
            <v>0</v>
          </cell>
          <cell r="AP20">
            <v>6240000</v>
          </cell>
          <cell r="AQ20">
            <v>23307823</v>
          </cell>
          <cell r="AR20">
            <v>7165236</v>
          </cell>
          <cell r="AS20">
            <v>23078946</v>
          </cell>
          <cell r="AT20">
            <v>3803566</v>
          </cell>
          <cell r="AU20">
            <v>24399480</v>
          </cell>
          <cell r="AV20">
            <v>278793551</v>
          </cell>
        </row>
        <row r="21">
          <cell r="A21">
            <v>7218000</v>
          </cell>
          <cell r="B21" t="str">
            <v>هزينه پاداش بهره ورى</v>
          </cell>
          <cell r="C21">
            <v>0</v>
          </cell>
          <cell r="D21">
            <v>30400000</v>
          </cell>
          <cell r="E21">
            <v>30400000</v>
          </cell>
          <cell r="F21">
            <v>11400000</v>
          </cell>
          <cell r="G21">
            <v>26600000</v>
          </cell>
          <cell r="H21">
            <v>15200000</v>
          </cell>
          <cell r="I21">
            <v>57000000</v>
          </cell>
          <cell r="J21">
            <v>30400000</v>
          </cell>
          <cell r="K21">
            <v>11400000</v>
          </cell>
          <cell r="L21">
            <v>3800000</v>
          </cell>
          <cell r="M21">
            <v>15200000</v>
          </cell>
          <cell r="N21">
            <v>19000000</v>
          </cell>
          <cell r="O21">
            <v>0</v>
          </cell>
          <cell r="P21">
            <v>3800000</v>
          </cell>
          <cell r="Q21">
            <v>3800000</v>
          </cell>
          <cell r="R21">
            <v>3800000</v>
          </cell>
          <cell r="S21">
            <v>262200000</v>
          </cell>
          <cell r="T21">
            <v>11400000</v>
          </cell>
          <cell r="U21">
            <v>30400000</v>
          </cell>
          <cell r="V21">
            <v>148200000</v>
          </cell>
          <cell r="W21">
            <v>19000000</v>
          </cell>
          <cell r="X21">
            <v>193800000</v>
          </cell>
          <cell r="Y21">
            <v>45600000</v>
          </cell>
          <cell r="Z21">
            <v>3800000</v>
          </cell>
          <cell r="AA21">
            <v>26600000</v>
          </cell>
          <cell r="AB21">
            <v>3800000</v>
          </cell>
          <cell r="AC21">
            <v>57000000</v>
          </cell>
          <cell r="AD21">
            <v>11400000</v>
          </cell>
          <cell r="AE21">
            <v>7600000</v>
          </cell>
          <cell r="AF21">
            <v>0</v>
          </cell>
          <cell r="AG21">
            <v>7600000</v>
          </cell>
          <cell r="AH21">
            <v>566200000</v>
          </cell>
          <cell r="AI21">
            <v>566200000</v>
          </cell>
          <cell r="AJ21">
            <v>125400000</v>
          </cell>
          <cell r="AK21">
            <v>30400000</v>
          </cell>
          <cell r="AL21">
            <v>45600000</v>
          </cell>
          <cell r="AM21">
            <v>0</v>
          </cell>
          <cell r="AN21">
            <v>7600000</v>
          </cell>
          <cell r="AO21">
            <v>0</v>
          </cell>
          <cell r="AP21">
            <v>22800000</v>
          </cell>
          <cell r="AQ21">
            <v>68400000</v>
          </cell>
          <cell r="AR21">
            <v>34200000</v>
          </cell>
          <cell r="AS21">
            <v>0</v>
          </cell>
          <cell r="AT21">
            <v>11400000</v>
          </cell>
          <cell r="AU21">
            <v>60800000</v>
          </cell>
          <cell r="AV21">
            <v>406600000</v>
          </cell>
        </row>
        <row r="22">
          <cell r="A22">
            <v>7218001</v>
          </cell>
          <cell r="B22" t="str">
            <v>هزينه پاداش بهره ورى( پارس پاکان)</v>
          </cell>
          <cell r="C22">
            <v>0</v>
          </cell>
          <cell r="D22">
            <v>16200000</v>
          </cell>
          <cell r="E22">
            <v>12600000</v>
          </cell>
          <cell r="F22">
            <v>18000000</v>
          </cell>
          <cell r="G22">
            <v>21600000</v>
          </cell>
          <cell r="H22">
            <v>5400000</v>
          </cell>
          <cell r="I22">
            <v>19800000</v>
          </cell>
          <cell r="J22">
            <v>18000000</v>
          </cell>
          <cell r="K22">
            <v>12600000</v>
          </cell>
          <cell r="L22">
            <v>3600000</v>
          </cell>
          <cell r="M22">
            <v>0</v>
          </cell>
          <cell r="N22">
            <v>66600000</v>
          </cell>
          <cell r="O22">
            <v>9000000</v>
          </cell>
          <cell r="P22">
            <v>9000000</v>
          </cell>
          <cell r="Q22">
            <v>0</v>
          </cell>
          <cell r="R22">
            <v>0</v>
          </cell>
          <cell r="S22">
            <v>212400000</v>
          </cell>
          <cell r="T22">
            <v>5400000</v>
          </cell>
          <cell r="U22">
            <v>120600000</v>
          </cell>
          <cell r="V22">
            <v>25200000</v>
          </cell>
          <cell r="W22">
            <v>0</v>
          </cell>
          <cell r="X22">
            <v>1800000</v>
          </cell>
          <cell r="Y22">
            <v>25200000</v>
          </cell>
          <cell r="Z22">
            <v>10800000</v>
          </cell>
          <cell r="AA22">
            <v>0</v>
          </cell>
          <cell r="AB22">
            <v>0</v>
          </cell>
          <cell r="AC22">
            <v>0</v>
          </cell>
          <cell r="AD22">
            <v>18000000</v>
          </cell>
          <cell r="AE22">
            <v>117000000</v>
          </cell>
          <cell r="AF22">
            <v>0</v>
          </cell>
          <cell r="AG22">
            <v>0</v>
          </cell>
          <cell r="AH22">
            <v>324000000</v>
          </cell>
          <cell r="AI22">
            <v>324000000</v>
          </cell>
          <cell r="AJ22">
            <v>5400000</v>
          </cell>
          <cell r="AK22">
            <v>0</v>
          </cell>
          <cell r="AL22">
            <v>0</v>
          </cell>
          <cell r="AM22">
            <v>1800000</v>
          </cell>
          <cell r="AN22">
            <v>0</v>
          </cell>
          <cell r="AO22">
            <v>0</v>
          </cell>
          <cell r="AP22">
            <v>0</v>
          </cell>
          <cell r="AQ22">
            <v>0</v>
          </cell>
          <cell r="AR22">
            <v>0</v>
          </cell>
          <cell r="AS22">
            <v>0</v>
          </cell>
          <cell r="AT22">
            <v>0</v>
          </cell>
          <cell r="AU22">
            <v>0</v>
          </cell>
          <cell r="AV22">
            <v>7200000</v>
          </cell>
        </row>
        <row r="23">
          <cell r="A23">
            <v>7219000</v>
          </cell>
          <cell r="B23" t="str">
            <v>هزينه سايرمزاياى نقدى</v>
          </cell>
          <cell r="C23">
            <v>0</v>
          </cell>
          <cell r="D23">
            <v>5683590</v>
          </cell>
          <cell r="E23">
            <v>8528483</v>
          </cell>
          <cell r="F23">
            <v>2750969</v>
          </cell>
          <cell r="G23">
            <v>9782099</v>
          </cell>
          <cell r="H23">
            <v>799998</v>
          </cell>
          <cell r="I23">
            <v>5281656</v>
          </cell>
          <cell r="J23">
            <v>700000</v>
          </cell>
          <cell r="K23">
            <v>619998</v>
          </cell>
          <cell r="L23">
            <v>619998</v>
          </cell>
          <cell r="M23">
            <v>8680002</v>
          </cell>
          <cell r="N23">
            <v>33993390</v>
          </cell>
          <cell r="O23">
            <v>0</v>
          </cell>
          <cell r="P23">
            <v>0</v>
          </cell>
          <cell r="Q23">
            <v>0</v>
          </cell>
          <cell r="R23">
            <v>14074622</v>
          </cell>
          <cell r="S23">
            <v>91514805</v>
          </cell>
          <cell r="T23">
            <v>1460000</v>
          </cell>
          <cell r="U23">
            <v>43779760</v>
          </cell>
          <cell r="V23">
            <v>36196164</v>
          </cell>
          <cell r="W23">
            <v>9300000</v>
          </cell>
          <cell r="X23">
            <v>126125902</v>
          </cell>
          <cell r="Y23">
            <v>61961248</v>
          </cell>
          <cell r="Z23">
            <v>14129100</v>
          </cell>
          <cell r="AA23">
            <v>38627775</v>
          </cell>
          <cell r="AB23">
            <v>0</v>
          </cell>
          <cell r="AC23">
            <v>25675863</v>
          </cell>
          <cell r="AD23">
            <v>7160000</v>
          </cell>
          <cell r="AE23">
            <v>8827017</v>
          </cell>
          <cell r="AF23">
            <v>0</v>
          </cell>
          <cell r="AG23">
            <v>1492640</v>
          </cell>
          <cell r="AH23">
            <v>374735469</v>
          </cell>
          <cell r="AI23">
            <v>374735469</v>
          </cell>
          <cell r="AJ23">
            <v>456525999</v>
          </cell>
          <cell r="AK23">
            <v>178837092</v>
          </cell>
          <cell r="AL23">
            <v>62002244</v>
          </cell>
          <cell r="AM23">
            <v>0</v>
          </cell>
          <cell r="AN23">
            <v>0</v>
          </cell>
          <cell r="AO23">
            <v>0</v>
          </cell>
          <cell r="AP23">
            <v>45488886</v>
          </cell>
          <cell r="AQ23">
            <v>196598707</v>
          </cell>
          <cell r="AR23">
            <v>35390132</v>
          </cell>
          <cell r="AS23">
            <v>0</v>
          </cell>
          <cell r="AT23">
            <v>10090909</v>
          </cell>
          <cell r="AU23">
            <v>160560010</v>
          </cell>
          <cell r="AV23">
            <v>1145493979</v>
          </cell>
        </row>
        <row r="24">
          <cell r="A24">
            <v>7219001</v>
          </cell>
          <cell r="B24" t="str">
            <v>هزينه سايرمزاياى نقدى ( پارس پاکان)</v>
          </cell>
          <cell r="C24">
            <v>0</v>
          </cell>
          <cell r="D24">
            <v>0</v>
          </cell>
          <cell r="E24">
            <v>0</v>
          </cell>
          <cell r="F24">
            <v>0</v>
          </cell>
          <cell r="G24">
            <v>0</v>
          </cell>
          <cell r="H24">
            <v>0</v>
          </cell>
          <cell r="I24">
            <v>0</v>
          </cell>
          <cell r="J24">
            <v>0</v>
          </cell>
          <cell r="K24">
            <v>600000</v>
          </cell>
          <cell r="L24">
            <v>0</v>
          </cell>
          <cell r="M24">
            <v>0</v>
          </cell>
          <cell r="N24">
            <v>0</v>
          </cell>
          <cell r="O24">
            <v>0</v>
          </cell>
          <cell r="P24">
            <v>0</v>
          </cell>
          <cell r="Q24">
            <v>0</v>
          </cell>
          <cell r="R24">
            <v>0</v>
          </cell>
          <cell r="S24">
            <v>600000</v>
          </cell>
          <cell r="T24">
            <v>0</v>
          </cell>
          <cell r="U24">
            <v>600000</v>
          </cell>
          <cell r="V24">
            <v>600000</v>
          </cell>
          <cell r="W24">
            <v>0</v>
          </cell>
          <cell r="X24">
            <v>0</v>
          </cell>
          <cell r="Y24">
            <v>0</v>
          </cell>
          <cell r="Z24">
            <v>0</v>
          </cell>
          <cell r="AA24">
            <v>0</v>
          </cell>
          <cell r="AB24">
            <v>0</v>
          </cell>
          <cell r="AC24">
            <v>0</v>
          </cell>
          <cell r="AD24">
            <v>0</v>
          </cell>
          <cell r="AE24">
            <v>1200000</v>
          </cell>
          <cell r="AF24">
            <v>0</v>
          </cell>
          <cell r="AG24">
            <v>0</v>
          </cell>
          <cell r="AH24">
            <v>2400000</v>
          </cell>
          <cell r="AI24">
            <v>2400000</v>
          </cell>
          <cell r="AJ24">
            <v>1200000</v>
          </cell>
          <cell r="AK24">
            <v>0</v>
          </cell>
          <cell r="AL24">
            <v>0</v>
          </cell>
          <cell r="AM24">
            <v>0</v>
          </cell>
          <cell r="AN24">
            <v>0</v>
          </cell>
          <cell r="AO24">
            <v>0</v>
          </cell>
          <cell r="AP24">
            <v>0</v>
          </cell>
          <cell r="AQ24">
            <v>0</v>
          </cell>
          <cell r="AR24">
            <v>600000</v>
          </cell>
          <cell r="AS24">
            <v>0</v>
          </cell>
          <cell r="AT24">
            <v>0</v>
          </cell>
          <cell r="AU24">
            <v>0</v>
          </cell>
          <cell r="AV24">
            <v>1800000</v>
          </cell>
        </row>
        <row r="25">
          <cell r="A25">
            <v>7223000</v>
          </cell>
          <cell r="B25" t="str">
            <v>هزينه بيمه حوادث كاركنان</v>
          </cell>
          <cell r="C25">
            <v>0</v>
          </cell>
          <cell r="D25">
            <v>11690083</v>
          </cell>
          <cell r="E25">
            <v>8179183</v>
          </cell>
          <cell r="F25">
            <v>4788601</v>
          </cell>
          <cell r="G25">
            <v>7718938</v>
          </cell>
          <cell r="H25">
            <v>7387266</v>
          </cell>
          <cell r="I25">
            <v>17450252</v>
          </cell>
          <cell r="J25">
            <v>10309786</v>
          </cell>
          <cell r="K25">
            <v>2737682</v>
          </cell>
          <cell r="L25">
            <v>1380296</v>
          </cell>
          <cell r="M25">
            <v>3578049</v>
          </cell>
          <cell r="N25">
            <v>5499234</v>
          </cell>
          <cell r="O25">
            <v>0</v>
          </cell>
          <cell r="P25">
            <v>0</v>
          </cell>
          <cell r="Q25">
            <v>0</v>
          </cell>
          <cell r="R25">
            <v>179241</v>
          </cell>
          <cell r="S25">
            <v>80898611</v>
          </cell>
          <cell r="T25">
            <v>3901905</v>
          </cell>
          <cell r="U25">
            <v>10965315</v>
          </cell>
          <cell r="V25">
            <v>41572717</v>
          </cell>
          <cell r="W25">
            <v>6888022</v>
          </cell>
          <cell r="X25">
            <v>41020214</v>
          </cell>
          <cell r="Y25">
            <v>18020908</v>
          </cell>
          <cell r="Z25">
            <v>1380296</v>
          </cell>
          <cell r="AA25">
            <v>6647494</v>
          </cell>
          <cell r="AB25">
            <v>732584</v>
          </cell>
          <cell r="AC25">
            <v>15016595</v>
          </cell>
          <cell r="AD25">
            <v>4464745</v>
          </cell>
          <cell r="AE25">
            <v>7620296</v>
          </cell>
          <cell r="AF25">
            <v>0</v>
          </cell>
          <cell r="AG25">
            <v>1789025</v>
          </cell>
          <cell r="AH25">
            <v>160020116</v>
          </cell>
          <cell r="AI25">
            <v>160020116</v>
          </cell>
          <cell r="AJ25">
            <v>48475986</v>
          </cell>
          <cell r="AK25">
            <v>9969260</v>
          </cell>
          <cell r="AL25">
            <v>8780039</v>
          </cell>
          <cell r="AM25">
            <v>0</v>
          </cell>
          <cell r="AN25">
            <v>1380296</v>
          </cell>
          <cell r="AO25">
            <v>0</v>
          </cell>
          <cell r="AP25">
            <v>4972434</v>
          </cell>
          <cell r="AQ25">
            <v>23921150</v>
          </cell>
          <cell r="AR25">
            <v>8256418</v>
          </cell>
          <cell r="AS25">
            <v>0</v>
          </cell>
          <cell r="AT25">
            <v>1873897</v>
          </cell>
          <cell r="AU25">
            <v>11094743</v>
          </cell>
          <cell r="AV25">
            <v>118724223</v>
          </cell>
        </row>
        <row r="26">
          <cell r="A26">
            <v>7224000</v>
          </cell>
          <cell r="B26" t="str">
            <v>هزينه بهداشت ودرمان</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11156500</v>
          </cell>
          <cell r="W26">
            <v>0</v>
          </cell>
          <cell r="X26">
            <v>282450</v>
          </cell>
          <cell r="Y26">
            <v>0</v>
          </cell>
          <cell r="Z26">
            <v>0</v>
          </cell>
          <cell r="AA26">
            <v>0</v>
          </cell>
          <cell r="AB26">
            <v>0</v>
          </cell>
          <cell r="AC26">
            <v>0</v>
          </cell>
          <cell r="AD26">
            <v>0</v>
          </cell>
          <cell r="AE26">
            <v>583000</v>
          </cell>
          <cell r="AF26">
            <v>0</v>
          </cell>
          <cell r="AG26">
            <v>0</v>
          </cell>
          <cell r="AH26">
            <v>12021950</v>
          </cell>
          <cell r="AI26">
            <v>12021950</v>
          </cell>
          <cell r="AJ26">
            <v>0</v>
          </cell>
          <cell r="AK26">
            <v>193095</v>
          </cell>
          <cell r="AL26">
            <v>0</v>
          </cell>
          <cell r="AM26">
            <v>0</v>
          </cell>
          <cell r="AN26">
            <v>0</v>
          </cell>
          <cell r="AO26">
            <v>0</v>
          </cell>
          <cell r="AP26">
            <v>203160</v>
          </cell>
          <cell r="AQ26">
            <v>0</v>
          </cell>
          <cell r="AR26">
            <v>0</v>
          </cell>
          <cell r="AS26">
            <v>0</v>
          </cell>
          <cell r="AT26">
            <v>82560250</v>
          </cell>
          <cell r="AU26">
            <v>617622</v>
          </cell>
          <cell r="AV26">
            <v>83574127</v>
          </cell>
        </row>
        <row r="27">
          <cell r="A27">
            <v>7225000</v>
          </cell>
          <cell r="B27" t="str">
            <v>هزينه تغذيه پرسنل</v>
          </cell>
          <cell r="C27">
            <v>0</v>
          </cell>
          <cell r="D27">
            <v>0</v>
          </cell>
          <cell r="E27">
            <v>0</v>
          </cell>
          <cell r="F27">
            <v>0</v>
          </cell>
          <cell r="G27">
            <v>0</v>
          </cell>
          <cell r="H27">
            <v>0</v>
          </cell>
          <cell r="I27">
            <v>0</v>
          </cell>
          <cell r="J27">
            <v>0</v>
          </cell>
          <cell r="K27">
            <v>0</v>
          </cell>
          <cell r="L27">
            <v>0</v>
          </cell>
          <cell r="M27">
            <v>0</v>
          </cell>
          <cell r="N27">
            <v>480000</v>
          </cell>
          <cell r="O27">
            <v>0</v>
          </cell>
          <cell r="P27">
            <v>0</v>
          </cell>
          <cell r="Q27">
            <v>0</v>
          </cell>
          <cell r="R27">
            <v>0</v>
          </cell>
          <cell r="S27">
            <v>480000</v>
          </cell>
          <cell r="T27">
            <v>0</v>
          </cell>
          <cell r="U27">
            <v>130000</v>
          </cell>
          <cell r="V27">
            <v>564000</v>
          </cell>
          <cell r="W27">
            <v>0</v>
          </cell>
          <cell r="X27">
            <v>50000</v>
          </cell>
          <cell r="Y27">
            <v>0</v>
          </cell>
          <cell r="Z27">
            <v>0</v>
          </cell>
          <cell r="AA27">
            <v>0</v>
          </cell>
          <cell r="AB27">
            <v>0</v>
          </cell>
          <cell r="AC27">
            <v>5195500</v>
          </cell>
          <cell r="AD27">
            <v>3306000</v>
          </cell>
          <cell r="AE27">
            <v>190500</v>
          </cell>
          <cell r="AF27">
            <v>4090965890</v>
          </cell>
          <cell r="AG27">
            <v>475000</v>
          </cell>
          <cell r="AH27">
            <v>4100876890</v>
          </cell>
          <cell r="AI27">
            <v>4100876890</v>
          </cell>
          <cell r="AJ27">
            <v>505000</v>
          </cell>
          <cell r="AK27">
            <v>1160000</v>
          </cell>
          <cell r="AL27">
            <v>0</v>
          </cell>
          <cell r="AM27">
            <v>0</v>
          </cell>
          <cell r="AN27">
            <v>0</v>
          </cell>
          <cell r="AO27">
            <v>0</v>
          </cell>
          <cell r="AP27">
            <v>0</v>
          </cell>
          <cell r="AQ27">
            <v>2814000</v>
          </cell>
          <cell r="AR27">
            <v>0</v>
          </cell>
          <cell r="AS27">
            <v>1780000</v>
          </cell>
          <cell r="AT27">
            <v>0</v>
          </cell>
          <cell r="AU27">
            <v>418000</v>
          </cell>
          <cell r="AV27">
            <v>6677000</v>
          </cell>
        </row>
        <row r="28">
          <cell r="A28">
            <v>7226000</v>
          </cell>
          <cell r="B28" t="str">
            <v>هزينه 3%صندوق پس انداز آتيه سهم کارفرما</v>
          </cell>
          <cell r="C28">
            <v>0</v>
          </cell>
          <cell r="D28">
            <v>11217407</v>
          </cell>
          <cell r="E28">
            <v>11595468</v>
          </cell>
          <cell r="F28">
            <v>4558955</v>
          </cell>
          <cell r="G28">
            <v>10344138</v>
          </cell>
          <cell r="H28">
            <v>6229842</v>
          </cell>
          <cell r="I28">
            <v>19754079</v>
          </cell>
          <cell r="J28">
            <v>10297352</v>
          </cell>
          <cell r="K28">
            <v>3800409</v>
          </cell>
          <cell r="L28">
            <v>1742304</v>
          </cell>
          <cell r="M28">
            <v>6862261</v>
          </cell>
          <cell r="N28">
            <v>7582515</v>
          </cell>
          <cell r="O28">
            <v>0</v>
          </cell>
          <cell r="P28">
            <v>0</v>
          </cell>
          <cell r="Q28">
            <v>0</v>
          </cell>
          <cell r="R28">
            <v>1732518</v>
          </cell>
          <cell r="S28">
            <v>95717248</v>
          </cell>
          <cell r="T28">
            <v>4136276</v>
          </cell>
          <cell r="U28">
            <v>11974966</v>
          </cell>
          <cell r="V28">
            <v>52837118</v>
          </cell>
          <cell r="W28">
            <v>7030744</v>
          </cell>
          <cell r="X28">
            <v>86515695</v>
          </cell>
          <cell r="Y28">
            <v>18056320</v>
          </cell>
          <cell r="Z28">
            <v>1315514</v>
          </cell>
          <cell r="AA28">
            <v>11461026</v>
          </cell>
          <cell r="AB28">
            <v>879146</v>
          </cell>
          <cell r="AC28">
            <v>22395068</v>
          </cell>
          <cell r="AD28">
            <v>4267692</v>
          </cell>
          <cell r="AE28">
            <v>1786776</v>
          </cell>
          <cell r="AF28">
            <v>0</v>
          </cell>
          <cell r="AG28">
            <v>2215596</v>
          </cell>
          <cell r="AH28">
            <v>224871937</v>
          </cell>
          <cell r="AI28">
            <v>224871937</v>
          </cell>
          <cell r="AJ28">
            <v>45196708</v>
          </cell>
          <cell r="AK28">
            <v>35325191</v>
          </cell>
          <cell r="AL28">
            <v>24596746</v>
          </cell>
          <cell r="AM28">
            <v>0</v>
          </cell>
          <cell r="AN28">
            <v>1395774</v>
          </cell>
          <cell r="AO28">
            <v>0</v>
          </cell>
          <cell r="AP28">
            <v>11085162</v>
          </cell>
          <cell r="AQ28">
            <v>28501673</v>
          </cell>
          <cell r="AR28">
            <v>14077441</v>
          </cell>
          <cell r="AS28">
            <v>0</v>
          </cell>
          <cell r="AT28">
            <v>3407561</v>
          </cell>
          <cell r="AU28">
            <v>37801716</v>
          </cell>
          <cell r="AV28">
            <v>201387972</v>
          </cell>
        </row>
        <row r="29">
          <cell r="A29">
            <v>7231000</v>
          </cell>
          <cell r="B29" t="str">
            <v>هزينه بازخريدمرخصي</v>
          </cell>
          <cell r="C29">
            <v>0</v>
          </cell>
          <cell r="D29">
            <v>7254055</v>
          </cell>
          <cell r="E29">
            <v>9965250</v>
          </cell>
          <cell r="F29">
            <v>0</v>
          </cell>
          <cell r="G29">
            <v>38991344</v>
          </cell>
          <cell r="H29">
            <v>0</v>
          </cell>
          <cell r="I29">
            <v>0</v>
          </cell>
          <cell r="J29">
            <v>0</v>
          </cell>
          <cell r="K29">
            <v>0</v>
          </cell>
          <cell r="L29">
            <v>0</v>
          </cell>
          <cell r="M29">
            <v>0</v>
          </cell>
          <cell r="N29">
            <v>0</v>
          </cell>
          <cell r="O29">
            <v>0</v>
          </cell>
          <cell r="P29">
            <v>0</v>
          </cell>
          <cell r="Q29">
            <v>0</v>
          </cell>
          <cell r="R29">
            <v>0</v>
          </cell>
          <cell r="S29">
            <v>56210649</v>
          </cell>
          <cell r="T29">
            <v>1359597</v>
          </cell>
          <cell r="U29">
            <v>3565126</v>
          </cell>
          <cell r="V29">
            <v>10562944</v>
          </cell>
          <cell r="W29">
            <v>0</v>
          </cell>
          <cell r="X29">
            <v>6196072</v>
          </cell>
          <cell r="Y29">
            <v>0</v>
          </cell>
          <cell r="Z29">
            <v>0</v>
          </cell>
          <cell r="AA29">
            <v>0</v>
          </cell>
          <cell r="AB29">
            <v>0</v>
          </cell>
          <cell r="AC29">
            <v>2310744</v>
          </cell>
          <cell r="AD29">
            <v>0</v>
          </cell>
          <cell r="AE29">
            <v>0</v>
          </cell>
          <cell r="AF29">
            <v>0</v>
          </cell>
          <cell r="AG29">
            <v>3997215</v>
          </cell>
          <cell r="AH29">
            <v>27991698</v>
          </cell>
          <cell r="AI29">
            <v>27991698</v>
          </cell>
          <cell r="AJ29">
            <v>0</v>
          </cell>
          <cell r="AK29">
            <v>10707059</v>
          </cell>
          <cell r="AL29">
            <v>0</v>
          </cell>
          <cell r="AM29">
            <v>0</v>
          </cell>
          <cell r="AN29">
            <v>0</v>
          </cell>
          <cell r="AO29">
            <v>0</v>
          </cell>
          <cell r="AP29">
            <v>0</v>
          </cell>
          <cell r="AQ29">
            <v>13763610</v>
          </cell>
          <cell r="AR29">
            <v>5165412</v>
          </cell>
          <cell r="AS29">
            <v>0</v>
          </cell>
          <cell r="AT29">
            <v>0</v>
          </cell>
          <cell r="AU29">
            <v>26322316</v>
          </cell>
          <cell r="AV29">
            <v>55958397</v>
          </cell>
        </row>
        <row r="30">
          <cell r="A30">
            <v>7233000</v>
          </cell>
          <cell r="B30" t="str">
            <v>هزينه مزاياى غيرنقدى</v>
          </cell>
          <cell r="C30">
            <v>4200000</v>
          </cell>
          <cell r="D30">
            <v>15120000</v>
          </cell>
          <cell r="E30">
            <v>15120000</v>
          </cell>
          <cell r="F30">
            <v>4320000</v>
          </cell>
          <cell r="G30">
            <v>12960000</v>
          </cell>
          <cell r="H30">
            <v>8760000</v>
          </cell>
          <cell r="I30">
            <v>21600000</v>
          </cell>
          <cell r="J30">
            <v>14520000</v>
          </cell>
          <cell r="K30">
            <v>4320000</v>
          </cell>
          <cell r="L30">
            <v>2160000</v>
          </cell>
          <cell r="M30">
            <v>6480000</v>
          </cell>
          <cell r="N30">
            <v>4320000</v>
          </cell>
          <cell r="O30">
            <v>6480000</v>
          </cell>
          <cell r="P30">
            <v>600000</v>
          </cell>
          <cell r="Q30">
            <v>1500000</v>
          </cell>
          <cell r="R30">
            <v>600000</v>
          </cell>
          <cell r="S30">
            <v>123060000</v>
          </cell>
          <cell r="T30">
            <v>6480000</v>
          </cell>
          <cell r="U30">
            <v>23760000</v>
          </cell>
          <cell r="V30">
            <v>69460000</v>
          </cell>
          <cell r="W30">
            <v>12000000</v>
          </cell>
          <cell r="X30">
            <v>102980000</v>
          </cell>
          <cell r="Y30">
            <v>17280000</v>
          </cell>
          <cell r="Z30">
            <v>2160000</v>
          </cell>
          <cell r="AA30">
            <v>14420000</v>
          </cell>
          <cell r="AB30">
            <v>2160000</v>
          </cell>
          <cell r="AC30">
            <v>29640000</v>
          </cell>
          <cell r="AD30">
            <v>4320000</v>
          </cell>
          <cell r="AE30">
            <v>4320000</v>
          </cell>
          <cell r="AF30">
            <v>0</v>
          </cell>
          <cell r="AG30">
            <v>4320000</v>
          </cell>
          <cell r="AH30">
            <v>293300000</v>
          </cell>
          <cell r="AI30">
            <v>293300000</v>
          </cell>
          <cell r="AJ30">
            <v>41600000</v>
          </cell>
          <cell r="AK30">
            <v>16570000</v>
          </cell>
          <cell r="AL30">
            <v>30500000</v>
          </cell>
          <cell r="AM30">
            <v>0</v>
          </cell>
          <cell r="AN30">
            <v>2160000</v>
          </cell>
          <cell r="AO30">
            <v>0</v>
          </cell>
          <cell r="AP30">
            <v>10800000</v>
          </cell>
          <cell r="AQ30">
            <v>34460000</v>
          </cell>
          <cell r="AR30">
            <v>12960000</v>
          </cell>
          <cell r="AS30">
            <v>2160000</v>
          </cell>
          <cell r="AT30">
            <v>4320000</v>
          </cell>
          <cell r="AU30">
            <v>34560000</v>
          </cell>
          <cell r="AV30">
            <v>190090000</v>
          </cell>
        </row>
        <row r="31">
          <cell r="A31">
            <v>7233001</v>
          </cell>
          <cell r="B31" t="str">
            <v>هزينه مزاياى غيرنقدى ( پارس پاکان)</v>
          </cell>
          <cell r="C31">
            <v>0</v>
          </cell>
          <cell r="D31">
            <v>19440000</v>
          </cell>
          <cell r="E31">
            <v>15120000</v>
          </cell>
          <cell r="F31">
            <v>21600000</v>
          </cell>
          <cell r="G31">
            <v>25920000</v>
          </cell>
          <cell r="H31">
            <v>4320000</v>
          </cell>
          <cell r="I31">
            <v>23160000</v>
          </cell>
          <cell r="J31">
            <v>21600000</v>
          </cell>
          <cell r="K31">
            <v>15120000</v>
          </cell>
          <cell r="L31">
            <v>4320000</v>
          </cell>
          <cell r="M31">
            <v>0</v>
          </cell>
          <cell r="N31">
            <v>78360000</v>
          </cell>
          <cell r="O31">
            <v>10800000</v>
          </cell>
          <cell r="P31">
            <v>10800000</v>
          </cell>
          <cell r="Q31">
            <v>0</v>
          </cell>
          <cell r="R31">
            <v>10800000</v>
          </cell>
          <cell r="S31">
            <v>261360000</v>
          </cell>
          <cell r="T31">
            <v>6480000</v>
          </cell>
          <cell r="U31">
            <v>130340000</v>
          </cell>
          <cell r="V31">
            <v>30240000</v>
          </cell>
          <cell r="W31">
            <v>0</v>
          </cell>
          <cell r="X31">
            <v>2160000</v>
          </cell>
          <cell r="Y31">
            <v>34440000</v>
          </cell>
          <cell r="Z31">
            <v>8160000</v>
          </cell>
          <cell r="AA31">
            <v>0</v>
          </cell>
          <cell r="AB31">
            <v>0</v>
          </cell>
          <cell r="AC31">
            <v>0</v>
          </cell>
          <cell r="AD31">
            <v>19440000</v>
          </cell>
          <cell r="AE31">
            <v>132960000</v>
          </cell>
          <cell r="AF31">
            <v>0</v>
          </cell>
          <cell r="AG31">
            <v>0</v>
          </cell>
          <cell r="AH31">
            <v>364220000</v>
          </cell>
          <cell r="AI31">
            <v>364220000</v>
          </cell>
          <cell r="AJ31">
            <v>4060000</v>
          </cell>
          <cell r="AK31">
            <v>0</v>
          </cell>
          <cell r="AL31">
            <v>0</v>
          </cell>
          <cell r="AM31">
            <v>1460000</v>
          </cell>
          <cell r="AN31">
            <v>0</v>
          </cell>
          <cell r="AO31">
            <v>0</v>
          </cell>
          <cell r="AP31">
            <v>0</v>
          </cell>
          <cell r="AQ31">
            <v>0</v>
          </cell>
          <cell r="AR31">
            <v>0</v>
          </cell>
          <cell r="AS31">
            <v>0</v>
          </cell>
          <cell r="AT31">
            <v>0</v>
          </cell>
          <cell r="AU31">
            <v>0</v>
          </cell>
          <cell r="AV31">
            <v>5520000</v>
          </cell>
        </row>
        <row r="32">
          <cell r="A32">
            <v>7234000</v>
          </cell>
          <cell r="B32" t="str">
            <v>هزينه سفروماموريت</v>
          </cell>
          <cell r="C32">
            <v>0</v>
          </cell>
          <cell r="D32">
            <v>0</v>
          </cell>
          <cell r="E32">
            <v>0</v>
          </cell>
          <cell r="F32">
            <v>0</v>
          </cell>
          <cell r="G32">
            <v>0</v>
          </cell>
          <cell r="H32">
            <v>0</v>
          </cell>
          <cell r="I32">
            <v>0</v>
          </cell>
          <cell r="J32">
            <v>0</v>
          </cell>
          <cell r="K32">
            <v>428193</v>
          </cell>
          <cell r="L32">
            <v>424291</v>
          </cell>
          <cell r="M32">
            <v>0</v>
          </cell>
          <cell r="N32">
            <v>990114</v>
          </cell>
          <cell r="O32">
            <v>0</v>
          </cell>
          <cell r="P32">
            <v>0</v>
          </cell>
          <cell r="Q32">
            <v>0</v>
          </cell>
          <cell r="R32">
            <v>0</v>
          </cell>
          <cell r="S32">
            <v>1842598</v>
          </cell>
          <cell r="T32">
            <v>0</v>
          </cell>
          <cell r="U32">
            <v>109331964</v>
          </cell>
          <cell r="V32">
            <v>1506940</v>
          </cell>
          <cell r="W32">
            <v>106798000</v>
          </cell>
          <cell r="X32">
            <v>1426658</v>
          </cell>
          <cell r="Y32">
            <v>0</v>
          </cell>
          <cell r="Z32">
            <v>0</v>
          </cell>
          <cell r="AA32">
            <v>0</v>
          </cell>
          <cell r="AB32">
            <v>0</v>
          </cell>
          <cell r="AC32">
            <v>0</v>
          </cell>
          <cell r="AD32">
            <v>1948150</v>
          </cell>
          <cell r="AE32">
            <v>1718090</v>
          </cell>
          <cell r="AF32">
            <v>0</v>
          </cell>
          <cell r="AG32">
            <v>0</v>
          </cell>
          <cell r="AH32">
            <v>222729802</v>
          </cell>
          <cell r="AI32">
            <v>222729802</v>
          </cell>
          <cell r="AJ32">
            <v>95179742</v>
          </cell>
          <cell r="AK32">
            <v>58744458</v>
          </cell>
          <cell r="AL32">
            <v>0</v>
          </cell>
          <cell r="AM32">
            <v>0</v>
          </cell>
          <cell r="AN32">
            <v>0</v>
          </cell>
          <cell r="AO32">
            <v>0</v>
          </cell>
          <cell r="AP32">
            <v>0</v>
          </cell>
          <cell r="AQ32">
            <v>0</v>
          </cell>
          <cell r="AR32">
            <v>0</v>
          </cell>
          <cell r="AS32">
            <v>0</v>
          </cell>
          <cell r="AT32">
            <v>0</v>
          </cell>
          <cell r="AU32">
            <v>1968946</v>
          </cell>
          <cell r="AV32">
            <v>155893146</v>
          </cell>
        </row>
        <row r="33">
          <cell r="A33">
            <v>7235000</v>
          </cell>
          <cell r="B33" t="str">
            <v>هزينه پوشاک</v>
          </cell>
          <cell r="C33">
            <v>0</v>
          </cell>
          <cell r="D33">
            <v>0</v>
          </cell>
          <cell r="E33">
            <v>371000</v>
          </cell>
          <cell r="F33">
            <v>0</v>
          </cell>
          <cell r="G33">
            <v>4275000</v>
          </cell>
          <cell r="H33">
            <v>0</v>
          </cell>
          <cell r="I33">
            <v>0</v>
          </cell>
          <cell r="J33">
            <v>0</v>
          </cell>
          <cell r="K33">
            <v>125000</v>
          </cell>
          <cell r="L33">
            <v>0</v>
          </cell>
          <cell r="M33">
            <v>0</v>
          </cell>
          <cell r="N33">
            <v>0</v>
          </cell>
          <cell r="O33">
            <v>0</v>
          </cell>
          <cell r="P33">
            <v>0</v>
          </cell>
          <cell r="Q33">
            <v>714320</v>
          </cell>
          <cell r="R33">
            <v>0</v>
          </cell>
          <cell r="S33">
            <v>5485320</v>
          </cell>
          <cell r="T33">
            <v>0</v>
          </cell>
          <cell r="U33">
            <v>1905000</v>
          </cell>
          <cell r="V33">
            <v>1963940</v>
          </cell>
          <cell r="W33">
            <v>0</v>
          </cell>
          <cell r="X33">
            <v>596580</v>
          </cell>
          <cell r="Y33">
            <v>0</v>
          </cell>
          <cell r="Z33">
            <v>249900</v>
          </cell>
          <cell r="AA33">
            <v>2140000</v>
          </cell>
          <cell r="AB33">
            <v>0</v>
          </cell>
          <cell r="AC33">
            <v>0</v>
          </cell>
          <cell r="AD33">
            <v>0</v>
          </cell>
          <cell r="AE33">
            <v>74902373</v>
          </cell>
          <cell r="AF33">
            <v>3504000</v>
          </cell>
          <cell r="AG33">
            <v>0</v>
          </cell>
          <cell r="AH33">
            <v>85261793</v>
          </cell>
          <cell r="AI33">
            <v>85261793</v>
          </cell>
          <cell r="AJ33">
            <v>240000</v>
          </cell>
          <cell r="AK33">
            <v>268500</v>
          </cell>
          <cell r="AL33">
            <v>1002000</v>
          </cell>
          <cell r="AM33">
            <v>0</v>
          </cell>
          <cell r="AN33">
            <v>0</v>
          </cell>
          <cell r="AO33">
            <v>0</v>
          </cell>
          <cell r="AP33">
            <v>0</v>
          </cell>
          <cell r="AQ33">
            <v>0</v>
          </cell>
          <cell r="AR33">
            <v>33944800</v>
          </cell>
          <cell r="AS33">
            <v>0</v>
          </cell>
          <cell r="AT33">
            <v>600000</v>
          </cell>
          <cell r="AU33">
            <v>1465000</v>
          </cell>
          <cell r="AV33">
            <v>37520300</v>
          </cell>
        </row>
        <row r="34">
          <cell r="A34">
            <v>7236000</v>
          </cell>
          <cell r="B34" t="str">
            <v>هزينه هاى ورزشى</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165623500</v>
          </cell>
          <cell r="AF34">
            <v>0</v>
          </cell>
          <cell r="AG34">
            <v>0</v>
          </cell>
          <cell r="AH34">
            <v>165623500</v>
          </cell>
          <cell r="AI34">
            <v>165623500</v>
          </cell>
          <cell r="AJ34">
            <v>0</v>
          </cell>
          <cell r="AK34">
            <v>0</v>
          </cell>
          <cell r="AL34">
            <v>0</v>
          </cell>
          <cell r="AM34">
            <v>0</v>
          </cell>
          <cell r="AN34">
            <v>0</v>
          </cell>
          <cell r="AO34">
            <v>0</v>
          </cell>
          <cell r="AP34">
            <v>0</v>
          </cell>
          <cell r="AQ34">
            <v>0</v>
          </cell>
          <cell r="AR34">
            <v>0</v>
          </cell>
          <cell r="AS34">
            <v>0</v>
          </cell>
          <cell r="AT34">
            <v>0</v>
          </cell>
          <cell r="AU34">
            <v>0</v>
          </cell>
          <cell r="AV34">
            <v>0</v>
          </cell>
        </row>
        <row r="35">
          <cell r="A35">
            <v>7237000</v>
          </cell>
          <cell r="B35" t="str">
            <v>هزينه هاى آموزشى</v>
          </cell>
          <cell r="C35">
            <v>0</v>
          </cell>
          <cell r="D35">
            <v>0</v>
          </cell>
          <cell r="E35">
            <v>0</v>
          </cell>
          <cell r="F35">
            <v>0</v>
          </cell>
          <cell r="G35">
            <v>0</v>
          </cell>
          <cell r="H35">
            <v>0</v>
          </cell>
          <cell r="I35">
            <v>0</v>
          </cell>
          <cell r="J35">
            <v>0</v>
          </cell>
          <cell r="K35">
            <v>0</v>
          </cell>
          <cell r="L35">
            <v>0</v>
          </cell>
          <cell r="M35">
            <v>0</v>
          </cell>
          <cell r="N35">
            <v>44444</v>
          </cell>
          <cell r="O35">
            <v>0</v>
          </cell>
          <cell r="P35">
            <v>0</v>
          </cell>
          <cell r="Q35">
            <v>0</v>
          </cell>
          <cell r="R35">
            <v>0</v>
          </cell>
          <cell r="S35">
            <v>44444</v>
          </cell>
          <cell r="T35">
            <v>0</v>
          </cell>
          <cell r="U35">
            <v>0</v>
          </cell>
          <cell r="V35">
            <v>3421667</v>
          </cell>
          <cell r="W35">
            <v>0</v>
          </cell>
          <cell r="X35">
            <v>0</v>
          </cell>
          <cell r="Y35">
            <v>0</v>
          </cell>
          <cell r="Z35">
            <v>0</v>
          </cell>
          <cell r="AA35">
            <v>0</v>
          </cell>
          <cell r="AB35">
            <v>0</v>
          </cell>
          <cell r="AC35">
            <v>0</v>
          </cell>
          <cell r="AD35">
            <v>0</v>
          </cell>
          <cell r="AE35">
            <v>48600</v>
          </cell>
          <cell r="AF35">
            <v>0</v>
          </cell>
          <cell r="AG35">
            <v>0</v>
          </cell>
          <cell r="AH35">
            <v>3470267</v>
          </cell>
          <cell r="AI35">
            <v>3470267</v>
          </cell>
          <cell r="AJ35">
            <v>20000000</v>
          </cell>
          <cell r="AK35">
            <v>0</v>
          </cell>
          <cell r="AL35">
            <v>0</v>
          </cell>
          <cell r="AM35">
            <v>10407152</v>
          </cell>
          <cell r="AN35">
            <v>0</v>
          </cell>
          <cell r="AO35">
            <v>0</v>
          </cell>
          <cell r="AP35">
            <v>4370526</v>
          </cell>
          <cell r="AQ35">
            <v>0</v>
          </cell>
          <cell r="AR35">
            <v>2900000</v>
          </cell>
          <cell r="AS35">
            <v>500000</v>
          </cell>
          <cell r="AT35">
            <v>0</v>
          </cell>
          <cell r="AU35">
            <v>4476818</v>
          </cell>
          <cell r="AV35">
            <v>42654496</v>
          </cell>
        </row>
        <row r="36">
          <cell r="A36">
            <v>7313000</v>
          </cell>
          <cell r="B36" t="str">
            <v>هزينه سربار مواد اوليه</v>
          </cell>
          <cell r="C36">
            <v>0</v>
          </cell>
          <cell r="D36">
            <v>18959782</v>
          </cell>
          <cell r="E36">
            <v>125568684</v>
          </cell>
          <cell r="F36">
            <v>33639008</v>
          </cell>
          <cell r="G36">
            <v>40625261</v>
          </cell>
          <cell r="H36">
            <v>7168984</v>
          </cell>
          <cell r="I36">
            <v>32301953</v>
          </cell>
          <cell r="J36">
            <v>26991881</v>
          </cell>
          <cell r="K36">
            <v>3007336</v>
          </cell>
          <cell r="L36">
            <v>716258</v>
          </cell>
          <cell r="M36">
            <v>0</v>
          </cell>
          <cell r="N36">
            <v>0</v>
          </cell>
          <cell r="O36">
            <v>0</v>
          </cell>
          <cell r="P36">
            <v>0</v>
          </cell>
          <cell r="Q36">
            <v>94640</v>
          </cell>
          <cell r="R36">
            <v>28011384</v>
          </cell>
          <cell r="S36">
            <v>317085171</v>
          </cell>
          <cell r="T36">
            <v>0</v>
          </cell>
          <cell r="U36">
            <v>0</v>
          </cell>
          <cell r="V36">
            <v>0</v>
          </cell>
          <cell r="W36">
            <v>0</v>
          </cell>
          <cell r="X36">
            <v>307540797</v>
          </cell>
          <cell r="Y36">
            <v>938125</v>
          </cell>
          <cell r="Z36">
            <v>20737076</v>
          </cell>
          <cell r="AA36">
            <v>0</v>
          </cell>
          <cell r="AB36">
            <v>0</v>
          </cell>
          <cell r="AC36">
            <v>0</v>
          </cell>
          <cell r="AD36">
            <v>0</v>
          </cell>
          <cell r="AE36">
            <v>0</v>
          </cell>
          <cell r="AF36">
            <v>0</v>
          </cell>
          <cell r="AG36">
            <v>0</v>
          </cell>
          <cell r="AH36">
            <v>329215998</v>
          </cell>
          <cell r="AI36">
            <v>329215998</v>
          </cell>
          <cell r="AJ36">
            <v>0</v>
          </cell>
          <cell r="AK36">
            <v>0</v>
          </cell>
          <cell r="AL36">
            <v>37579</v>
          </cell>
          <cell r="AM36">
            <v>0</v>
          </cell>
          <cell r="AN36">
            <v>0</v>
          </cell>
          <cell r="AO36">
            <v>0</v>
          </cell>
          <cell r="AP36">
            <v>0</v>
          </cell>
          <cell r="AQ36">
            <v>0</v>
          </cell>
          <cell r="AR36">
            <v>0</v>
          </cell>
          <cell r="AS36">
            <v>0</v>
          </cell>
          <cell r="AT36">
            <v>0</v>
          </cell>
          <cell r="AU36">
            <v>0</v>
          </cell>
          <cell r="AV36">
            <v>37579</v>
          </cell>
        </row>
        <row r="37">
          <cell r="A37">
            <v>7314000</v>
          </cell>
          <cell r="B37" t="str">
            <v>هزينه  سربار مواد بسته بندى</v>
          </cell>
          <cell r="C37">
            <v>8767268</v>
          </cell>
          <cell r="D37">
            <v>5121324</v>
          </cell>
          <cell r="E37">
            <v>5604768</v>
          </cell>
          <cell r="F37">
            <v>1510496</v>
          </cell>
          <cell r="G37">
            <v>7984162</v>
          </cell>
          <cell r="H37">
            <v>0</v>
          </cell>
          <cell r="I37">
            <v>2440437</v>
          </cell>
          <cell r="J37">
            <v>2869568</v>
          </cell>
          <cell r="K37">
            <v>2695734</v>
          </cell>
          <cell r="L37">
            <v>0</v>
          </cell>
          <cell r="M37">
            <v>0</v>
          </cell>
          <cell r="N37">
            <v>0</v>
          </cell>
          <cell r="O37">
            <v>0</v>
          </cell>
          <cell r="P37">
            <v>0</v>
          </cell>
          <cell r="Q37">
            <v>0</v>
          </cell>
          <cell r="R37">
            <v>2190240</v>
          </cell>
          <cell r="S37">
            <v>39183997</v>
          </cell>
          <cell r="T37">
            <v>0</v>
          </cell>
          <cell r="U37">
            <v>0</v>
          </cell>
          <cell r="V37">
            <v>0</v>
          </cell>
          <cell r="W37">
            <v>0</v>
          </cell>
          <cell r="X37">
            <v>3987753</v>
          </cell>
          <cell r="Y37">
            <v>2408546</v>
          </cell>
          <cell r="Z37">
            <v>0</v>
          </cell>
          <cell r="AA37">
            <v>0</v>
          </cell>
          <cell r="AB37">
            <v>0</v>
          </cell>
          <cell r="AC37">
            <v>0</v>
          </cell>
          <cell r="AD37">
            <v>0</v>
          </cell>
          <cell r="AE37">
            <v>0</v>
          </cell>
          <cell r="AF37">
            <v>0</v>
          </cell>
          <cell r="AG37">
            <v>0</v>
          </cell>
          <cell r="AH37">
            <v>6396299</v>
          </cell>
          <cell r="AI37">
            <v>6396299</v>
          </cell>
          <cell r="AJ37">
            <v>0</v>
          </cell>
          <cell r="AK37">
            <v>0</v>
          </cell>
          <cell r="AL37">
            <v>0</v>
          </cell>
          <cell r="AM37">
            <v>0</v>
          </cell>
          <cell r="AN37">
            <v>0</v>
          </cell>
          <cell r="AO37">
            <v>0</v>
          </cell>
          <cell r="AP37">
            <v>0</v>
          </cell>
          <cell r="AQ37">
            <v>0</v>
          </cell>
          <cell r="AR37">
            <v>0</v>
          </cell>
          <cell r="AS37">
            <v>0</v>
          </cell>
          <cell r="AT37">
            <v>0</v>
          </cell>
          <cell r="AU37">
            <v>0</v>
          </cell>
          <cell r="AV37">
            <v>0</v>
          </cell>
        </row>
        <row r="38">
          <cell r="A38">
            <v>7316000</v>
          </cell>
          <cell r="B38" t="str">
            <v>هزينه سربار مواد اوليه (افشانه ها )</v>
          </cell>
          <cell r="C38">
            <v>0</v>
          </cell>
          <cell r="D38">
            <v>0</v>
          </cell>
          <cell r="E38">
            <v>0</v>
          </cell>
          <cell r="F38">
            <v>0</v>
          </cell>
          <cell r="G38">
            <v>0</v>
          </cell>
          <cell r="H38">
            <v>0</v>
          </cell>
          <cell r="I38">
            <v>0</v>
          </cell>
          <cell r="J38">
            <v>0</v>
          </cell>
          <cell r="K38">
            <v>0</v>
          </cell>
          <cell r="L38">
            <v>0</v>
          </cell>
          <cell r="M38">
            <v>0</v>
          </cell>
          <cell r="N38">
            <v>0</v>
          </cell>
          <cell r="O38">
            <v>44871349</v>
          </cell>
          <cell r="P38">
            <v>11974607</v>
          </cell>
          <cell r="Q38">
            <v>0</v>
          </cell>
          <cell r="R38">
            <v>0</v>
          </cell>
          <cell r="S38">
            <v>56845956</v>
          </cell>
          <cell r="T38">
            <v>0</v>
          </cell>
          <cell r="U38">
            <v>0</v>
          </cell>
          <cell r="V38">
            <v>0</v>
          </cell>
          <cell r="W38">
            <v>0</v>
          </cell>
          <cell r="X38">
            <v>88411890</v>
          </cell>
          <cell r="Y38">
            <v>0</v>
          </cell>
          <cell r="Z38">
            <v>0</v>
          </cell>
          <cell r="AA38">
            <v>0</v>
          </cell>
          <cell r="AB38">
            <v>0</v>
          </cell>
          <cell r="AC38">
            <v>0</v>
          </cell>
          <cell r="AD38">
            <v>0</v>
          </cell>
          <cell r="AE38">
            <v>0</v>
          </cell>
          <cell r="AF38">
            <v>0</v>
          </cell>
          <cell r="AG38">
            <v>0</v>
          </cell>
          <cell r="AH38">
            <v>88411890</v>
          </cell>
          <cell r="AI38">
            <v>88411890</v>
          </cell>
          <cell r="AJ38">
            <v>0</v>
          </cell>
          <cell r="AK38">
            <v>0</v>
          </cell>
          <cell r="AL38">
            <v>6020628</v>
          </cell>
          <cell r="AM38">
            <v>0</v>
          </cell>
          <cell r="AN38">
            <v>0</v>
          </cell>
          <cell r="AO38">
            <v>0</v>
          </cell>
          <cell r="AP38">
            <v>0</v>
          </cell>
          <cell r="AQ38">
            <v>0</v>
          </cell>
          <cell r="AR38">
            <v>0</v>
          </cell>
          <cell r="AS38">
            <v>0</v>
          </cell>
          <cell r="AT38">
            <v>0</v>
          </cell>
          <cell r="AU38">
            <v>0</v>
          </cell>
          <cell r="AV38">
            <v>6020628</v>
          </cell>
        </row>
        <row r="39">
          <cell r="A39">
            <v>7317000</v>
          </cell>
          <cell r="B39" t="str">
            <v>هزينه  سربار  بسته بندى (افشا نه ها )</v>
          </cell>
          <cell r="C39">
            <v>0</v>
          </cell>
          <cell r="D39">
            <v>0</v>
          </cell>
          <cell r="E39">
            <v>0</v>
          </cell>
          <cell r="F39">
            <v>0</v>
          </cell>
          <cell r="G39">
            <v>0</v>
          </cell>
          <cell r="H39">
            <v>0</v>
          </cell>
          <cell r="I39">
            <v>0</v>
          </cell>
          <cell r="J39">
            <v>0</v>
          </cell>
          <cell r="K39">
            <v>0</v>
          </cell>
          <cell r="L39">
            <v>0</v>
          </cell>
          <cell r="M39">
            <v>0</v>
          </cell>
          <cell r="N39">
            <v>0</v>
          </cell>
          <cell r="O39">
            <v>2280717</v>
          </cell>
          <cell r="P39">
            <v>0</v>
          </cell>
          <cell r="Q39">
            <v>0</v>
          </cell>
          <cell r="R39">
            <v>0</v>
          </cell>
          <cell r="S39">
            <v>2280717</v>
          </cell>
          <cell r="T39">
            <v>0</v>
          </cell>
          <cell r="U39">
            <v>0</v>
          </cell>
          <cell r="V39">
            <v>0</v>
          </cell>
          <cell r="W39">
            <v>0</v>
          </cell>
          <cell r="X39">
            <v>203153</v>
          </cell>
          <cell r="Y39">
            <v>0</v>
          </cell>
          <cell r="Z39">
            <v>0</v>
          </cell>
          <cell r="AA39">
            <v>0</v>
          </cell>
          <cell r="AB39">
            <v>0</v>
          </cell>
          <cell r="AC39">
            <v>0</v>
          </cell>
          <cell r="AD39">
            <v>0</v>
          </cell>
          <cell r="AE39">
            <v>0</v>
          </cell>
          <cell r="AF39">
            <v>0</v>
          </cell>
          <cell r="AG39">
            <v>0</v>
          </cell>
          <cell r="AH39">
            <v>203153</v>
          </cell>
          <cell r="AI39">
            <v>203153</v>
          </cell>
          <cell r="AJ39">
            <v>0</v>
          </cell>
          <cell r="AK39">
            <v>0</v>
          </cell>
          <cell r="AL39">
            <v>0</v>
          </cell>
          <cell r="AM39">
            <v>0</v>
          </cell>
          <cell r="AN39">
            <v>0</v>
          </cell>
          <cell r="AO39">
            <v>0</v>
          </cell>
          <cell r="AP39">
            <v>0</v>
          </cell>
          <cell r="AQ39">
            <v>0</v>
          </cell>
          <cell r="AR39">
            <v>0</v>
          </cell>
          <cell r="AS39">
            <v>0</v>
          </cell>
          <cell r="AT39">
            <v>0</v>
          </cell>
          <cell r="AU39">
            <v>0</v>
          </cell>
          <cell r="AV39">
            <v>0</v>
          </cell>
        </row>
        <row r="40">
          <cell r="A40">
            <v>7319000</v>
          </cell>
          <cell r="B40" t="str">
            <v>تعميرونگهدارى ساختمان وتاسيسات</v>
          </cell>
          <cell r="C40">
            <v>0</v>
          </cell>
          <cell r="D40">
            <v>0</v>
          </cell>
          <cell r="E40">
            <v>0</v>
          </cell>
          <cell r="F40">
            <v>0</v>
          </cell>
          <cell r="G40">
            <v>80500000</v>
          </cell>
          <cell r="H40">
            <v>0</v>
          </cell>
          <cell r="I40">
            <v>0</v>
          </cell>
          <cell r="J40">
            <v>120576869</v>
          </cell>
          <cell r="K40">
            <v>0</v>
          </cell>
          <cell r="L40">
            <v>0</v>
          </cell>
          <cell r="M40">
            <v>0</v>
          </cell>
          <cell r="N40">
            <v>926000</v>
          </cell>
          <cell r="O40">
            <v>0</v>
          </cell>
          <cell r="P40">
            <v>640000</v>
          </cell>
          <cell r="Q40">
            <v>20689684</v>
          </cell>
          <cell r="R40">
            <v>1800000</v>
          </cell>
          <cell r="S40">
            <v>225132553</v>
          </cell>
          <cell r="T40">
            <v>0</v>
          </cell>
          <cell r="U40">
            <v>24839750</v>
          </cell>
          <cell r="V40">
            <v>1054945404</v>
          </cell>
          <cell r="W40">
            <v>23874400</v>
          </cell>
          <cell r="X40">
            <v>37550000</v>
          </cell>
          <cell r="Y40">
            <v>20746000</v>
          </cell>
          <cell r="Z40">
            <v>0</v>
          </cell>
          <cell r="AA40">
            <v>0</v>
          </cell>
          <cell r="AB40">
            <v>0</v>
          </cell>
          <cell r="AC40">
            <v>0</v>
          </cell>
          <cell r="AD40">
            <v>3340000</v>
          </cell>
          <cell r="AE40">
            <v>0</v>
          </cell>
          <cell r="AF40">
            <v>36300000</v>
          </cell>
          <cell r="AG40">
            <v>0</v>
          </cell>
          <cell r="AH40">
            <v>1201595554</v>
          </cell>
          <cell r="AI40">
            <v>1201595554</v>
          </cell>
          <cell r="AJ40">
            <v>5504356</v>
          </cell>
          <cell r="AK40">
            <v>1041000</v>
          </cell>
          <cell r="AL40">
            <v>2890000</v>
          </cell>
          <cell r="AM40">
            <v>1750000</v>
          </cell>
          <cell r="AN40">
            <v>0</v>
          </cell>
          <cell r="AO40">
            <v>0</v>
          </cell>
          <cell r="AP40">
            <v>0</v>
          </cell>
          <cell r="AQ40">
            <v>0</v>
          </cell>
          <cell r="AR40">
            <v>0</v>
          </cell>
          <cell r="AS40">
            <v>0</v>
          </cell>
          <cell r="AT40">
            <v>2457000</v>
          </cell>
          <cell r="AU40">
            <v>3650100</v>
          </cell>
          <cell r="AV40">
            <v>17292456</v>
          </cell>
        </row>
        <row r="41">
          <cell r="A41">
            <v>7320000</v>
          </cell>
          <cell r="B41" t="str">
            <v>تعميرونگهدارى ماشين آلات</v>
          </cell>
          <cell r="C41">
            <v>0</v>
          </cell>
          <cell r="D41">
            <v>27732842</v>
          </cell>
          <cell r="E41">
            <v>23608442</v>
          </cell>
          <cell r="F41">
            <v>5768509</v>
          </cell>
          <cell r="G41">
            <v>151872353</v>
          </cell>
          <cell r="H41">
            <v>1410606</v>
          </cell>
          <cell r="I41">
            <v>44105681</v>
          </cell>
          <cell r="J41">
            <v>4152773</v>
          </cell>
          <cell r="K41">
            <v>3039152</v>
          </cell>
          <cell r="L41">
            <v>0</v>
          </cell>
          <cell r="M41">
            <v>0</v>
          </cell>
          <cell r="N41">
            <v>0</v>
          </cell>
          <cell r="O41">
            <v>0</v>
          </cell>
          <cell r="P41">
            <v>0</v>
          </cell>
          <cell r="Q41">
            <v>762750</v>
          </cell>
          <cell r="R41">
            <v>291314887</v>
          </cell>
          <cell r="S41">
            <v>553767995</v>
          </cell>
          <cell r="T41">
            <v>12900160</v>
          </cell>
          <cell r="U41">
            <v>4716600</v>
          </cell>
          <cell r="V41">
            <v>211492050</v>
          </cell>
          <cell r="W41">
            <v>38648533</v>
          </cell>
          <cell r="X41">
            <v>909833</v>
          </cell>
          <cell r="Y41">
            <v>122492</v>
          </cell>
          <cell r="Z41">
            <v>0</v>
          </cell>
          <cell r="AA41">
            <v>0</v>
          </cell>
          <cell r="AB41">
            <v>0</v>
          </cell>
          <cell r="AC41">
            <v>0</v>
          </cell>
          <cell r="AD41">
            <v>0</v>
          </cell>
          <cell r="AE41">
            <v>343</v>
          </cell>
          <cell r="AF41">
            <v>1220996</v>
          </cell>
          <cell r="AG41">
            <v>0</v>
          </cell>
          <cell r="AH41">
            <v>270011007</v>
          </cell>
          <cell r="AI41">
            <v>270011007</v>
          </cell>
          <cell r="AJ41">
            <v>0</v>
          </cell>
          <cell r="AK41">
            <v>0</v>
          </cell>
          <cell r="AL41">
            <v>0</v>
          </cell>
          <cell r="AM41">
            <v>0</v>
          </cell>
          <cell r="AN41">
            <v>0</v>
          </cell>
          <cell r="AO41">
            <v>0</v>
          </cell>
          <cell r="AP41">
            <v>0</v>
          </cell>
          <cell r="AQ41">
            <v>0</v>
          </cell>
          <cell r="AR41">
            <v>0</v>
          </cell>
          <cell r="AS41">
            <v>0</v>
          </cell>
          <cell r="AT41">
            <v>135000</v>
          </cell>
          <cell r="AU41">
            <v>0</v>
          </cell>
          <cell r="AV41">
            <v>135000</v>
          </cell>
        </row>
        <row r="42">
          <cell r="A42">
            <v>7321000</v>
          </cell>
          <cell r="B42" t="str">
            <v>تعميرونگهدارى وسائط نقليه</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14050000</v>
          </cell>
          <cell r="W42">
            <v>0</v>
          </cell>
          <cell r="X42">
            <v>165000</v>
          </cell>
          <cell r="Y42">
            <v>220000</v>
          </cell>
          <cell r="Z42">
            <v>0</v>
          </cell>
          <cell r="AA42">
            <v>0</v>
          </cell>
          <cell r="AB42">
            <v>0</v>
          </cell>
          <cell r="AC42">
            <v>8475246</v>
          </cell>
          <cell r="AD42">
            <v>200000</v>
          </cell>
          <cell r="AE42">
            <v>0</v>
          </cell>
          <cell r="AF42">
            <v>0</v>
          </cell>
          <cell r="AG42">
            <v>2450541</v>
          </cell>
          <cell r="AH42">
            <v>25560787</v>
          </cell>
          <cell r="AI42">
            <v>25560787</v>
          </cell>
          <cell r="AJ42">
            <v>0</v>
          </cell>
          <cell r="AK42">
            <v>17310000</v>
          </cell>
          <cell r="AL42">
            <v>0</v>
          </cell>
          <cell r="AM42">
            <v>0</v>
          </cell>
          <cell r="AN42">
            <v>0</v>
          </cell>
          <cell r="AO42">
            <v>0</v>
          </cell>
          <cell r="AP42">
            <v>0</v>
          </cell>
          <cell r="AQ42">
            <v>0</v>
          </cell>
          <cell r="AR42">
            <v>0</v>
          </cell>
          <cell r="AS42">
            <v>0</v>
          </cell>
          <cell r="AT42">
            <v>0</v>
          </cell>
          <cell r="AU42">
            <v>0</v>
          </cell>
          <cell r="AV42">
            <v>17310000</v>
          </cell>
        </row>
        <row r="43">
          <cell r="A43">
            <v>7322000</v>
          </cell>
          <cell r="B43" t="str">
            <v>تعميرونگهدارى اثاثيه ومنصوبات</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4450000</v>
          </cell>
          <cell r="W43">
            <v>0</v>
          </cell>
          <cell r="X43">
            <v>8101950</v>
          </cell>
          <cell r="Y43">
            <v>9390675</v>
          </cell>
          <cell r="Z43">
            <v>0</v>
          </cell>
          <cell r="AA43">
            <v>0</v>
          </cell>
          <cell r="AB43">
            <v>0</v>
          </cell>
          <cell r="AC43">
            <v>737850</v>
          </cell>
          <cell r="AD43">
            <v>10170001</v>
          </cell>
          <cell r="AE43">
            <v>398000</v>
          </cell>
          <cell r="AF43">
            <v>0</v>
          </cell>
          <cell r="AG43">
            <v>0</v>
          </cell>
          <cell r="AH43">
            <v>33248476</v>
          </cell>
          <cell r="AI43">
            <v>33248476</v>
          </cell>
          <cell r="AJ43">
            <v>32756199</v>
          </cell>
          <cell r="AK43">
            <v>0</v>
          </cell>
          <cell r="AL43">
            <v>0</v>
          </cell>
          <cell r="AM43">
            <v>0</v>
          </cell>
          <cell r="AN43">
            <v>0</v>
          </cell>
          <cell r="AO43">
            <v>0</v>
          </cell>
          <cell r="AP43">
            <v>11933277</v>
          </cell>
          <cell r="AQ43">
            <v>950000</v>
          </cell>
          <cell r="AR43">
            <v>1197374</v>
          </cell>
          <cell r="AS43">
            <v>0</v>
          </cell>
          <cell r="AT43">
            <v>7400000</v>
          </cell>
          <cell r="AU43">
            <v>5118000</v>
          </cell>
          <cell r="AV43">
            <v>59354850</v>
          </cell>
        </row>
        <row r="44">
          <cell r="A44">
            <v>7323000</v>
          </cell>
          <cell r="B44" t="str">
            <v>تعميرونگهدارى سايردارائيها</v>
          </cell>
          <cell r="C44">
            <v>0</v>
          </cell>
          <cell r="D44">
            <v>0</v>
          </cell>
          <cell r="E44">
            <v>0</v>
          </cell>
          <cell r="F44">
            <v>0</v>
          </cell>
          <cell r="G44">
            <v>0</v>
          </cell>
          <cell r="H44">
            <v>0</v>
          </cell>
          <cell r="I44">
            <v>0</v>
          </cell>
          <cell r="J44">
            <v>0</v>
          </cell>
          <cell r="K44">
            <v>0</v>
          </cell>
          <cell r="L44">
            <v>0</v>
          </cell>
          <cell r="M44">
            <v>0</v>
          </cell>
          <cell r="N44">
            <v>7421350</v>
          </cell>
          <cell r="O44">
            <v>0</v>
          </cell>
          <cell r="P44">
            <v>0</v>
          </cell>
          <cell r="Q44">
            <v>0</v>
          </cell>
          <cell r="R44">
            <v>0</v>
          </cell>
          <cell r="S44">
            <v>7421350</v>
          </cell>
          <cell r="T44">
            <v>0</v>
          </cell>
          <cell r="U44">
            <v>1723500</v>
          </cell>
          <cell r="V44">
            <v>11350000</v>
          </cell>
          <cell r="W44">
            <v>3734707</v>
          </cell>
          <cell r="X44">
            <v>57575000</v>
          </cell>
          <cell r="Y44">
            <v>0</v>
          </cell>
          <cell r="Z44">
            <v>0</v>
          </cell>
          <cell r="AA44">
            <v>0</v>
          </cell>
          <cell r="AB44">
            <v>0</v>
          </cell>
          <cell r="AC44">
            <v>0</v>
          </cell>
          <cell r="AD44">
            <v>0</v>
          </cell>
          <cell r="AE44">
            <v>1162500</v>
          </cell>
          <cell r="AF44">
            <v>0</v>
          </cell>
          <cell r="AG44">
            <v>0</v>
          </cell>
          <cell r="AH44">
            <v>75545707</v>
          </cell>
          <cell r="AI44">
            <v>75545707</v>
          </cell>
          <cell r="AJ44">
            <v>1047525</v>
          </cell>
          <cell r="AK44">
            <v>330000</v>
          </cell>
          <cell r="AL44">
            <v>33890000</v>
          </cell>
          <cell r="AM44">
            <v>0</v>
          </cell>
          <cell r="AN44">
            <v>0</v>
          </cell>
          <cell r="AO44">
            <v>0</v>
          </cell>
          <cell r="AP44">
            <v>200000</v>
          </cell>
          <cell r="AQ44">
            <v>836850</v>
          </cell>
          <cell r="AR44">
            <v>3476812</v>
          </cell>
          <cell r="AS44">
            <v>0</v>
          </cell>
          <cell r="AT44">
            <v>0</v>
          </cell>
          <cell r="AU44">
            <v>13573400</v>
          </cell>
          <cell r="AV44">
            <v>53354587</v>
          </cell>
        </row>
        <row r="45">
          <cell r="A45">
            <v>7324000</v>
          </cell>
          <cell r="B45" t="str">
            <v>هزينه موادوملزومات مصرفى</v>
          </cell>
          <cell r="C45">
            <v>0</v>
          </cell>
          <cell r="D45">
            <v>11159502</v>
          </cell>
          <cell r="E45">
            <v>22119224</v>
          </cell>
          <cell r="F45">
            <v>11580950</v>
          </cell>
          <cell r="G45">
            <v>42191800</v>
          </cell>
          <cell r="H45">
            <v>9291118</v>
          </cell>
          <cell r="I45">
            <v>21305980</v>
          </cell>
          <cell r="J45">
            <v>18908266</v>
          </cell>
          <cell r="K45">
            <v>5210248</v>
          </cell>
          <cell r="L45">
            <v>0</v>
          </cell>
          <cell r="M45">
            <v>0</v>
          </cell>
          <cell r="N45">
            <v>40941029</v>
          </cell>
          <cell r="O45">
            <v>0</v>
          </cell>
          <cell r="P45">
            <v>0</v>
          </cell>
          <cell r="Q45">
            <v>24732870</v>
          </cell>
          <cell r="R45">
            <v>77400127</v>
          </cell>
          <cell r="S45">
            <v>284841114</v>
          </cell>
          <cell r="T45">
            <v>8591843</v>
          </cell>
          <cell r="U45">
            <v>95188167</v>
          </cell>
          <cell r="V45">
            <v>453115540</v>
          </cell>
          <cell r="W45">
            <v>37087312</v>
          </cell>
          <cell r="X45">
            <v>543049746</v>
          </cell>
          <cell r="Y45">
            <v>47782420</v>
          </cell>
          <cell r="Z45">
            <v>7237650</v>
          </cell>
          <cell r="AA45">
            <v>4944670</v>
          </cell>
          <cell r="AB45">
            <v>930577</v>
          </cell>
          <cell r="AC45">
            <v>50627407</v>
          </cell>
          <cell r="AD45">
            <v>8031730</v>
          </cell>
          <cell r="AE45">
            <v>236875042</v>
          </cell>
          <cell r="AF45">
            <v>17536465</v>
          </cell>
          <cell r="AG45">
            <v>1305000</v>
          </cell>
          <cell r="AH45">
            <v>1512303569</v>
          </cell>
          <cell r="AI45">
            <v>1512303569</v>
          </cell>
          <cell r="AJ45">
            <v>117671540</v>
          </cell>
          <cell r="AK45">
            <v>14969809</v>
          </cell>
          <cell r="AL45">
            <v>256049101</v>
          </cell>
          <cell r="AM45">
            <v>5810429</v>
          </cell>
          <cell r="AN45">
            <v>0</v>
          </cell>
          <cell r="AO45">
            <v>0</v>
          </cell>
          <cell r="AP45">
            <v>66590546</v>
          </cell>
          <cell r="AQ45">
            <v>28891243</v>
          </cell>
          <cell r="AR45">
            <v>127544854</v>
          </cell>
          <cell r="AS45">
            <v>2907830</v>
          </cell>
          <cell r="AT45">
            <v>78182007</v>
          </cell>
          <cell r="AU45">
            <v>136698689</v>
          </cell>
          <cell r="AV45">
            <v>835316048</v>
          </cell>
        </row>
        <row r="46">
          <cell r="A46">
            <v>7349000</v>
          </cell>
          <cell r="B46" t="str">
            <v>هزينه ثبت محصولات</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45081000</v>
          </cell>
          <cell r="AV46">
            <v>45081000</v>
          </cell>
        </row>
        <row r="47">
          <cell r="A47">
            <v>7350000</v>
          </cell>
          <cell r="B47" t="str">
            <v>هزينه حق المشاوره حقوقى وساير حق المشاوره ها</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20860476</v>
          </cell>
          <cell r="R47">
            <v>71062800</v>
          </cell>
          <cell r="S47">
            <v>91923276</v>
          </cell>
          <cell r="T47">
            <v>0</v>
          </cell>
          <cell r="U47">
            <v>0</v>
          </cell>
          <cell r="V47">
            <v>0</v>
          </cell>
          <cell r="W47">
            <v>0</v>
          </cell>
          <cell r="X47">
            <v>36818760</v>
          </cell>
          <cell r="Y47">
            <v>0</v>
          </cell>
          <cell r="Z47">
            <v>0</v>
          </cell>
          <cell r="AA47">
            <v>0</v>
          </cell>
          <cell r="AB47">
            <v>0</v>
          </cell>
          <cell r="AC47">
            <v>66637191</v>
          </cell>
          <cell r="AD47">
            <v>0</v>
          </cell>
          <cell r="AE47">
            <v>63457392</v>
          </cell>
          <cell r="AF47">
            <v>0</v>
          </cell>
          <cell r="AG47">
            <v>0</v>
          </cell>
          <cell r="AH47">
            <v>166913343</v>
          </cell>
          <cell r="AI47">
            <v>166913343</v>
          </cell>
          <cell r="AJ47">
            <v>72297648</v>
          </cell>
          <cell r="AK47">
            <v>781120740</v>
          </cell>
          <cell r="AL47">
            <v>158936080</v>
          </cell>
          <cell r="AM47">
            <v>0</v>
          </cell>
          <cell r="AN47">
            <v>0</v>
          </cell>
          <cell r="AO47">
            <v>38167806</v>
          </cell>
          <cell r="AP47">
            <v>0</v>
          </cell>
          <cell r="AQ47">
            <v>41105480</v>
          </cell>
          <cell r="AR47">
            <v>0</v>
          </cell>
          <cell r="AS47">
            <v>0</v>
          </cell>
          <cell r="AT47">
            <v>42508660</v>
          </cell>
          <cell r="AU47">
            <v>41189820</v>
          </cell>
          <cell r="AV47">
            <v>1175326234</v>
          </cell>
        </row>
        <row r="48">
          <cell r="A48">
            <v>7376000</v>
          </cell>
          <cell r="B48" t="str">
            <v>هزينه اجاره</v>
          </cell>
        </row>
        <row r="49">
          <cell r="A49">
            <v>7325000</v>
          </cell>
          <cell r="B49" t="str">
            <v>هزينه ضايعات مواد اوليه وبسته بندي</v>
          </cell>
        </row>
        <row r="50">
          <cell r="A50">
            <v>7351000</v>
          </cell>
          <cell r="B50" t="str">
            <v>حق الزحمه بازرس قانوني وحسابرسي</v>
          </cell>
        </row>
        <row r="51">
          <cell r="A51">
            <v>7352000</v>
          </cell>
          <cell r="B51" t="str">
            <v>هزينه پشتيباني سيستم هاي مكانيزه</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21202222</v>
          </cell>
          <cell r="AQ51">
            <v>0</v>
          </cell>
          <cell r="AR51">
            <v>0</v>
          </cell>
          <cell r="AS51">
            <v>0</v>
          </cell>
          <cell r="AT51">
            <v>0</v>
          </cell>
          <cell r="AU51">
            <v>0</v>
          </cell>
          <cell r="AV51">
            <v>21202222</v>
          </cell>
        </row>
        <row r="52">
          <cell r="A52">
            <v>7353100</v>
          </cell>
          <cell r="B52" t="str">
            <v>هزينه جابجايى بين کدها (داخل انبار )</v>
          </cell>
          <cell r="C52">
            <v>0</v>
          </cell>
          <cell r="D52">
            <v>0</v>
          </cell>
          <cell r="E52">
            <v>0</v>
          </cell>
          <cell r="F52">
            <v>0</v>
          </cell>
          <cell r="G52">
            <v>0</v>
          </cell>
          <cell r="H52">
            <v>0</v>
          </cell>
          <cell r="I52">
            <v>0</v>
          </cell>
          <cell r="J52">
            <v>0</v>
          </cell>
          <cell r="K52">
            <v>0</v>
          </cell>
          <cell r="L52">
            <v>0</v>
          </cell>
          <cell r="M52">
            <v>0</v>
          </cell>
          <cell r="N52">
            <v>0</v>
          </cell>
          <cell r="O52">
            <v>0</v>
          </cell>
          <cell r="P52">
            <v>39692</v>
          </cell>
          <cell r="Q52">
            <v>0</v>
          </cell>
          <cell r="R52">
            <v>0</v>
          </cell>
          <cell r="S52">
            <v>39692</v>
          </cell>
          <cell r="T52">
            <v>0</v>
          </cell>
          <cell r="U52">
            <v>0</v>
          </cell>
          <cell r="V52">
            <v>0</v>
          </cell>
          <cell r="W52">
            <v>0</v>
          </cell>
          <cell r="X52">
            <v>0</v>
          </cell>
          <cell r="Y52">
            <v>1069908</v>
          </cell>
          <cell r="Z52">
            <v>0</v>
          </cell>
          <cell r="AA52">
            <v>0</v>
          </cell>
          <cell r="AB52">
            <v>0</v>
          </cell>
          <cell r="AC52">
            <v>0</v>
          </cell>
          <cell r="AD52">
            <v>0</v>
          </cell>
          <cell r="AE52">
            <v>0</v>
          </cell>
          <cell r="AF52">
            <v>0</v>
          </cell>
          <cell r="AG52">
            <v>0</v>
          </cell>
          <cell r="AH52">
            <v>1069908</v>
          </cell>
          <cell r="AI52">
            <v>1069908</v>
          </cell>
          <cell r="AJ52">
            <v>0</v>
          </cell>
          <cell r="AK52">
            <v>0</v>
          </cell>
          <cell r="AL52">
            <v>0</v>
          </cell>
          <cell r="AM52">
            <v>0</v>
          </cell>
          <cell r="AN52">
            <v>0</v>
          </cell>
          <cell r="AO52">
            <v>0</v>
          </cell>
          <cell r="AP52">
            <v>0</v>
          </cell>
          <cell r="AQ52">
            <v>0</v>
          </cell>
          <cell r="AR52">
            <v>0</v>
          </cell>
          <cell r="AS52">
            <v>0</v>
          </cell>
          <cell r="AT52">
            <v>0</v>
          </cell>
          <cell r="AU52">
            <v>0</v>
          </cell>
          <cell r="AV52">
            <v>0</v>
          </cell>
        </row>
        <row r="53">
          <cell r="A53">
            <v>7354000</v>
          </cell>
          <cell r="B53" t="str">
            <v>حق الزحمه سايرخدمات حرفه اى ومشاوره اى</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25000000</v>
          </cell>
          <cell r="AU53">
            <v>0</v>
          </cell>
          <cell r="AV53">
            <v>25000000</v>
          </cell>
        </row>
        <row r="54">
          <cell r="A54">
            <v>7355000</v>
          </cell>
          <cell r="B54" t="str">
            <v>هزينه حق الزحمه هيات مديره</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59500000</v>
          </cell>
          <cell r="AL54">
            <v>0</v>
          </cell>
          <cell r="AM54">
            <v>0</v>
          </cell>
          <cell r="AN54">
            <v>0</v>
          </cell>
          <cell r="AO54">
            <v>0</v>
          </cell>
          <cell r="AP54">
            <v>0</v>
          </cell>
          <cell r="AQ54">
            <v>0</v>
          </cell>
          <cell r="AR54">
            <v>0</v>
          </cell>
          <cell r="AS54">
            <v>0</v>
          </cell>
          <cell r="AT54">
            <v>0</v>
          </cell>
          <cell r="AU54">
            <v>0</v>
          </cell>
          <cell r="AV54">
            <v>59500000</v>
          </cell>
        </row>
        <row r="55">
          <cell r="A55">
            <v>7356000</v>
          </cell>
          <cell r="B55" t="str">
            <v>هزينه هاى ثبتى ومحضرى</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550000</v>
          </cell>
          <cell r="AD55">
            <v>0</v>
          </cell>
          <cell r="AE55">
            <v>0</v>
          </cell>
          <cell r="AF55">
            <v>0</v>
          </cell>
          <cell r="AG55">
            <v>0</v>
          </cell>
          <cell r="AH55">
            <v>550000</v>
          </cell>
          <cell r="AI55">
            <v>550000</v>
          </cell>
          <cell r="AJ55">
            <v>1400000</v>
          </cell>
          <cell r="AK55">
            <v>500000</v>
          </cell>
          <cell r="AL55">
            <v>0</v>
          </cell>
          <cell r="AM55">
            <v>0</v>
          </cell>
          <cell r="AN55">
            <v>0</v>
          </cell>
          <cell r="AO55">
            <v>0</v>
          </cell>
          <cell r="AP55">
            <v>0</v>
          </cell>
          <cell r="AQ55">
            <v>80000</v>
          </cell>
          <cell r="AR55">
            <v>0</v>
          </cell>
          <cell r="AS55">
            <v>0</v>
          </cell>
          <cell r="AT55">
            <v>0</v>
          </cell>
          <cell r="AU55">
            <v>0</v>
          </cell>
          <cell r="AV55">
            <v>1980000</v>
          </cell>
        </row>
        <row r="56">
          <cell r="A56">
            <v>7357000</v>
          </cell>
          <cell r="B56" t="str">
            <v>هزينه هاى عوارض</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34759000</v>
          </cell>
          <cell r="AD56">
            <v>0</v>
          </cell>
          <cell r="AE56">
            <v>48000</v>
          </cell>
          <cell r="AF56">
            <v>0</v>
          </cell>
          <cell r="AG56">
            <v>480000</v>
          </cell>
          <cell r="AH56">
            <v>35287000</v>
          </cell>
          <cell r="AI56">
            <v>35287000</v>
          </cell>
          <cell r="AJ56">
            <v>492000</v>
          </cell>
          <cell r="AK56">
            <v>2477000</v>
          </cell>
          <cell r="AL56">
            <v>0</v>
          </cell>
          <cell r="AM56">
            <v>0</v>
          </cell>
          <cell r="AN56">
            <v>0</v>
          </cell>
          <cell r="AO56">
            <v>-105557000</v>
          </cell>
          <cell r="AP56">
            <v>0</v>
          </cell>
          <cell r="AQ56">
            <v>253500</v>
          </cell>
          <cell r="AR56">
            <v>0</v>
          </cell>
          <cell r="AS56">
            <v>0</v>
          </cell>
          <cell r="AT56">
            <v>250000</v>
          </cell>
          <cell r="AU56">
            <v>0</v>
          </cell>
          <cell r="AV56">
            <v>-102084500</v>
          </cell>
        </row>
        <row r="57">
          <cell r="A57">
            <v>7358000</v>
          </cell>
          <cell r="B57" t="str">
            <v>هزينه سه درهزارفروش سهم وزارت صنايع</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1898226385</v>
          </cell>
          <cell r="AP57">
            <v>0</v>
          </cell>
          <cell r="AQ57">
            <v>0</v>
          </cell>
          <cell r="AR57">
            <v>0</v>
          </cell>
          <cell r="AS57">
            <v>0</v>
          </cell>
          <cell r="AT57">
            <v>0</v>
          </cell>
          <cell r="AU57">
            <v>0</v>
          </cell>
          <cell r="AV57">
            <v>1898226385</v>
          </cell>
        </row>
        <row r="58">
          <cell r="A58">
            <v>7359000</v>
          </cell>
          <cell r="B58" t="str">
            <v>يك درصدبازآموزي ونوآموزي</v>
          </cell>
        </row>
        <row r="59">
          <cell r="A59">
            <v>7361000</v>
          </cell>
          <cell r="B59" t="str">
            <v>هزينه هاى آزمايشگاهى مواد</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4693300</v>
          </cell>
          <cell r="AM59">
            <v>0</v>
          </cell>
          <cell r="AN59">
            <v>0</v>
          </cell>
          <cell r="AO59">
            <v>0</v>
          </cell>
          <cell r="AP59">
            <v>0</v>
          </cell>
          <cell r="AQ59">
            <v>0</v>
          </cell>
          <cell r="AR59">
            <v>0</v>
          </cell>
          <cell r="AS59">
            <v>0</v>
          </cell>
          <cell r="AT59">
            <v>0</v>
          </cell>
          <cell r="AU59">
            <v>199982456</v>
          </cell>
          <cell r="AV59">
            <v>204675756</v>
          </cell>
        </row>
        <row r="60">
          <cell r="A60">
            <v>7364000</v>
          </cell>
          <cell r="B60" t="str">
            <v>هزينه حمل ونگهدارى</v>
          </cell>
          <cell r="C60">
            <v>0</v>
          </cell>
          <cell r="D60">
            <v>0</v>
          </cell>
          <cell r="E60">
            <v>0</v>
          </cell>
          <cell r="F60">
            <v>0</v>
          </cell>
          <cell r="G60">
            <v>0</v>
          </cell>
          <cell r="H60">
            <v>0</v>
          </cell>
          <cell r="I60">
            <v>0</v>
          </cell>
          <cell r="J60">
            <v>0</v>
          </cell>
          <cell r="K60">
            <v>0</v>
          </cell>
          <cell r="L60">
            <v>0</v>
          </cell>
          <cell r="M60">
            <v>0</v>
          </cell>
          <cell r="N60">
            <v>80000</v>
          </cell>
          <cell r="O60">
            <v>0</v>
          </cell>
          <cell r="P60">
            <v>0</v>
          </cell>
          <cell r="Q60">
            <v>0</v>
          </cell>
          <cell r="R60">
            <v>0</v>
          </cell>
          <cell r="S60">
            <v>80000</v>
          </cell>
          <cell r="T60">
            <v>0</v>
          </cell>
          <cell r="U60">
            <v>1450000</v>
          </cell>
          <cell r="V60">
            <v>4354000</v>
          </cell>
          <cell r="W60">
            <v>200000</v>
          </cell>
          <cell r="X60">
            <v>200000</v>
          </cell>
          <cell r="Y60">
            <v>67751998</v>
          </cell>
          <cell r="Z60">
            <v>3120000</v>
          </cell>
          <cell r="AA60">
            <v>0</v>
          </cell>
          <cell r="AB60">
            <v>0</v>
          </cell>
          <cell r="AC60">
            <v>1350000</v>
          </cell>
          <cell r="AD60">
            <v>120000</v>
          </cell>
          <cell r="AE60">
            <v>10619632</v>
          </cell>
          <cell r="AF60">
            <v>100000</v>
          </cell>
          <cell r="AG60">
            <v>16250000</v>
          </cell>
          <cell r="AH60">
            <v>105515630</v>
          </cell>
          <cell r="AI60">
            <v>105515630</v>
          </cell>
          <cell r="AJ60">
            <v>13739000</v>
          </cell>
          <cell r="AK60">
            <v>570000</v>
          </cell>
          <cell r="AL60">
            <v>0</v>
          </cell>
          <cell r="AM60">
            <v>0</v>
          </cell>
          <cell r="AN60">
            <v>0</v>
          </cell>
          <cell r="AO60">
            <v>0</v>
          </cell>
          <cell r="AP60">
            <v>530000</v>
          </cell>
          <cell r="AQ60">
            <v>2670000</v>
          </cell>
          <cell r="AR60">
            <v>48875500</v>
          </cell>
          <cell r="AS60">
            <v>0</v>
          </cell>
          <cell r="AT60">
            <v>260000</v>
          </cell>
          <cell r="AU60">
            <v>1130000</v>
          </cell>
          <cell r="AV60">
            <v>67774500</v>
          </cell>
        </row>
        <row r="61">
          <cell r="A61">
            <v>7367000</v>
          </cell>
          <cell r="B61" t="str">
            <v>هزينه حق عضويت</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5848000</v>
          </cell>
          <cell r="AM61">
            <v>0</v>
          </cell>
          <cell r="AN61">
            <v>0</v>
          </cell>
          <cell r="AO61">
            <v>0</v>
          </cell>
          <cell r="AP61">
            <v>0</v>
          </cell>
          <cell r="AQ61">
            <v>0</v>
          </cell>
          <cell r="AR61">
            <v>0</v>
          </cell>
          <cell r="AS61">
            <v>0</v>
          </cell>
          <cell r="AT61">
            <v>0</v>
          </cell>
          <cell r="AU61">
            <v>14908800</v>
          </cell>
          <cell r="AV61">
            <v>20756800</v>
          </cell>
        </row>
        <row r="62">
          <cell r="A62">
            <v>7368000</v>
          </cell>
          <cell r="B62" t="str">
            <v>هزينه تبليغات</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682718230</v>
          </cell>
          <cell r="AK62">
            <v>0</v>
          </cell>
          <cell r="AL62">
            <v>0</v>
          </cell>
          <cell r="AM62">
            <v>0</v>
          </cell>
          <cell r="AN62">
            <v>0</v>
          </cell>
          <cell r="AO62">
            <v>0</v>
          </cell>
          <cell r="AP62">
            <v>0</v>
          </cell>
          <cell r="AQ62">
            <v>0</v>
          </cell>
          <cell r="AR62">
            <v>0</v>
          </cell>
          <cell r="AS62">
            <v>0</v>
          </cell>
          <cell r="AT62">
            <v>0</v>
          </cell>
          <cell r="AU62">
            <v>0</v>
          </cell>
          <cell r="AV62">
            <v>682718230</v>
          </cell>
        </row>
        <row r="63">
          <cell r="A63">
            <v>7368100</v>
          </cell>
          <cell r="B63" t="str">
            <v>هزينه پورسانت</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1453423733</v>
          </cell>
          <cell r="AK63">
            <v>0</v>
          </cell>
          <cell r="AL63">
            <v>0</v>
          </cell>
          <cell r="AM63">
            <v>0</v>
          </cell>
          <cell r="AN63">
            <v>0</v>
          </cell>
          <cell r="AO63">
            <v>0</v>
          </cell>
          <cell r="AP63">
            <v>0</v>
          </cell>
          <cell r="AQ63">
            <v>0</v>
          </cell>
          <cell r="AR63">
            <v>0</v>
          </cell>
          <cell r="AS63">
            <v>0</v>
          </cell>
          <cell r="AT63">
            <v>0</v>
          </cell>
          <cell r="AU63">
            <v>0</v>
          </cell>
          <cell r="AV63">
            <v>1453423733</v>
          </cell>
        </row>
        <row r="64">
          <cell r="A64">
            <v>7369000</v>
          </cell>
          <cell r="B64" t="str">
            <v>هزينه کارمزد بانکى</v>
          </cell>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72000</v>
          </cell>
          <cell r="AD64">
            <v>0</v>
          </cell>
          <cell r="AE64">
            <v>0</v>
          </cell>
          <cell r="AF64">
            <v>0</v>
          </cell>
          <cell r="AG64">
            <v>0</v>
          </cell>
          <cell r="AH64">
            <v>72000</v>
          </cell>
          <cell r="AI64">
            <v>72000</v>
          </cell>
          <cell r="AJ64">
            <v>0</v>
          </cell>
          <cell r="AK64">
            <v>0</v>
          </cell>
          <cell r="AL64">
            <v>0</v>
          </cell>
          <cell r="AM64">
            <v>0</v>
          </cell>
          <cell r="AN64">
            <v>0</v>
          </cell>
          <cell r="AO64">
            <v>130738729</v>
          </cell>
          <cell r="AP64">
            <v>0</v>
          </cell>
          <cell r="AQ64">
            <v>321500</v>
          </cell>
          <cell r="AR64">
            <v>40000</v>
          </cell>
          <cell r="AS64">
            <v>0</v>
          </cell>
          <cell r="AT64">
            <v>0</v>
          </cell>
          <cell r="AU64">
            <v>0</v>
          </cell>
          <cell r="AV64">
            <v>131100229</v>
          </cell>
        </row>
        <row r="65">
          <cell r="A65">
            <v>7371000</v>
          </cell>
          <cell r="B65" t="str">
            <v>هزینه مطالبات سوخت و مشکوک الوصول غیر تجاری</v>
          </cell>
        </row>
        <row r="66">
          <cell r="A66">
            <v>7372000</v>
          </cell>
          <cell r="B66" t="str">
            <v>هزينه مراسم وپذيرائى</v>
          </cell>
          <cell r="C66">
            <v>0</v>
          </cell>
          <cell r="D66">
            <v>0</v>
          </cell>
          <cell r="E66">
            <v>0</v>
          </cell>
          <cell r="F66">
            <v>0</v>
          </cell>
          <cell r="G66">
            <v>0</v>
          </cell>
          <cell r="H66">
            <v>0</v>
          </cell>
          <cell r="I66">
            <v>0</v>
          </cell>
          <cell r="J66">
            <v>0</v>
          </cell>
          <cell r="K66">
            <v>0</v>
          </cell>
          <cell r="L66">
            <v>165000</v>
          </cell>
          <cell r="M66">
            <v>0</v>
          </cell>
          <cell r="N66">
            <v>14754500</v>
          </cell>
          <cell r="O66">
            <v>0</v>
          </cell>
          <cell r="P66">
            <v>0</v>
          </cell>
          <cell r="Q66">
            <v>0</v>
          </cell>
          <cell r="R66">
            <v>3790000</v>
          </cell>
          <cell r="S66">
            <v>18709500</v>
          </cell>
          <cell r="T66">
            <v>0</v>
          </cell>
          <cell r="U66">
            <v>31451000</v>
          </cell>
          <cell r="V66">
            <v>3065000</v>
          </cell>
          <cell r="W66">
            <v>0</v>
          </cell>
          <cell r="X66">
            <v>6822250</v>
          </cell>
          <cell r="Y66">
            <v>0</v>
          </cell>
          <cell r="Z66">
            <v>0</v>
          </cell>
          <cell r="AA66">
            <v>120000</v>
          </cell>
          <cell r="AB66">
            <v>0</v>
          </cell>
          <cell r="AC66">
            <v>930000</v>
          </cell>
          <cell r="AD66">
            <v>11226300</v>
          </cell>
          <cell r="AE66">
            <v>205540830</v>
          </cell>
          <cell r="AF66">
            <v>42769800</v>
          </cell>
          <cell r="AG66">
            <v>0</v>
          </cell>
          <cell r="AH66">
            <v>301925180</v>
          </cell>
          <cell r="AI66">
            <v>301925180</v>
          </cell>
          <cell r="AJ66">
            <v>36741590</v>
          </cell>
          <cell r="AK66">
            <v>90668420</v>
          </cell>
          <cell r="AL66">
            <v>380000</v>
          </cell>
          <cell r="AM66">
            <v>2036225</v>
          </cell>
          <cell r="AN66">
            <v>0</v>
          </cell>
          <cell r="AO66">
            <v>-189000000</v>
          </cell>
          <cell r="AP66">
            <v>55000</v>
          </cell>
          <cell r="AQ66">
            <v>11492597</v>
          </cell>
          <cell r="AR66">
            <v>2688800</v>
          </cell>
          <cell r="AS66">
            <v>36342500</v>
          </cell>
          <cell r="AT66">
            <v>0</v>
          </cell>
          <cell r="AU66">
            <v>1996689</v>
          </cell>
          <cell r="AV66">
            <v>-6598179</v>
          </cell>
        </row>
        <row r="67">
          <cell r="A67">
            <v>7373000</v>
          </cell>
          <cell r="B67" t="str">
            <v>هزينه اشتراک</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25431210</v>
          </cell>
          <cell r="AK67">
            <v>930000</v>
          </cell>
          <cell r="AL67">
            <v>0</v>
          </cell>
          <cell r="AM67">
            <v>0</v>
          </cell>
          <cell r="AN67">
            <v>0</v>
          </cell>
          <cell r="AO67">
            <v>50000000</v>
          </cell>
          <cell r="AP67">
            <v>71456707</v>
          </cell>
          <cell r="AQ67">
            <v>32821555</v>
          </cell>
          <cell r="AR67">
            <v>0</v>
          </cell>
          <cell r="AS67">
            <v>0</v>
          </cell>
          <cell r="AT67">
            <v>0</v>
          </cell>
          <cell r="AU67">
            <v>0</v>
          </cell>
          <cell r="AV67">
            <v>180639472</v>
          </cell>
        </row>
        <row r="68">
          <cell r="A68">
            <v>7374001</v>
          </cell>
          <cell r="B68" t="str">
            <v>هزينه آب</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736200</v>
          </cell>
          <cell r="AK68">
            <v>0</v>
          </cell>
          <cell r="AL68">
            <v>0</v>
          </cell>
          <cell r="AM68">
            <v>0</v>
          </cell>
          <cell r="AN68">
            <v>0</v>
          </cell>
          <cell r="AO68">
            <v>0</v>
          </cell>
          <cell r="AP68">
            <v>0</v>
          </cell>
          <cell r="AQ68">
            <v>0</v>
          </cell>
          <cell r="AR68">
            <v>0</v>
          </cell>
          <cell r="AS68">
            <v>0</v>
          </cell>
          <cell r="AT68">
            <v>0</v>
          </cell>
          <cell r="AU68">
            <v>0</v>
          </cell>
          <cell r="AV68">
            <v>736200</v>
          </cell>
        </row>
        <row r="69">
          <cell r="A69">
            <v>7374002</v>
          </cell>
          <cell r="B69" t="str">
            <v>هزينه برق</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1374785548</v>
          </cell>
          <cell r="W69">
            <v>0</v>
          </cell>
          <cell r="X69">
            <v>0</v>
          </cell>
          <cell r="Y69">
            <v>0</v>
          </cell>
          <cell r="Z69">
            <v>0</v>
          </cell>
          <cell r="AA69">
            <v>0</v>
          </cell>
          <cell r="AB69">
            <v>0</v>
          </cell>
          <cell r="AC69">
            <v>0</v>
          </cell>
          <cell r="AD69">
            <v>0</v>
          </cell>
          <cell r="AE69">
            <v>0</v>
          </cell>
          <cell r="AF69">
            <v>0</v>
          </cell>
          <cell r="AG69">
            <v>0</v>
          </cell>
          <cell r="AH69">
            <v>1374785548</v>
          </cell>
          <cell r="AI69">
            <v>1374785548</v>
          </cell>
          <cell r="AJ69">
            <v>7115000</v>
          </cell>
          <cell r="AK69">
            <v>0</v>
          </cell>
          <cell r="AL69">
            <v>0</v>
          </cell>
          <cell r="AM69">
            <v>0</v>
          </cell>
          <cell r="AN69">
            <v>0</v>
          </cell>
          <cell r="AO69">
            <v>0</v>
          </cell>
          <cell r="AP69">
            <v>0</v>
          </cell>
          <cell r="AQ69">
            <v>0</v>
          </cell>
          <cell r="AR69">
            <v>0</v>
          </cell>
          <cell r="AS69">
            <v>0</v>
          </cell>
          <cell r="AT69">
            <v>0</v>
          </cell>
          <cell r="AU69">
            <v>0</v>
          </cell>
          <cell r="AV69">
            <v>7115000</v>
          </cell>
        </row>
        <row r="70">
          <cell r="A70">
            <v>7374003</v>
          </cell>
          <cell r="B70" t="str">
            <v>هزينه گاز</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880865355</v>
          </cell>
          <cell r="W70">
            <v>0</v>
          </cell>
          <cell r="X70">
            <v>0</v>
          </cell>
          <cell r="Y70">
            <v>0</v>
          </cell>
          <cell r="Z70">
            <v>0</v>
          </cell>
          <cell r="AA70">
            <v>0</v>
          </cell>
          <cell r="AB70">
            <v>0</v>
          </cell>
          <cell r="AC70">
            <v>0</v>
          </cell>
          <cell r="AD70">
            <v>0</v>
          </cell>
          <cell r="AE70">
            <v>0</v>
          </cell>
          <cell r="AF70">
            <v>0</v>
          </cell>
          <cell r="AG70">
            <v>0</v>
          </cell>
          <cell r="AH70">
            <v>880865355</v>
          </cell>
          <cell r="AI70">
            <v>880865355</v>
          </cell>
          <cell r="AJ70">
            <v>6836200</v>
          </cell>
          <cell r="AK70">
            <v>0</v>
          </cell>
          <cell r="AL70">
            <v>0</v>
          </cell>
          <cell r="AM70">
            <v>0</v>
          </cell>
          <cell r="AN70">
            <v>0</v>
          </cell>
          <cell r="AO70">
            <v>0</v>
          </cell>
          <cell r="AP70">
            <v>0</v>
          </cell>
          <cell r="AQ70">
            <v>0</v>
          </cell>
          <cell r="AR70">
            <v>0</v>
          </cell>
          <cell r="AS70">
            <v>0</v>
          </cell>
          <cell r="AT70">
            <v>0</v>
          </cell>
          <cell r="AU70">
            <v>0</v>
          </cell>
          <cell r="AV70">
            <v>6836200</v>
          </cell>
        </row>
        <row r="71">
          <cell r="A71">
            <v>7374004</v>
          </cell>
          <cell r="B71" t="str">
            <v>هزينه سوخت</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80000</v>
          </cell>
          <cell r="W71">
            <v>0</v>
          </cell>
          <cell r="X71">
            <v>160000</v>
          </cell>
          <cell r="Y71">
            <v>7323475</v>
          </cell>
          <cell r="Z71">
            <v>0</v>
          </cell>
          <cell r="AA71">
            <v>0</v>
          </cell>
          <cell r="AB71">
            <v>0</v>
          </cell>
          <cell r="AC71">
            <v>7516000</v>
          </cell>
          <cell r="AD71">
            <v>200000</v>
          </cell>
          <cell r="AE71">
            <v>1588000</v>
          </cell>
          <cell r="AF71">
            <v>0</v>
          </cell>
          <cell r="AG71">
            <v>0</v>
          </cell>
          <cell r="AH71">
            <v>16867475</v>
          </cell>
          <cell r="AI71">
            <v>16867475</v>
          </cell>
          <cell r="AJ71">
            <v>0</v>
          </cell>
          <cell r="AK71">
            <v>18216000</v>
          </cell>
          <cell r="AL71">
            <v>0</v>
          </cell>
          <cell r="AM71">
            <v>0</v>
          </cell>
          <cell r="AN71">
            <v>0</v>
          </cell>
          <cell r="AO71">
            <v>0</v>
          </cell>
          <cell r="AP71">
            <v>0</v>
          </cell>
          <cell r="AQ71">
            <v>2580000</v>
          </cell>
          <cell r="AR71">
            <v>910000</v>
          </cell>
          <cell r="AS71">
            <v>0</v>
          </cell>
          <cell r="AT71">
            <v>784000</v>
          </cell>
          <cell r="AU71">
            <v>0</v>
          </cell>
          <cell r="AV71">
            <v>22490000</v>
          </cell>
        </row>
        <row r="72">
          <cell r="A72">
            <v>7374009</v>
          </cell>
          <cell r="B72" t="str">
            <v>هزينه تلفن -تلکس</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58161371</v>
          </cell>
          <cell r="AF72">
            <v>0</v>
          </cell>
          <cell r="AG72">
            <v>0</v>
          </cell>
          <cell r="AH72">
            <v>58161371</v>
          </cell>
          <cell r="AI72">
            <v>58161371</v>
          </cell>
          <cell r="AJ72">
            <v>5661000</v>
          </cell>
          <cell r="AK72">
            <v>1243000</v>
          </cell>
          <cell r="AL72">
            <v>0</v>
          </cell>
          <cell r="AM72">
            <v>0</v>
          </cell>
          <cell r="AN72">
            <v>0</v>
          </cell>
          <cell r="AO72">
            <v>0</v>
          </cell>
          <cell r="AP72">
            <v>0</v>
          </cell>
          <cell r="AQ72">
            <v>0</v>
          </cell>
          <cell r="AR72">
            <v>0</v>
          </cell>
          <cell r="AS72">
            <v>0</v>
          </cell>
          <cell r="AT72">
            <v>0</v>
          </cell>
          <cell r="AU72">
            <v>0</v>
          </cell>
          <cell r="AV72">
            <v>6904000</v>
          </cell>
        </row>
        <row r="73">
          <cell r="A73">
            <v>7375000</v>
          </cell>
          <cell r="B73" t="str">
            <v xml:space="preserve"> هزينه كارشناسان رسمي</v>
          </cell>
        </row>
        <row r="74">
          <cell r="A74">
            <v>7366000</v>
          </cell>
          <cell r="B74" t="str">
            <v>سايرهزينه هاي بانكي</v>
          </cell>
        </row>
        <row r="75">
          <cell r="A75">
            <v>7377000</v>
          </cell>
          <cell r="B75" t="str">
            <v>هزينه مميزى    ISO</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22398947</v>
          </cell>
          <cell r="AV75">
            <v>22398947</v>
          </cell>
        </row>
        <row r="76">
          <cell r="A76">
            <v>7378000</v>
          </cell>
          <cell r="B76" t="str">
            <v>هزينه آگهى</v>
          </cell>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26300000</v>
          </cell>
          <cell r="AK76">
            <v>0</v>
          </cell>
          <cell r="AL76">
            <v>0</v>
          </cell>
          <cell r="AM76">
            <v>0</v>
          </cell>
          <cell r="AN76">
            <v>0</v>
          </cell>
          <cell r="AO76">
            <v>76200000</v>
          </cell>
          <cell r="AP76">
            <v>0</v>
          </cell>
          <cell r="AQ76">
            <v>0</v>
          </cell>
          <cell r="AR76">
            <v>0</v>
          </cell>
          <cell r="AS76">
            <v>0</v>
          </cell>
          <cell r="AT76">
            <v>0</v>
          </cell>
          <cell r="AU76">
            <v>0</v>
          </cell>
          <cell r="AV76">
            <v>102500000</v>
          </cell>
        </row>
        <row r="77">
          <cell r="A77">
            <v>7379000</v>
          </cell>
          <cell r="B77" t="str">
            <v>هزينه انتشارات</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23700768</v>
          </cell>
          <cell r="AV77">
            <v>23700768</v>
          </cell>
        </row>
        <row r="78">
          <cell r="A78">
            <v>7380006</v>
          </cell>
          <cell r="B78" t="str">
            <v>هزينه بيمه وسائطنقليه</v>
          </cell>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925534</v>
          </cell>
          <cell r="Y78">
            <v>0</v>
          </cell>
          <cell r="Z78">
            <v>0</v>
          </cell>
          <cell r="AA78">
            <v>0</v>
          </cell>
          <cell r="AB78">
            <v>0</v>
          </cell>
          <cell r="AC78">
            <v>7971382</v>
          </cell>
          <cell r="AD78">
            <v>0</v>
          </cell>
          <cell r="AE78">
            <v>214316</v>
          </cell>
          <cell r="AF78">
            <v>0</v>
          </cell>
          <cell r="AG78">
            <v>3335103</v>
          </cell>
          <cell r="AH78">
            <v>12446335</v>
          </cell>
          <cell r="AI78">
            <v>12446335</v>
          </cell>
          <cell r="AJ78">
            <v>0</v>
          </cell>
          <cell r="AK78">
            <v>36590467</v>
          </cell>
          <cell r="AL78">
            <v>0</v>
          </cell>
          <cell r="AM78">
            <v>0</v>
          </cell>
          <cell r="AN78">
            <v>0</v>
          </cell>
          <cell r="AO78">
            <v>0</v>
          </cell>
          <cell r="AP78">
            <v>0</v>
          </cell>
          <cell r="AQ78">
            <v>885764</v>
          </cell>
          <cell r="AR78">
            <v>0</v>
          </cell>
          <cell r="AS78">
            <v>0</v>
          </cell>
          <cell r="AT78">
            <v>2903943</v>
          </cell>
          <cell r="AU78">
            <v>0</v>
          </cell>
          <cell r="AV78">
            <v>40380174</v>
          </cell>
        </row>
        <row r="79">
          <cell r="A79">
            <v>7380010</v>
          </cell>
          <cell r="B79" t="str">
            <v>هزينه بيمه مسئولیت مدنی کارفرما</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115923641</v>
          </cell>
          <cell r="AF79">
            <v>0</v>
          </cell>
          <cell r="AG79">
            <v>0</v>
          </cell>
          <cell r="AH79">
            <v>115923641</v>
          </cell>
          <cell r="AI79">
            <v>115923641</v>
          </cell>
          <cell r="AJ79">
            <v>0</v>
          </cell>
          <cell r="AK79">
            <v>0</v>
          </cell>
          <cell r="AL79">
            <v>0</v>
          </cell>
          <cell r="AM79">
            <v>0</v>
          </cell>
          <cell r="AN79">
            <v>0</v>
          </cell>
          <cell r="AO79">
            <v>0</v>
          </cell>
          <cell r="AP79">
            <v>0</v>
          </cell>
          <cell r="AQ79">
            <v>0</v>
          </cell>
          <cell r="AR79">
            <v>0</v>
          </cell>
          <cell r="AS79">
            <v>0</v>
          </cell>
          <cell r="AT79">
            <v>0</v>
          </cell>
          <cell r="AU79">
            <v>0</v>
          </cell>
          <cell r="AV79">
            <v>0</v>
          </cell>
        </row>
        <row r="80">
          <cell r="A80">
            <v>7380002</v>
          </cell>
          <cell r="B80" t="str">
            <v>هزينه بيمه موجوديها</v>
          </cell>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96447939</v>
          </cell>
          <cell r="Z80">
            <v>0</v>
          </cell>
          <cell r="AA80">
            <v>0</v>
          </cell>
          <cell r="AB80">
            <v>0</v>
          </cell>
          <cell r="AC80">
            <v>0</v>
          </cell>
          <cell r="AD80">
            <v>0</v>
          </cell>
          <cell r="AE80">
            <v>113637525</v>
          </cell>
          <cell r="AF80">
            <v>0</v>
          </cell>
          <cell r="AG80">
            <v>0</v>
          </cell>
          <cell r="AH80">
            <v>210085464</v>
          </cell>
          <cell r="AI80">
            <v>210085464</v>
          </cell>
          <cell r="AJ80">
            <v>0</v>
          </cell>
          <cell r="AK80">
            <v>0</v>
          </cell>
          <cell r="AL80">
            <v>0</v>
          </cell>
          <cell r="AM80">
            <v>0</v>
          </cell>
          <cell r="AN80">
            <v>0</v>
          </cell>
          <cell r="AO80">
            <v>0</v>
          </cell>
          <cell r="AP80">
            <v>0</v>
          </cell>
          <cell r="AQ80">
            <v>0</v>
          </cell>
          <cell r="AR80">
            <v>0</v>
          </cell>
          <cell r="AS80">
            <v>0</v>
          </cell>
          <cell r="AT80">
            <v>0</v>
          </cell>
          <cell r="AU80">
            <v>0</v>
          </cell>
          <cell r="AV80">
            <v>0</v>
          </cell>
        </row>
        <row r="81">
          <cell r="A81">
            <v>7380003</v>
          </cell>
          <cell r="B81" t="str">
            <v>هزينه بيمه ساختمانها</v>
          </cell>
          <cell r="C81">
            <v>2373469</v>
          </cell>
          <cell r="D81">
            <v>914841</v>
          </cell>
          <cell r="E81">
            <v>1055586</v>
          </cell>
          <cell r="F81">
            <v>716519</v>
          </cell>
          <cell r="G81">
            <v>2827691</v>
          </cell>
          <cell r="H81">
            <v>748506</v>
          </cell>
          <cell r="I81">
            <v>1912850</v>
          </cell>
          <cell r="J81">
            <v>2117569</v>
          </cell>
          <cell r="K81">
            <v>1560988</v>
          </cell>
          <cell r="L81">
            <v>371054</v>
          </cell>
          <cell r="M81">
            <v>818879</v>
          </cell>
          <cell r="N81">
            <v>4932465</v>
          </cell>
          <cell r="O81">
            <v>3064398</v>
          </cell>
          <cell r="P81">
            <v>2136766</v>
          </cell>
          <cell r="Q81">
            <v>0</v>
          </cell>
          <cell r="R81">
            <v>0</v>
          </cell>
          <cell r="S81">
            <v>25551581</v>
          </cell>
          <cell r="T81">
            <v>614159</v>
          </cell>
          <cell r="U81">
            <v>1279498</v>
          </cell>
          <cell r="V81">
            <v>0</v>
          </cell>
          <cell r="W81">
            <v>0</v>
          </cell>
          <cell r="X81">
            <v>4388679</v>
          </cell>
          <cell r="Y81">
            <v>55447246</v>
          </cell>
          <cell r="Z81">
            <v>8796550</v>
          </cell>
          <cell r="AA81">
            <v>447825</v>
          </cell>
          <cell r="AB81">
            <v>108757</v>
          </cell>
          <cell r="AC81">
            <v>671737</v>
          </cell>
          <cell r="AD81">
            <v>0</v>
          </cell>
          <cell r="AE81">
            <v>0</v>
          </cell>
          <cell r="AF81">
            <v>0</v>
          </cell>
          <cell r="AG81">
            <v>0</v>
          </cell>
          <cell r="AH81">
            <v>71754451</v>
          </cell>
          <cell r="AI81">
            <v>71754451</v>
          </cell>
          <cell r="AJ81">
            <v>0</v>
          </cell>
          <cell r="AK81">
            <v>646147</v>
          </cell>
          <cell r="AL81">
            <v>486209</v>
          </cell>
          <cell r="AM81">
            <v>703724</v>
          </cell>
          <cell r="AN81">
            <v>0</v>
          </cell>
          <cell r="AO81">
            <v>0</v>
          </cell>
          <cell r="AP81">
            <v>121552</v>
          </cell>
          <cell r="AQ81">
            <v>1701733</v>
          </cell>
          <cell r="AR81">
            <v>601364</v>
          </cell>
          <cell r="AS81">
            <v>127950</v>
          </cell>
          <cell r="AT81">
            <v>0</v>
          </cell>
          <cell r="AU81">
            <v>0</v>
          </cell>
          <cell r="AV81">
            <v>4388679</v>
          </cell>
        </row>
        <row r="82">
          <cell r="A82">
            <v>7380005</v>
          </cell>
          <cell r="B82" t="str">
            <v>هزينه بيمه ماشين آلات وتجهيزات</v>
          </cell>
          <cell r="C82">
            <v>707608</v>
          </cell>
          <cell r="D82">
            <v>24622</v>
          </cell>
          <cell r="E82">
            <v>1958</v>
          </cell>
          <cell r="F82">
            <v>11232</v>
          </cell>
          <cell r="G82">
            <v>57110</v>
          </cell>
          <cell r="H82">
            <v>1563289</v>
          </cell>
          <cell r="I82">
            <v>0</v>
          </cell>
          <cell r="J82">
            <v>208233</v>
          </cell>
          <cell r="K82">
            <v>348189</v>
          </cell>
          <cell r="L82">
            <v>26070</v>
          </cell>
          <cell r="M82">
            <v>0</v>
          </cell>
          <cell r="N82">
            <v>2906336</v>
          </cell>
          <cell r="O82">
            <v>5762574</v>
          </cell>
          <cell r="P82">
            <v>3401422</v>
          </cell>
          <cell r="Q82">
            <v>3062126</v>
          </cell>
          <cell r="R82">
            <v>2741150</v>
          </cell>
          <cell r="S82">
            <v>20821919</v>
          </cell>
          <cell r="T82">
            <v>33503</v>
          </cell>
          <cell r="U82">
            <v>0</v>
          </cell>
          <cell r="V82">
            <v>28170</v>
          </cell>
          <cell r="W82">
            <v>781660</v>
          </cell>
          <cell r="X82">
            <v>1038469</v>
          </cell>
          <cell r="Y82">
            <v>34195</v>
          </cell>
          <cell r="Z82">
            <v>217626</v>
          </cell>
          <cell r="AA82">
            <v>0</v>
          </cell>
          <cell r="AB82">
            <v>0</v>
          </cell>
          <cell r="AC82">
            <v>0</v>
          </cell>
          <cell r="AD82">
            <v>0</v>
          </cell>
          <cell r="AE82">
            <v>5993</v>
          </cell>
          <cell r="AF82">
            <v>0</v>
          </cell>
          <cell r="AG82">
            <v>0</v>
          </cell>
          <cell r="AH82">
            <v>2139616</v>
          </cell>
          <cell r="AI82">
            <v>2139616</v>
          </cell>
          <cell r="AJ82">
            <v>0</v>
          </cell>
          <cell r="AK82">
            <v>0</v>
          </cell>
          <cell r="AL82">
            <v>185541</v>
          </cell>
          <cell r="AM82">
            <v>0</v>
          </cell>
          <cell r="AN82">
            <v>0</v>
          </cell>
          <cell r="AO82">
            <v>0</v>
          </cell>
          <cell r="AP82">
            <v>0</v>
          </cell>
          <cell r="AQ82">
            <v>428</v>
          </cell>
          <cell r="AR82">
            <v>0</v>
          </cell>
          <cell r="AS82">
            <v>0</v>
          </cell>
          <cell r="AT82">
            <v>0</v>
          </cell>
          <cell r="AU82">
            <v>0</v>
          </cell>
          <cell r="AV82">
            <v>185969</v>
          </cell>
        </row>
        <row r="83">
          <cell r="A83">
            <v>7380007</v>
          </cell>
          <cell r="B83" t="str">
            <v>هزينه بيمه اثاثيه ومنصوبات</v>
          </cell>
          <cell r="C83">
            <v>27001</v>
          </cell>
          <cell r="D83">
            <v>20231</v>
          </cell>
          <cell r="E83">
            <v>8320</v>
          </cell>
          <cell r="F83">
            <v>2385</v>
          </cell>
          <cell r="G83">
            <v>30097</v>
          </cell>
          <cell r="H83">
            <v>8311</v>
          </cell>
          <cell r="I83">
            <v>11771</v>
          </cell>
          <cell r="J83">
            <v>79680</v>
          </cell>
          <cell r="K83">
            <v>75442</v>
          </cell>
          <cell r="L83">
            <v>1218</v>
          </cell>
          <cell r="M83">
            <v>537993</v>
          </cell>
          <cell r="N83">
            <v>1001005</v>
          </cell>
          <cell r="O83">
            <v>6482</v>
          </cell>
          <cell r="P83">
            <v>3771</v>
          </cell>
          <cell r="Q83">
            <v>87209</v>
          </cell>
          <cell r="R83">
            <v>1304676</v>
          </cell>
          <cell r="S83">
            <v>3205592</v>
          </cell>
          <cell r="T83">
            <v>17639</v>
          </cell>
          <cell r="U83">
            <v>319123</v>
          </cell>
          <cell r="V83">
            <v>399771</v>
          </cell>
          <cell r="W83">
            <v>48241</v>
          </cell>
          <cell r="X83">
            <v>1352480</v>
          </cell>
          <cell r="Y83">
            <v>762722</v>
          </cell>
          <cell r="Z83">
            <v>157211</v>
          </cell>
          <cell r="AA83">
            <v>62790</v>
          </cell>
          <cell r="AB83">
            <v>0</v>
          </cell>
          <cell r="AC83">
            <v>71319</v>
          </cell>
          <cell r="AD83">
            <v>160260</v>
          </cell>
          <cell r="AE83">
            <v>302339</v>
          </cell>
          <cell r="AF83">
            <v>177383</v>
          </cell>
          <cell r="AG83">
            <v>6586</v>
          </cell>
          <cell r="AH83">
            <v>3837864</v>
          </cell>
          <cell r="AI83">
            <v>3837864</v>
          </cell>
          <cell r="AJ83">
            <v>212561</v>
          </cell>
          <cell r="AK83">
            <v>182659</v>
          </cell>
          <cell r="AL83">
            <v>75127</v>
          </cell>
          <cell r="AM83">
            <v>63092</v>
          </cell>
          <cell r="AN83">
            <v>0</v>
          </cell>
          <cell r="AO83">
            <v>0</v>
          </cell>
          <cell r="AP83">
            <v>122053</v>
          </cell>
          <cell r="AQ83">
            <v>83018</v>
          </cell>
          <cell r="AR83">
            <v>125741</v>
          </cell>
          <cell r="AS83">
            <v>4756</v>
          </cell>
          <cell r="AT83">
            <v>42397</v>
          </cell>
          <cell r="AU83">
            <v>146765</v>
          </cell>
          <cell r="AV83">
            <v>1058169</v>
          </cell>
        </row>
        <row r="84">
          <cell r="A84">
            <v>7395000</v>
          </cell>
          <cell r="B84" t="str">
            <v>هزينه ماليات بر ارزش افزوده</v>
          </cell>
        </row>
        <row r="85">
          <cell r="A85">
            <v>7380008</v>
          </cell>
          <cell r="B85" t="str">
            <v>هزينه بيمه ابزارولوازم فنى</v>
          </cell>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308633</v>
          </cell>
          <cell r="Z85">
            <v>0</v>
          </cell>
          <cell r="AA85">
            <v>0</v>
          </cell>
          <cell r="AB85">
            <v>0</v>
          </cell>
          <cell r="AC85">
            <v>0</v>
          </cell>
          <cell r="AD85">
            <v>0</v>
          </cell>
          <cell r="AE85">
            <v>0</v>
          </cell>
          <cell r="AF85">
            <v>0</v>
          </cell>
          <cell r="AG85">
            <v>0</v>
          </cell>
          <cell r="AH85">
            <v>308633</v>
          </cell>
          <cell r="AI85">
            <v>308633</v>
          </cell>
          <cell r="AJ85">
            <v>0</v>
          </cell>
          <cell r="AK85">
            <v>0</v>
          </cell>
          <cell r="AL85">
            <v>0</v>
          </cell>
          <cell r="AM85">
            <v>0</v>
          </cell>
          <cell r="AN85">
            <v>0</v>
          </cell>
          <cell r="AO85">
            <v>0</v>
          </cell>
          <cell r="AP85">
            <v>0</v>
          </cell>
          <cell r="AQ85">
            <v>0</v>
          </cell>
          <cell r="AR85">
            <v>0</v>
          </cell>
          <cell r="AS85">
            <v>0</v>
          </cell>
          <cell r="AT85">
            <v>0</v>
          </cell>
          <cell r="AU85">
            <v>0</v>
          </cell>
          <cell r="AV85">
            <v>0</v>
          </cell>
        </row>
        <row r="86">
          <cell r="A86">
            <v>7380009</v>
          </cell>
          <cell r="B86" t="str">
            <v>هزينه بيمه لوازم آزمايشگاهى</v>
          </cell>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8873210</v>
          </cell>
          <cell r="Y86">
            <v>0</v>
          </cell>
          <cell r="Z86">
            <v>0</v>
          </cell>
          <cell r="AA86">
            <v>0</v>
          </cell>
          <cell r="AB86">
            <v>0</v>
          </cell>
          <cell r="AC86">
            <v>0</v>
          </cell>
          <cell r="AD86">
            <v>0</v>
          </cell>
          <cell r="AE86">
            <v>0</v>
          </cell>
          <cell r="AF86">
            <v>0</v>
          </cell>
          <cell r="AG86">
            <v>0</v>
          </cell>
          <cell r="AH86">
            <v>8873210</v>
          </cell>
          <cell r="AI86">
            <v>8873210</v>
          </cell>
          <cell r="AJ86">
            <v>0</v>
          </cell>
          <cell r="AK86">
            <v>0</v>
          </cell>
          <cell r="AL86">
            <v>0</v>
          </cell>
          <cell r="AM86">
            <v>0</v>
          </cell>
          <cell r="AN86">
            <v>0</v>
          </cell>
          <cell r="AO86">
            <v>0</v>
          </cell>
          <cell r="AP86">
            <v>0</v>
          </cell>
          <cell r="AQ86">
            <v>0</v>
          </cell>
          <cell r="AR86">
            <v>0</v>
          </cell>
          <cell r="AS86">
            <v>0</v>
          </cell>
          <cell r="AT86">
            <v>0</v>
          </cell>
          <cell r="AU86">
            <v>0</v>
          </cell>
          <cell r="AV86">
            <v>0</v>
          </cell>
        </row>
        <row r="87">
          <cell r="A87">
            <v>7400000</v>
          </cell>
          <cell r="B87" t="str">
            <v>هزينه استهلاک دارائيهاى ثابت</v>
          </cell>
          <cell r="C87">
            <v>178163526</v>
          </cell>
          <cell r="D87">
            <v>14058547</v>
          </cell>
          <cell r="E87">
            <v>1581859</v>
          </cell>
          <cell r="F87">
            <v>3315392</v>
          </cell>
          <cell r="G87">
            <v>876784497</v>
          </cell>
          <cell r="H87">
            <v>178461825</v>
          </cell>
          <cell r="I87">
            <v>1582496</v>
          </cell>
          <cell r="J87">
            <v>78610886</v>
          </cell>
          <cell r="K87">
            <v>85654917</v>
          </cell>
          <cell r="L87">
            <v>2333323</v>
          </cell>
          <cell r="M87">
            <v>739637788</v>
          </cell>
          <cell r="N87">
            <v>392474237</v>
          </cell>
          <cell r="O87">
            <v>540389400</v>
          </cell>
          <cell r="P87">
            <v>323399663</v>
          </cell>
          <cell r="Q87">
            <v>299598372</v>
          </cell>
          <cell r="R87">
            <v>1129308946</v>
          </cell>
          <cell r="S87">
            <v>4845355674</v>
          </cell>
          <cell r="T87">
            <v>9200321</v>
          </cell>
          <cell r="U87">
            <v>711747318</v>
          </cell>
          <cell r="V87">
            <v>2188339574</v>
          </cell>
          <cell r="W87">
            <v>2136678674</v>
          </cell>
          <cell r="X87">
            <v>1345840127</v>
          </cell>
          <cell r="Y87">
            <v>222547348</v>
          </cell>
          <cell r="Z87">
            <v>63686028</v>
          </cell>
          <cell r="AA87">
            <v>10027278</v>
          </cell>
          <cell r="AB87">
            <v>0</v>
          </cell>
          <cell r="AC87">
            <v>18140245</v>
          </cell>
          <cell r="AD87">
            <v>46937461</v>
          </cell>
          <cell r="AE87">
            <v>54437960</v>
          </cell>
          <cell r="AF87">
            <v>29123661</v>
          </cell>
          <cell r="AG87">
            <v>2413999</v>
          </cell>
          <cell r="AH87">
            <v>6839119994</v>
          </cell>
          <cell r="AI87">
            <v>6839119994</v>
          </cell>
          <cell r="AJ87">
            <v>325066821</v>
          </cell>
          <cell r="AK87">
            <v>179077170</v>
          </cell>
          <cell r="AL87">
            <v>219674308</v>
          </cell>
          <cell r="AM87">
            <v>14619409</v>
          </cell>
          <cell r="AN87">
            <v>0</v>
          </cell>
          <cell r="AO87">
            <v>0</v>
          </cell>
          <cell r="AP87">
            <v>30829643</v>
          </cell>
          <cell r="AQ87">
            <v>28882484</v>
          </cell>
          <cell r="AR87">
            <v>21222787</v>
          </cell>
          <cell r="AS87">
            <v>1009409</v>
          </cell>
          <cell r="AT87">
            <v>8113952</v>
          </cell>
          <cell r="AU87">
            <v>64045931</v>
          </cell>
          <cell r="AV87">
            <v>892541914</v>
          </cell>
        </row>
        <row r="88">
          <cell r="A88">
            <v>9999</v>
          </cell>
          <cell r="B88" t="str">
            <v xml:space="preserve">جمع </v>
          </cell>
          <cell r="C88">
            <v>194238872</v>
          </cell>
          <cell r="D88">
            <v>18231281336</v>
          </cell>
          <cell r="E88">
            <v>18281130040</v>
          </cell>
          <cell r="F88">
            <v>9844340300</v>
          </cell>
          <cell r="G88">
            <v>47619212428</v>
          </cell>
          <cell r="H88">
            <v>2148717349</v>
          </cell>
          <cell r="I88">
            <v>13893704874</v>
          </cell>
          <cell r="J88">
            <v>12762476068</v>
          </cell>
          <cell r="K88">
            <v>2340868358</v>
          </cell>
          <cell r="L88">
            <v>357592150</v>
          </cell>
          <cell r="M88">
            <v>1194198749</v>
          </cell>
          <cell r="N88">
            <v>3032990121</v>
          </cell>
          <cell r="O88">
            <v>11009459214</v>
          </cell>
          <cell r="P88">
            <v>2535805730</v>
          </cell>
          <cell r="Q88">
            <v>1145967921</v>
          </cell>
          <cell r="R88">
            <v>12491456859</v>
          </cell>
          <cell r="S88">
            <v>157083440369</v>
          </cell>
          <cell r="T88">
            <v>547401927</v>
          </cell>
          <cell r="U88">
            <v>3304325497</v>
          </cell>
          <cell r="V88">
            <v>11788147046</v>
          </cell>
          <cell r="W88">
            <v>2969617142</v>
          </cell>
          <cell r="X88">
            <v>8171267364</v>
          </cell>
          <cell r="Y88">
            <v>2806951025</v>
          </cell>
          <cell r="Z88">
            <v>500473340</v>
          </cell>
          <cell r="AA88">
            <v>1067812712</v>
          </cell>
          <cell r="AB88">
            <v>58488277</v>
          </cell>
          <cell r="AC88">
            <v>1769383811</v>
          </cell>
          <cell r="AD88">
            <v>1212940421</v>
          </cell>
          <cell r="AE88">
            <v>5221654621</v>
          </cell>
          <cell r="AF88">
            <v>4221698195</v>
          </cell>
          <cell r="AG88">
            <v>2610009799</v>
          </cell>
          <cell r="AH88">
            <v>45996027177</v>
          </cell>
          <cell r="AI88">
            <v>45996027177</v>
          </cell>
          <cell r="AJ88">
            <v>9354834389</v>
          </cell>
          <cell r="AK88">
            <v>4252706196</v>
          </cell>
          <cell r="AL88">
            <v>2099944726</v>
          </cell>
          <cell r="AM88">
            <v>83871670</v>
          </cell>
          <cell r="AN88">
            <v>131725326</v>
          </cell>
          <cell r="AO88">
            <v>1906703086</v>
          </cell>
          <cell r="AP88">
            <v>948876507</v>
          </cell>
          <cell r="AQ88">
            <v>2826005343</v>
          </cell>
          <cell r="AR88">
            <v>1177943018</v>
          </cell>
          <cell r="AS88">
            <v>67911391</v>
          </cell>
          <cell r="AT88">
            <v>521717921</v>
          </cell>
          <cell r="AU88">
            <v>2957531483</v>
          </cell>
          <cell r="AV88">
            <v>26329771056</v>
          </cell>
        </row>
        <row r="90">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254144000</v>
          </cell>
          <cell r="AH90">
            <v>0</v>
          </cell>
          <cell r="AI90">
            <v>0</v>
          </cell>
          <cell r="AJ90">
            <v>0</v>
          </cell>
          <cell r="AK90">
            <v>0</v>
          </cell>
          <cell r="AL90">
            <v>0</v>
          </cell>
          <cell r="AM90">
            <v>0</v>
          </cell>
          <cell r="AN90">
            <v>0</v>
          </cell>
          <cell r="AO90">
            <v>0</v>
          </cell>
          <cell r="AP90">
            <v>0</v>
          </cell>
          <cell r="AQ90">
            <v>0</v>
          </cell>
          <cell r="AR90">
            <v>0</v>
          </cell>
          <cell r="AS90">
            <v>0</v>
          </cell>
          <cell r="AU90">
            <v>0</v>
          </cell>
          <cell r="AV90">
            <v>0</v>
          </cell>
        </row>
      </sheetData>
      <sheetData sheetId="4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هزینه تولید تائید نشده(خنثی)"/>
      <sheetName val="تمام شده تولید 89"/>
      <sheetName val="آمار تولید و ساعات تولید 89"/>
      <sheetName val="توقفات تولید سال90"/>
      <sheetName val="کار در جریان 89 "/>
      <sheetName val="تسهیم توقفات"/>
      <sheetName val="فروش اردیبهشت"/>
      <sheetName val="کار در جریان اردیبهشت 90"/>
      <sheetName val="فروش خرداد (2)"/>
      <sheetName val="تولید صنایع خرداد"/>
      <sheetName val="کارکرد صنایع خردادماه 90"/>
      <sheetName val="گردش کالا خرداد ماه"/>
      <sheetName val="برگشتی-نمونه-ضایعات"/>
      <sheetName val="گزارش تعداد نفرات"/>
      <sheetName val="مصرف مواد"/>
      <sheetName val="آمار تولید و ساعات تولید"/>
      <sheetName val="تولید همگن و تسهیم مزد و سربار "/>
      <sheetName val="عوامل در مراکز  "/>
      <sheetName val="تسهیم هزینه"/>
      <sheetName val="نرخ د.س کار در جریان اول دوره"/>
      <sheetName val="کار در جریان خرداد 90"/>
      <sheetName val="گردش کالای ساخته شده  (2)"/>
      <sheetName val="سود وزیان - بودجه ریال (2)"/>
      <sheetName val="سود وزیان - بودجه ریال"/>
      <sheetName val="گردش کالای ساخته شده "/>
      <sheetName val="تمام شده تولید"/>
      <sheetName val="گزارش1 -( کل) ارقام میلیون ریال"/>
      <sheetName val="گزارش1 -(واحد)"/>
      <sheetName val="کنترل حاشیه سود - کل"/>
      <sheetName val="کنترل حاشیه سود - واحد کالا (2)"/>
      <sheetName val="خرید بازرگانی"/>
      <sheetName val="برگشت کلا (2)"/>
      <sheetName val="فروش خرداد"/>
      <sheetName val="حاشیه سود"/>
      <sheetName val="سند تولید"/>
      <sheetName val="سند بهای تمام شده"/>
      <sheetName val="تربتی "/>
      <sheetName val="تربتی  (2)"/>
      <sheetName val="100022"/>
      <sheetName val="کاربرگ محاسبه مالیات"/>
      <sheetName val="خ  د ه عملیاتی "/>
      <sheetName val="خ س د  ه غیرعملیاتی"/>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
          <cell r="A1" t="str">
            <v>گزارش عوامل در مراکز</v>
          </cell>
        </row>
        <row r="2">
          <cell r="A2" t="str">
            <v>کد حساب</v>
          </cell>
          <cell r="B2" t="str">
            <v>شرح  حساب</v>
          </cell>
          <cell r="C2" t="str">
            <v>مشترك استريل ها</v>
          </cell>
          <cell r="D2" t="str">
            <v>استريل فرزياني</v>
          </cell>
          <cell r="E2" t="str">
            <v>استريل قدس</v>
          </cell>
          <cell r="F2" t="str">
            <v>استريل بعثت</v>
          </cell>
          <cell r="G2" t="str">
            <v>استريل غفارزاده</v>
          </cell>
          <cell r="H2" t="str">
            <v>پمادوكرم</v>
          </cell>
          <cell r="I2" t="str">
            <v>سفالوسپورين</v>
          </cell>
          <cell r="J2" t="str">
            <v>پني سيلين وي</v>
          </cell>
          <cell r="K2" t="str">
            <v>نيستاتين</v>
          </cell>
          <cell r="L2" t="str">
            <v>دراژه (نيستا،سفالوس،پني سيلسن وي)</v>
          </cell>
          <cell r="M2" t="str">
            <v>قرص و كپسول و شربت</v>
          </cell>
          <cell r="N2" t="str">
            <v>مشترک اسپري ها</v>
          </cell>
          <cell r="O2" t="str">
            <v>اسپري دهاني</v>
          </cell>
          <cell r="P2" t="str">
            <v>اسپري بيني</v>
          </cell>
          <cell r="Q2" t="str">
            <v>سافت ژل</v>
          </cell>
          <cell r="R2" t="str">
            <v>جمع تولید</v>
          </cell>
          <cell r="S2" t="str">
            <v>بسته بندي</v>
          </cell>
          <cell r="T2" t="str">
            <v>عمومي توليد</v>
          </cell>
          <cell r="U2" t="str">
            <v>فني و مهندسي قديم</v>
          </cell>
          <cell r="V2" t="str">
            <v>فني مهندسي افشانه</v>
          </cell>
          <cell r="W2" t="str">
            <v>آزمايشگاه و چکينگ</v>
          </cell>
          <cell r="X2" t="str">
            <v>انبارها قديم</v>
          </cell>
          <cell r="Y2" t="str">
            <v>انبار افشانه ها</v>
          </cell>
          <cell r="Z2" t="str">
            <v>مهندسي صنايع قديم</v>
          </cell>
          <cell r="AA2" t="str">
            <v>مهندسي صنايع اسپري</v>
          </cell>
          <cell r="AB2" t="str">
            <v>امور بازرگاني</v>
          </cell>
          <cell r="AC2" t="str">
            <v>انتظامات و نگهباني</v>
          </cell>
          <cell r="AD2" t="str">
            <v>خدمات عمومي</v>
          </cell>
          <cell r="AE2" t="str">
            <v>رستوران</v>
          </cell>
          <cell r="AF2" t="str">
            <v>حمل ونقل</v>
          </cell>
          <cell r="AG2" t="str">
            <v>جمع خدماتي</v>
          </cell>
          <cell r="AH2" t="str">
            <v>سربار</v>
          </cell>
          <cell r="AI2" t="str">
            <v>فروش و بازاريابي</v>
          </cell>
          <cell r="AJ2" t="str">
            <v>مديريت</v>
          </cell>
          <cell r="AK2" t="str">
            <v>تحقيقات</v>
          </cell>
          <cell r="AL2" t="str">
            <v>آموزش</v>
          </cell>
          <cell r="AM2" t="str">
            <v>مامورين</v>
          </cell>
          <cell r="AN2" t="str">
            <v>عمومي اداري</v>
          </cell>
          <cell r="AO2" t="str">
            <v>فن آوري اطلاعات</v>
          </cell>
          <cell r="AP2" t="str">
            <v>امورمالي</v>
          </cell>
          <cell r="AQ2" t="str">
            <v>دبيرخانه و كارگزيني</v>
          </cell>
          <cell r="AR2" t="str">
            <v>شورا ،انجمن و بسيج</v>
          </cell>
          <cell r="AS2" t="str">
            <v>HSE</v>
          </cell>
          <cell r="AT2" t="str">
            <v>تضمين كيفيت</v>
          </cell>
          <cell r="AU2" t="str">
            <v>جمع اداري</v>
          </cell>
          <cell r="AV2" t="str">
            <v>جمع کل</v>
          </cell>
        </row>
        <row r="3">
          <cell r="A3">
            <v>7101000</v>
          </cell>
          <cell r="B3" t="str">
            <v>هزينه مواداوليه توليدي</v>
          </cell>
          <cell r="C3">
            <v>0</v>
          </cell>
          <cell r="D3">
            <v>4604851218</v>
          </cell>
          <cell r="E3">
            <v>7018795990</v>
          </cell>
          <cell r="F3">
            <v>3951034403</v>
          </cell>
          <cell r="G3">
            <v>45896927938</v>
          </cell>
          <cell r="H3">
            <v>685456209</v>
          </cell>
          <cell r="I3">
            <v>6458122436</v>
          </cell>
          <cell r="J3">
            <v>7115410124</v>
          </cell>
          <cell r="K3">
            <v>531878634</v>
          </cell>
          <cell r="L3">
            <v>0</v>
          </cell>
          <cell r="M3">
            <v>0</v>
          </cell>
          <cell r="N3">
            <v>0</v>
          </cell>
          <cell r="O3">
            <v>0</v>
          </cell>
          <cell r="P3">
            <v>0</v>
          </cell>
          <cell r="Q3">
            <v>3079064878</v>
          </cell>
          <cell r="R3">
            <v>79341541830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79341541830</v>
          </cell>
        </row>
        <row r="4">
          <cell r="A4">
            <v>7102000</v>
          </cell>
          <cell r="B4" t="str">
            <v>هزينه موادبسته بندي</v>
          </cell>
          <cell r="C4">
            <v>0</v>
          </cell>
          <cell r="D4">
            <v>753076685</v>
          </cell>
          <cell r="E4">
            <v>7167423446</v>
          </cell>
          <cell r="F4">
            <v>2034314272</v>
          </cell>
          <cell r="G4">
            <v>10003064606</v>
          </cell>
          <cell r="H4">
            <v>370527788</v>
          </cell>
          <cell r="I4">
            <v>527584658</v>
          </cell>
          <cell r="J4">
            <v>207613441</v>
          </cell>
          <cell r="K4">
            <v>1005589918</v>
          </cell>
          <cell r="L4">
            <v>0</v>
          </cell>
          <cell r="M4">
            <v>0</v>
          </cell>
          <cell r="N4">
            <v>0</v>
          </cell>
          <cell r="O4">
            <v>0</v>
          </cell>
          <cell r="P4">
            <v>0</v>
          </cell>
          <cell r="Q4">
            <v>662780029</v>
          </cell>
          <cell r="R4">
            <v>22731974843</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22731974843</v>
          </cell>
        </row>
        <row r="5">
          <cell r="A5">
            <v>7106000</v>
          </cell>
          <cell r="B5" t="str">
            <v>هزينه مواداوليه توليدي افشانه ها</v>
          </cell>
          <cell r="C5">
            <v>0</v>
          </cell>
          <cell r="D5">
            <v>0</v>
          </cell>
          <cell r="E5">
            <v>0</v>
          </cell>
          <cell r="F5">
            <v>0</v>
          </cell>
          <cell r="G5">
            <v>0</v>
          </cell>
          <cell r="H5">
            <v>0</v>
          </cell>
          <cell r="I5">
            <v>0</v>
          </cell>
          <cell r="J5">
            <v>0</v>
          </cell>
          <cell r="K5">
            <v>0</v>
          </cell>
          <cell r="L5">
            <v>0</v>
          </cell>
          <cell r="M5">
            <v>0</v>
          </cell>
          <cell r="N5">
            <v>0</v>
          </cell>
          <cell r="O5">
            <v>4116794309</v>
          </cell>
          <cell r="P5">
            <v>125659084</v>
          </cell>
          <cell r="Q5">
            <v>0</v>
          </cell>
          <cell r="R5">
            <v>4242453393</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4242453393</v>
          </cell>
        </row>
        <row r="6">
          <cell r="A6">
            <v>7107000</v>
          </cell>
          <cell r="B6" t="str">
            <v>هزينه موادبسته بندي افشانه ها</v>
          </cell>
          <cell r="C6">
            <v>0</v>
          </cell>
          <cell r="D6">
            <v>0</v>
          </cell>
          <cell r="E6">
            <v>0</v>
          </cell>
          <cell r="F6">
            <v>0</v>
          </cell>
          <cell r="G6">
            <v>0</v>
          </cell>
          <cell r="H6">
            <v>0</v>
          </cell>
          <cell r="I6">
            <v>0</v>
          </cell>
          <cell r="J6">
            <v>0</v>
          </cell>
          <cell r="K6">
            <v>0</v>
          </cell>
          <cell r="L6">
            <v>0</v>
          </cell>
          <cell r="M6">
            <v>0</v>
          </cell>
          <cell r="N6">
            <v>0</v>
          </cell>
          <cell r="O6">
            <v>9147467000</v>
          </cell>
          <cell r="P6">
            <v>904833681</v>
          </cell>
          <cell r="Q6">
            <v>0</v>
          </cell>
          <cell r="R6">
            <v>10052300681</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10052300681</v>
          </cell>
        </row>
        <row r="7">
          <cell r="A7" t="str">
            <v>جمع مواد</v>
          </cell>
          <cell r="C7">
            <v>0</v>
          </cell>
          <cell r="D7">
            <v>5357927903</v>
          </cell>
          <cell r="E7">
            <v>14186219436</v>
          </cell>
          <cell r="F7">
            <v>5985348675</v>
          </cell>
          <cell r="G7">
            <v>55899992544</v>
          </cell>
          <cell r="H7">
            <v>1055983997</v>
          </cell>
          <cell r="I7">
            <v>6985707094</v>
          </cell>
          <cell r="J7">
            <v>7323023565</v>
          </cell>
          <cell r="K7">
            <v>1537468552</v>
          </cell>
          <cell r="L7">
            <v>0</v>
          </cell>
          <cell r="M7">
            <v>0</v>
          </cell>
          <cell r="N7">
            <v>0</v>
          </cell>
          <cell r="O7">
            <v>13264261309</v>
          </cell>
          <cell r="P7">
            <v>1030492765</v>
          </cell>
          <cell r="Q7">
            <v>3741844907</v>
          </cell>
          <cell r="R7">
            <v>116368270747</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116368270747</v>
          </cell>
        </row>
        <row r="8">
          <cell r="A8">
            <v>7201000</v>
          </cell>
          <cell r="B8" t="str">
            <v>هزينه حقوق ودستمزد</v>
          </cell>
          <cell r="C8">
            <v>22660612</v>
          </cell>
          <cell r="D8">
            <v>118873411</v>
          </cell>
          <cell r="E8">
            <v>133374455</v>
          </cell>
          <cell r="F8">
            <v>60086996</v>
          </cell>
          <cell r="G8">
            <v>105002141</v>
          </cell>
          <cell r="H8">
            <v>76666222</v>
          </cell>
          <cell r="I8">
            <v>186070310</v>
          </cell>
          <cell r="J8">
            <v>105194392</v>
          </cell>
          <cell r="K8">
            <v>45120051</v>
          </cell>
          <cell r="L8">
            <v>0</v>
          </cell>
          <cell r="M8">
            <v>55002090</v>
          </cell>
          <cell r="N8">
            <v>94709098</v>
          </cell>
          <cell r="O8">
            <v>0</v>
          </cell>
          <cell r="P8">
            <v>0</v>
          </cell>
          <cell r="Q8">
            <v>27727948</v>
          </cell>
          <cell r="R8">
            <v>1030487726</v>
          </cell>
          <cell r="S8">
            <v>71025528</v>
          </cell>
          <cell r="T8">
            <v>185098866</v>
          </cell>
          <cell r="U8">
            <v>494164878</v>
          </cell>
          <cell r="V8">
            <v>103496838</v>
          </cell>
          <cell r="W8">
            <v>853904697</v>
          </cell>
          <cell r="X8">
            <v>180846819</v>
          </cell>
          <cell r="Y8">
            <v>19306575</v>
          </cell>
          <cell r="Z8">
            <v>153186416</v>
          </cell>
          <cell r="AA8">
            <v>14430986</v>
          </cell>
          <cell r="AB8">
            <v>232860217</v>
          </cell>
          <cell r="AC8">
            <v>44887104</v>
          </cell>
          <cell r="AD8">
            <v>16655022</v>
          </cell>
          <cell r="AE8">
            <v>0</v>
          </cell>
          <cell r="AF8">
            <v>13950036</v>
          </cell>
          <cell r="AG8">
            <v>2383813982</v>
          </cell>
          <cell r="AH8">
            <v>2383813982</v>
          </cell>
          <cell r="AI8">
            <v>933914794</v>
          </cell>
          <cell r="AJ8">
            <v>234643247</v>
          </cell>
          <cell r="AK8">
            <v>279514720</v>
          </cell>
          <cell r="AL8">
            <v>0</v>
          </cell>
          <cell r="AM8">
            <v>50723481</v>
          </cell>
          <cell r="AN8">
            <v>0</v>
          </cell>
          <cell r="AO8">
            <v>99153316</v>
          </cell>
          <cell r="AP8">
            <v>313639298</v>
          </cell>
          <cell r="AQ8">
            <v>120373168</v>
          </cell>
          <cell r="AR8">
            <v>0</v>
          </cell>
          <cell r="AS8">
            <v>34473526</v>
          </cell>
          <cell r="AT8">
            <v>370213557</v>
          </cell>
          <cell r="AU8">
            <v>2436649107</v>
          </cell>
          <cell r="AV8">
            <v>5850950815</v>
          </cell>
        </row>
        <row r="9">
          <cell r="A9">
            <v>7201001</v>
          </cell>
          <cell r="B9" t="str">
            <v>هزينه حقوق ودستمزد ( پارس پاکان)</v>
          </cell>
          <cell r="C9">
            <v>0</v>
          </cell>
          <cell r="D9">
            <v>60634751</v>
          </cell>
          <cell r="E9">
            <v>56651915</v>
          </cell>
          <cell r="F9">
            <v>77047075</v>
          </cell>
          <cell r="G9">
            <v>83670382</v>
          </cell>
          <cell r="H9">
            <v>20935149</v>
          </cell>
          <cell r="I9">
            <v>83515692</v>
          </cell>
          <cell r="J9">
            <v>102754166</v>
          </cell>
          <cell r="K9">
            <v>60545637</v>
          </cell>
          <cell r="L9">
            <v>0</v>
          </cell>
          <cell r="M9">
            <v>0</v>
          </cell>
          <cell r="N9">
            <v>216970499</v>
          </cell>
          <cell r="O9">
            <v>46351317</v>
          </cell>
          <cell r="P9">
            <v>42114752</v>
          </cell>
          <cell r="Q9">
            <v>0</v>
          </cell>
          <cell r="R9">
            <v>851191335</v>
          </cell>
          <cell r="S9">
            <v>32492689</v>
          </cell>
          <cell r="T9">
            <v>160904805</v>
          </cell>
          <cell r="U9">
            <v>110038568</v>
          </cell>
          <cell r="V9">
            <v>15522554</v>
          </cell>
          <cell r="W9">
            <v>22068512</v>
          </cell>
          <cell r="X9">
            <v>81737864</v>
          </cell>
          <cell r="Y9">
            <v>36367024</v>
          </cell>
          <cell r="Z9">
            <v>0</v>
          </cell>
          <cell r="AA9">
            <v>0</v>
          </cell>
          <cell r="AB9">
            <v>13621093</v>
          </cell>
          <cell r="AC9">
            <v>80710101</v>
          </cell>
          <cell r="AD9">
            <v>398912414</v>
          </cell>
          <cell r="AE9">
            <v>0</v>
          </cell>
          <cell r="AF9">
            <v>0</v>
          </cell>
          <cell r="AG9">
            <v>952375624</v>
          </cell>
          <cell r="AH9">
            <v>952375624</v>
          </cell>
          <cell r="AI9">
            <v>15449455</v>
          </cell>
          <cell r="AJ9">
            <v>0</v>
          </cell>
          <cell r="AK9">
            <v>0</v>
          </cell>
          <cell r="AL9">
            <v>0</v>
          </cell>
          <cell r="AM9">
            <v>0</v>
          </cell>
          <cell r="AN9">
            <v>0</v>
          </cell>
          <cell r="AO9">
            <v>0</v>
          </cell>
          <cell r="AP9">
            <v>0</v>
          </cell>
          <cell r="AQ9">
            <v>15535854</v>
          </cell>
          <cell r="AR9">
            <v>0</v>
          </cell>
          <cell r="AS9">
            <v>0</v>
          </cell>
          <cell r="AT9">
            <v>14315731</v>
          </cell>
          <cell r="AU9">
            <v>45301040</v>
          </cell>
          <cell r="AV9">
            <v>1848867999</v>
          </cell>
        </row>
        <row r="10">
          <cell r="A10">
            <v>7202000</v>
          </cell>
          <cell r="B10" t="str">
            <v>هزينه مسكن</v>
          </cell>
          <cell r="C10">
            <v>226666</v>
          </cell>
          <cell r="D10">
            <v>2479992</v>
          </cell>
          <cell r="E10">
            <v>2789991</v>
          </cell>
          <cell r="F10">
            <v>1239996</v>
          </cell>
          <cell r="G10">
            <v>2169993</v>
          </cell>
          <cell r="H10">
            <v>1549995</v>
          </cell>
          <cell r="I10">
            <v>3939534</v>
          </cell>
          <cell r="J10">
            <v>2169993</v>
          </cell>
          <cell r="K10">
            <v>929997</v>
          </cell>
          <cell r="L10">
            <v>0</v>
          </cell>
          <cell r="M10">
            <v>929997</v>
          </cell>
          <cell r="N10">
            <v>1603837</v>
          </cell>
          <cell r="O10">
            <v>0</v>
          </cell>
          <cell r="P10">
            <v>0</v>
          </cell>
          <cell r="Q10">
            <v>269811</v>
          </cell>
          <cell r="R10">
            <v>20299802</v>
          </cell>
          <cell r="S10">
            <v>1520906</v>
          </cell>
          <cell r="T10">
            <v>3288475</v>
          </cell>
          <cell r="U10">
            <v>9481183</v>
          </cell>
          <cell r="V10">
            <v>2041207</v>
          </cell>
          <cell r="W10">
            <v>14152012</v>
          </cell>
          <cell r="X10">
            <v>3668636</v>
          </cell>
          <cell r="Y10">
            <v>294122</v>
          </cell>
          <cell r="Z10">
            <v>2718931</v>
          </cell>
          <cell r="AA10">
            <v>274250</v>
          </cell>
          <cell r="AB10">
            <v>3712027</v>
          </cell>
          <cell r="AC10">
            <v>929997</v>
          </cell>
          <cell r="AD10">
            <v>309999</v>
          </cell>
          <cell r="AE10">
            <v>0</v>
          </cell>
          <cell r="AF10">
            <v>309999</v>
          </cell>
          <cell r="AG10">
            <v>42701744</v>
          </cell>
          <cell r="AH10">
            <v>42701744</v>
          </cell>
          <cell r="AI10">
            <v>14914499</v>
          </cell>
          <cell r="AJ10">
            <v>1859994</v>
          </cell>
          <cell r="AK10">
            <v>4008170</v>
          </cell>
          <cell r="AL10">
            <v>0</v>
          </cell>
          <cell r="AM10">
            <v>929997</v>
          </cell>
          <cell r="AN10">
            <v>0</v>
          </cell>
          <cell r="AO10">
            <v>1343329</v>
          </cell>
          <cell r="AP10">
            <v>5637212</v>
          </cell>
          <cell r="AQ10">
            <v>1859994</v>
          </cell>
          <cell r="AR10">
            <v>0</v>
          </cell>
          <cell r="AS10">
            <v>619998</v>
          </cell>
          <cell r="AT10">
            <v>4583319</v>
          </cell>
          <cell r="AU10">
            <v>35756512</v>
          </cell>
          <cell r="AV10">
            <v>98758058</v>
          </cell>
        </row>
        <row r="11">
          <cell r="A11">
            <v>7203000</v>
          </cell>
          <cell r="B11" t="str">
            <v>هزينه خواروبار</v>
          </cell>
          <cell r="C11">
            <v>1134</v>
          </cell>
          <cell r="D11">
            <v>54252</v>
          </cell>
          <cell r="E11">
            <v>52704</v>
          </cell>
          <cell r="F11">
            <v>27900</v>
          </cell>
          <cell r="G11">
            <v>38754</v>
          </cell>
          <cell r="H11">
            <v>27903</v>
          </cell>
          <cell r="I11">
            <v>70256</v>
          </cell>
          <cell r="J11">
            <v>46503</v>
          </cell>
          <cell r="K11">
            <v>13950</v>
          </cell>
          <cell r="L11">
            <v>0</v>
          </cell>
          <cell r="M11">
            <v>4653</v>
          </cell>
          <cell r="N11">
            <v>12320</v>
          </cell>
          <cell r="O11">
            <v>0</v>
          </cell>
          <cell r="P11">
            <v>0</v>
          </cell>
          <cell r="Q11">
            <v>2698</v>
          </cell>
          <cell r="R11">
            <v>353027</v>
          </cell>
          <cell r="S11">
            <v>19604</v>
          </cell>
          <cell r="T11">
            <v>53976</v>
          </cell>
          <cell r="U11">
            <v>150526</v>
          </cell>
          <cell r="V11">
            <v>22015</v>
          </cell>
          <cell r="W11">
            <v>177736</v>
          </cell>
          <cell r="X11">
            <v>76310</v>
          </cell>
          <cell r="Y11">
            <v>5883</v>
          </cell>
          <cell r="Z11">
            <v>30414</v>
          </cell>
          <cell r="AA11">
            <v>2742</v>
          </cell>
          <cell r="AB11">
            <v>49568</v>
          </cell>
          <cell r="AC11">
            <v>15501</v>
          </cell>
          <cell r="AD11">
            <v>6201</v>
          </cell>
          <cell r="AE11">
            <v>0</v>
          </cell>
          <cell r="AF11">
            <v>3099</v>
          </cell>
          <cell r="AG11">
            <v>613575</v>
          </cell>
          <cell r="AH11">
            <v>613575</v>
          </cell>
          <cell r="AI11">
            <v>138687</v>
          </cell>
          <cell r="AJ11">
            <v>23253</v>
          </cell>
          <cell r="AK11">
            <v>44195</v>
          </cell>
          <cell r="AL11">
            <v>0</v>
          </cell>
          <cell r="AM11">
            <v>10851</v>
          </cell>
          <cell r="AN11">
            <v>0</v>
          </cell>
          <cell r="AO11">
            <v>19120</v>
          </cell>
          <cell r="AP11">
            <v>83716</v>
          </cell>
          <cell r="AQ11">
            <v>27903</v>
          </cell>
          <cell r="AR11">
            <v>0</v>
          </cell>
          <cell r="AS11">
            <v>10851</v>
          </cell>
          <cell r="AT11">
            <v>53915</v>
          </cell>
          <cell r="AU11">
            <v>412491</v>
          </cell>
          <cell r="AV11">
            <v>1379093</v>
          </cell>
        </row>
        <row r="12">
          <cell r="A12">
            <v>7204000</v>
          </cell>
          <cell r="B12" t="str">
            <v>هزينه حق اولاد</v>
          </cell>
          <cell r="C12">
            <v>0</v>
          </cell>
          <cell r="D12">
            <v>16382880</v>
          </cell>
          <cell r="E12">
            <v>15358950</v>
          </cell>
          <cell r="F12">
            <v>8191440</v>
          </cell>
          <cell r="G12">
            <v>11263230</v>
          </cell>
          <cell r="H12">
            <v>8191440</v>
          </cell>
          <cell r="I12">
            <v>21238291</v>
          </cell>
          <cell r="J12">
            <v>14335020</v>
          </cell>
          <cell r="K12">
            <v>3071790</v>
          </cell>
          <cell r="L12">
            <v>0</v>
          </cell>
          <cell r="M12">
            <v>0</v>
          </cell>
          <cell r="N12">
            <v>1023930</v>
          </cell>
          <cell r="O12">
            <v>0</v>
          </cell>
          <cell r="P12">
            <v>0</v>
          </cell>
          <cell r="Q12">
            <v>0</v>
          </cell>
          <cell r="R12">
            <v>99056971</v>
          </cell>
          <cell r="S12">
            <v>3927567</v>
          </cell>
          <cell r="T12">
            <v>12909725</v>
          </cell>
          <cell r="U12">
            <v>36789415</v>
          </cell>
          <cell r="V12">
            <v>2047860</v>
          </cell>
          <cell r="W12">
            <v>36112325</v>
          </cell>
          <cell r="X12">
            <v>22187200</v>
          </cell>
          <cell r="Y12">
            <v>1942965</v>
          </cell>
          <cell r="Z12">
            <v>7029385</v>
          </cell>
          <cell r="AA12">
            <v>0</v>
          </cell>
          <cell r="AB12">
            <v>12287160</v>
          </cell>
          <cell r="AC12">
            <v>4095720</v>
          </cell>
          <cell r="AD12">
            <v>2047860</v>
          </cell>
          <cell r="AE12">
            <v>0</v>
          </cell>
          <cell r="AF12">
            <v>0</v>
          </cell>
          <cell r="AG12">
            <v>141377182</v>
          </cell>
          <cell r="AH12">
            <v>141377182</v>
          </cell>
          <cell r="AI12">
            <v>12472328</v>
          </cell>
          <cell r="AJ12">
            <v>5119650</v>
          </cell>
          <cell r="AK12">
            <v>5448949</v>
          </cell>
          <cell r="AL12">
            <v>0</v>
          </cell>
          <cell r="AM12">
            <v>2047860</v>
          </cell>
          <cell r="AN12">
            <v>0</v>
          </cell>
          <cell r="AO12">
            <v>5119650</v>
          </cell>
          <cell r="AP12">
            <v>20378208</v>
          </cell>
          <cell r="AQ12">
            <v>7167510</v>
          </cell>
          <cell r="AR12">
            <v>0</v>
          </cell>
          <cell r="AS12">
            <v>3071790</v>
          </cell>
          <cell r="AT12">
            <v>8191440</v>
          </cell>
          <cell r="AU12">
            <v>69017385</v>
          </cell>
          <cell r="AV12">
            <v>309451538</v>
          </cell>
        </row>
        <row r="13">
          <cell r="A13">
            <v>7205000</v>
          </cell>
          <cell r="B13" t="str">
            <v>هزينه حق جذب</v>
          </cell>
          <cell r="C13">
            <v>5482406</v>
          </cell>
          <cell r="D13">
            <v>30809067</v>
          </cell>
          <cell r="E13">
            <v>33121728</v>
          </cell>
          <cell r="F13">
            <v>16773564</v>
          </cell>
          <cell r="G13">
            <v>27410970</v>
          </cell>
          <cell r="H13">
            <v>20526153</v>
          </cell>
          <cell r="I13">
            <v>46985249</v>
          </cell>
          <cell r="J13">
            <v>27410970</v>
          </cell>
          <cell r="K13">
            <v>13286844</v>
          </cell>
          <cell r="L13">
            <v>0</v>
          </cell>
          <cell r="M13">
            <v>11683023</v>
          </cell>
          <cell r="N13">
            <v>14345902</v>
          </cell>
          <cell r="O13">
            <v>0</v>
          </cell>
          <cell r="P13">
            <v>0</v>
          </cell>
          <cell r="Q13">
            <v>6708375</v>
          </cell>
          <cell r="R13">
            <v>254544251</v>
          </cell>
          <cell r="S13">
            <v>17110558</v>
          </cell>
          <cell r="T13">
            <v>26466589</v>
          </cell>
          <cell r="U13">
            <v>99053283</v>
          </cell>
          <cell r="V13">
            <v>11918744</v>
          </cell>
          <cell r="W13">
            <v>195777478</v>
          </cell>
          <cell r="X13">
            <v>46872261</v>
          </cell>
          <cell r="Y13">
            <v>3713755</v>
          </cell>
          <cell r="Z13">
            <v>32985721</v>
          </cell>
          <cell r="AA13">
            <v>2793092</v>
          </cell>
          <cell r="AB13">
            <v>45884084</v>
          </cell>
          <cell r="AC13">
            <v>10832379</v>
          </cell>
          <cell r="AD13">
            <v>6490650</v>
          </cell>
          <cell r="AE13">
            <v>0</v>
          </cell>
          <cell r="AF13">
            <v>0</v>
          </cell>
          <cell r="AG13">
            <v>499898594</v>
          </cell>
          <cell r="AH13">
            <v>499898594</v>
          </cell>
          <cell r="AI13">
            <v>162282715</v>
          </cell>
          <cell r="AJ13">
            <v>20635477</v>
          </cell>
          <cell r="AK13">
            <v>59338938</v>
          </cell>
          <cell r="AL13">
            <v>0</v>
          </cell>
          <cell r="AM13">
            <v>2383563</v>
          </cell>
          <cell r="AN13">
            <v>0</v>
          </cell>
          <cell r="AO13">
            <v>19142965</v>
          </cell>
          <cell r="AP13">
            <v>71465709</v>
          </cell>
          <cell r="AQ13">
            <v>20301717</v>
          </cell>
          <cell r="AR13">
            <v>0</v>
          </cell>
          <cell r="AS13">
            <v>7430976</v>
          </cell>
          <cell r="AT13">
            <v>83932197</v>
          </cell>
          <cell r="AU13">
            <v>446914257</v>
          </cell>
          <cell r="AV13">
            <v>1201357102</v>
          </cell>
        </row>
        <row r="14">
          <cell r="A14">
            <v>7206000</v>
          </cell>
          <cell r="B14" t="str">
            <v>هزينه اضافه كاري</v>
          </cell>
          <cell r="C14">
            <v>12723872</v>
          </cell>
          <cell r="D14">
            <v>82626607</v>
          </cell>
          <cell r="E14">
            <v>80668206</v>
          </cell>
          <cell r="F14">
            <v>37488893</v>
          </cell>
          <cell r="G14">
            <v>81380137</v>
          </cell>
          <cell r="H14">
            <v>54318314</v>
          </cell>
          <cell r="I14">
            <v>104083161</v>
          </cell>
          <cell r="J14">
            <v>73426294</v>
          </cell>
          <cell r="K14">
            <v>39230103</v>
          </cell>
          <cell r="L14">
            <v>0</v>
          </cell>
          <cell r="M14">
            <v>30152804</v>
          </cell>
          <cell r="N14">
            <v>34767552</v>
          </cell>
          <cell r="O14">
            <v>0</v>
          </cell>
          <cell r="P14">
            <v>0</v>
          </cell>
          <cell r="Q14">
            <v>3224936</v>
          </cell>
          <cell r="R14">
            <v>634090879</v>
          </cell>
          <cell r="S14">
            <v>35167933</v>
          </cell>
          <cell r="T14">
            <v>109332076</v>
          </cell>
          <cell r="U14">
            <v>475261123</v>
          </cell>
          <cell r="V14">
            <v>32309949</v>
          </cell>
          <cell r="W14">
            <v>283886536</v>
          </cell>
          <cell r="X14">
            <v>135322484</v>
          </cell>
          <cell r="Y14">
            <v>2685676</v>
          </cell>
          <cell r="Z14">
            <v>43015888</v>
          </cell>
          <cell r="AA14">
            <v>1305928</v>
          </cell>
          <cell r="AB14">
            <v>67996960</v>
          </cell>
          <cell r="AC14">
            <v>30145746</v>
          </cell>
          <cell r="AD14">
            <v>21097927</v>
          </cell>
          <cell r="AE14">
            <v>0</v>
          </cell>
          <cell r="AF14">
            <v>8934569</v>
          </cell>
          <cell r="AG14">
            <v>1246462795</v>
          </cell>
          <cell r="AH14">
            <v>1246462795</v>
          </cell>
          <cell r="AI14">
            <v>18498266</v>
          </cell>
          <cell r="AJ14">
            <v>128964856</v>
          </cell>
          <cell r="AK14">
            <v>34186862</v>
          </cell>
          <cell r="AL14">
            <v>0</v>
          </cell>
          <cell r="AM14">
            <v>48343532</v>
          </cell>
          <cell r="AN14">
            <v>0</v>
          </cell>
          <cell r="AO14">
            <v>33164299</v>
          </cell>
          <cell r="AP14">
            <v>160877604</v>
          </cell>
          <cell r="AQ14">
            <v>32880061</v>
          </cell>
          <cell r="AR14">
            <v>0</v>
          </cell>
          <cell r="AS14">
            <v>22857394</v>
          </cell>
          <cell r="AT14">
            <v>48230932</v>
          </cell>
          <cell r="AU14">
            <v>528003806</v>
          </cell>
          <cell r="AV14">
            <v>2408557480</v>
          </cell>
        </row>
        <row r="15">
          <cell r="A15">
            <v>7206001</v>
          </cell>
          <cell r="B15" t="str">
            <v>هزينه اضافه كاري ( پارس پاکان)</v>
          </cell>
          <cell r="C15">
            <v>0</v>
          </cell>
          <cell r="D15">
            <v>13464182</v>
          </cell>
          <cell r="E15">
            <v>11996554</v>
          </cell>
          <cell r="F15">
            <v>15971431</v>
          </cell>
          <cell r="G15">
            <v>18875852</v>
          </cell>
          <cell r="H15">
            <v>6705620</v>
          </cell>
          <cell r="I15">
            <v>12977057</v>
          </cell>
          <cell r="J15">
            <v>21540257</v>
          </cell>
          <cell r="K15">
            <v>15537241</v>
          </cell>
          <cell r="L15">
            <v>0</v>
          </cell>
          <cell r="M15">
            <v>0</v>
          </cell>
          <cell r="N15">
            <v>51156848</v>
          </cell>
          <cell r="O15">
            <v>9547226</v>
          </cell>
          <cell r="P15">
            <v>8839360</v>
          </cell>
          <cell r="Q15">
            <v>0</v>
          </cell>
          <cell r="R15">
            <v>186611628</v>
          </cell>
          <cell r="S15">
            <v>5093627</v>
          </cell>
          <cell r="T15">
            <v>29168392</v>
          </cell>
          <cell r="U15">
            <v>60115382</v>
          </cell>
          <cell r="V15">
            <v>219792</v>
          </cell>
          <cell r="W15">
            <v>3284141</v>
          </cell>
          <cell r="X15">
            <v>15113729</v>
          </cell>
          <cell r="Y15">
            <v>11837594</v>
          </cell>
          <cell r="Z15">
            <v>0</v>
          </cell>
          <cell r="AA15">
            <v>0</v>
          </cell>
          <cell r="AB15">
            <v>2230401</v>
          </cell>
          <cell r="AC15">
            <v>125145651</v>
          </cell>
          <cell r="AD15">
            <v>29787347</v>
          </cell>
          <cell r="AE15">
            <v>0</v>
          </cell>
          <cell r="AF15">
            <v>0</v>
          </cell>
          <cell r="AG15">
            <v>281996056</v>
          </cell>
          <cell r="AH15">
            <v>281996056</v>
          </cell>
          <cell r="AI15">
            <v>3032438</v>
          </cell>
          <cell r="AJ15">
            <v>0</v>
          </cell>
          <cell r="AK15">
            <v>0</v>
          </cell>
          <cell r="AL15">
            <v>0</v>
          </cell>
          <cell r="AM15">
            <v>0</v>
          </cell>
          <cell r="AN15">
            <v>0</v>
          </cell>
          <cell r="AO15">
            <v>0</v>
          </cell>
          <cell r="AP15">
            <v>0</v>
          </cell>
          <cell r="AQ15">
            <v>1897989</v>
          </cell>
          <cell r="AR15">
            <v>0</v>
          </cell>
          <cell r="AS15">
            <v>0</v>
          </cell>
          <cell r="AT15">
            <v>1568792</v>
          </cell>
          <cell r="AU15">
            <v>6499219</v>
          </cell>
          <cell r="AV15">
            <v>475106903</v>
          </cell>
        </row>
        <row r="16">
          <cell r="A16">
            <v>7207000</v>
          </cell>
          <cell r="B16" t="str">
            <v>هزينه نوبتكاري</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12536880</v>
          </cell>
          <cell r="AD16">
            <v>0</v>
          </cell>
          <cell r="AE16">
            <v>0</v>
          </cell>
          <cell r="AF16">
            <v>0</v>
          </cell>
          <cell r="AG16">
            <v>12536880</v>
          </cell>
          <cell r="AH16">
            <v>12536880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12536880</v>
          </cell>
        </row>
        <row r="17">
          <cell r="A17">
            <v>7208000</v>
          </cell>
          <cell r="B17" t="str">
            <v>هزينه شبكاري</v>
          </cell>
          <cell r="C17">
            <v>159048</v>
          </cell>
          <cell r="D17">
            <v>709489</v>
          </cell>
          <cell r="E17">
            <v>643808</v>
          </cell>
          <cell r="F17">
            <v>0</v>
          </cell>
          <cell r="G17">
            <v>1158841</v>
          </cell>
          <cell r="H17">
            <v>0</v>
          </cell>
          <cell r="I17">
            <v>18534</v>
          </cell>
          <cell r="J17">
            <v>0</v>
          </cell>
          <cell r="K17">
            <v>0</v>
          </cell>
          <cell r="L17">
            <v>0</v>
          </cell>
          <cell r="M17">
            <v>63007</v>
          </cell>
          <cell r="N17">
            <v>15960</v>
          </cell>
          <cell r="O17">
            <v>0</v>
          </cell>
          <cell r="P17">
            <v>0</v>
          </cell>
          <cell r="Q17">
            <v>0</v>
          </cell>
          <cell r="R17">
            <v>2768687</v>
          </cell>
          <cell r="S17">
            <v>0</v>
          </cell>
          <cell r="T17">
            <v>95492</v>
          </cell>
          <cell r="U17">
            <v>16641273</v>
          </cell>
          <cell r="V17">
            <v>43151</v>
          </cell>
          <cell r="W17">
            <v>1624232</v>
          </cell>
          <cell r="X17">
            <v>0</v>
          </cell>
          <cell r="Y17">
            <v>0</v>
          </cell>
          <cell r="Z17">
            <v>0</v>
          </cell>
          <cell r="AA17">
            <v>0</v>
          </cell>
          <cell r="AB17">
            <v>0</v>
          </cell>
          <cell r="AC17">
            <v>0</v>
          </cell>
          <cell r="AD17">
            <v>52257</v>
          </cell>
          <cell r="AE17">
            <v>0</v>
          </cell>
          <cell r="AF17">
            <v>0</v>
          </cell>
          <cell r="AG17">
            <v>18456405</v>
          </cell>
          <cell r="AH17">
            <v>18456405</v>
          </cell>
          <cell r="AI17">
            <v>0</v>
          </cell>
          <cell r="AJ17">
            <v>57282</v>
          </cell>
          <cell r="AK17">
            <v>34000</v>
          </cell>
          <cell r="AL17">
            <v>0</v>
          </cell>
          <cell r="AM17">
            <v>0</v>
          </cell>
          <cell r="AN17">
            <v>0</v>
          </cell>
          <cell r="AO17">
            <v>0</v>
          </cell>
          <cell r="AP17">
            <v>329253</v>
          </cell>
          <cell r="AQ17">
            <v>11316</v>
          </cell>
          <cell r="AR17">
            <v>0</v>
          </cell>
          <cell r="AS17">
            <v>11367</v>
          </cell>
          <cell r="AT17">
            <v>0</v>
          </cell>
          <cell r="AU17">
            <v>443218</v>
          </cell>
          <cell r="AV17">
            <v>21668310</v>
          </cell>
        </row>
        <row r="18">
          <cell r="A18">
            <v>7211000</v>
          </cell>
          <cell r="B18" t="str">
            <v>هزينه عيدي وپاداش ساليانه</v>
          </cell>
          <cell r="C18">
            <v>1693479</v>
          </cell>
          <cell r="D18">
            <v>18510498</v>
          </cell>
          <cell r="E18">
            <v>20832225</v>
          </cell>
          <cell r="F18">
            <v>9252145</v>
          </cell>
          <cell r="G18">
            <v>16212574</v>
          </cell>
          <cell r="H18">
            <v>11580410</v>
          </cell>
          <cell r="I18">
            <v>29769919</v>
          </cell>
          <cell r="J18">
            <v>16211831</v>
          </cell>
          <cell r="K18">
            <v>6948246</v>
          </cell>
          <cell r="L18">
            <v>0</v>
          </cell>
          <cell r="M18">
            <v>6948246</v>
          </cell>
          <cell r="N18">
            <v>11787444</v>
          </cell>
          <cell r="O18">
            <v>0</v>
          </cell>
          <cell r="P18">
            <v>0</v>
          </cell>
          <cell r="Q18">
            <v>2015818</v>
          </cell>
          <cell r="R18">
            <v>151762835</v>
          </cell>
          <cell r="S18">
            <v>11362137</v>
          </cell>
          <cell r="T18">
            <v>24180132</v>
          </cell>
          <cell r="U18">
            <v>70819695</v>
          </cell>
          <cell r="V18">
            <v>16022398</v>
          </cell>
          <cell r="W18">
            <v>105733276</v>
          </cell>
          <cell r="X18">
            <v>27409292</v>
          </cell>
          <cell r="Y18">
            <v>2197448</v>
          </cell>
          <cell r="Z18">
            <v>20364768</v>
          </cell>
          <cell r="AA18">
            <v>2048986</v>
          </cell>
          <cell r="AB18">
            <v>29924418</v>
          </cell>
          <cell r="AC18">
            <v>6948246</v>
          </cell>
          <cell r="AD18">
            <v>2316082</v>
          </cell>
          <cell r="AE18">
            <v>0</v>
          </cell>
          <cell r="AF18">
            <v>2293157</v>
          </cell>
          <cell r="AG18">
            <v>321620035</v>
          </cell>
          <cell r="AH18">
            <v>321620035</v>
          </cell>
          <cell r="AI18">
            <v>111367531</v>
          </cell>
          <cell r="AJ18">
            <v>13896492</v>
          </cell>
          <cell r="AK18">
            <v>29946058</v>
          </cell>
          <cell r="AL18">
            <v>0</v>
          </cell>
          <cell r="AM18">
            <v>6663515</v>
          </cell>
          <cell r="AN18">
            <v>0</v>
          </cell>
          <cell r="AO18">
            <v>10036355</v>
          </cell>
          <cell r="AP18">
            <v>42117034</v>
          </cell>
          <cell r="AQ18">
            <v>13896492</v>
          </cell>
          <cell r="AR18">
            <v>6500000</v>
          </cell>
          <cell r="AS18">
            <v>4632164</v>
          </cell>
          <cell r="AT18">
            <v>34243148</v>
          </cell>
          <cell r="AU18">
            <v>273298789</v>
          </cell>
          <cell r="AV18">
            <v>746681659</v>
          </cell>
        </row>
        <row r="19">
          <cell r="A19">
            <v>7213000</v>
          </cell>
          <cell r="B19" t="str">
            <v>هزينه بن كالاي اساسي</v>
          </cell>
          <cell r="C19">
            <v>840000</v>
          </cell>
          <cell r="D19">
            <v>6720000</v>
          </cell>
          <cell r="E19">
            <v>7560000</v>
          </cell>
          <cell r="F19">
            <v>3360000</v>
          </cell>
          <cell r="G19">
            <v>5880000</v>
          </cell>
          <cell r="H19">
            <v>4200000</v>
          </cell>
          <cell r="I19">
            <v>10360000</v>
          </cell>
          <cell r="J19">
            <v>5880000</v>
          </cell>
          <cell r="K19">
            <v>2520000</v>
          </cell>
          <cell r="L19">
            <v>0</v>
          </cell>
          <cell r="M19">
            <v>2520000</v>
          </cell>
          <cell r="N19">
            <v>5040000</v>
          </cell>
          <cell r="O19">
            <v>0</v>
          </cell>
          <cell r="P19">
            <v>0</v>
          </cell>
          <cell r="Q19">
            <v>840000</v>
          </cell>
          <cell r="R19">
            <v>55720000</v>
          </cell>
          <cell r="S19">
            <v>4200000</v>
          </cell>
          <cell r="T19">
            <v>8960000</v>
          </cell>
          <cell r="U19">
            <v>25760000</v>
          </cell>
          <cell r="V19">
            <v>5600000</v>
          </cell>
          <cell r="W19">
            <v>38920000</v>
          </cell>
          <cell r="X19">
            <v>10080000</v>
          </cell>
          <cell r="Y19">
            <v>840000</v>
          </cell>
          <cell r="Z19">
            <v>7560000</v>
          </cell>
          <cell r="AA19">
            <v>840000</v>
          </cell>
          <cell r="AB19">
            <v>10920000</v>
          </cell>
          <cell r="AC19">
            <v>2520000</v>
          </cell>
          <cell r="AD19">
            <v>840000</v>
          </cell>
          <cell r="AE19">
            <v>0</v>
          </cell>
          <cell r="AF19">
            <v>840000</v>
          </cell>
          <cell r="AG19">
            <v>117880000</v>
          </cell>
          <cell r="AH19">
            <v>117880000</v>
          </cell>
          <cell r="AI19">
            <v>41160000</v>
          </cell>
          <cell r="AJ19">
            <v>5040000</v>
          </cell>
          <cell r="AK19">
            <v>10920000</v>
          </cell>
          <cell r="AL19">
            <v>0</v>
          </cell>
          <cell r="AM19">
            <v>2520000</v>
          </cell>
          <cell r="AN19">
            <v>0</v>
          </cell>
          <cell r="AO19">
            <v>3640000</v>
          </cell>
          <cell r="AP19">
            <v>15120000</v>
          </cell>
          <cell r="AQ19">
            <v>5040000</v>
          </cell>
          <cell r="AR19">
            <v>0</v>
          </cell>
          <cell r="AS19">
            <v>1680000</v>
          </cell>
          <cell r="AT19">
            <v>12600000</v>
          </cell>
          <cell r="AU19">
            <v>97720000</v>
          </cell>
          <cell r="AV19">
            <v>271320000</v>
          </cell>
        </row>
        <row r="20">
          <cell r="A20">
            <v>7215000</v>
          </cell>
          <cell r="B20" t="str">
            <v>هزينه حق بيمه سهم كارفرما</v>
          </cell>
          <cell r="C20">
            <v>10853638</v>
          </cell>
          <cell r="D20">
            <v>56099801</v>
          </cell>
          <cell r="E20">
            <v>59453203</v>
          </cell>
          <cell r="F20">
            <v>27223626</v>
          </cell>
          <cell r="G20">
            <v>51845062</v>
          </cell>
          <cell r="H20">
            <v>35737646</v>
          </cell>
          <cell r="I20">
            <v>80353542</v>
          </cell>
          <cell r="J20">
            <v>48585974</v>
          </cell>
          <cell r="K20">
            <v>23100578</v>
          </cell>
          <cell r="L20">
            <v>0</v>
          </cell>
          <cell r="M20">
            <v>23019684</v>
          </cell>
          <cell r="N20">
            <v>35861004</v>
          </cell>
          <cell r="O20">
            <v>0</v>
          </cell>
          <cell r="P20">
            <v>0</v>
          </cell>
          <cell r="Q20">
            <v>11851205</v>
          </cell>
          <cell r="R20">
            <v>463984963</v>
          </cell>
          <cell r="S20">
            <v>30282733</v>
          </cell>
          <cell r="T20">
            <v>79685164</v>
          </cell>
          <cell r="U20">
            <v>265354478</v>
          </cell>
          <cell r="V20">
            <v>36765062</v>
          </cell>
          <cell r="W20">
            <v>326144651</v>
          </cell>
          <cell r="X20">
            <v>87300633</v>
          </cell>
          <cell r="Y20">
            <v>6793157</v>
          </cell>
          <cell r="Z20">
            <v>56884010</v>
          </cell>
          <cell r="AA20">
            <v>4325610</v>
          </cell>
          <cell r="AB20">
            <v>70862729</v>
          </cell>
          <cell r="AC20">
            <v>23418099</v>
          </cell>
          <cell r="AD20">
            <v>10086287</v>
          </cell>
          <cell r="AE20">
            <v>0</v>
          </cell>
          <cell r="AF20">
            <v>5368324</v>
          </cell>
          <cell r="AG20">
            <v>1003270937</v>
          </cell>
          <cell r="AH20">
            <v>1003270937</v>
          </cell>
          <cell r="AI20">
            <v>363455954</v>
          </cell>
          <cell r="AJ20">
            <v>76028987</v>
          </cell>
          <cell r="AK20">
            <v>91835248</v>
          </cell>
          <cell r="AL20">
            <v>0</v>
          </cell>
          <cell r="AM20">
            <v>24976026</v>
          </cell>
          <cell r="AN20">
            <v>0</v>
          </cell>
          <cell r="AO20">
            <v>37491462</v>
          </cell>
          <cell r="AP20">
            <v>141141133</v>
          </cell>
          <cell r="AQ20">
            <v>45131537</v>
          </cell>
          <cell r="AR20">
            <v>0</v>
          </cell>
          <cell r="AS20">
            <v>15597998</v>
          </cell>
          <cell r="AT20">
            <v>129038849</v>
          </cell>
          <cell r="AU20">
            <v>924697194</v>
          </cell>
          <cell r="AV20">
            <v>2391953094</v>
          </cell>
        </row>
        <row r="21">
          <cell r="A21">
            <v>7216000</v>
          </cell>
          <cell r="B21" t="str">
            <v>هزينه بازخريدسنوات</v>
          </cell>
          <cell r="C21">
            <v>4488049</v>
          </cell>
          <cell r="D21">
            <v>87394935</v>
          </cell>
          <cell r="E21">
            <v>96719019</v>
          </cell>
          <cell r="F21">
            <v>46742347</v>
          </cell>
          <cell r="G21">
            <v>79395371</v>
          </cell>
          <cell r="H21">
            <v>54872577</v>
          </cell>
          <cell r="I21">
            <v>140515544</v>
          </cell>
          <cell r="J21">
            <v>81097892</v>
          </cell>
          <cell r="K21">
            <v>31543543</v>
          </cell>
          <cell r="L21">
            <v>0</v>
          </cell>
          <cell r="M21">
            <v>10197951</v>
          </cell>
          <cell r="N21">
            <v>12338432</v>
          </cell>
          <cell r="O21">
            <v>0</v>
          </cell>
          <cell r="P21">
            <v>0</v>
          </cell>
          <cell r="Q21">
            <v>4174735</v>
          </cell>
          <cell r="R21">
            <v>649480395</v>
          </cell>
          <cell r="S21">
            <v>50323695</v>
          </cell>
          <cell r="T21">
            <v>152882533</v>
          </cell>
          <cell r="U21">
            <v>307058697</v>
          </cell>
          <cell r="V21">
            <v>19800165</v>
          </cell>
          <cell r="W21">
            <v>308004613</v>
          </cell>
          <cell r="X21">
            <v>142047396</v>
          </cell>
          <cell r="Y21">
            <v>4934112</v>
          </cell>
          <cell r="Z21">
            <v>52187069</v>
          </cell>
          <cell r="AA21">
            <v>2802244</v>
          </cell>
          <cell r="AB21">
            <v>105675156</v>
          </cell>
          <cell r="AC21">
            <v>31903752</v>
          </cell>
          <cell r="AD21">
            <v>18696298</v>
          </cell>
          <cell r="AE21">
            <v>0</v>
          </cell>
          <cell r="AF21">
            <v>2737103</v>
          </cell>
          <cell r="AG21">
            <v>1199052833</v>
          </cell>
          <cell r="AH21">
            <v>1199052833</v>
          </cell>
          <cell r="AI21">
            <v>212313914</v>
          </cell>
          <cell r="AJ21">
            <v>71521795</v>
          </cell>
          <cell r="AK21">
            <v>55045444</v>
          </cell>
          <cell r="AL21">
            <v>0</v>
          </cell>
          <cell r="AM21">
            <v>23607554</v>
          </cell>
          <cell r="AN21">
            <v>0</v>
          </cell>
          <cell r="AO21">
            <v>28992548</v>
          </cell>
          <cell r="AP21">
            <v>165261992</v>
          </cell>
          <cell r="AQ21">
            <v>26960694</v>
          </cell>
          <cell r="AR21">
            <v>0</v>
          </cell>
          <cell r="AS21">
            <v>16125186</v>
          </cell>
          <cell r="AT21">
            <v>77513909</v>
          </cell>
          <cell r="AU21">
            <v>677343036</v>
          </cell>
          <cell r="AV21">
            <v>2525876264</v>
          </cell>
        </row>
        <row r="22">
          <cell r="A22" t="str">
            <v xml:space="preserve">دستمزد </v>
          </cell>
          <cell r="B22" t="str">
            <v>دستمزد مستقیم</v>
          </cell>
          <cell r="C22">
            <v>59128904</v>
          </cell>
          <cell r="D22">
            <v>494759865</v>
          </cell>
          <cell r="E22">
            <v>519222758</v>
          </cell>
          <cell r="F22">
            <v>303405413</v>
          </cell>
          <cell r="G22">
            <v>484303307</v>
          </cell>
          <cell r="H22">
            <v>295311429</v>
          </cell>
          <cell r="I22">
            <v>719897089</v>
          </cell>
          <cell r="J22">
            <v>498653292</v>
          </cell>
          <cell r="K22">
            <v>241847980</v>
          </cell>
          <cell r="L22">
            <v>0</v>
          </cell>
          <cell r="M22">
            <v>140521455</v>
          </cell>
          <cell r="N22">
            <v>479632826</v>
          </cell>
          <cell r="O22">
            <v>55898543</v>
          </cell>
          <cell r="P22">
            <v>50954112</v>
          </cell>
          <cell r="Q22">
            <v>56815526</v>
          </cell>
          <cell r="R22">
            <v>4400352499</v>
          </cell>
          <cell r="S22">
            <v>262526977</v>
          </cell>
          <cell r="T22">
            <v>793026225</v>
          </cell>
          <cell r="U22">
            <v>1970688501</v>
          </cell>
          <cell r="V22">
            <v>245809735</v>
          </cell>
          <cell r="W22">
            <v>2189790209</v>
          </cell>
          <cell r="X22">
            <v>752662624</v>
          </cell>
          <cell r="Y22">
            <v>90918311</v>
          </cell>
          <cell r="Z22">
            <v>375962602</v>
          </cell>
          <cell r="AA22">
            <v>28823838</v>
          </cell>
          <cell r="AB22">
            <v>596023813</v>
          </cell>
          <cell r="AC22">
            <v>374089176</v>
          </cell>
          <cell r="AD22">
            <v>507298344</v>
          </cell>
          <cell r="AE22">
            <v>0</v>
          </cell>
          <cell r="AF22">
            <v>34436287</v>
          </cell>
          <cell r="AG22">
            <v>8222056642</v>
          </cell>
          <cell r="AH22">
            <v>8222056642</v>
          </cell>
          <cell r="AI22">
            <v>1889000581</v>
          </cell>
          <cell r="AJ22">
            <v>557791033</v>
          </cell>
          <cell r="AK22">
            <v>570322584</v>
          </cell>
          <cell r="AL22">
            <v>0</v>
          </cell>
          <cell r="AM22">
            <v>162206379</v>
          </cell>
          <cell r="AN22">
            <v>0</v>
          </cell>
          <cell r="AO22">
            <v>238103044</v>
          </cell>
          <cell r="AP22">
            <v>936051159</v>
          </cell>
          <cell r="AQ22">
            <v>291084235</v>
          </cell>
          <cell r="AR22">
            <v>6500000</v>
          </cell>
          <cell r="AS22">
            <v>106511250</v>
          </cell>
          <cell r="AT22">
            <v>784485789</v>
          </cell>
          <cell r="AU22">
            <v>5542056054</v>
          </cell>
          <cell r="AV22">
            <v>18164465195</v>
          </cell>
        </row>
        <row r="23">
          <cell r="A23">
            <v>7217000</v>
          </cell>
          <cell r="B23" t="str">
            <v>هزينه اياب وذهاب</v>
          </cell>
          <cell r="C23">
            <v>146000</v>
          </cell>
          <cell r="D23">
            <v>2408314</v>
          </cell>
          <cell r="E23">
            <v>3468025</v>
          </cell>
          <cell r="F23">
            <v>1743240</v>
          </cell>
          <cell r="G23">
            <v>3226351</v>
          </cell>
          <cell r="H23">
            <v>1292485</v>
          </cell>
          <cell r="I23">
            <v>4598698</v>
          </cell>
          <cell r="J23">
            <v>2685216</v>
          </cell>
          <cell r="K23">
            <v>1546352</v>
          </cell>
          <cell r="L23">
            <v>0</v>
          </cell>
          <cell r="M23">
            <v>390000</v>
          </cell>
          <cell r="N23">
            <v>0</v>
          </cell>
          <cell r="O23">
            <v>0</v>
          </cell>
          <cell r="P23">
            <v>0</v>
          </cell>
          <cell r="Q23">
            <v>2950000</v>
          </cell>
          <cell r="R23">
            <v>24454681</v>
          </cell>
          <cell r="S23">
            <v>967137</v>
          </cell>
          <cell r="T23">
            <v>5473708</v>
          </cell>
          <cell r="U23">
            <v>10975396</v>
          </cell>
          <cell r="V23">
            <v>2950000</v>
          </cell>
          <cell r="W23">
            <v>7204863</v>
          </cell>
          <cell r="X23">
            <v>5467414</v>
          </cell>
          <cell r="Y23">
            <v>0</v>
          </cell>
          <cell r="Z23">
            <v>3757996</v>
          </cell>
          <cell r="AA23">
            <v>0</v>
          </cell>
          <cell r="AB23">
            <v>5019488</v>
          </cell>
          <cell r="AC23">
            <v>1870205</v>
          </cell>
          <cell r="AD23">
            <v>789040</v>
          </cell>
          <cell r="AE23">
            <v>40000</v>
          </cell>
          <cell r="AF23">
            <v>1212637487</v>
          </cell>
          <cell r="AG23">
            <v>1257152734</v>
          </cell>
          <cell r="AH23">
            <v>1281607415</v>
          </cell>
          <cell r="AI23">
            <v>93636000</v>
          </cell>
          <cell r="AJ23">
            <v>16275500</v>
          </cell>
          <cell r="AK23">
            <v>0</v>
          </cell>
          <cell r="AL23">
            <v>160000</v>
          </cell>
          <cell r="AM23">
            <v>0</v>
          </cell>
          <cell r="AN23">
            <v>0</v>
          </cell>
          <cell r="AO23">
            <v>2950000</v>
          </cell>
          <cell r="AP23">
            <v>23793354</v>
          </cell>
          <cell r="AQ23">
            <v>3341792</v>
          </cell>
          <cell r="AR23">
            <v>7346000</v>
          </cell>
          <cell r="AS23">
            <v>1898271</v>
          </cell>
          <cell r="AT23">
            <v>11216307</v>
          </cell>
          <cell r="AU23">
            <v>160617224</v>
          </cell>
          <cell r="AV23">
            <v>1442224639</v>
          </cell>
        </row>
        <row r="24">
          <cell r="A24">
            <v>7218000</v>
          </cell>
          <cell r="B24" t="str">
            <v>هزينه پاداش بهره وري</v>
          </cell>
          <cell r="C24">
            <v>1625000</v>
          </cell>
          <cell r="D24">
            <v>13000000</v>
          </cell>
          <cell r="E24">
            <v>14625000</v>
          </cell>
          <cell r="F24">
            <v>6500000</v>
          </cell>
          <cell r="G24">
            <v>11375000</v>
          </cell>
          <cell r="H24">
            <v>8125000</v>
          </cell>
          <cell r="I24">
            <v>30474999</v>
          </cell>
          <cell r="J24">
            <v>11375000</v>
          </cell>
          <cell r="K24">
            <v>4875000</v>
          </cell>
          <cell r="L24">
            <v>0</v>
          </cell>
          <cell r="M24">
            <v>4875000</v>
          </cell>
          <cell r="N24">
            <v>9750000</v>
          </cell>
          <cell r="O24">
            <v>0</v>
          </cell>
          <cell r="P24">
            <v>0</v>
          </cell>
          <cell r="Q24">
            <v>3250000</v>
          </cell>
          <cell r="R24">
            <v>119849999</v>
          </cell>
          <cell r="S24">
            <v>8125000</v>
          </cell>
          <cell r="T24">
            <v>17875000</v>
          </cell>
          <cell r="U24">
            <v>50375000</v>
          </cell>
          <cell r="V24">
            <v>11375000</v>
          </cell>
          <cell r="W24">
            <v>76925000</v>
          </cell>
          <cell r="X24">
            <v>19500000</v>
          </cell>
          <cell r="Y24">
            <v>1625000</v>
          </cell>
          <cell r="Z24">
            <v>14625000</v>
          </cell>
          <cell r="AA24">
            <v>1625000</v>
          </cell>
          <cell r="AB24">
            <v>22750000</v>
          </cell>
          <cell r="AC24">
            <v>6500000</v>
          </cell>
          <cell r="AD24">
            <v>4875000</v>
          </cell>
          <cell r="AE24">
            <v>0</v>
          </cell>
          <cell r="AF24">
            <v>1625000</v>
          </cell>
          <cell r="AG24">
            <v>237800000</v>
          </cell>
          <cell r="AH24">
            <v>357649999</v>
          </cell>
          <cell r="AI24">
            <v>84500000</v>
          </cell>
          <cell r="AJ24">
            <v>14625000</v>
          </cell>
          <cell r="AK24">
            <v>22750000</v>
          </cell>
          <cell r="AL24">
            <v>0</v>
          </cell>
          <cell r="AM24">
            <v>4875000</v>
          </cell>
          <cell r="AN24">
            <v>0</v>
          </cell>
          <cell r="AO24">
            <v>6500000</v>
          </cell>
          <cell r="AP24">
            <v>30875000</v>
          </cell>
          <cell r="AQ24">
            <v>11375000</v>
          </cell>
          <cell r="AR24">
            <v>0</v>
          </cell>
          <cell r="AS24">
            <v>4875000</v>
          </cell>
          <cell r="AT24">
            <v>24375000</v>
          </cell>
          <cell r="AU24">
            <v>204750000</v>
          </cell>
          <cell r="AV24">
            <v>562399999</v>
          </cell>
        </row>
        <row r="25">
          <cell r="A25">
            <v>7218001</v>
          </cell>
          <cell r="B25" t="str">
            <v>هزينه پاداش بهره وري( پارس پاکان)</v>
          </cell>
          <cell r="C25">
            <v>0</v>
          </cell>
          <cell r="D25">
            <v>4949999</v>
          </cell>
          <cell r="E25">
            <v>2750000</v>
          </cell>
          <cell r="F25">
            <v>7699999</v>
          </cell>
          <cell r="G25">
            <v>6599999</v>
          </cell>
          <cell r="H25">
            <v>1650000</v>
          </cell>
          <cell r="I25">
            <v>6599999</v>
          </cell>
          <cell r="J25">
            <v>7149999</v>
          </cell>
          <cell r="K25">
            <v>4399999</v>
          </cell>
          <cell r="L25">
            <v>0</v>
          </cell>
          <cell r="M25">
            <v>0</v>
          </cell>
          <cell r="N25">
            <v>18699997</v>
          </cell>
          <cell r="O25">
            <v>3300000</v>
          </cell>
          <cell r="P25">
            <v>3300000</v>
          </cell>
          <cell r="Q25">
            <v>0</v>
          </cell>
          <cell r="R25">
            <v>67099991</v>
          </cell>
          <cell r="S25">
            <v>2750000</v>
          </cell>
          <cell r="T25">
            <v>17599997</v>
          </cell>
          <cell r="U25">
            <v>8799999</v>
          </cell>
          <cell r="V25">
            <v>1100000</v>
          </cell>
          <cell r="W25">
            <v>1100000</v>
          </cell>
          <cell r="X25">
            <v>6599999</v>
          </cell>
          <cell r="Y25">
            <v>2750000</v>
          </cell>
          <cell r="Z25">
            <v>0</v>
          </cell>
          <cell r="AA25">
            <v>0</v>
          </cell>
          <cell r="AB25">
            <v>1100000</v>
          </cell>
          <cell r="AC25">
            <v>5499999</v>
          </cell>
          <cell r="AD25">
            <v>32999995</v>
          </cell>
          <cell r="AE25">
            <v>0</v>
          </cell>
          <cell r="AF25">
            <v>0</v>
          </cell>
          <cell r="AG25">
            <v>80299989</v>
          </cell>
          <cell r="AH25">
            <v>147399980</v>
          </cell>
          <cell r="AI25">
            <v>1100000</v>
          </cell>
          <cell r="AJ25">
            <v>0</v>
          </cell>
          <cell r="AK25">
            <v>0</v>
          </cell>
          <cell r="AL25">
            <v>0</v>
          </cell>
          <cell r="AM25">
            <v>0</v>
          </cell>
          <cell r="AN25">
            <v>0</v>
          </cell>
          <cell r="AO25">
            <v>0</v>
          </cell>
          <cell r="AP25">
            <v>0</v>
          </cell>
          <cell r="AQ25">
            <v>1100000</v>
          </cell>
          <cell r="AR25">
            <v>0</v>
          </cell>
          <cell r="AS25">
            <v>0</v>
          </cell>
          <cell r="AT25">
            <v>1100000</v>
          </cell>
          <cell r="AU25">
            <v>3300000</v>
          </cell>
          <cell r="AV25">
            <v>150699980</v>
          </cell>
        </row>
        <row r="26">
          <cell r="A26">
            <v>7219000</v>
          </cell>
          <cell r="B26" t="str">
            <v>هزينه سايرمزاياي نقدي</v>
          </cell>
          <cell r="C26">
            <v>6480000</v>
          </cell>
          <cell r="D26">
            <v>5951068</v>
          </cell>
          <cell r="E26">
            <v>4373262</v>
          </cell>
          <cell r="F26">
            <v>1002999</v>
          </cell>
          <cell r="G26">
            <v>21303901</v>
          </cell>
          <cell r="H26">
            <v>999999</v>
          </cell>
          <cell r="I26">
            <v>3597483</v>
          </cell>
          <cell r="J26">
            <v>309999</v>
          </cell>
          <cell r="K26">
            <v>309999</v>
          </cell>
          <cell r="L26">
            <v>0</v>
          </cell>
          <cell r="M26">
            <v>1860003</v>
          </cell>
          <cell r="N26">
            <v>19605123</v>
          </cell>
          <cell r="O26">
            <v>0</v>
          </cell>
          <cell r="P26">
            <v>0</v>
          </cell>
          <cell r="Q26">
            <v>10792424</v>
          </cell>
          <cell r="R26">
            <v>76586260</v>
          </cell>
          <cell r="S26">
            <v>5852393</v>
          </cell>
          <cell r="T26">
            <v>24763642</v>
          </cell>
          <cell r="U26">
            <v>50209134</v>
          </cell>
          <cell r="V26">
            <v>6200001</v>
          </cell>
          <cell r="W26">
            <v>63952364</v>
          </cell>
          <cell r="X26">
            <v>48618206</v>
          </cell>
          <cell r="Y26">
            <v>3529455</v>
          </cell>
          <cell r="Z26">
            <v>29884198</v>
          </cell>
          <cell r="AA26">
            <v>0</v>
          </cell>
          <cell r="AB26">
            <v>8609001</v>
          </cell>
          <cell r="AC26">
            <v>600000</v>
          </cell>
          <cell r="AD26">
            <v>791277</v>
          </cell>
          <cell r="AE26">
            <v>0</v>
          </cell>
          <cell r="AF26">
            <v>0</v>
          </cell>
          <cell r="AG26">
            <v>243009671</v>
          </cell>
          <cell r="AH26">
            <v>319595931</v>
          </cell>
          <cell r="AI26">
            <v>454862160</v>
          </cell>
          <cell r="AJ26">
            <v>58577781</v>
          </cell>
          <cell r="AK26">
            <v>21286668</v>
          </cell>
          <cell r="AL26">
            <v>0</v>
          </cell>
          <cell r="AM26">
            <v>6200001</v>
          </cell>
          <cell r="AN26">
            <v>0</v>
          </cell>
          <cell r="AO26">
            <v>23122224</v>
          </cell>
          <cell r="AP26">
            <v>125790581</v>
          </cell>
          <cell r="AQ26">
            <v>17428120</v>
          </cell>
          <cell r="AR26">
            <v>0</v>
          </cell>
          <cell r="AS26">
            <v>1840002</v>
          </cell>
          <cell r="AT26">
            <v>84215014</v>
          </cell>
          <cell r="AU26">
            <v>793322551</v>
          </cell>
          <cell r="AV26">
            <v>1112918482</v>
          </cell>
        </row>
        <row r="27">
          <cell r="A27">
            <v>7219001</v>
          </cell>
          <cell r="B27" t="str">
            <v>هزينه سايرمزاياي نقدي ( پارس پاکان)</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row>
        <row r="28">
          <cell r="A28">
            <v>7223000</v>
          </cell>
          <cell r="B28" t="str">
            <v>هزينه بيمه حوادث كاركنان</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row>
        <row r="29">
          <cell r="A29">
            <v>7224000</v>
          </cell>
          <cell r="B29" t="str">
            <v>هزينه بهداشت ودرمان</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79000</v>
          </cell>
          <cell r="U29">
            <v>313400</v>
          </cell>
          <cell r="V29">
            <v>0</v>
          </cell>
          <cell r="W29">
            <v>0</v>
          </cell>
          <cell r="X29">
            <v>0</v>
          </cell>
          <cell r="Y29">
            <v>0</v>
          </cell>
          <cell r="Z29">
            <v>0</v>
          </cell>
          <cell r="AA29">
            <v>0</v>
          </cell>
          <cell r="AB29">
            <v>0</v>
          </cell>
          <cell r="AC29">
            <v>0</v>
          </cell>
          <cell r="AD29">
            <v>864000</v>
          </cell>
          <cell r="AE29">
            <v>213000</v>
          </cell>
          <cell r="AF29">
            <v>140000</v>
          </cell>
          <cell r="AG29">
            <v>1609400</v>
          </cell>
          <cell r="AH29">
            <v>1609400</v>
          </cell>
          <cell r="AI29">
            <v>0</v>
          </cell>
          <cell r="AJ29">
            <v>0</v>
          </cell>
          <cell r="AK29">
            <v>0</v>
          </cell>
          <cell r="AL29">
            <v>0</v>
          </cell>
          <cell r="AM29">
            <v>0</v>
          </cell>
          <cell r="AN29">
            <v>0</v>
          </cell>
          <cell r="AO29">
            <v>0</v>
          </cell>
          <cell r="AP29">
            <v>0</v>
          </cell>
          <cell r="AQ29">
            <v>0</v>
          </cell>
          <cell r="AR29">
            <v>0</v>
          </cell>
          <cell r="AS29">
            <v>3132270</v>
          </cell>
          <cell r="AT29">
            <v>0</v>
          </cell>
          <cell r="AU29">
            <v>3132270</v>
          </cell>
          <cell r="AV29">
            <v>4741670</v>
          </cell>
        </row>
        <row r="30">
          <cell r="A30">
            <v>7225000</v>
          </cell>
          <cell r="B30" t="str">
            <v>هزينه تغذيه پرسنل</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184000</v>
          </cell>
          <cell r="V30">
            <v>0</v>
          </cell>
          <cell r="W30">
            <v>0</v>
          </cell>
          <cell r="X30">
            <v>0</v>
          </cell>
          <cell r="Y30">
            <v>0</v>
          </cell>
          <cell r="Z30">
            <v>0</v>
          </cell>
          <cell r="AA30">
            <v>0</v>
          </cell>
          <cell r="AB30">
            <v>8850000</v>
          </cell>
          <cell r="AC30">
            <v>0</v>
          </cell>
          <cell r="AD30">
            <v>2872000</v>
          </cell>
          <cell r="AE30">
            <v>1628386545</v>
          </cell>
          <cell r="AF30">
            <v>702000</v>
          </cell>
          <cell r="AG30">
            <v>1640994545</v>
          </cell>
          <cell r="AH30">
            <v>1640994545</v>
          </cell>
          <cell r="AI30">
            <v>366500</v>
          </cell>
          <cell r="AJ30">
            <v>86000</v>
          </cell>
          <cell r="AK30">
            <v>0</v>
          </cell>
          <cell r="AL30">
            <v>50000</v>
          </cell>
          <cell r="AM30">
            <v>0</v>
          </cell>
          <cell r="AN30">
            <v>0</v>
          </cell>
          <cell r="AO30">
            <v>291000</v>
          </cell>
          <cell r="AP30">
            <v>1325500</v>
          </cell>
          <cell r="AQ30">
            <v>0</v>
          </cell>
          <cell r="AR30">
            <v>0</v>
          </cell>
          <cell r="AS30">
            <v>0</v>
          </cell>
          <cell r="AT30">
            <v>0</v>
          </cell>
          <cell r="AU30">
            <v>2119000</v>
          </cell>
          <cell r="AV30">
            <v>1643113545</v>
          </cell>
        </row>
        <row r="31">
          <cell r="A31">
            <v>7226000</v>
          </cell>
          <cell r="B31" t="str">
            <v>هزينه 3%صندوق پس انداز آتيه سهم کارفرما</v>
          </cell>
          <cell r="C31">
            <v>919125</v>
          </cell>
          <cell r="D31">
            <v>5057991</v>
          </cell>
          <cell r="E31">
            <v>5540928</v>
          </cell>
          <cell r="F31">
            <v>2589594</v>
          </cell>
          <cell r="G31">
            <v>4376553</v>
          </cell>
          <cell r="H31">
            <v>3211548</v>
          </cell>
          <cell r="I31">
            <v>7749112</v>
          </cell>
          <cell r="J31">
            <v>4474707</v>
          </cell>
          <cell r="K31">
            <v>1872678</v>
          </cell>
          <cell r="L31">
            <v>0</v>
          </cell>
          <cell r="M31">
            <v>2028591</v>
          </cell>
          <cell r="N31">
            <v>3470554</v>
          </cell>
          <cell r="O31">
            <v>0</v>
          </cell>
          <cell r="P31">
            <v>0</v>
          </cell>
          <cell r="Q31">
            <v>1203151</v>
          </cell>
          <cell r="R31">
            <v>42494532</v>
          </cell>
          <cell r="S31">
            <v>2808126</v>
          </cell>
          <cell r="T31">
            <v>7113528</v>
          </cell>
          <cell r="U31">
            <v>19600735</v>
          </cell>
          <cell r="V31">
            <v>3771801</v>
          </cell>
          <cell r="W31">
            <v>33389614</v>
          </cell>
          <cell r="X31">
            <v>7612860</v>
          </cell>
          <cell r="Y31">
            <v>846135</v>
          </cell>
          <cell r="Z31">
            <v>6216980</v>
          </cell>
          <cell r="AA31">
            <v>525032</v>
          </cell>
          <cell r="AB31">
            <v>9030303</v>
          </cell>
          <cell r="AC31">
            <v>1822821</v>
          </cell>
          <cell r="AD31">
            <v>765291</v>
          </cell>
          <cell r="AE31">
            <v>0</v>
          </cell>
          <cell r="AF31">
            <v>427893</v>
          </cell>
          <cell r="AG31">
            <v>93931119</v>
          </cell>
          <cell r="AH31">
            <v>136425651</v>
          </cell>
          <cell r="AI31">
            <v>34176682</v>
          </cell>
          <cell r="AJ31">
            <v>11854336</v>
          </cell>
          <cell r="AK31">
            <v>10569752</v>
          </cell>
          <cell r="AL31">
            <v>0</v>
          </cell>
          <cell r="AM31">
            <v>1682871</v>
          </cell>
          <cell r="AN31">
            <v>0</v>
          </cell>
          <cell r="AO31">
            <v>3960351</v>
          </cell>
          <cell r="AP31">
            <v>13026645</v>
          </cell>
          <cell r="AQ31">
            <v>4770909</v>
          </cell>
          <cell r="AR31">
            <v>0</v>
          </cell>
          <cell r="AS31">
            <v>1368216</v>
          </cell>
          <cell r="AT31">
            <v>14753230</v>
          </cell>
          <cell r="AU31">
            <v>96162992</v>
          </cell>
          <cell r="AV31">
            <v>232588643</v>
          </cell>
        </row>
        <row r="32">
          <cell r="A32">
            <v>7231000</v>
          </cell>
          <cell r="B32" t="str">
            <v>هزينه بازخريدمرخصي</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row>
        <row r="33">
          <cell r="A33">
            <v>7233000</v>
          </cell>
          <cell r="B33" t="str">
            <v>هزينه مزاياي غيرنقدي</v>
          </cell>
          <cell r="C33">
            <v>600000</v>
          </cell>
          <cell r="D33">
            <v>4800000</v>
          </cell>
          <cell r="E33">
            <v>4800000</v>
          </cell>
          <cell r="F33">
            <v>1800000</v>
          </cell>
          <cell r="G33">
            <v>3600000</v>
          </cell>
          <cell r="H33">
            <v>3000000</v>
          </cell>
          <cell r="I33">
            <v>6000000</v>
          </cell>
          <cell r="J33">
            <v>4200000</v>
          </cell>
          <cell r="K33">
            <v>1800000</v>
          </cell>
          <cell r="L33">
            <v>0</v>
          </cell>
          <cell r="M33">
            <v>1800000</v>
          </cell>
          <cell r="N33">
            <v>2400000</v>
          </cell>
          <cell r="O33">
            <v>1800000</v>
          </cell>
          <cell r="P33">
            <v>0</v>
          </cell>
          <cell r="Q33">
            <v>600000</v>
          </cell>
          <cell r="R33">
            <v>37200000</v>
          </cell>
          <cell r="S33">
            <v>2400000</v>
          </cell>
          <cell r="T33">
            <v>7200000</v>
          </cell>
          <cell r="U33">
            <v>18600000</v>
          </cell>
          <cell r="V33">
            <v>4800000</v>
          </cell>
          <cell r="W33">
            <v>25200000</v>
          </cell>
          <cell r="X33">
            <v>5400000</v>
          </cell>
          <cell r="Y33">
            <v>600000</v>
          </cell>
          <cell r="Z33">
            <v>4800000</v>
          </cell>
          <cell r="AA33">
            <v>600000</v>
          </cell>
          <cell r="AB33">
            <v>6600000</v>
          </cell>
          <cell r="AC33">
            <v>1800000</v>
          </cell>
          <cell r="AD33">
            <v>3600000</v>
          </cell>
          <cell r="AE33">
            <v>0</v>
          </cell>
          <cell r="AF33">
            <v>600000</v>
          </cell>
          <cell r="AG33">
            <v>82200000</v>
          </cell>
          <cell r="AH33">
            <v>119400000</v>
          </cell>
          <cell r="AI33">
            <v>29400000</v>
          </cell>
          <cell r="AJ33">
            <v>4200000</v>
          </cell>
          <cell r="AK33">
            <v>8400000</v>
          </cell>
          <cell r="AL33">
            <v>0</v>
          </cell>
          <cell r="AM33">
            <v>1800000</v>
          </cell>
          <cell r="AN33">
            <v>0</v>
          </cell>
          <cell r="AO33">
            <v>2400000</v>
          </cell>
          <cell r="AP33">
            <v>9000000</v>
          </cell>
          <cell r="AQ33">
            <v>3600000</v>
          </cell>
          <cell r="AR33">
            <v>1200000</v>
          </cell>
          <cell r="AS33">
            <v>1200000</v>
          </cell>
          <cell r="AT33">
            <v>9000000</v>
          </cell>
          <cell r="AU33">
            <v>70200000</v>
          </cell>
          <cell r="AV33">
            <v>189600000</v>
          </cell>
        </row>
        <row r="34">
          <cell r="A34">
            <v>7233001</v>
          </cell>
          <cell r="B34" t="str">
            <v>هزينه مزاياي غيرنقدي ( پارس پاکان)</v>
          </cell>
          <cell r="C34">
            <v>0</v>
          </cell>
          <cell r="D34">
            <v>5400000</v>
          </cell>
          <cell r="E34">
            <v>4800000</v>
          </cell>
          <cell r="F34">
            <v>6600000</v>
          </cell>
          <cell r="G34">
            <v>7200000</v>
          </cell>
          <cell r="H34">
            <v>1800000</v>
          </cell>
          <cell r="I34">
            <v>16200000</v>
          </cell>
          <cell r="J34">
            <v>8400000</v>
          </cell>
          <cell r="K34">
            <v>4800000</v>
          </cell>
          <cell r="L34">
            <v>0</v>
          </cell>
          <cell r="M34">
            <v>0</v>
          </cell>
          <cell r="N34">
            <v>16800000</v>
          </cell>
          <cell r="O34">
            <v>4200000</v>
          </cell>
          <cell r="P34">
            <v>3600000</v>
          </cell>
          <cell r="Q34">
            <v>0</v>
          </cell>
          <cell r="R34">
            <v>79800000</v>
          </cell>
          <cell r="S34">
            <v>3000000</v>
          </cell>
          <cell r="T34">
            <v>13200000</v>
          </cell>
          <cell r="U34">
            <v>8400000</v>
          </cell>
          <cell r="V34">
            <v>1200000</v>
          </cell>
          <cell r="W34">
            <v>1800000</v>
          </cell>
          <cell r="X34">
            <v>6600000</v>
          </cell>
          <cell r="Y34">
            <v>2400000</v>
          </cell>
          <cell r="Z34">
            <v>0</v>
          </cell>
          <cell r="AA34">
            <v>0</v>
          </cell>
          <cell r="AB34">
            <v>1200000</v>
          </cell>
          <cell r="AC34">
            <v>6000000</v>
          </cell>
          <cell r="AD34">
            <v>31200000</v>
          </cell>
          <cell r="AE34">
            <v>0</v>
          </cell>
          <cell r="AF34">
            <v>0</v>
          </cell>
          <cell r="AG34">
            <v>75000000</v>
          </cell>
          <cell r="AH34">
            <v>154800000</v>
          </cell>
          <cell r="AI34">
            <v>1200000</v>
          </cell>
          <cell r="AJ34">
            <v>0</v>
          </cell>
          <cell r="AK34">
            <v>0</v>
          </cell>
          <cell r="AL34">
            <v>0</v>
          </cell>
          <cell r="AM34">
            <v>0</v>
          </cell>
          <cell r="AN34">
            <v>0</v>
          </cell>
          <cell r="AO34">
            <v>0</v>
          </cell>
          <cell r="AP34">
            <v>0</v>
          </cell>
          <cell r="AQ34">
            <v>10800000</v>
          </cell>
          <cell r="AR34">
            <v>0</v>
          </cell>
          <cell r="AS34">
            <v>0</v>
          </cell>
          <cell r="AT34">
            <v>1200000</v>
          </cell>
          <cell r="AU34">
            <v>13200000</v>
          </cell>
          <cell r="AV34">
            <v>168000000</v>
          </cell>
        </row>
        <row r="35">
          <cell r="A35">
            <v>7234000</v>
          </cell>
          <cell r="B35" t="str">
            <v>هزينه سفروماموريت</v>
          </cell>
          <cell r="C35">
            <v>0</v>
          </cell>
          <cell r="D35">
            <v>0</v>
          </cell>
          <cell r="E35">
            <v>0</v>
          </cell>
          <cell r="F35">
            <v>0</v>
          </cell>
          <cell r="G35">
            <v>0</v>
          </cell>
          <cell r="H35">
            <v>0</v>
          </cell>
          <cell r="I35">
            <v>0</v>
          </cell>
          <cell r="J35">
            <v>365915</v>
          </cell>
          <cell r="K35">
            <v>0</v>
          </cell>
          <cell r="L35">
            <v>0</v>
          </cell>
          <cell r="M35">
            <v>0</v>
          </cell>
          <cell r="N35">
            <v>0</v>
          </cell>
          <cell r="O35">
            <v>0</v>
          </cell>
          <cell r="P35">
            <v>0</v>
          </cell>
          <cell r="Q35">
            <v>0</v>
          </cell>
          <cell r="R35">
            <v>365915</v>
          </cell>
          <cell r="S35">
            <v>0</v>
          </cell>
          <cell r="T35">
            <v>495915</v>
          </cell>
          <cell r="U35">
            <v>1471878</v>
          </cell>
          <cell r="V35">
            <v>0</v>
          </cell>
          <cell r="W35">
            <v>0</v>
          </cell>
          <cell r="X35">
            <v>0</v>
          </cell>
          <cell r="Y35">
            <v>0</v>
          </cell>
          <cell r="Z35">
            <v>0</v>
          </cell>
          <cell r="AA35">
            <v>0</v>
          </cell>
          <cell r="AB35">
            <v>0</v>
          </cell>
          <cell r="AC35">
            <v>711266</v>
          </cell>
          <cell r="AD35">
            <v>753613</v>
          </cell>
          <cell r="AE35">
            <v>0</v>
          </cell>
          <cell r="AF35">
            <v>0</v>
          </cell>
          <cell r="AG35">
            <v>3432672</v>
          </cell>
          <cell r="AH35">
            <v>3798587</v>
          </cell>
          <cell r="AI35">
            <v>87991877</v>
          </cell>
          <cell r="AJ35">
            <v>131753000</v>
          </cell>
          <cell r="AK35">
            <v>0</v>
          </cell>
          <cell r="AL35">
            <v>0</v>
          </cell>
          <cell r="AM35">
            <v>0</v>
          </cell>
          <cell r="AN35">
            <v>0</v>
          </cell>
          <cell r="AO35">
            <v>0</v>
          </cell>
          <cell r="AP35">
            <v>0</v>
          </cell>
          <cell r="AQ35">
            <v>0</v>
          </cell>
          <cell r="AR35">
            <v>0</v>
          </cell>
          <cell r="AS35">
            <v>0</v>
          </cell>
          <cell r="AT35">
            <v>41650000</v>
          </cell>
          <cell r="AU35">
            <v>261394877</v>
          </cell>
          <cell r="AV35">
            <v>265193464</v>
          </cell>
        </row>
        <row r="36">
          <cell r="A36">
            <v>7235000</v>
          </cell>
          <cell r="B36" t="str">
            <v>هزينه پوشاك</v>
          </cell>
          <cell r="C36">
            <v>0</v>
          </cell>
          <cell r="D36">
            <v>0</v>
          </cell>
          <cell r="E36">
            <v>316067</v>
          </cell>
          <cell r="F36">
            <v>0</v>
          </cell>
          <cell r="G36">
            <v>0</v>
          </cell>
          <cell r="H36">
            <v>0</v>
          </cell>
          <cell r="I36">
            <v>3402000</v>
          </cell>
          <cell r="J36">
            <v>52000</v>
          </cell>
          <cell r="K36">
            <v>305509</v>
          </cell>
          <cell r="L36">
            <v>0</v>
          </cell>
          <cell r="M36">
            <v>0</v>
          </cell>
          <cell r="N36">
            <v>2145775</v>
          </cell>
          <cell r="O36">
            <v>0</v>
          </cell>
          <cell r="P36">
            <v>0</v>
          </cell>
          <cell r="Q36">
            <v>5714500</v>
          </cell>
          <cell r="R36">
            <v>11935851</v>
          </cell>
          <cell r="S36">
            <v>0</v>
          </cell>
          <cell r="T36">
            <v>51086000</v>
          </cell>
          <cell r="U36">
            <v>2012000</v>
          </cell>
          <cell r="V36">
            <v>0</v>
          </cell>
          <cell r="W36">
            <v>1065444</v>
          </cell>
          <cell r="X36">
            <v>1116875</v>
          </cell>
          <cell r="Y36">
            <v>151375</v>
          </cell>
          <cell r="Z36">
            <v>2250000</v>
          </cell>
          <cell r="AA36">
            <v>0</v>
          </cell>
          <cell r="AB36">
            <v>2250000</v>
          </cell>
          <cell r="AC36">
            <v>5540000</v>
          </cell>
          <cell r="AD36">
            <v>126975446</v>
          </cell>
          <cell r="AE36">
            <v>0</v>
          </cell>
          <cell r="AF36">
            <v>280000</v>
          </cell>
          <cell r="AG36">
            <v>192727140</v>
          </cell>
          <cell r="AH36">
            <v>204662991</v>
          </cell>
          <cell r="AI36">
            <v>0</v>
          </cell>
          <cell r="AJ36">
            <v>750000</v>
          </cell>
          <cell r="AK36">
            <v>313375</v>
          </cell>
          <cell r="AL36">
            <v>1500000</v>
          </cell>
          <cell r="AM36">
            <v>0</v>
          </cell>
          <cell r="AN36">
            <v>0</v>
          </cell>
          <cell r="AO36">
            <v>750000</v>
          </cell>
          <cell r="AP36">
            <v>2510000</v>
          </cell>
          <cell r="AQ36">
            <v>2250000</v>
          </cell>
          <cell r="AR36">
            <v>14750000</v>
          </cell>
          <cell r="AS36">
            <v>1270000</v>
          </cell>
          <cell r="AT36">
            <v>6095000</v>
          </cell>
          <cell r="AU36">
            <v>30188375</v>
          </cell>
          <cell r="AV36">
            <v>234851366</v>
          </cell>
        </row>
        <row r="37">
          <cell r="A37">
            <v>7236000</v>
          </cell>
          <cell r="B37" t="str">
            <v>هزينه هاي ورزشي</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26574800</v>
          </cell>
          <cell r="AE37">
            <v>0</v>
          </cell>
          <cell r="AF37">
            <v>0</v>
          </cell>
          <cell r="AG37">
            <v>26574800</v>
          </cell>
          <cell r="AH37">
            <v>26574800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26574800</v>
          </cell>
        </row>
        <row r="38">
          <cell r="A38">
            <v>7237000</v>
          </cell>
          <cell r="B38" t="str">
            <v>هزينه هاي آموزشي</v>
          </cell>
          <cell r="C38">
            <v>0</v>
          </cell>
          <cell r="D38">
            <v>0</v>
          </cell>
          <cell r="E38">
            <v>0</v>
          </cell>
          <cell r="F38">
            <v>0</v>
          </cell>
          <cell r="G38">
            <v>0</v>
          </cell>
          <cell r="H38">
            <v>0</v>
          </cell>
          <cell r="I38">
            <v>0</v>
          </cell>
          <cell r="J38">
            <v>0</v>
          </cell>
          <cell r="K38">
            <v>0</v>
          </cell>
          <cell r="L38">
            <v>0</v>
          </cell>
          <cell r="M38">
            <v>0</v>
          </cell>
          <cell r="N38">
            <v>2200000</v>
          </cell>
          <cell r="O38">
            <v>0</v>
          </cell>
          <cell r="P38">
            <v>0</v>
          </cell>
          <cell r="Q38">
            <v>550000</v>
          </cell>
          <cell r="R38">
            <v>2750000</v>
          </cell>
          <cell r="S38">
            <v>0</v>
          </cell>
          <cell r="T38">
            <v>4512000</v>
          </cell>
          <cell r="U38">
            <v>0</v>
          </cell>
          <cell r="V38">
            <v>2625000</v>
          </cell>
          <cell r="W38">
            <v>11000000</v>
          </cell>
          <cell r="X38">
            <v>72500</v>
          </cell>
          <cell r="Y38">
            <v>0</v>
          </cell>
          <cell r="Z38">
            <v>0</v>
          </cell>
          <cell r="AA38">
            <v>0</v>
          </cell>
          <cell r="AB38">
            <v>0</v>
          </cell>
          <cell r="AC38">
            <v>0</v>
          </cell>
          <cell r="AD38">
            <v>0</v>
          </cell>
          <cell r="AE38">
            <v>0</v>
          </cell>
          <cell r="AF38">
            <v>0</v>
          </cell>
          <cell r="AG38">
            <v>18209500</v>
          </cell>
          <cell r="AH38">
            <v>20959500</v>
          </cell>
          <cell r="AI38">
            <v>550000</v>
          </cell>
          <cell r="AJ38">
            <v>2750000</v>
          </cell>
          <cell r="AK38">
            <v>3300000</v>
          </cell>
          <cell r="AL38">
            <v>3035000</v>
          </cell>
          <cell r="AM38">
            <v>0</v>
          </cell>
          <cell r="AN38">
            <v>0</v>
          </cell>
          <cell r="AO38">
            <v>0</v>
          </cell>
          <cell r="AP38">
            <v>0</v>
          </cell>
          <cell r="AQ38">
            <v>0</v>
          </cell>
          <cell r="AR38">
            <v>0</v>
          </cell>
          <cell r="AS38">
            <v>315789</v>
          </cell>
          <cell r="AT38">
            <v>2124232</v>
          </cell>
          <cell r="AU38">
            <v>12075021</v>
          </cell>
          <cell r="AV38">
            <v>33034521</v>
          </cell>
        </row>
        <row r="39">
          <cell r="A39" t="str">
            <v>جمع سایر هزینه های کارکنان</v>
          </cell>
          <cell r="C39">
            <v>9770125</v>
          </cell>
          <cell r="D39">
            <v>41567372</v>
          </cell>
          <cell r="E39">
            <v>40673282</v>
          </cell>
          <cell r="F39">
            <v>27935832</v>
          </cell>
          <cell r="G39">
            <v>57681804</v>
          </cell>
          <cell r="H39">
            <v>20079032</v>
          </cell>
          <cell r="I39">
            <v>78622291</v>
          </cell>
          <cell r="J39">
            <v>39012836</v>
          </cell>
          <cell r="K39">
            <v>19909537</v>
          </cell>
          <cell r="L39">
            <v>0</v>
          </cell>
          <cell r="M39">
            <v>10953594</v>
          </cell>
          <cell r="N39">
            <v>75071449</v>
          </cell>
          <cell r="O39">
            <v>9300000</v>
          </cell>
          <cell r="P39">
            <v>6900000</v>
          </cell>
          <cell r="Q39">
            <v>25060075</v>
          </cell>
          <cell r="R39">
            <v>462537229</v>
          </cell>
          <cell r="S39">
            <v>25902656</v>
          </cell>
          <cell r="T39">
            <v>149398790</v>
          </cell>
          <cell r="U39">
            <v>170941542</v>
          </cell>
          <cell r="V39">
            <v>34021802</v>
          </cell>
          <cell r="W39">
            <v>221637285</v>
          </cell>
          <cell r="X39">
            <v>100987854</v>
          </cell>
          <cell r="Y39">
            <v>11901965</v>
          </cell>
          <cell r="Z39">
            <v>61534174</v>
          </cell>
          <cell r="AA39">
            <v>2750032</v>
          </cell>
          <cell r="AB39">
            <v>65408792</v>
          </cell>
          <cell r="AC39">
            <v>30344291</v>
          </cell>
          <cell r="AD39">
            <v>233060462</v>
          </cell>
          <cell r="AE39">
            <v>1628639545</v>
          </cell>
          <cell r="AF39">
            <v>1216412380</v>
          </cell>
          <cell r="AG39">
            <v>3952941570</v>
          </cell>
          <cell r="AH39">
            <v>4415478799</v>
          </cell>
          <cell r="AI39">
            <v>787783219</v>
          </cell>
          <cell r="AJ39">
            <v>240871617</v>
          </cell>
          <cell r="AK39">
            <v>66619795</v>
          </cell>
          <cell r="AL39">
            <v>4745000</v>
          </cell>
          <cell r="AM39">
            <v>14557872</v>
          </cell>
          <cell r="AN39">
            <v>0</v>
          </cell>
          <cell r="AO39">
            <v>39973575</v>
          </cell>
          <cell r="AP39">
            <v>206321080</v>
          </cell>
          <cell r="AQ39">
            <v>54665821</v>
          </cell>
          <cell r="AR39">
            <v>23296000</v>
          </cell>
          <cell r="AS39">
            <v>15899548</v>
          </cell>
          <cell r="AT39">
            <v>195728783</v>
          </cell>
          <cell r="AU39">
            <v>1650462310</v>
          </cell>
          <cell r="AV39">
            <v>6065941109</v>
          </cell>
        </row>
        <row r="40">
          <cell r="A40" t="str">
            <v>جمع هزینه های کارکنان</v>
          </cell>
          <cell r="C40">
            <v>68899029</v>
          </cell>
          <cell r="D40">
            <v>536327237</v>
          </cell>
          <cell r="E40">
            <v>559896040</v>
          </cell>
          <cell r="F40">
            <v>331341245</v>
          </cell>
          <cell r="G40">
            <v>541985111</v>
          </cell>
          <cell r="H40">
            <v>315390461</v>
          </cell>
          <cell r="I40">
            <v>798519380</v>
          </cell>
          <cell r="J40">
            <v>537666128</v>
          </cell>
          <cell r="K40">
            <v>261757517</v>
          </cell>
          <cell r="L40">
            <v>0</v>
          </cell>
          <cell r="M40">
            <v>151475049</v>
          </cell>
          <cell r="N40">
            <v>554704275</v>
          </cell>
          <cell r="O40">
            <v>65198543</v>
          </cell>
          <cell r="P40">
            <v>57854112</v>
          </cell>
          <cell r="Q40">
            <v>81875601</v>
          </cell>
          <cell r="R40">
            <v>4862889728</v>
          </cell>
          <cell r="S40">
            <v>288429633</v>
          </cell>
          <cell r="T40">
            <v>942425015</v>
          </cell>
          <cell r="U40">
            <v>2141630043</v>
          </cell>
          <cell r="V40">
            <v>279831537</v>
          </cell>
          <cell r="W40">
            <v>2411427494</v>
          </cell>
          <cell r="X40">
            <v>853650478</v>
          </cell>
          <cell r="Y40">
            <v>102820276</v>
          </cell>
          <cell r="Z40">
            <v>437496776</v>
          </cell>
          <cell r="AA40">
            <v>31573870</v>
          </cell>
          <cell r="AB40">
            <v>661432605</v>
          </cell>
          <cell r="AC40">
            <v>404433467</v>
          </cell>
          <cell r="AD40">
            <v>740358806</v>
          </cell>
          <cell r="AE40">
            <v>1628639545</v>
          </cell>
          <cell r="AF40">
            <v>1250848667</v>
          </cell>
          <cell r="AG40">
            <v>12174998212</v>
          </cell>
          <cell r="AH40">
            <v>12637535441</v>
          </cell>
          <cell r="AI40">
            <v>2676783800</v>
          </cell>
          <cell r="AJ40">
            <v>798662650</v>
          </cell>
          <cell r="AK40">
            <v>636942379</v>
          </cell>
          <cell r="AL40">
            <v>4745000</v>
          </cell>
          <cell r="AM40">
            <v>176764251</v>
          </cell>
          <cell r="AN40">
            <v>0</v>
          </cell>
          <cell r="AO40">
            <v>278076619</v>
          </cell>
          <cell r="AP40">
            <v>1142372239</v>
          </cell>
          <cell r="AQ40">
            <v>345750056</v>
          </cell>
          <cell r="AR40">
            <v>29796000</v>
          </cell>
          <cell r="AS40">
            <v>122410798</v>
          </cell>
          <cell r="AT40">
            <v>980214572</v>
          </cell>
          <cell r="AU40">
            <v>7192518364</v>
          </cell>
          <cell r="AV40">
            <v>24230406304</v>
          </cell>
        </row>
        <row r="41">
          <cell r="A41">
            <v>7313000</v>
          </cell>
          <cell r="B41" t="str">
            <v>هزينه سربار مواد اوليه</v>
          </cell>
          <cell r="C41">
            <v>0</v>
          </cell>
          <cell r="D41">
            <v>24649971</v>
          </cell>
          <cell r="E41">
            <v>105881933</v>
          </cell>
          <cell r="F41">
            <v>46742865</v>
          </cell>
          <cell r="G41">
            <v>33577631</v>
          </cell>
          <cell r="H41">
            <v>272500</v>
          </cell>
          <cell r="I41">
            <v>9056107</v>
          </cell>
          <cell r="J41">
            <v>744756</v>
          </cell>
          <cell r="K41">
            <v>5405683</v>
          </cell>
          <cell r="L41">
            <v>0</v>
          </cell>
          <cell r="M41">
            <v>0</v>
          </cell>
          <cell r="N41">
            <v>0</v>
          </cell>
          <cell r="O41">
            <v>0</v>
          </cell>
          <cell r="P41">
            <v>0</v>
          </cell>
          <cell r="Q41">
            <v>3854277</v>
          </cell>
          <cell r="R41">
            <v>230185723</v>
          </cell>
          <cell r="S41">
            <v>0</v>
          </cell>
          <cell r="T41">
            <v>0</v>
          </cell>
          <cell r="U41">
            <v>0</v>
          </cell>
          <cell r="V41">
            <v>0</v>
          </cell>
          <cell r="W41">
            <v>79261722</v>
          </cell>
          <cell r="X41">
            <v>0</v>
          </cell>
          <cell r="Y41">
            <v>4286093</v>
          </cell>
          <cell r="Z41">
            <v>0</v>
          </cell>
          <cell r="AA41">
            <v>0</v>
          </cell>
          <cell r="AB41">
            <v>0</v>
          </cell>
          <cell r="AC41">
            <v>0</v>
          </cell>
          <cell r="AD41">
            <v>0</v>
          </cell>
          <cell r="AE41">
            <v>0</v>
          </cell>
          <cell r="AF41">
            <v>0</v>
          </cell>
          <cell r="AG41">
            <v>83547815</v>
          </cell>
          <cell r="AH41">
            <v>313733538</v>
          </cell>
          <cell r="AI41">
            <v>0</v>
          </cell>
          <cell r="AJ41">
            <v>0</v>
          </cell>
          <cell r="AK41">
            <v>0</v>
          </cell>
          <cell r="AL41">
            <v>0</v>
          </cell>
          <cell r="AM41">
            <v>0</v>
          </cell>
          <cell r="AN41">
            <v>0</v>
          </cell>
          <cell r="AO41">
            <v>0</v>
          </cell>
          <cell r="AP41">
            <v>0</v>
          </cell>
          <cell r="AQ41">
            <v>0</v>
          </cell>
          <cell r="AR41">
            <v>0</v>
          </cell>
          <cell r="AS41">
            <v>0</v>
          </cell>
          <cell r="AT41">
            <v>0</v>
          </cell>
          <cell r="AU41">
            <v>0</v>
          </cell>
          <cell r="AV41">
            <v>313733538</v>
          </cell>
        </row>
        <row r="42">
          <cell r="A42">
            <v>7314000</v>
          </cell>
          <cell r="B42" t="str">
            <v>هزينه  سربار مواد بسته بندي</v>
          </cell>
          <cell r="C42">
            <v>0</v>
          </cell>
          <cell r="D42">
            <v>0</v>
          </cell>
          <cell r="E42">
            <v>5634121</v>
          </cell>
          <cell r="F42">
            <v>2015215</v>
          </cell>
          <cell r="G42">
            <v>4660647</v>
          </cell>
          <cell r="H42">
            <v>0</v>
          </cell>
          <cell r="I42">
            <v>1690210</v>
          </cell>
          <cell r="J42">
            <v>632021</v>
          </cell>
          <cell r="K42">
            <v>1648468</v>
          </cell>
          <cell r="L42">
            <v>0</v>
          </cell>
          <cell r="M42">
            <v>0</v>
          </cell>
          <cell r="N42">
            <v>0</v>
          </cell>
          <cell r="O42">
            <v>0</v>
          </cell>
          <cell r="P42">
            <v>0</v>
          </cell>
          <cell r="Q42">
            <v>2047827</v>
          </cell>
          <cell r="R42">
            <v>18328509</v>
          </cell>
          <cell r="S42">
            <v>0</v>
          </cell>
          <cell r="T42">
            <v>0</v>
          </cell>
          <cell r="U42">
            <v>0</v>
          </cell>
          <cell r="V42">
            <v>0</v>
          </cell>
          <cell r="W42">
            <v>12530197</v>
          </cell>
          <cell r="X42">
            <v>0</v>
          </cell>
          <cell r="Y42">
            <v>0</v>
          </cell>
          <cell r="Z42">
            <v>0</v>
          </cell>
          <cell r="AA42">
            <v>0</v>
          </cell>
          <cell r="AB42">
            <v>0</v>
          </cell>
          <cell r="AC42">
            <v>0</v>
          </cell>
          <cell r="AD42">
            <v>0</v>
          </cell>
          <cell r="AE42">
            <v>0</v>
          </cell>
          <cell r="AF42">
            <v>0</v>
          </cell>
          <cell r="AG42">
            <v>12530197</v>
          </cell>
          <cell r="AH42">
            <v>30858706</v>
          </cell>
          <cell r="AI42">
            <v>0</v>
          </cell>
          <cell r="AJ42">
            <v>0</v>
          </cell>
          <cell r="AK42">
            <v>0</v>
          </cell>
          <cell r="AL42">
            <v>0</v>
          </cell>
          <cell r="AM42">
            <v>0</v>
          </cell>
          <cell r="AN42">
            <v>0</v>
          </cell>
          <cell r="AO42">
            <v>0</v>
          </cell>
          <cell r="AP42">
            <v>0</v>
          </cell>
          <cell r="AQ42">
            <v>0</v>
          </cell>
          <cell r="AR42">
            <v>0</v>
          </cell>
          <cell r="AS42">
            <v>0</v>
          </cell>
          <cell r="AT42">
            <v>0</v>
          </cell>
          <cell r="AU42">
            <v>0</v>
          </cell>
          <cell r="AV42">
            <v>30858706</v>
          </cell>
        </row>
        <row r="43">
          <cell r="A43">
            <v>7316000</v>
          </cell>
          <cell r="B43" t="str">
            <v>هزينه سربار مواد اوليه (افشانه ها )</v>
          </cell>
          <cell r="C43">
            <v>0</v>
          </cell>
          <cell r="D43">
            <v>0</v>
          </cell>
          <cell r="E43">
            <v>0</v>
          </cell>
          <cell r="F43">
            <v>0</v>
          </cell>
          <cell r="G43">
            <v>0</v>
          </cell>
          <cell r="H43">
            <v>0</v>
          </cell>
          <cell r="I43">
            <v>0</v>
          </cell>
          <cell r="J43">
            <v>0</v>
          </cell>
          <cell r="K43">
            <v>0</v>
          </cell>
          <cell r="L43">
            <v>0</v>
          </cell>
          <cell r="M43">
            <v>0</v>
          </cell>
          <cell r="N43">
            <v>0</v>
          </cell>
          <cell r="O43">
            <v>1487404</v>
          </cell>
          <cell r="P43">
            <v>0</v>
          </cell>
          <cell r="Q43">
            <v>0</v>
          </cell>
          <cell r="R43">
            <v>1487404</v>
          </cell>
          <cell r="S43">
            <v>0</v>
          </cell>
          <cell r="T43">
            <v>0</v>
          </cell>
          <cell r="U43">
            <v>0</v>
          </cell>
          <cell r="V43">
            <v>0</v>
          </cell>
          <cell r="W43">
            <v>42672949</v>
          </cell>
          <cell r="X43">
            <v>0</v>
          </cell>
          <cell r="Y43">
            <v>0</v>
          </cell>
          <cell r="Z43">
            <v>0</v>
          </cell>
          <cell r="AA43">
            <v>0</v>
          </cell>
          <cell r="AB43">
            <v>1387961</v>
          </cell>
          <cell r="AC43">
            <v>0</v>
          </cell>
          <cell r="AD43">
            <v>0</v>
          </cell>
          <cell r="AE43">
            <v>0</v>
          </cell>
          <cell r="AF43">
            <v>0</v>
          </cell>
          <cell r="AG43">
            <v>44060910</v>
          </cell>
          <cell r="AH43">
            <v>45548314</v>
          </cell>
          <cell r="AI43">
            <v>0</v>
          </cell>
          <cell r="AJ43">
            <v>0</v>
          </cell>
          <cell r="AK43">
            <v>91667111</v>
          </cell>
          <cell r="AL43">
            <v>0</v>
          </cell>
          <cell r="AM43">
            <v>0</v>
          </cell>
          <cell r="AN43">
            <v>0</v>
          </cell>
          <cell r="AO43">
            <v>0</v>
          </cell>
          <cell r="AP43">
            <v>0</v>
          </cell>
          <cell r="AQ43">
            <v>0</v>
          </cell>
          <cell r="AR43">
            <v>0</v>
          </cell>
          <cell r="AS43">
            <v>0</v>
          </cell>
          <cell r="AT43">
            <v>0</v>
          </cell>
          <cell r="AU43">
            <v>91667111</v>
          </cell>
          <cell r="AV43">
            <v>137215425</v>
          </cell>
        </row>
        <row r="44">
          <cell r="A44">
            <v>7317000</v>
          </cell>
          <cell r="B44" t="str">
            <v>هزينه  سربار  بسته بندي (افشا نه ها )</v>
          </cell>
          <cell r="C44">
            <v>0</v>
          </cell>
          <cell r="D44">
            <v>0</v>
          </cell>
          <cell r="E44">
            <v>0</v>
          </cell>
          <cell r="F44">
            <v>0</v>
          </cell>
          <cell r="G44">
            <v>0</v>
          </cell>
          <cell r="H44">
            <v>0</v>
          </cell>
          <cell r="I44">
            <v>0</v>
          </cell>
          <cell r="J44">
            <v>0</v>
          </cell>
          <cell r="K44">
            <v>0</v>
          </cell>
          <cell r="L44">
            <v>0</v>
          </cell>
          <cell r="M44">
            <v>0</v>
          </cell>
          <cell r="N44">
            <v>0</v>
          </cell>
          <cell r="O44">
            <v>1701000</v>
          </cell>
          <cell r="P44">
            <v>7710540</v>
          </cell>
          <cell r="Q44">
            <v>0</v>
          </cell>
          <cell r="R44">
            <v>9411540</v>
          </cell>
          <cell r="S44">
            <v>0</v>
          </cell>
          <cell r="T44">
            <v>0</v>
          </cell>
          <cell r="U44">
            <v>0</v>
          </cell>
          <cell r="V44">
            <v>0</v>
          </cell>
          <cell r="W44">
            <v>291357</v>
          </cell>
          <cell r="X44">
            <v>0</v>
          </cell>
          <cell r="Y44">
            <v>0</v>
          </cell>
          <cell r="Z44">
            <v>0</v>
          </cell>
          <cell r="AA44">
            <v>0</v>
          </cell>
          <cell r="AB44">
            <v>0</v>
          </cell>
          <cell r="AC44">
            <v>0</v>
          </cell>
          <cell r="AD44">
            <v>0</v>
          </cell>
          <cell r="AE44">
            <v>0</v>
          </cell>
          <cell r="AF44">
            <v>0</v>
          </cell>
          <cell r="AG44">
            <v>291357</v>
          </cell>
          <cell r="AH44">
            <v>9702897</v>
          </cell>
          <cell r="AI44">
            <v>0</v>
          </cell>
          <cell r="AJ44">
            <v>0</v>
          </cell>
          <cell r="AK44">
            <v>0</v>
          </cell>
          <cell r="AL44">
            <v>0</v>
          </cell>
          <cell r="AM44">
            <v>0</v>
          </cell>
          <cell r="AN44">
            <v>0</v>
          </cell>
          <cell r="AO44">
            <v>0</v>
          </cell>
          <cell r="AP44">
            <v>0</v>
          </cell>
          <cell r="AQ44">
            <v>0</v>
          </cell>
          <cell r="AR44">
            <v>0</v>
          </cell>
          <cell r="AS44">
            <v>0</v>
          </cell>
          <cell r="AT44">
            <v>0</v>
          </cell>
          <cell r="AU44">
            <v>0</v>
          </cell>
          <cell r="AV44">
            <v>9702897</v>
          </cell>
        </row>
        <row r="45">
          <cell r="A45">
            <v>7319000</v>
          </cell>
          <cell r="B45" t="str">
            <v>تعميرونگهداري ساختمان وتاسيسات</v>
          </cell>
          <cell r="C45">
            <v>0</v>
          </cell>
          <cell r="D45">
            <v>1090000</v>
          </cell>
          <cell r="E45">
            <v>12502500</v>
          </cell>
          <cell r="F45">
            <v>0</v>
          </cell>
          <cell r="G45">
            <v>0</v>
          </cell>
          <cell r="H45">
            <v>0</v>
          </cell>
          <cell r="I45">
            <v>930000</v>
          </cell>
          <cell r="J45">
            <v>584000</v>
          </cell>
          <cell r="K45">
            <v>0</v>
          </cell>
          <cell r="L45">
            <v>0</v>
          </cell>
          <cell r="M45">
            <v>0</v>
          </cell>
          <cell r="N45">
            <v>18150000</v>
          </cell>
          <cell r="O45">
            <v>0</v>
          </cell>
          <cell r="P45">
            <v>0</v>
          </cell>
          <cell r="Q45">
            <v>7130000</v>
          </cell>
          <cell r="R45">
            <v>40386500</v>
          </cell>
          <cell r="S45">
            <v>0</v>
          </cell>
          <cell r="T45">
            <v>0</v>
          </cell>
          <cell r="U45">
            <v>698195122</v>
          </cell>
          <cell r="V45">
            <v>7048000</v>
          </cell>
          <cell r="W45">
            <v>13500000</v>
          </cell>
          <cell r="X45">
            <v>24115000</v>
          </cell>
          <cell r="Y45">
            <v>0</v>
          </cell>
          <cell r="Z45">
            <v>0</v>
          </cell>
          <cell r="AA45">
            <v>0</v>
          </cell>
          <cell r="AB45">
            <v>0</v>
          </cell>
          <cell r="AC45">
            <v>4377000</v>
          </cell>
          <cell r="AD45">
            <v>0</v>
          </cell>
          <cell r="AE45">
            <v>0</v>
          </cell>
          <cell r="AF45">
            <v>0</v>
          </cell>
          <cell r="AG45">
            <v>747235122</v>
          </cell>
          <cell r="AH45">
            <v>787621622</v>
          </cell>
          <cell r="AI45">
            <v>14273333</v>
          </cell>
          <cell r="AJ45">
            <v>0</v>
          </cell>
          <cell r="AK45">
            <v>0</v>
          </cell>
          <cell r="AL45">
            <v>0</v>
          </cell>
          <cell r="AM45">
            <v>0</v>
          </cell>
          <cell r="AN45">
            <v>0</v>
          </cell>
          <cell r="AO45">
            <v>6000000</v>
          </cell>
          <cell r="AP45">
            <v>0</v>
          </cell>
          <cell r="AQ45">
            <v>0</v>
          </cell>
          <cell r="AR45">
            <v>0</v>
          </cell>
          <cell r="AS45">
            <v>0</v>
          </cell>
          <cell r="AT45">
            <v>5000000</v>
          </cell>
          <cell r="AU45">
            <v>25273333</v>
          </cell>
          <cell r="AV45">
            <v>812894955</v>
          </cell>
        </row>
        <row r="46">
          <cell r="A46">
            <v>7320000</v>
          </cell>
          <cell r="B46" t="str">
            <v>تعميرونگهداري ماشين آلات</v>
          </cell>
          <cell r="C46">
            <v>0</v>
          </cell>
          <cell r="D46">
            <v>38443737</v>
          </cell>
          <cell r="E46">
            <v>17198950</v>
          </cell>
          <cell r="F46">
            <v>17116150</v>
          </cell>
          <cell r="G46">
            <v>68005594</v>
          </cell>
          <cell r="H46">
            <v>595040</v>
          </cell>
          <cell r="I46">
            <v>28099791</v>
          </cell>
          <cell r="J46">
            <v>497420</v>
          </cell>
          <cell r="K46">
            <v>370000</v>
          </cell>
          <cell r="L46">
            <v>0</v>
          </cell>
          <cell r="M46">
            <v>0</v>
          </cell>
          <cell r="N46">
            <v>0</v>
          </cell>
          <cell r="O46">
            <v>0</v>
          </cell>
          <cell r="P46">
            <v>0</v>
          </cell>
          <cell r="Q46">
            <v>3189636</v>
          </cell>
          <cell r="R46">
            <v>173516318</v>
          </cell>
          <cell r="S46">
            <v>0</v>
          </cell>
          <cell r="T46">
            <v>0</v>
          </cell>
          <cell r="U46">
            <v>81186078</v>
          </cell>
          <cell r="V46">
            <v>43634472</v>
          </cell>
          <cell r="W46">
            <v>485527</v>
          </cell>
          <cell r="X46">
            <v>545354</v>
          </cell>
          <cell r="Y46">
            <v>1424500</v>
          </cell>
          <cell r="Z46">
            <v>0</v>
          </cell>
          <cell r="AA46">
            <v>0</v>
          </cell>
          <cell r="AB46">
            <v>0</v>
          </cell>
          <cell r="AC46">
            <v>0</v>
          </cell>
          <cell r="AD46">
            <v>0</v>
          </cell>
          <cell r="AE46">
            <v>60000</v>
          </cell>
          <cell r="AF46">
            <v>0</v>
          </cell>
          <cell r="AG46">
            <v>127335931</v>
          </cell>
          <cell r="AH46">
            <v>300852249</v>
          </cell>
          <cell r="AI46">
            <v>0</v>
          </cell>
          <cell r="AJ46">
            <v>0</v>
          </cell>
          <cell r="AK46">
            <v>0</v>
          </cell>
          <cell r="AL46">
            <v>0</v>
          </cell>
          <cell r="AM46">
            <v>0</v>
          </cell>
          <cell r="AN46">
            <v>0</v>
          </cell>
          <cell r="AO46">
            <v>0</v>
          </cell>
          <cell r="AP46">
            <v>0</v>
          </cell>
          <cell r="AQ46">
            <v>11625</v>
          </cell>
          <cell r="AR46">
            <v>0</v>
          </cell>
          <cell r="AS46">
            <v>0</v>
          </cell>
          <cell r="AT46">
            <v>0</v>
          </cell>
          <cell r="AU46">
            <v>11625</v>
          </cell>
          <cell r="AV46">
            <v>300863874</v>
          </cell>
        </row>
        <row r="47">
          <cell r="A47">
            <v>7321000</v>
          </cell>
          <cell r="B47" t="str">
            <v>تعميرونگهداري وسائطنقليه</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12433685</v>
          </cell>
          <cell r="V47">
            <v>0</v>
          </cell>
          <cell r="W47">
            <v>50000</v>
          </cell>
          <cell r="X47">
            <v>14132288</v>
          </cell>
          <cell r="Y47">
            <v>0</v>
          </cell>
          <cell r="Z47">
            <v>0</v>
          </cell>
          <cell r="AA47">
            <v>0</v>
          </cell>
          <cell r="AB47">
            <v>7992000</v>
          </cell>
          <cell r="AC47">
            <v>0</v>
          </cell>
          <cell r="AD47">
            <v>885000</v>
          </cell>
          <cell r="AE47">
            <v>0</v>
          </cell>
          <cell r="AF47">
            <v>0</v>
          </cell>
          <cell r="AG47">
            <v>35492973</v>
          </cell>
          <cell r="AH47">
            <v>35492973</v>
          </cell>
          <cell r="AI47">
            <v>0</v>
          </cell>
          <cell r="AJ47">
            <v>7084180</v>
          </cell>
          <cell r="AK47">
            <v>0</v>
          </cell>
          <cell r="AL47">
            <v>0</v>
          </cell>
          <cell r="AM47">
            <v>0</v>
          </cell>
          <cell r="AN47">
            <v>0</v>
          </cell>
          <cell r="AO47">
            <v>0</v>
          </cell>
          <cell r="AP47">
            <v>530000</v>
          </cell>
          <cell r="AQ47">
            <v>0</v>
          </cell>
          <cell r="AR47">
            <v>0</v>
          </cell>
          <cell r="AS47">
            <v>0</v>
          </cell>
          <cell r="AT47">
            <v>0</v>
          </cell>
          <cell r="AU47">
            <v>7614180</v>
          </cell>
          <cell r="AV47">
            <v>43107153</v>
          </cell>
        </row>
        <row r="48">
          <cell r="A48">
            <v>7322000</v>
          </cell>
          <cell r="B48" t="str">
            <v>تعميرونگهداري اثاثيه ومنصوبات</v>
          </cell>
          <cell r="C48">
            <v>0</v>
          </cell>
          <cell r="D48">
            <v>0</v>
          </cell>
          <cell r="E48">
            <v>0</v>
          </cell>
          <cell r="F48">
            <v>0</v>
          </cell>
          <cell r="G48">
            <v>0</v>
          </cell>
          <cell r="H48">
            <v>0</v>
          </cell>
          <cell r="I48">
            <v>0</v>
          </cell>
          <cell r="J48">
            <v>0</v>
          </cell>
          <cell r="K48">
            <v>0</v>
          </cell>
          <cell r="L48">
            <v>0</v>
          </cell>
          <cell r="M48">
            <v>0</v>
          </cell>
          <cell r="N48">
            <v>1186790</v>
          </cell>
          <cell r="O48">
            <v>0</v>
          </cell>
          <cell r="P48">
            <v>0</v>
          </cell>
          <cell r="Q48">
            <v>0</v>
          </cell>
          <cell r="R48">
            <v>1186790</v>
          </cell>
          <cell r="S48">
            <v>0</v>
          </cell>
          <cell r="T48">
            <v>300000</v>
          </cell>
          <cell r="U48">
            <v>25695500</v>
          </cell>
          <cell r="V48">
            <v>0</v>
          </cell>
          <cell r="W48">
            <v>3000000</v>
          </cell>
          <cell r="X48">
            <v>0</v>
          </cell>
          <cell r="Y48">
            <v>0</v>
          </cell>
          <cell r="Z48">
            <v>0</v>
          </cell>
          <cell r="AA48">
            <v>0</v>
          </cell>
          <cell r="AB48">
            <v>200000</v>
          </cell>
          <cell r="AC48">
            <v>0</v>
          </cell>
          <cell r="AD48">
            <v>4562862</v>
          </cell>
          <cell r="AE48">
            <v>0</v>
          </cell>
          <cell r="AF48">
            <v>0</v>
          </cell>
          <cell r="AG48">
            <v>33758362</v>
          </cell>
          <cell r="AH48">
            <v>34945152</v>
          </cell>
          <cell r="AI48">
            <v>16578496</v>
          </cell>
          <cell r="AJ48">
            <v>465000</v>
          </cell>
          <cell r="AK48">
            <v>0</v>
          </cell>
          <cell r="AL48">
            <v>0</v>
          </cell>
          <cell r="AM48">
            <v>0</v>
          </cell>
          <cell r="AN48">
            <v>0</v>
          </cell>
          <cell r="AO48">
            <v>2990000</v>
          </cell>
          <cell r="AP48">
            <v>1617000</v>
          </cell>
          <cell r="AQ48">
            <v>2686000</v>
          </cell>
          <cell r="AR48">
            <v>0</v>
          </cell>
          <cell r="AS48">
            <v>0</v>
          </cell>
          <cell r="AT48">
            <v>8390000</v>
          </cell>
          <cell r="AU48">
            <v>32726496</v>
          </cell>
          <cell r="AV48">
            <v>67671648</v>
          </cell>
        </row>
        <row r="49">
          <cell r="A49">
            <v>7323000</v>
          </cell>
          <cell r="B49" t="str">
            <v>تعميرونگهداري سايردارائيها</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2910000</v>
          </cell>
          <cell r="V49">
            <v>0</v>
          </cell>
          <cell r="W49">
            <v>152750000</v>
          </cell>
          <cell r="X49">
            <v>0</v>
          </cell>
          <cell r="Y49">
            <v>0</v>
          </cell>
          <cell r="Z49">
            <v>0</v>
          </cell>
          <cell r="AA49">
            <v>0</v>
          </cell>
          <cell r="AB49">
            <v>0</v>
          </cell>
          <cell r="AC49">
            <v>0</v>
          </cell>
          <cell r="AD49">
            <v>0</v>
          </cell>
          <cell r="AE49">
            <v>0</v>
          </cell>
          <cell r="AF49">
            <v>0</v>
          </cell>
          <cell r="AG49">
            <v>155660000</v>
          </cell>
          <cell r="AH49">
            <v>155660000</v>
          </cell>
          <cell r="AI49">
            <v>0</v>
          </cell>
          <cell r="AJ49">
            <v>0</v>
          </cell>
          <cell r="AK49">
            <v>30900000</v>
          </cell>
          <cell r="AL49">
            <v>0</v>
          </cell>
          <cell r="AM49">
            <v>0</v>
          </cell>
          <cell r="AN49">
            <v>0</v>
          </cell>
          <cell r="AO49">
            <v>0</v>
          </cell>
          <cell r="AP49">
            <v>0</v>
          </cell>
          <cell r="AQ49">
            <v>0</v>
          </cell>
          <cell r="AR49">
            <v>0</v>
          </cell>
          <cell r="AS49">
            <v>0</v>
          </cell>
          <cell r="AT49">
            <v>9050000</v>
          </cell>
          <cell r="AU49">
            <v>39950000</v>
          </cell>
          <cell r="AV49">
            <v>195610000</v>
          </cell>
        </row>
        <row r="50">
          <cell r="A50">
            <v>7324000</v>
          </cell>
          <cell r="B50" t="str">
            <v>هزينه موادوملزومات مصرفي</v>
          </cell>
          <cell r="C50">
            <v>0</v>
          </cell>
          <cell r="D50">
            <v>15233050</v>
          </cell>
          <cell r="E50">
            <v>9975555</v>
          </cell>
          <cell r="F50">
            <v>8919944</v>
          </cell>
          <cell r="G50">
            <v>9369887</v>
          </cell>
          <cell r="H50">
            <v>11917360</v>
          </cell>
          <cell r="I50">
            <v>45670000</v>
          </cell>
          <cell r="J50">
            <v>6556505</v>
          </cell>
          <cell r="K50">
            <v>5254671</v>
          </cell>
          <cell r="L50">
            <v>0</v>
          </cell>
          <cell r="M50">
            <v>0</v>
          </cell>
          <cell r="N50">
            <v>80291065</v>
          </cell>
          <cell r="O50">
            <v>0</v>
          </cell>
          <cell r="P50">
            <v>0</v>
          </cell>
          <cell r="Q50">
            <v>56548412</v>
          </cell>
          <cell r="R50">
            <v>249736449</v>
          </cell>
          <cell r="S50">
            <v>2278005</v>
          </cell>
          <cell r="T50">
            <v>90078375</v>
          </cell>
          <cell r="U50">
            <v>242585094</v>
          </cell>
          <cell r="V50">
            <v>31210944</v>
          </cell>
          <cell r="W50">
            <v>295503389</v>
          </cell>
          <cell r="X50">
            <v>30328537</v>
          </cell>
          <cell r="Y50">
            <v>21623161</v>
          </cell>
          <cell r="Z50">
            <v>5212950</v>
          </cell>
          <cell r="AA50">
            <v>2910884</v>
          </cell>
          <cell r="AB50">
            <v>12569942</v>
          </cell>
          <cell r="AC50">
            <v>5838177</v>
          </cell>
          <cell r="AD50">
            <v>177521411</v>
          </cell>
          <cell r="AE50">
            <v>8630200</v>
          </cell>
          <cell r="AF50">
            <v>1990000</v>
          </cell>
          <cell r="AG50">
            <v>928281069</v>
          </cell>
          <cell r="AH50">
            <v>1178017518</v>
          </cell>
          <cell r="AI50">
            <v>47951149</v>
          </cell>
          <cell r="AJ50">
            <v>6103400</v>
          </cell>
          <cell r="AK50">
            <v>407400194</v>
          </cell>
          <cell r="AL50">
            <v>4923994</v>
          </cell>
          <cell r="AM50">
            <v>0</v>
          </cell>
          <cell r="AN50">
            <v>0</v>
          </cell>
          <cell r="AO50">
            <v>66515801</v>
          </cell>
          <cell r="AP50">
            <v>8323759</v>
          </cell>
          <cell r="AQ50">
            <v>37409166</v>
          </cell>
          <cell r="AR50">
            <v>0</v>
          </cell>
          <cell r="AS50">
            <v>11070014</v>
          </cell>
          <cell r="AT50">
            <v>94357077</v>
          </cell>
          <cell r="AU50">
            <v>684054554</v>
          </cell>
          <cell r="AV50">
            <v>1862072072</v>
          </cell>
        </row>
        <row r="51">
          <cell r="A51">
            <v>7350000</v>
          </cell>
          <cell r="B51" t="str">
            <v xml:space="preserve">هزينه حق المشاوره حقوقي </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27526800</v>
          </cell>
          <cell r="AC51">
            <v>23020200</v>
          </cell>
          <cell r="AD51">
            <v>24901239</v>
          </cell>
          <cell r="AE51">
            <v>0</v>
          </cell>
          <cell r="AF51">
            <v>0</v>
          </cell>
          <cell r="AG51">
            <v>75448239</v>
          </cell>
          <cell r="AH51">
            <v>75448239</v>
          </cell>
          <cell r="AI51">
            <v>45521329</v>
          </cell>
          <cell r="AJ51">
            <v>434430000</v>
          </cell>
          <cell r="AK51">
            <v>112653750</v>
          </cell>
          <cell r="AL51">
            <v>0</v>
          </cell>
          <cell r="AM51">
            <v>0</v>
          </cell>
          <cell r="AN51">
            <v>76028068</v>
          </cell>
          <cell r="AO51">
            <v>0</v>
          </cell>
          <cell r="AP51">
            <v>17490000</v>
          </cell>
          <cell r="AQ51">
            <v>19845000</v>
          </cell>
          <cell r="AR51">
            <v>0</v>
          </cell>
          <cell r="AS51">
            <v>18659775</v>
          </cell>
          <cell r="AT51">
            <v>21713430</v>
          </cell>
          <cell r="AU51">
            <v>746341352</v>
          </cell>
          <cell r="AV51">
            <v>821789591</v>
          </cell>
        </row>
        <row r="52">
          <cell r="A52">
            <v>7376000</v>
          </cell>
          <cell r="B52" t="str">
            <v>هزينه اجاره</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22050000</v>
          </cell>
          <cell r="AJ52">
            <v>0</v>
          </cell>
          <cell r="AK52">
            <v>0</v>
          </cell>
          <cell r="AL52">
            <v>0</v>
          </cell>
          <cell r="AM52">
            <v>0</v>
          </cell>
          <cell r="AN52">
            <v>0</v>
          </cell>
          <cell r="AO52">
            <v>0</v>
          </cell>
          <cell r="AP52">
            <v>0</v>
          </cell>
          <cell r="AQ52">
            <v>0</v>
          </cell>
          <cell r="AR52">
            <v>0</v>
          </cell>
          <cell r="AS52">
            <v>0</v>
          </cell>
          <cell r="AT52">
            <v>0</v>
          </cell>
          <cell r="AU52">
            <v>22050000</v>
          </cell>
          <cell r="AV52">
            <v>22050000</v>
          </cell>
        </row>
        <row r="53">
          <cell r="A53">
            <v>7325000</v>
          </cell>
          <cell r="B53" t="str">
            <v>هزينه ضايعات مواد اوليه وبسته بندي</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249222092</v>
          </cell>
          <cell r="AE53">
            <v>0</v>
          </cell>
          <cell r="AF53">
            <v>0</v>
          </cell>
          <cell r="AG53">
            <v>249222092</v>
          </cell>
          <cell r="AH53">
            <v>249222092</v>
          </cell>
          <cell r="AI53">
            <v>0</v>
          </cell>
          <cell r="AJ53">
            <v>0</v>
          </cell>
          <cell r="AK53">
            <v>0</v>
          </cell>
          <cell r="AL53">
            <v>0</v>
          </cell>
          <cell r="AM53">
            <v>0</v>
          </cell>
          <cell r="AN53">
            <v>0</v>
          </cell>
          <cell r="AO53">
            <v>0</v>
          </cell>
          <cell r="AP53">
            <v>0</v>
          </cell>
          <cell r="AQ53">
            <v>0</v>
          </cell>
          <cell r="AR53">
            <v>0</v>
          </cell>
          <cell r="AS53">
            <v>0</v>
          </cell>
          <cell r="AT53">
            <v>0</v>
          </cell>
          <cell r="AU53">
            <v>0</v>
          </cell>
          <cell r="AV53">
            <v>249222092</v>
          </cell>
        </row>
        <row r="54">
          <cell r="A54">
            <v>7353000</v>
          </cell>
          <cell r="B54" t="str">
            <v>تعديل انبارگرداني ومصرف</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row>
        <row r="55">
          <cell r="A55">
            <v>7355000</v>
          </cell>
          <cell r="B55" t="str">
            <v>هزينه حق الزحمه هيات مديره</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40500000</v>
          </cell>
          <cell r="AK55">
            <v>0</v>
          </cell>
          <cell r="AL55">
            <v>0</v>
          </cell>
          <cell r="AM55">
            <v>0</v>
          </cell>
          <cell r="AN55">
            <v>0</v>
          </cell>
          <cell r="AO55">
            <v>0</v>
          </cell>
          <cell r="AP55">
            <v>0</v>
          </cell>
          <cell r="AQ55">
            <v>0</v>
          </cell>
          <cell r="AR55">
            <v>0</v>
          </cell>
          <cell r="AS55">
            <v>0</v>
          </cell>
          <cell r="AT55">
            <v>0</v>
          </cell>
          <cell r="AU55">
            <v>40500000</v>
          </cell>
          <cell r="AV55">
            <v>40500000</v>
          </cell>
        </row>
        <row r="56">
          <cell r="A56">
            <v>7356000</v>
          </cell>
          <cell r="B56" t="str">
            <v>هزينه هاي ثبتي ومحضري</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800000</v>
          </cell>
          <cell r="AC56">
            <v>0</v>
          </cell>
          <cell r="AD56">
            <v>0</v>
          </cell>
          <cell r="AE56">
            <v>0</v>
          </cell>
          <cell r="AF56">
            <v>0</v>
          </cell>
          <cell r="AG56">
            <v>800000</v>
          </cell>
          <cell r="AH56">
            <v>800000</v>
          </cell>
          <cell r="AI56">
            <v>2605263</v>
          </cell>
          <cell r="AJ56">
            <v>0</v>
          </cell>
          <cell r="AK56">
            <v>0</v>
          </cell>
          <cell r="AL56">
            <v>0</v>
          </cell>
          <cell r="AM56">
            <v>0</v>
          </cell>
          <cell r="AN56">
            <v>31860000</v>
          </cell>
          <cell r="AO56">
            <v>0</v>
          </cell>
          <cell r="AP56">
            <v>0</v>
          </cell>
          <cell r="AQ56">
            <v>0</v>
          </cell>
          <cell r="AR56">
            <v>0</v>
          </cell>
          <cell r="AS56">
            <v>0</v>
          </cell>
          <cell r="AT56">
            <v>800000</v>
          </cell>
          <cell r="AU56">
            <v>35265263</v>
          </cell>
          <cell r="AV56">
            <v>36065263</v>
          </cell>
        </row>
        <row r="57">
          <cell r="A57">
            <v>7357000</v>
          </cell>
          <cell r="B57" t="str">
            <v>هزينه هاي عوارض</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359000</v>
          </cell>
          <cell r="AC57">
            <v>0</v>
          </cell>
          <cell r="AD57">
            <v>378208000</v>
          </cell>
          <cell r="AE57">
            <v>0</v>
          </cell>
          <cell r="AF57">
            <v>0</v>
          </cell>
          <cell r="AG57">
            <v>378567000</v>
          </cell>
          <cell r="AH57">
            <v>378567000</v>
          </cell>
          <cell r="AI57">
            <v>192000</v>
          </cell>
          <cell r="AJ57">
            <v>3219000</v>
          </cell>
          <cell r="AK57">
            <v>0</v>
          </cell>
          <cell r="AL57">
            <v>0</v>
          </cell>
          <cell r="AM57">
            <v>0</v>
          </cell>
          <cell r="AN57">
            <v>0</v>
          </cell>
          <cell r="AO57">
            <v>0</v>
          </cell>
          <cell r="AP57">
            <v>0</v>
          </cell>
          <cell r="AQ57">
            <v>0</v>
          </cell>
          <cell r="AR57">
            <v>0</v>
          </cell>
          <cell r="AS57">
            <v>125000</v>
          </cell>
          <cell r="AT57">
            <v>0</v>
          </cell>
          <cell r="AU57">
            <v>3536000</v>
          </cell>
          <cell r="AV57">
            <v>382103000</v>
          </cell>
        </row>
        <row r="58">
          <cell r="A58">
            <v>7359000</v>
          </cell>
          <cell r="B58" t="str">
            <v>يك درصدبازآموزي ونوآموزي</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88888888</v>
          </cell>
          <cell r="AL58">
            <v>0</v>
          </cell>
          <cell r="AM58">
            <v>0</v>
          </cell>
          <cell r="AN58">
            <v>844520561</v>
          </cell>
          <cell r="AO58">
            <v>0</v>
          </cell>
          <cell r="AP58">
            <v>0</v>
          </cell>
          <cell r="AQ58">
            <v>0</v>
          </cell>
          <cell r="AR58">
            <v>0</v>
          </cell>
          <cell r="AS58">
            <v>0</v>
          </cell>
          <cell r="AT58">
            <v>0</v>
          </cell>
          <cell r="AU58">
            <v>933409449</v>
          </cell>
          <cell r="AV58">
            <v>933409449</v>
          </cell>
        </row>
        <row r="59">
          <cell r="A59">
            <v>7361000</v>
          </cell>
          <cell r="B59" t="str">
            <v>هزينه هاي آزمايشگاهي مواد</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2200000</v>
          </cell>
          <cell r="AL59">
            <v>0</v>
          </cell>
          <cell r="AM59">
            <v>0</v>
          </cell>
          <cell r="AN59">
            <v>0</v>
          </cell>
          <cell r="AO59">
            <v>0</v>
          </cell>
          <cell r="AP59">
            <v>0</v>
          </cell>
          <cell r="AQ59">
            <v>0</v>
          </cell>
          <cell r="AR59">
            <v>0</v>
          </cell>
          <cell r="AS59">
            <v>0</v>
          </cell>
          <cell r="AT59">
            <v>3300000</v>
          </cell>
          <cell r="AU59">
            <v>5500000</v>
          </cell>
          <cell r="AV59">
            <v>5500000</v>
          </cell>
        </row>
        <row r="60">
          <cell r="A60">
            <v>7364000</v>
          </cell>
          <cell r="B60" t="str">
            <v>هزينه حمل ونگهداري</v>
          </cell>
          <cell r="C60">
            <v>0</v>
          </cell>
          <cell r="D60">
            <v>0</v>
          </cell>
          <cell r="E60">
            <v>0</v>
          </cell>
          <cell r="F60">
            <v>0</v>
          </cell>
          <cell r="G60">
            <v>0</v>
          </cell>
          <cell r="H60">
            <v>0</v>
          </cell>
          <cell r="I60">
            <v>0</v>
          </cell>
          <cell r="J60">
            <v>0</v>
          </cell>
          <cell r="K60">
            <v>0</v>
          </cell>
          <cell r="L60">
            <v>0</v>
          </cell>
          <cell r="M60">
            <v>0</v>
          </cell>
          <cell r="N60">
            <v>150000</v>
          </cell>
          <cell r="O60">
            <v>0</v>
          </cell>
          <cell r="P60">
            <v>0</v>
          </cell>
          <cell r="Q60">
            <v>60000</v>
          </cell>
          <cell r="R60">
            <v>210000</v>
          </cell>
          <cell r="S60">
            <v>0</v>
          </cell>
          <cell r="T60">
            <v>0</v>
          </cell>
          <cell r="U60">
            <v>21461820</v>
          </cell>
          <cell r="V60">
            <v>0</v>
          </cell>
          <cell r="W60">
            <v>1500000</v>
          </cell>
          <cell r="X60">
            <v>173313368</v>
          </cell>
          <cell r="Y60">
            <v>410000</v>
          </cell>
          <cell r="Z60">
            <v>0</v>
          </cell>
          <cell r="AA60">
            <v>0</v>
          </cell>
          <cell r="AB60">
            <v>115000</v>
          </cell>
          <cell r="AC60">
            <v>0</v>
          </cell>
          <cell r="AD60">
            <v>18987000</v>
          </cell>
          <cell r="AE60">
            <v>0</v>
          </cell>
          <cell r="AF60">
            <v>10730000</v>
          </cell>
          <cell r="AG60">
            <v>226517188</v>
          </cell>
          <cell r="AH60">
            <v>226727188</v>
          </cell>
          <cell r="AI60">
            <v>20149000</v>
          </cell>
          <cell r="AJ60">
            <v>0</v>
          </cell>
          <cell r="AK60">
            <v>0</v>
          </cell>
          <cell r="AL60">
            <v>0</v>
          </cell>
          <cell r="AM60">
            <v>0</v>
          </cell>
          <cell r="AN60">
            <v>0</v>
          </cell>
          <cell r="AO60">
            <v>765000</v>
          </cell>
          <cell r="AP60">
            <v>575000</v>
          </cell>
          <cell r="AQ60">
            <v>5360000</v>
          </cell>
          <cell r="AR60">
            <v>0</v>
          </cell>
          <cell r="AS60">
            <v>9058394</v>
          </cell>
          <cell r="AT60">
            <v>890000</v>
          </cell>
          <cell r="AU60">
            <v>36797394</v>
          </cell>
          <cell r="AV60">
            <v>263524582</v>
          </cell>
        </row>
        <row r="61">
          <cell r="A61">
            <v>7365000</v>
          </cell>
          <cell r="B61" t="str">
            <v>هزينه كارآموزان</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row>
        <row r="62">
          <cell r="A62">
            <v>7367000</v>
          </cell>
          <cell r="B62" t="str">
            <v>هزينه حق عضويت</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1339550</v>
          </cell>
          <cell r="AC62">
            <v>0</v>
          </cell>
          <cell r="AD62">
            <v>20000000</v>
          </cell>
          <cell r="AE62">
            <v>0</v>
          </cell>
          <cell r="AF62">
            <v>0</v>
          </cell>
          <cell r="AG62">
            <v>21339550</v>
          </cell>
          <cell r="AH62">
            <v>21339550</v>
          </cell>
          <cell r="AI62">
            <v>0</v>
          </cell>
          <cell r="AJ62">
            <v>0</v>
          </cell>
          <cell r="AK62">
            <v>9108000</v>
          </cell>
          <cell r="AL62">
            <v>0</v>
          </cell>
          <cell r="AM62">
            <v>0</v>
          </cell>
          <cell r="AN62">
            <v>0</v>
          </cell>
          <cell r="AO62">
            <v>0</v>
          </cell>
          <cell r="AP62">
            <v>0</v>
          </cell>
          <cell r="AQ62">
            <v>0</v>
          </cell>
          <cell r="AR62">
            <v>0</v>
          </cell>
          <cell r="AS62">
            <v>0</v>
          </cell>
          <cell r="AT62">
            <v>0</v>
          </cell>
          <cell r="AU62">
            <v>9108000</v>
          </cell>
          <cell r="AV62">
            <v>30447550</v>
          </cell>
        </row>
        <row r="63">
          <cell r="A63">
            <v>7368000</v>
          </cell>
          <cell r="B63" t="str">
            <v>هزينه تبليغات</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5000000</v>
          </cell>
          <cell r="AE63">
            <v>0</v>
          </cell>
          <cell r="AF63">
            <v>0</v>
          </cell>
          <cell r="AG63">
            <v>5000000</v>
          </cell>
          <cell r="AH63">
            <v>5000000</v>
          </cell>
          <cell r="AI63">
            <v>1722909525</v>
          </cell>
          <cell r="AJ63">
            <v>0</v>
          </cell>
          <cell r="AK63">
            <v>0</v>
          </cell>
          <cell r="AL63">
            <v>0</v>
          </cell>
          <cell r="AM63">
            <v>0</v>
          </cell>
          <cell r="AN63">
            <v>0</v>
          </cell>
          <cell r="AO63">
            <v>0</v>
          </cell>
          <cell r="AP63">
            <v>0</v>
          </cell>
          <cell r="AQ63">
            <v>0</v>
          </cell>
          <cell r="AR63">
            <v>0</v>
          </cell>
          <cell r="AS63">
            <v>0</v>
          </cell>
          <cell r="AT63">
            <v>0</v>
          </cell>
          <cell r="AU63">
            <v>1722909525</v>
          </cell>
          <cell r="AV63">
            <v>1727909525</v>
          </cell>
        </row>
        <row r="64">
          <cell r="A64">
            <v>7368100</v>
          </cell>
          <cell r="B64" t="str">
            <v>هزينه پورسانت</v>
          </cell>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1232000000</v>
          </cell>
          <cell r="AJ64">
            <v>0</v>
          </cell>
          <cell r="AK64">
            <v>0</v>
          </cell>
          <cell r="AL64">
            <v>0</v>
          </cell>
          <cell r="AM64">
            <v>0</v>
          </cell>
          <cell r="AN64">
            <v>0</v>
          </cell>
          <cell r="AO64">
            <v>0</v>
          </cell>
          <cell r="AP64">
            <v>0</v>
          </cell>
          <cell r="AQ64">
            <v>0</v>
          </cell>
          <cell r="AR64">
            <v>0</v>
          </cell>
          <cell r="AS64">
            <v>0</v>
          </cell>
          <cell r="AT64">
            <v>0</v>
          </cell>
          <cell r="AU64">
            <v>1232000000</v>
          </cell>
          <cell r="AV64">
            <v>1232000000</v>
          </cell>
        </row>
        <row r="65">
          <cell r="A65">
            <v>7369000</v>
          </cell>
          <cell r="B65" t="str">
            <v>هزينه کارمزد بانکي</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192000</v>
          </cell>
          <cell r="AC65">
            <v>0</v>
          </cell>
          <cell r="AD65">
            <v>11443861</v>
          </cell>
          <cell r="AE65">
            <v>0</v>
          </cell>
          <cell r="AF65">
            <v>0</v>
          </cell>
          <cell r="AG65">
            <v>11635861</v>
          </cell>
          <cell r="AH65">
            <v>11635861</v>
          </cell>
          <cell r="AI65">
            <v>0</v>
          </cell>
          <cell r="AJ65">
            <v>0</v>
          </cell>
          <cell r="AK65">
            <v>0</v>
          </cell>
          <cell r="AL65">
            <v>0</v>
          </cell>
          <cell r="AM65">
            <v>0</v>
          </cell>
          <cell r="AN65">
            <v>3027133</v>
          </cell>
          <cell r="AO65">
            <v>0</v>
          </cell>
          <cell r="AP65">
            <v>150000</v>
          </cell>
          <cell r="AQ65">
            <v>0</v>
          </cell>
          <cell r="AR65">
            <v>0</v>
          </cell>
          <cell r="AS65">
            <v>0</v>
          </cell>
          <cell r="AT65">
            <v>0</v>
          </cell>
          <cell r="AU65">
            <v>3177133</v>
          </cell>
          <cell r="AV65">
            <v>14812994</v>
          </cell>
        </row>
        <row r="66">
          <cell r="A66">
            <v>7372000</v>
          </cell>
          <cell r="B66" t="str">
            <v>هزينه مراسم وپذيرائي</v>
          </cell>
          <cell r="C66">
            <v>0</v>
          </cell>
          <cell r="D66">
            <v>0</v>
          </cell>
          <cell r="E66">
            <v>0</v>
          </cell>
          <cell r="F66">
            <v>0</v>
          </cell>
          <cell r="G66">
            <v>0</v>
          </cell>
          <cell r="H66">
            <v>0</v>
          </cell>
          <cell r="I66">
            <v>0</v>
          </cell>
          <cell r="J66">
            <v>0</v>
          </cell>
          <cell r="K66">
            <v>0</v>
          </cell>
          <cell r="L66">
            <v>0</v>
          </cell>
          <cell r="M66">
            <v>0</v>
          </cell>
          <cell r="N66">
            <v>4728000</v>
          </cell>
          <cell r="O66">
            <v>0</v>
          </cell>
          <cell r="P66">
            <v>0</v>
          </cell>
          <cell r="Q66">
            <v>0</v>
          </cell>
          <cell r="R66">
            <v>4728000</v>
          </cell>
          <cell r="S66">
            <v>0</v>
          </cell>
          <cell r="T66">
            <v>1802640</v>
          </cell>
          <cell r="U66">
            <v>787250</v>
          </cell>
          <cell r="V66">
            <v>0</v>
          </cell>
          <cell r="W66">
            <v>5040450</v>
          </cell>
          <cell r="X66">
            <v>2135000</v>
          </cell>
          <cell r="Y66">
            <v>0</v>
          </cell>
          <cell r="Z66">
            <v>0</v>
          </cell>
          <cell r="AA66">
            <v>0</v>
          </cell>
          <cell r="AB66">
            <v>655500</v>
          </cell>
          <cell r="AC66">
            <v>636000</v>
          </cell>
          <cell r="AD66">
            <v>72668127</v>
          </cell>
          <cell r="AE66">
            <v>4949200</v>
          </cell>
          <cell r="AF66">
            <v>1000000</v>
          </cell>
          <cell r="AG66">
            <v>89674167</v>
          </cell>
          <cell r="AH66">
            <v>94402167</v>
          </cell>
          <cell r="AI66">
            <v>51174738</v>
          </cell>
          <cell r="AJ66">
            <v>64843995</v>
          </cell>
          <cell r="AK66">
            <v>0</v>
          </cell>
          <cell r="AL66">
            <v>2967830</v>
          </cell>
          <cell r="AM66">
            <v>0</v>
          </cell>
          <cell r="AN66">
            <v>0</v>
          </cell>
          <cell r="AO66">
            <v>137000</v>
          </cell>
          <cell r="AP66">
            <v>7167490</v>
          </cell>
          <cell r="AQ66">
            <v>44790500</v>
          </cell>
          <cell r="AR66">
            <v>15695808</v>
          </cell>
          <cell r="AS66">
            <v>0</v>
          </cell>
          <cell r="AT66">
            <v>1687480</v>
          </cell>
          <cell r="AU66">
            <v>188464841</v>
          </cell>
          <cell r="AV66">
            <v>282867008</v>
          </cell>
        </row>
        <row r="67">
          <cell r="A67">
            <v>7373000</v>
          </cell>
          <cell r="B67" t="str">
            <v>هزينه اشتراک</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1025295</v>
          </cell>
          <cell r="AE67">
            <v>0</v>
          </cell>
          <cell r="AF67">
            <v>0</v>
          </cell>
          <cell r="AG67">
            <v>1025295</v>
          </cell>
          <cell r="AH67">
            <v>1025295</v>
          </cell>
          <cell r="AI67">
            <v>11847589</v>
          </cell>
          <cell r="AJ67">
            <v>500000</v>
          </cell>
          <cell r="AK67">
            <v>0</v>
          </cell>
          <cell r="AL67">
            <v>0</v>
          </cell>
          <cell r="AM67">
            <v>0</v>
          </cell>
          <cell r="AN67">
            <v>0</v>
          </cell>
          <cell r="AO67">
            <v>56970000</v>
          </cell>
          <cell r="AP67">
            <v>5000000</v>
          </cell>
          <cell r="AQ67">
            <v>0</v>
          </cell>
          <cell r="AR67">
            <v>0</v>
          </cell>
          <cell r="AS67">
            <v>0</v>
          </cell>
          <cell r="AT67">
            <v>0</v>
          </cell>
          <cell r="AU67">
            <v>74317589</v>
          </cell>
          <cell r="AV67">
            <v>75342884</v>
          </cell>
        </row>
        <row r="68">
          <cell r="A68">
            <v>7374001</v>
          </cell>
          <cell r="B68" t="str">
            <v>هزينه آب</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5184000</v>
          </cell>
          <cell r="V68">
            <v>0</v>
          </cell>
          <cell r="W68">
            <v>0</v>
          </cell>
          <cell r="X68">
            <v>0</v>
          </cell>
          <cell r="Y68">
            <v>0</v>
          </cell>
          <cell r="Z68">
            <v>0</v>
          </cell>
          <cell r="AA68">
            <v>0</v>
          </cell>
          <cell r="AB68">
            <v>0</v>
          </cell>
          <cell r="AC68">
            <v>0</v>
          </cell>
          <cell r="AD68">
            <v>0</v>
          </cell>
          <cell r="AE68">
            <v>0</v>
          </cell>
          <cell r="AF68">
            <v>0</v>
          </cell>
          <cell r="AG68">
            <v>5184000</v>
          </cell>
          <cell r="AH68">
            <v>5184000</v>
          </cell>
          <cell r="AI68">
            <v>967855</v>
          </cell>
          <cell r="AJ68">
            <v>0</v>
          </cell>
          <cell r="AK68">
            <v>0</v>
          </cell>
          <cell r="AL68">
            <v>0</v>
          </cell>
          <cell r="AM68">
            <v>0</v>
          </cell>
          <cell r="AN68">
            <v>0</v>
          </cell>
          <cell r="AO68">
            <v>0</v>
          </cell>
          <cell r="AP68">
            <v>0</v>
          </cell>
          <cell r="AQ68">
            <v>0</v>
          </cell>
          <cell r="AR68">
            <v>0</v>
          </cell>
          <cell r="AS68">
            <v>0</v>
          </cell>
          <cell r="AT68">
            <v>0</v>
          </cell>
          <cell r="AU68">
            <v>967855</v>
          </cell>
          <cell r="AV68">
            <v>6151855</v>
          </cell>
        </row>
        <row r="69">
          <cell r="A69">
            <v>7374002</v>
          </cell>
          <cell r="B69" t="str">
            <v>هزينه برق</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329649599</v>
          </cell>
          <cell r="V69">
            <v>0</v>
          </cell>
          <cell r="W69">
            <v>0</v>
          </cell>
          <cell r="X69">
            <v>0</v>
          </cell>
          <cell r="Y69">
            <v>0</v>
          </cell>
          <cell r="Z69">
            <v>0</v>
          </cell>
          <cell r="AA69">
            <v>0</v>
          </cell>
          <cell r="AB69">
            <v>0</v>
          </cell>
          <cell r="AC69">
            <v>0</v>
          </cell>
          <cell r="AD69">
            <v>0</v>
          </cell>
          <cell r="AE69">
            <v>0</v>
          </cell>
          <cell r="AF69">
            <v>0</v>
          </cell>
          <cell r="AG69">
            <v>329649599</v>
          </cell>
          <cell r="AH69">
            <v>329649599</v>
          </cell>
          <cell r="AI69">
            <v>6489761</v>
          </cell>
          <cell r="AJ69">
            <v>0</v>
          </cell>
          <cell r="AK69">
            <v>0</v>
          </cell>
          <cell r="AL69">
            <v>0</v>
          </cell>
          <cell r="AM69">
            <v>0</v>
          </cell>
          <cell r="AN69">
            <v>0</v>
          </cell>
          <cell r="AO69">
            <v>0</v>
          </cell>
          <cell r="AP69">
            <v>0</v>
          </cell>
          <cell r="AQ69">
            <v>0</v>
          </cell>
          <cell r="AR69">
            <v>0</v>
          </cell>
          <cell r="AS69">
            <v>0</v>
          </cell>
          <cell r="AT69">
            <v>0</v>
          </cell>
          <cell r="AU69">
            <v>6489761</v>
          </cell>
          <cell r="AV69">
            <v>336139360</v>
          </cell>
        </row>
        <row r="70">
          <cell r="A70">
            <v>7374003</v>
          </cell>
          <cell r="B70" t="str">
            <v>هزينه گاز</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117982156</v>
          </cell>
          <cell r="V70">
            <v>0</v>
          </cell>
          <cell r="W70">
            <v>0</v>
          </cell>
          <cell r="X70">
            <v>0</v>
          </cell>
          <cell r="Y70">
            <v>0</v>
          </cell>
          <cell r="Z70">
            <v>0</v>
          </cell>
          <cell r="AA70">
            <v>0</v>
          </cell>
          <cell r="AB70">
            <v>0</v>
          </cell>
          <cell r="AC70">
            <v>0</v>
          </cell>
          <cell r="AD70">
            <v>0</v>
          </cell>
          <cell r="AE70">
            <v>0</v>
          </cell>
          <cell r="AF70">
            <v>0</v>
          </cell>
          <cell r="AG70">
            <v>117982156</v>
          </cell>
          <cell r="AH70">
            <v>117982156</v>
          </cell>
          <cell r="AI70">
            <v>4541664</v>
          </cell>
          <cell r="AJ70">
            <v>0</v>
          </cell>
          <cell r="AK70">
            <v>0</v>
          </cell>
          <cell r="AL70">
            <v>0</v>
          </cell>
          <cell r="AM70">
            <v>0</v>
          </cell>
          <cell r="AN70">
            <v>0</v>
          </cell>
          <cell r="AO70">
            <v>0</v>
          </cell>
          <cell r="AP70">
            <v>0</v>
          </cell>
          <cell r="AQ70">
            <v>0</v>
          </cell>
          <cell r="AR70">
            <v>0</v>
          </cell>
          <cell r="AS70">
            <v>0</v>
          </cell>
          <cell r="AT70">
            <v>0</v>
          </cell>
          <cell r="AU70">
            <v>4541664</v>
          </cell>
          <cell r="AV70">
            <v>122523820</v>
          </cell>
        </row>
        <row r="71">
          <cell r="A71">
            <v>7374004</v>
          </cell>
          <cell r="B71" t="str">
            <v>هزينه سوخت</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80000</v>
          </cell>
          <cell r="X71">
            <v>2530000</v>
          </cell>
          <cell r="Y71">
            <v>0</v>
          </cell>
          <cell r="Z71">
            <v>0</v>
          </cell>
          <cell r="AA71">
            <v>0</v>
          </cell>
          <cell r="AB71">
            <v>2888000</v>
          </cell>
          <cell r="AC71">
            <v>80000</v>
          </cell>
          <cell r="AD71">
            <v>570000</v>
          </cell>
          <cell r="AE71">
            <v>0</v>
          </cell>
          <cell r="AF71">
            <v>0</v>
          </cell>
          <cell r="AG71">
            <v>6148000</v>
          </cell>
          <cell r="AH71">
            <v>6148000</v>
          </cell>
          <cell r="AI71">
            <v>0</v>
          </cell>
          <cell r="AJ71">
            <v>10704000</v>
          </cell>
          <cell r="AK71">
            <v>0</v>
          </cell>
          <cell r="AL71">
            <v>0</v>
          </cell>
          <cell r="AM71">
            <v>0</v>
          </cell>
          <cell r="AN71">
            <v>0</v>
          </cell>
          <cell r="AO71">
            <v>0</v>
          </cell>
          <cell r="AP71">
            <v>1290000</v>
          </cell>
          <cell r="AQ71">
            <v>70000</v>
          </cell>
          <cell r="AR71">
            <v>0</v>
          </cell>
          <cell r="AS71">
            <v>340000</v>
          </cell>
          <cell r="AT71">
            <v>0</v>
          </cell>
          <cell r="AU71">
            <v>12404000</v>
          </cell>
          <cell r="AV71">
            <v>18552000</v>
          </cell>
        </row>
        <row r="72">
          <cell r="A72">
            <v>7374009</v>
          </cell>
          <cell r="B72" t="str">
            <v>هزينه تلفن -تلكس</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14774045</v>
          </cell>
          <cell r="AE72">
            <v>0</v>
          </cell>
          <cell r="AF72">
            <v>0</v>
          </cell>
          <cell r="AG72">
            <v>14774045</v>
          </cell>
          <cell r="AH72">
            <v>14774045</v>
          </cell>
          <cell r="AI72">
            <v>3356718</v>
          </cell>
          <cell r="AJ72">
            <v>2087624</v>
          </cell>
          <cell r="AK72">
            <v>0</v>
          </cell>
          <cell r="AL72">
            <v>0</v>
          </cell>
          <cell r="AM72">
            <v>0</v>
          </cell>
          <cell r="AN72">
            <v>0</v>
          </cell>
          <cell r="AO72">
            <v>0</v>
          </cell>
          <cell r="AP72">
            <v>0</v>
          </cell>
          <cell r="AQ72">
            <v>0</v>
          </cell>
          <cell r="AR72">
            <v>0</v>
          </cell>
          <cell r="AS72">
            <v>0</v>
          </cell>
          <cell r="AT72">
            <v>0</v>
          </cell>
          <cell r="AU72">
            <v>5444342</v>
          </cell>
          <cell r="AV72">
            <v>20218387</v>
          </cell>
        </row>
        <row r="73">
          <cell r="A73">
            <v>7377000</v>
          </cell>
          <cell r="B73" t="str">
            <v>هزينه مميزي    ISO</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row>
        <row r="74">
          <cell r="A74">
            <v>7375000</v>
          </cell>
          <cell r="B74" t="str">
            <v xml:space="preserve"> هزينه كارشناسان رسمي</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10800000</v>
          </cell>
          <cell r="AE74">
            <v>0</v>
          </cell>
          <cell r="AF74">
            <v>0</v>
          </cell>
          <cell r="AG74">
            <v>10800000</v>
          </cell>
          <cell r="AH74">
            <v>10800000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10800000</v>
          </cell>
        </row>
        <row r="75">
          <cell r="A75">
            <v>7378000</v>
          </cell>
          <cell r="B75" t="str">
            <v>هزينه آگهي</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32040000</v>
          </cell>
          <cell r="AE75">
            <v>0</v>
          </cell>
          <cell r="AF75">
            <v>0</v>
          </cell>
          <cell r="AG75">
            <v>32040000</v>
          </cell>
          <cell r="AH75">
            <v>32040000</v>
          </cell>
          <cell r="AI75">
            <v>0</v>
          </cell>
          <cell r="AJ75">
            <v>0</v>
          </cell>
          <cell r="AK75">
            <v>0</v>
          </cell>
          <cell r="AL75">
            <v>0</v>
          </cell>
          <cell r="AM75">
            <v>0</v>
          </cell>
          <cell r="AN75">
            <v>41220000</v>
          </cell>
          <cell r="AO75">
            <v>0</v>
          </cell>
          <cell r="AP75">
            <v>0</v>
          </cell>
          <cell r="AQ75">
            <v>0</v>
          </cell>
          <cell r="AR75">
            <v>0</v>
          </cell>
          <cell r="AS75">
            <v>0</v>
          </cell>
          <cell r="AT75">
            <v>0</v>
          </cell>
          <cell r="AU75">
            <v>41220000</v>
          </cell>
          <cell r="AV75">
            <v>73260000</v>
          </cell>
        </row>
        <row r="76">
          <cell r="A76">
            <v>7379000</v>
          </cell>
          <cell r="B76" t="str">
            <v>هزينه انتشارات</v>
          </cell>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20000000</v>
          </cell>
          <cell r="AJ76">
            <v>4311200</v>
          </cell>
          <cell r="AK76">
            <v>0</v>
          </cell>
          <cell r="AL76">
            <v>0</v>
          </cell>
          <cell r="AM76">
            <v>0</v>
          </cell>
          <cell r="AN76">
            <v>0</v>
          </cell>
          <cell r="AO76">
            <v>0</v>
          </cell>
          <cell r="AP76">
            <v>0</v>
          </cell>
          <cell r="AQ76">
            <v>0</v>
          </cell>
          <cell r="AR76">
            <v>0</v>
          </cell>
          <cell r="AS76">
            <v>0</v>
          </cell>
          <cell r="AT76">
            <v>33500000</v>
          </cell>
          <cell r="AU76">
            <v>57811200</v>
          </cell>
          <cell r="AV76">
            <v>57811200</v>
          </cell>
        </row>
        <row r="77">
          <cell r="A77">
            <v>7601001</v>
          </cell>
          <cell r="B77" t="str">
            <v xml:space="preserve"> سودوكارمزدتسهيلات مالي وسايرخدمات بانكي</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row>
        <row r="78">
          <cell r="A78">
            <v>7602000</v>
          </cell>
          <cell r="B78" t="str">
            <v xml:space="preserve"> هزينه تمبرسفته</v>
          </cell>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row>
        <row r="79">
          <cell r="A79">
            <v>7602001</v>
          </cell>
          <cell r="B79" t="str">
            <v xml:space="preserve"> هزينه تمبرسفته</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row>
        <row r="80">
          <cell r="A80">
            <v>7698001</v>
          </cell>
          <cell r="B80" t="str">
            <v xml:space="preserve"> سايرهزينه هاي تامين مالي</v>
          </cell>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row>
        <row r="81">
          <cell r="A81">
            <v>7704000</v>
          </cell>
          <cell r="B81" t="str">
            <v xml:space="preserve"> هزينه جرائم دولتي</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row>
        <row r="82">
          <cell r="A82">
            <v>7380010</v>
          </cell>
          <cell r="B82" t="str">
            <v>هزينه بيمه مسئوليت مدني کارفرما</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row>
        <row r="83">
          <cell r="A83" t="str">
            <v>جمع هزینه های عملیاتی</v>
          </cell>
          <cell r="C83">
            <v>0</v>
          </cell>
          <cell r="D83">
            <v>79416758</v>
          </cell>
          <cell r="E83">
            <v>151193059</v>
          </cell>
          <cell r="F83">
            <v>74794174</v>
          </cell>
          <cell r="G83">
            <v>115613759</v>
          </cell>
          <cell r="H83">
            <v>12784900</v>
          </cell>
          <cell r="I83">
            <v>85446108</v>
          </cell>
          <cell r="J83">
            <v>9014702</v>
          </cell>
          <cell r="K83">
            <v>12678822</v>
          </cell>
          <cell r="L83">
            <v>0</v>
          </cell>
          <cell r="M83">
            <v>0</v>
          </cell>
          <cell r="N83">
            <v>104505855</v>
          </cell>
          <cell r="O83">
            <v>3188404</v>
          </cell>
          <cell r="P83">
            <v>7710540</v>
          </cell>
          <cell r="Q83">
            <v>72830152</v>
          </cell>
          <cell r="R83">
            <v>729177233</v>
          </cell>
          <cell r="S83">
            <v>2278005</v>
          </cell>
          <cell r="T83">
            <v>92181015</v>
          </cell>
          <cell r="U83">
            <v>1538070304</v>
          </cell>
          <cell r="V83">
            <v>81893416</v>
          </cell>
          <cell r="W83">
            <v>606665591</v>
          </cell>
          <cell r="X83">
            <v>247099547</v>
          </cell>
          <cell r="Y83">
            <v>27743754</v>
          </cell>
          <cell r="Z83">
            <v>5212950</v>
          </cell>
          <cell r="AA83">
            <v>2910884</v>
          </cell>
          <cell r="AB83">
            <v>56025753</v>
          </cell>
          <cell r="AC83">
            <v>33951377</v>
          </cell>
          <cell r="AD83">
            <v>1022608932</v>
          </cell>
          <cell r="AE83">
            <v>13639400</v>
          </cell>
          <cell r="AF83">
            <v>13720000</v>
          </cell>
          <cell r="AG83">
            <v>3744000928</v>
          </cell>
          <cell r="AH83">
            <v>4473178161</v>
          </cell>
          <cell r="AI83">
            <v>3222608420</v>
          </cell>
          <cell r="AJ83">
            <v>574248399</v>
          </cell>
          <cell r="AK83">
            <v>742817943</v>
          </cell>
          <cell r="AL83">
            <v>7891824</v>
          </cell>
          <cell r="AM83">
            <v>0</v>
          </cell>
          <cell r="AN83">
            <v>996655762</v>
          </cell>
          <cell r="AO83">
            <v>133377801</v>
          </cell>
          <cell r="AP83">
            <v>42143249</v>
          </cell>
          <cell r="AQ83">
            <v>110172291</v>
          </cell>
          <cell r="AR83">
            <v>15695808</v>
          </cell>
          <cell r="AS83">
            <v>39253183</v>
          </cell>
          <cell r="AT83">
            <v>178687987</v>
          </cell>
          <cell r="AU83">
            <v>6063552667</v>
          </cell>
          <cell r="AV83">
            <v>10536730828</v>
          </cell>
        </row>
        <row r="84">
          <cell r="A84">
            <v>7400000</v>
          </cell>
          <cell r="B84" t="str">
            <v>هزينه استهلاك دارائيهاي ثابت</v>
          </cell>
          <cell r="C84">
            <v>90088329</v>
          </cell>
          <cell r="D84">
            <v>12503387</v>
          </cell>
          <cell r="E84">
            <v>7928526</v>
          </cell>
          <cell r="F84">
            <v>1683202</v>
          </cell>
          <cell r="G84">
            <v>4550834</v>
          </cell>
          <cell r="H84">
            <v>89681455</v>
          </cell>
          <cell r="I84">
            <v>123764044</v>
          </cell>
          <cell r="J84">
            <v>38224485</v>
          </cell>
          <cell r="K84">
            <v>39912285</v>
          </cell>
          <cell r="L84">
            <v>0</v>
          </cell>
          <cell r="M84">
            <v>204748</v>
          </cell>
          <cell r="N84">
            <v>203607014</v>
          </cell>
          <cell r="O84">
            <v>285614022</v>
          </cell>
          <cell r="P84">
            <v>164034083</v>
          </cell>
          <cell r="Q84">
            <v>519587427</v>
          </cell>
          <cell r="R84">
            <v>1581383841</v>
          </cell>
          <cell r="S84">
            <v>4566023</v>
          </cell>
          <cell r="T84">
            <v>78024870</v>
          </cell>
          <cell r="U84">
            <v>934462861</v>
          </cell>
          <cell r="V84">
            <v>1182942491</v>
          </cell>
          <cell r="W84">
            <v>640359422</v>
          </cell>
          <cell r="X84">
            <v>116124377</v>
          </cell>
          <cell r="Y84">
            <v>33012663</v>
          </cell>
          <cell r="Z84">
            <v>5220561</v>
          </cell>
          <cell r="AA84">
            <v>0</v>
          </cell>
          <cell r="AB84">
            <v>10397284</v>
          </cell>
          <cell r="AC84">
            <v>10789174</v>
          </cell>
          <cell r="AD84">
            <v>27931874</v>
          </cell>
          <cell r="AE84">
            <v>14635036</v>
          </cell>
          <cell r="AF84">
            <v>1410931</v>
          </cell>
          <cell r="AG84">
            <v>3059877567</v>
          </cell>
          <cell r="AH84">
            <v>4641261408</v>
          </cell>
          <cell r="AI84">
            <v>306650502</v>
          </cell>
          <cell r="AJ84">
            <v>78436360</v>
          </cell>
          <cell r="AK84">
            <v>117154371</v>
          </cell>
          <cell r="AL84">
            <v>7630432</v>
          </cell>
          <cell r="AM84">
            <v>0</v>
          </cell>
          <cell r="AN84">
            <v>0</v>
          </cell>
          <cell r="AO84">
            <v>16567401</v>
          </cell>
          <cell r="AP84">
            <v>12473013</v>
          </cell>
          <cell r="AQ84">
            <v>9884953</v>
          </cell>
          <cell r="AR84">
            <v>549495</v>
          </cell>
          <cell r="AS84">
            <v>3589072</v>
          </cell>
          <cell r="AT84">
            <v>32578746</v>
          </cell>
          <cell r="AU84">
            <v>585514345</v>
          </cell>
          <cell r="AV84">
            <v>5226775753</v>
          </cell>
        </row>
        <row r="85">
          <cell r="A85" t="str">
            <v xml:space="preserve">جمع استهلاک </v>
          </cell>
          <cell r="C85">
            <v>90088329</v>
          </cell>
          <cell r="D85">
            <v>12503387</v>
          </cell>
          <cell r="E85">
            <v>7928526</v>
          </cell>
          <cell r="F85">
            <v>1683202</v>
          </cell>
          <cell r="G85">
            <v>4550834</v>
          </cell>
          <cell r="H85">
            <v>89681455</v>
          </cell>
          <cell r="I85">
            <v>123764044</v>
          </cell>
          <cell r="J85">
            <v>38224485</v>
          </cell>
          <cell r="K85">
            <v>39912285</v>
          </cell>
          <cell r="L85">
            <v>0</v>
          </cell>
          <cell r="M85">
            <v>204748</v>
          </cell>
          <cell r="N85">
            <v>203607014</v>
          </cell>
          <cell r="O85">
            <v>285614022</v>
          </cell>
          <cell r="P85">
            <v>164034083</v>
          </cell>
          <cell r="Q85">
            <v>519587427</v>
          </cell>
          <cell r="R85">
            <v>1581383841</v>
          </cell>
          <cell r="S85">
            <v>4566023</v>
          </cell>
          <cell r="T85">
            <v>78024870</v>
          </cell>
          <cell r="U85">
            <v>934462861</v>
          </cell>
          <cell r="V85">
            <v>1182942491</v>
          </cell>
          <cell r="W85">
            <v>640359422</v>
          </cell>
          <cell r="X85">
            <v>116124377</v>
          </cell>
          <cell r="Y85">
            <v>33012663</v>
          </cell>
          <cell r="Z85">
            <v>5220561</v>
          </cell>
          <cell r="AA85">
            <v>0</v>
          </cell>
          <cell r="AB85">
            <v>10397284</v>
          </cell>
          <cell r="AC85">
            <v>10789174</v>
          </cell>
          <cell r="AD85">
            <v>27931874</v>
          </cell>
          <cell r="AE85">
            <v>14635036</v>
          </cell>
          <cell r="AF85">
            <v>1410931</v>
          </cell>
          <cell r="AG85">
            <v>3059877567</v>
          </cell>
          <cell r="AH85">
            <v>4641261408</v>
          </cell>
          <cell r="AI85">
            <v>306650502</v>
          </cell>
          <cell r="AJ85">
            <v>78436360</v>
          </cell>
          <cell r="AK85">
            <v>117154371</v>
          </cell>
          <cell r="AL85">
            <v>7630432</v>
          </cell>
          <cell r="AM85">
            <v>0</v>
          </cell>
          <cell r="AN85">
            <v>0</v>
          </cell>
          <cell r="AO85">
            <v>16567401</v>
          </cell>
          <cell r="AP85">
            <v>12473013</v>
          </cell>
          <cell r="AQ85">
            <v>9884953</v>
          </cell>
          <cell r="AR85">
            <v>549495</v>
          </cell>
          <cell r="AS85">
            <v>3589072</v>
          </cell>
          <cell r="AT85">
            <v>32578746</v>
          </cell>
          <cell r="AU85">
            <v>585514345</v>
          </cell>
          <cell r="AV85">
            <v>5226775753</v>
          </cell>
        </row>
        <row r="86">
          <cell r="A86" t="str">
            <v>جمع سربار</v>
          </cell>
          <cell r="C86">
            <v>99858454</v>
          </cell>
          <cell r="D86">
            <v>133487517</v>
          </cell>
          <cell r="E86">
            <v>199794867</v>
          </cell>
          <cell r="F86">
            <v>104413208</v>
          </cell>
          <cell r="G86">
            <v>177846397</v>
          </cell>
          <cell r="H86">
            <v>122545387</v>
          </cell>
          <cell r="I86">
            <v>287832443</v>
          </cell>
          <cell r="J86">
            <v>86252023</v>
          </cell>
          <cell r="K86">
            <v>72500644</v>
          </cell>
          <cell r="L86">
            <v>0</v>
          </cell>
          <cell r="M86">
            <v>11158342</v>
          </cell>
          <cell r="N86">
            <v>383184318</v>
          </cell>
          <cell r="O86">
            <v>298102426</v>
          </cell>
          <cell r="P86">
            <v>178644623</v>
          </cell>
          <cell r="Q86">
            <v>617477654</v>
          </cell>
          <cell r="R86">
            <v>2773098303</v>
          </cell>
          <cell r="S86">
            <v>32746684</v>
          </cell>
          <cell r="T86">
            <v>319604675</v>
          </cell>
          <cell r="U86">
            <v>2643474707</v>
          </cell>
          <cell r="V86">
            <v>1298857709</v>
          </cell>
          <cell r="W86">
            <v>1468662298</v>
          </cell>
          <cell r="X86">
            <v>464211778</v>
          </cell>
          <cell r="Y86">
            <v>72658382</v>
          </cell>
          <cell r="Z86">
            <v>71967685</v>
          </cell>
          <cell r="AA86">
            <v>5660916</v>
          </cell>
          <cell r="AB86">
            <v>131831829</v>
          </cell>
          <cell r="AC86">
            <v>75084842</v>
          </cell>
          <cell r="AD86">
            <v>1283601268</v>
          </cell>
          <cell r="AE86">
            <v>1656913981</v>
          </cell>
          <cell r="AF86">
            <v>1231543311</v>
          </cell>
          <cell r="AG86">
            <v>10756820065</v>
          </cell>
          <cell r="AH86">
            <v>13529918368</v>
          </cell>
          <cell r="AI86">
            <v>4317042141</v>
          </cell>
          <cell r="AJ86">
            <v>893556376</v>
          </cell>
          <cell r="AK86">
            <v>926592109</v>
          </cell>
          <cell r="AL86">
            <v>20267256</v>
          </cell>
          <cell r="AM86">
            <v>14557872</v>
          </cell>
          <cell r="AN86">
            <v>996655762</v>
          </cell>
          <cell r="AO86">
            <v>189918777</v>
          </cell>
          <cell r="AP86">
            <v>260937342</v>
          </cell>
          <cell r="AQ86">
            <v>174723065</v>
          </cell>
          <cell r="AR86">
            <v>39541303</v>
          </cell>
          <cell r="AS86">
            <v>58741803</v>
          </cell>
          <cell r="AT86">
            <v>406995516</v>
          </cell>
          <cell r="AU86">
            <v>8299529322</v>
          </cell>
          <cell r="AV86">
            <v>21829447690</v>
          </cell>
        </row>
        <row r="87">
          <cell r="A87" t="str">
            <v xml:space="preserve">جمع کل </v>
          </cell>
          <cell r="C87">
            <v>158987358</v>
          </cell>
          <cell r="D87">
            <v>5986175285</v>
          </cell>
          <cell r="E87">
            <v>14905237061</v>
          </cell>
          <cell r="F87">
            <v>6393167296</v>
          </cell>
          <cell r="G87">
            <v>56562142248</v>
          </cell>
          <cell r="H87">
            <v>1473840813</v>
          </cell>
          <cell r="I87">
            <v>7993436626</v>
          </cell>
          <cell r="J87">
            <v>7907928880</v>
          </cell>
          <cell r="K87">
            <v>1851817176</v>
          </cell>
          <cell r="L87">
            <v>0</v>
          </cell>
          <cell r="M87">
            <v>151679797</v>
          </cell>
          <cell r="N87">
            <v>862817144</v>
          </cell>
          <cell r="O87">
            <v>13618262278</v>
          </cell>
          <cell r="P87">
            <v>1260091500</v>
          </cell>
          <cell r="Q87">
            <v>4416138087</v>
          </cell>
          <cell r="R87">
            <v>123541721549</v>
          </cell>
          <cell r="S87">
            <v>295273661</v>
          </cell>
          <cell r="T87">
            <v>1112630900</v>
          </cell>
          <cell r="U87">
            <v>4614163208</v>
          </cell>
          <cell r="V87">
            <v>1544667444</v>
          </cell>
          <cell r="W87">
            <v>3658452507</v>
          </cell>
          <cell r="X87">
            <v>1216874402</v>
          </cell>
          <cell r="Y87">
            <v>163576693</v>
          </cell>
          <cell r="Z87">
            <v>447930287</v>
          </cell>
          <cell r="AA87">
            <v>34484754</v>
          </cell>
          <cell r="AB87">
            <v>727855642</v>
          </cell>
          <cell r="AC87">
            <v>449174018</v>
          </cell>
          <cell r="AD87">
            <v>1790899612</v>
          </cell>
          <cell r="AE87">
            <v>1656913981</v>
          </cell>
          <cell r="AF87">
            <v>1265979598</v>
          </cell>
          <cell r="AG87">
            <v>18978876707</v>
          </cell>
          <cell r="AH87">
            <v>21751975010</v>
          </cell>
          <cell r="AI87">
            <v>6206042722</v>
          </cell>
          <cell r="AJ87">
            <v>1451347409</v>
          </cell>
          <cell r="AK87">
            <v>1496914693</v>
          </cell>
          <cell r="AL87">
            <v>20267256</v>
          </cell>
          <cell r="AM87">
            <v>176764251</v>
          </cell>
          <cell r="AN87">
            <v>996655762</v>
          </cell>
          <cell r="AO87">
            <v>428021821</v>
          </cell>
          <cell r="AP87">
            <v>1196988501</v>
          </cell>
          <cell r="AQ87">
            <v>465807300</v>
          </cell>
          <cell r="AR87">
            <v>46041303</v>
          </cell>
          <cell r="AS87">
            <v>165253053</v>
          </cell>
          <cell r="AT87">
            <v>1191481305</v>
          </cell>
          <cell r="AU87">
            <v>13841585376</v>
          </cell>
          <cell r="AV87">
            <v>156362183632</v>
          </cell>
        </row>
      </sheetData>
      <sheetData sheetId="18"/>
      <sheetData sheetId="19"/>
      <sheetData sheetId="20"/>
      <sheetData sheetId="21"/>
      <sheetData sheetId="22"/>
      <sheetData sheetId="23"/>
      <sheetData sheetId="24"/>
      <sheetData sheetId="25"/>
      <sheetData sheetId="26">
        <row r="92">
          <cell r="D92">
            <v>19001798</v>
          </cell>
        </row>
      </sheetData>
      <sheetData sheetId="27">
        <row r="92">
          <cell r="I92">
            <v>548078.92384783155</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
      <sheetName val="Report"/>
      <sheetName val="Data_Wage"/>
      <sheetName val="Data_Navgan"/>
      <sheetName val="Data_Cost &amp; Revenue"/>
    </sheetNames>
    <sheetDataSet>
      <sheetData sheetId="0">
        <row r="3">
          <cell r="C3">
            <v>74</v>
          </cell>
        </row>
        <row r="7">
          <cell r="C7">
            <v>0.1</v>
          </cell>
        </row>
      </sheetData>
      <sheetData sheetId="1">
        <row r="2">
          <cell r="D2">
            <v>18115200000</v>
          </cell>
        </row>
      </sheetData>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CENTERS-SALE"/>
    </sheetNames>
    <sheetDataSet>
      <sheetData sheetId="0"/>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هزینه تولید تائید نشده(خنثی)"/>
      <sheetName val="تمام شده تولید 89"/>
      <sheetName val="آمار تولید و ساعات تولید 89"/>
      <sheetName val="توقفات تولید سال90"/>
      <sheetName val="کار در جریان 89 "/>
      <sheetName val="تسهیم توقفات"/>
      <sheetName val="فروش اردیبهشت"/>
      <sheetName val="کار در جریان اردیبهشت 90"/>
      <sheetName val="فروش خرداد (2)"/>
      <sheetName val="تولید صنایع خرداد"/>
      <sheetName val="کارکرد صنایع خردادماه 90"/>
      <sheetName val="گردش کالا خرداد ماه"/>
      <sheetName val="برگشتی-نمونه-ضایعات"/>
      <sheetName val="گزارش تعداد نفرات"/>
      <sheetName val="مصرف مواد"/>
      <sheetName val="آمار تولید و ساعات تولید"/>
      <sheetName val="تولید همگن و تسهیم مزد و سربار "/>
      <sheetName val="عوامل در مراکز  "/>
      <sheetName val="تسهیم هزینه"/>
      <sheetName val="نرخ د.س کار در جریان اول دوره"/>
      <sheetName val="کار در جریان خرداد 90"/>
      <sheetName val="گردش کالای ساخته شده  (2)"/>
      <sheetName val="سود وزیان - بودجه ریال (2)"/>
      <sheetName val="سود وزیان - بودجه ریال"/>
      <sheetName val="گردش کالای ساخته شده "/>
      <sheetName val="تمام شده تولید"/>
      <sheetName val="گزارش1 -( کل) ارقام میلیون ریال"/>
      <sheetName val="گزارش1 -(واحد)"/>
      <sheetName val="کنترل حاشیه سود - کل"/>
      <sheetName val="کنترل حاشیه سود - واحد کالا (2)"/>
      <sheetName val="خرید بازرگانی"/>
      <sheetName val="برگشت کلا (2)"/>
      <sheetName val="فروش خرداد"/>
      <sheetName val="حاشیه سود"/>
      <sheetName val="سند تولید"/>
      <sheetName val="سند بهای تمام شده"/>
      <sheetName val="تربتی "/>
      <sheetName val="تربتی  (2)"/>
      <sheetName val="100022"/>
      <sheetName val="کاربرگ محاسبه مالیات"/>
      <sheetName val="خ  د ه عملیاتی "/>
      <sheetName val="خ س د  ه غیرعملیاتی"/>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
          <cell r="A1" t="str">
            <v>گزارش عوامل در مراکز</v>
          </cell>
        </row>
        <row r="2">
          <cell r="A2" t="str">
            <v>کد حساب</v>
          </cell>
          <cell r="B2" t="str">
            <v>شرح  حساب</v>
          </cell>
          <cell r="C2" t="str">
            <v>مشترك استريل ها</v>
          </cell>
          <cell r="D2" t="str">
            <v>استريل فرزياني</v>
          </cell>
          <cell r="E2" t="str">
            <v>استريل قدس</v>
          </cell>
          <cell r="F2" t="str">
            <v>استريل بعثت</v>
          </cell>
          <cell r="G2" t="str">
            <v>استريل غفارزاده</v>
          </cell>
          <cell r="H2" t="str">
            <v>پمادوكرم</v>
          </cell>
          <cell r="I2" t="str">
            <v>سفالوسپورين</v>
          </cell>
          <cell r="J2" t="str">
            <v>پني سيلين وي</v>
          </cell>
          <cell r="K2" t="str">
            <v>نيستاتين</v>
          </cell>
          <cell r="L2" t="str">
            <v>دراژه (نيستا،سفالوس،پني سيلسن وي)</v>
          </cell>
          <cell r="M2" t="str">
            <v>قرص و كپسول و شربت</v>
          </cell>
          <cell r="N2" t="str">
            <v>مشترک اسپري ها</v>
          </cell>
          <cell r="O2" t="str">
            <v>اسپري دهاني</v>
          </cell>
          <cell r="P2" t="str">
            <v>اسپري بيني</v>
          </cell>
          <cell r="Q2" t="str">
            <v>سافت ژل</v>
          </cell>
          <cell r="R2" t="str">
            <v>جمع تولید</v>
          </cell>
          <cell r="S2" t="str">
            <v>بسته بندي</v>
          </cell>
          <cell r="T2" t="str">
            <v>عمومي توليد</v>
          </cell>
          <cell r="U2" t="str">
            <v>فني و مهندسي قديم</v>
          </cell>
          <cell r="V2" t="str">
            <v>فني مهندسي افشانه</v>
          </cell>
          <cell r="W2" t="str">
            <v>آزمايشگاه و چکينگ</v>
          </cell>
          <cell r="X2" t="str">
            <v>انبارها قديم</v>
          </cell>
          <cell r="Y2" t="str">
            <v>انبار افشانه ها</v>
          </cell>
          <cell r="Z2" t="str">
            <v>مهندسي صنايع قديم</v>
          </cell>
          <cell r="AA2" t="str">
            <v>مهندسي صنايع اسپري</v>
          </cell>
          <cell r="AB2" t="str">
            <v>امور بازرگاني</v>
          </cell>
          <cell r="AC2" t="str">
            <v>انتظامات و نگهباني</v>
          </cell>
          <cell r="AD2" t="str">
            <v>خدمات عمومي</v>
          </cell>
          <cell r="AE2" t="str">
            <v>رستوران</v>
          </cell>
          <cell r="AF2" t="str">
            <v>حمل ونقل</v>
          </cell>
          <cell r="AG2" t="str">
            <v>جمع خدماتي</v>
          </cell>
          <cell r="AH2" t="str">
            <v>سربار</v>
          </cell>
          <cell r="AI2" t="str">
            <v>فروش و بازاريابي</v>
          </cell>
          <cell r="AJ2" t="str">
            <v>مديريت</v>
          </cell>
          <cell r="AK2" t="str">
            <v>تحقيقات</v>
          </cell>
          <cell r="AL2" t="str">
            <v>آموزش</v>
          </cell>
          <cell r="AM2" t="str">
            <v>مامورين</v>
          </cell>
          <cell r="AN2" t="str">
            <v>عمومي اداري</v>
          </cell>
          <cell r="AO2" t="str">
            <v>فن آوري اطلاعات</v>
          </cell>
          <cell r="AP2" t="str">
            <v>امورمالي</v>
          </cell>
          <cell r="AQ2" t="str">
            <v>دبيرخانه و كارگزيني</v>
          </cell>
          <cell r="AR2" t="str">
            <v>شورا ،انجمن و بسيج</v>
          </cell>
          <cell r="AS2" t="str">
            <v>HSE</v>
          </cell>
          <cell r="AT2" t="str">
            <v>تضمين كيفيت</v>
          </cell>
          <cell r="AU2" t="str">
            <v>جمع اداري</v>
          </cell>
          <cell r="AV2" t="str">
            <v>جمع کل</v>
          </cell>
        </row>
        <row r="3">
          <cell r="A3">
            <v>7101000</v>
          </cell>
          <cell r="B3" t="str">
            <v>هزينه مواداوليه توليدي</v>
          </cell>
          <cell r="C3">
            <v>0</v>
          </cell>
          <cell r="D3">
            <v>4604851218</v>
          </cell>
          <cell r="E3">
            <v>7018795990</v>
          </cell>
          <cell r="F3">
            <v>3951034403</v>
          </cell>
          <cell r="G3">
            <v>45896927938</v>
          </cell>
          <cell r="H3">
            <v>685456209</v>
          </cell>
          <cell r="I3">
            <v>6458122436</v>
          </cell>
          <cell r="J3">
            <v>7115410124</v>
          </cell>
          <cell r="K3">
            <v>531878634</v>
          </cell>
          <cell r="L3">
            <v>0</v>
          </cell>
          <cell r="M3">
            <v>0</v>
          </cell>
          <cell r="N3">
            <v>0</v>
          </cell>
          <cell r="O3">
            <v>0</v>
          </cell>
          <cell r="P3">
            <v>0</v>
          </cell>
          <cell r="Q3">
            <v>3079064878</v>
          </cell>
          <cell r="R3">
            <v>79341541830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79341541830</v>
          </cell>
        </row>
        <row r="4">
          <cell r="A4">
            <v>7102000</v>
          </cell>
          <cell r="B4" t="str">
            <v>هزينه موادبسته بندي</v>
          </cell>
          <cell r="C4">
            <v>0</v>
          </cell>
          <cell r="D4">
            <v>753076685</v>
          </cell>
          <cell r="E4">
            <v>7167423446</v>
          </cell>
          <cell r="F4">
            <v>2034314272</v>
          </cell>
          <cell r="G4">
            <v>10003064606</v>
          </cell>
          <cell r="H4">
            <v>370527788</v>
          </cell>
          <cell r="I4">
            <v>527584658</v>
          </cell>
          <cell r="J4">
            <v>207613441</v>
          </cell>
          <cell r="K4">
            <v>1005589918</v>
          </cell>
          <cell r="L4">
            <v>0</v>
          </cell>
          <cell r="M4">
            <v>0</v>
          </cell>
          <cell r="N4">
            <v>0</v>
          </cell>
          <cell r="O4">
            <v>0</v>
          </cell>
          <cell r="P4">
            <v>0</v>
          </cell>
          <cell r="Q4">
            <v>662780029</v>
          </cell>
          <cell r="R4">
            <v>22731974843</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22731974843</v>
          </cell>
        </row>
        <row r="5">
          <cell r="A5">
            <v>7106000</v>
          </cell>
          <cell r="B5" t="str">
            <v>هزينه مواداوليه توليدي افشانه ها</v>
          </cell>
          <cell r="C5">
            <v>0</v>
          </cell>
          <cell r="D5">
            <v>0</v>
          </cell>
          <cell r="E5">
            <v>0</v>
          </cell>
          <cell r="F5">
            <v>0</v>
          </cell>
          <cell r="G5">
            <v>0</v>
          </cell>
          <cell r="H5">
            <v>0</v>
          </cell>
          <cell r="I5">
            <v>0</v>
          </cell>
          <cell r="J5">
            <v>0</v>
          </cell>
          <cell r="K5">
            <v>0</v>
          </cell>
          <cell r="L5">
            <v>0</v>
          </cell>
          <cell r="M5">
            <v>0</v>
          </cell>
          <cell r="N5">
            <v>0</v>
          </cell>
          <cell r="O5">
            <v>4116794309</v>
          </cell>
          <cell r="P5">
            <v>125659084</v>
          </cell>
          <cell r="Q5">
            <v>0</v>
          </cell>
          <cell r="R5">
            <v>4242453393</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4242453393</v>
          </cell>
        </row>
        <row r="6">
          <cell r="A6">
            <v>7107000</v>
          </cell>
          <cell r="B6" t="str">
            <v>هزينه موادبسته بندي افشانه ها</v>
          </cell>
          <cell r="C6">
            <v>0</v>
          </cell>
          <cell r="D6">
            <v>0</v>
          </cell>
          <cell r="E6">
            <v>0</v>
          </cell>
          <cell r="F6">
            <v>0</v>
          </cell>
          <cell r="G6">
            <v>0</v>
          </cell>
          <cell r="H6">
            <v>0</v>
          </cell>
          <cell r="I6">
            <v>0</v>
          </cell>
          <cell r="J6">
            <v>0</v>
          </cell>
          <cell r="K6">
            <v>0</v>
          </cell>
          <cell r="L6">
            <v>0</v>
          </cell>
          <cell r="M6">
            <v>0</v>
          </cell>
          <cell r="N6">
            <v>0</v>
          </cell>
          <cell r="O6">
            <v>9147467000</v>
          </cell>
          <cell r="P6">
            <v>904833681</v>
          </cell>
          <cell r="Q6">
            <v>0</v>
          </cell>
          <cell r="R6">
            <v>10052300681</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10052300681</v>
          </cell>
        </row>
        <row r="7">
          <cell r="A7" t="str">
            <v>جمع مواد</v>
          </cell>
          <cell r="C7">
            <v>0</v>
          </cell>
          <cell r="D7">
            <v>5357927903</v>
          </cell>
          <cell r="E7">
            <v>14186219436</v>
          </cell>
          <cell r="F7">
            <v>5985348675</v>
          </cell>
          <cell r="G7">
            <v>55899992544</v>
          </cell>
          <cell r="H7">
            <v>1055983997</v>
          </cell>
          <cell r="I7">
            <v>6985707094</v>
          </cell>
          <cell r="J7">
            <v>7323023565</v>
          </cell>
          <cell r="K7">
            <v>1537468552</v>
          </cell>
          <cell r="L7">
            <v>0</v>
          </cell>
          <cell r="M7">
            <v>0</v>
          </cell>
          <cell r="N7">
            <v>0</v>
          </cell>
          <cell r="O7">
            <v>13264261309</v>
          </cell>
          <cell r="P7">
            <v>1030492765</v>
          </cell>
          <cell r="Q7">
            <v>3741844907</v>
          </cell>
          <cell r="R7">
            <v>116368270747</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116368270747</v>
          </cell>
        </row>
        <row r="8">
          <cell r="A8">
            <v>7201000</v>
          </cell>
          <cell r="B8" t="str">
            <v>هزينه حقوق ودستمزد</v>
          </cell>
          <cell r="C8">
            <v>22660612</v>
          </cell>
          <cell r="D8">
            <v>118873411</v>
          </cell>
          <cell r="E8">
            <v>133374455</v>
          </cell>
          <cell r="F8">
            <v>60086996</v>
          </cell>
          <cell r="G8">
            <v>105002141</v>
          </cell>
          <cell r="H8">
            <v>76666222</v>
          </cell>
          <cell r="I8">
            <v>186070310</v>
          </cell>
          <cell r="J8">
            <v>105194392</v>
          </cell>
          <cell r="K8">
            <v>45120051</v>
          </cell>
          <cell r="L8">
            <v>0</v>
          </cell>
          <cell r="M8">
            <v>55002090</v>
          </cell>
          <cell r="N8">
            <v>94709098</v>
          </cell>
          <cell r="O8">
            <v>0</v>
          </cell>
          <cell r="P8">
            <v>0</v>
          </cell>
          <cell r="Q8">
            <v>27727948</v>
          </cell>
          <cell r="R8">
            <v>1030487726</v>
          </cell>
          <cell r="S8">
            <v>71025528</v>
          </cell>
          <cell r="T8">
            <v>185098866</v>
          </cell>
          <cell r="U8">
            <v>494164878</v>
          </cell>
          <cell r="V8">
            <v>103496838</v>
          </cell>
          <cell r="W8">
            <v>853904697</v>
          </cell>
          <cell r="X8">
            <v>180846819</v>
          </cell>
          <cell r="Y8">
            <v>19306575</v>
          </cell>
          <cell r="Z8">
            <v>153186416</v>
          </cell>
          <cell r="AA8">
            <v>14430986</v>
          </cell>
          <cell r="AB8">
            <v>232860217</v>
          </cell>
          <cell r="AC8">
            <v>44887104</v>
          </cell>
          <cell r="AD8">
            <v>16655022</v>
          </cell>
          <cell r="AE8">
            <v>0</v>
          </cell>
          <cell r="AF8">
            <v>13950036</v>
          </cell>
          <cell r="AG8">
            <v>2383813982</v>
          </cell>
          <cell r="AH8">
            <v>2383813982</v>
          </cell>
          <cell r="AI8">
            <v>933914794</v>
          </cell>
          <cell r="AJ8">
            <v>234643247</v>
          </cell>
          <cell r="AK8">
            <v>279514720</v>
          </cell>
          <cell r="AL8">
            <v>0</v>
          </cell>
          <cell r="AM8">
            <v>50723481</v>
          </cell>
          <cell r="AN8">
            <v>0</v>
          </cell>
          <cell r="AO8">
            <v>99153316</v>
          </cell>
          <cell r="AP8">
            <v>313639298</v>
          </cell>
          <cell r="AQ8">
            <v>120373168</v>
          </cell>
          <cell r="AR8">
            <v>0</v>
          </cell>
          <cell r="AS8">
            <v>34473526</v>
          </cell>
          <cell r="AT8">
            <v>370213557</v>
          </cell>
          <cell r="AU8">
            <v>2436649107</v>
          </cell>
          <cell r="AV8">
            <v>5850950815</v>
          </cell>
        </row>
        <row r="9">
          <cell r="A9">
            <v>7201001</v>
          </cell>
          <cell r="B9" t="str">
            <v>هزينه حقوق ودستمزد ( پارس پاکان)</v>
          </cell>
          <cell r="C9">
            <v>0</v>
          </cell>
          <cell r="D9">
            <v>60634751</v>
          </cell>
          <cell r="E9">
            <v>56651915</v>
          </cell>
          <cell r="F9">
            <v>77047075</v>
          </cell>
          <cell r="G9">
            <v>83670382</v>
          </cell>
          <cell r="H9">
            <v>20935149</v>
          </cell>
          <cell r="I9">
            <v>83515692</v>
          </cell>
          <cell r="J9">
            <v>102754166</v>
          </cell>
          <cell r="K9">
            <v>60545637</v>
          </cell>
          <cell r="L9">
            <v>0</v>
          </cell>
          <cell r="M9">
            <v>0</v>
          </cell>
          <cell r="N9">
            <v>216970499</v>
          </cell>
          <cell r="O9">
            <v>46351317</v>
          </cell>
          <cell r="P9">
            <v>42114752</v>
          </cell>
          <cell r="Q9">
            <v>0</v>
          </cell>
          <cell r="R9">
            <v>851191335</v>
          </cell>
          <cell r="S9">
            <v>32492689</v>
          </cell>
          <cell r="T9">
            <v>160904805</v>
          </cell>
          <cell r="U9">
            <v>110038568</v>
          </cell>
          <cell r="V9">
            <v>15522554</v>
          </cell>
          <cell r="W9">
            <v>22068512</v>
          </cell>
          <cell r="X9">
            <v>81737864</v>
          </cell>
          <cell r="Y9">
            <v>36367024</v>
          </cell>
          <cell r="Z9">
            <v>0</v>
          </cell>
          <cell r="AA9">
            <v>0</v>
          </cell>
          <cell r="AB9">
            <v>13621093</v>
          </cell>
          <cell r="AC9">
            <v>80710101</v>
          </cell>
          <cell r="AD9">
            <v>398912414</v>
          </cell>
          <cell r="AE9">
            <v>0</v>
          </cell>
          <cell r="AF9">
            <v>0</v>
          </cell>
          <cell r="AG9">
            <v>952375624</v>
          </cell>
          <cell r="AH9">
            <v>952375624</v>
          </cell>
          <cell r="AI9">
            <v>15449455</v>
          </cell>
          <cell r="AJ9">
            <v>0</v>
          </cell>
          <cell r="AK9">
            <v>0</v>
          </cell>
          <cell r="AL9">
            <v>0</v>
          </cell>
          <cell r="AM9">
            <v>0</v>
          </cell>
          <cell r="AN9">
            <v>0</v>
          </cell>
          <cell r="AO9">
            <v>0</v>
          </cell>
          <cell r="AP9">
            <v>0</v>
          </cell>
          <cell r="AQ9">
            <v>15535854</v>
          </cell>
          <cell r="AR9">
            <v>0</v>
          </cell>
          <cell r="AS9">
            <v>0</v>
          </cell>
          <cell r="AT9">
            <v>14315731</v>
          </cell>
          <cell r="AU9">
            <v>45301040</v>
          </cell>
          <cell r="AV9">
            <v>1848867999</v>
          </cell>
        </row>
        <row r="10">
          <cell r="A10">
            <v>7202000</v>
          </cell>
          <cell r="B10" t="str">
            <v>هزينه مسكن</v>
          </cell>
          <cell r="C10">
            <v>226666</v>
          </cell>
          <cell r="D10">
            <v>2479992</v>
          </cell>
          <cell r="E10">
            <v>2789991</v>
          </cell>
          <cell r="F10">
            <v>1239996</v>
          </cell>
          <cell r="G10">
            <v>2169993</v>
          </cell>
          <cell r="H10">
            <v>1549995</v>
          </cell>
          <cell r="I10">
            <v>3939534</v>
          </cell>
          <cell r="J10">
            <v>2169993</v>
          </cell>
          <cell r="K10">
            <v>929997</v>
          </cell>
          <cell r="L10">
            <v>0</v>
          </cell>
          <cell r="M10">
            <v>929997</v>
          </cell>
          <cell r="N10">
            <v>1603837</v>
          </cell>
          <cell r="O10">
            <v>0</v>
          </cell>
          <cell r="P10">
            <v>0</v>
          </cell>
          <cell r="Q10">
            <v>269811</v>
          </cell>
          <cell r="R10">
            <v>20299802</v>
          </cell>
          <cell r="S10">
            <v>1520906</v>
          </cell>
          <cell r="T10">
            <v>3288475</v>
          </cell>
          <cell r="U10">
            <v>9481183</v>
          </cell>
          <cell r="V10">
            <v>2041207</v>
          </cell>
          <cell r="W10">
            <v>14152012</v>
          </cell>
          <cell r="X10">
            <v>3668636</v>
          </cell>
          <cell r="Y10">
            <v>294122</v>
          </cell>
          <cell r="Z10">
            <v>2718931</v>
          </cell>
          <cell r="AA10">
            <v>274250</v>
          </cell>
          <cell r="AB10">
            <v>3712027</v>
          </cell>
          <cell r="AC10">
            <v>929997</v>
          </cell>
          <cell r="AD10">
            <v>309999</v>
          </cell>
          <cell r="AE10">
            <v>0</v>
          </cell>
          <cell r="AF10">
            <v>309999</v>
          </cell>
          <cell r="AG10">
            <v>42701744</v>
          </cell>
          <cell r="AH10">
            <v>42701744</v>
          </cell>
          <cell r="AI10">
            <v>14914499</v>
          </cell>
          <cell r="AJ10">
            <v>1859994</v>
          </cell>
          <cell r="AK10">
            <v>4008170</v>
          </cell>
          <cell r="AL10">
            <v>0</v>
          </cell>
          <cell r="AM10">
            <v>929997</v>
          </cell>
          <cell r="AN10">
            <v>0</v>
          </cell>
          <cell r="AO10">
            <v>1343329</v>
          </cell>
          <cell r="AP10">
            <v>5637212</v>
          </cell>
          <cell r="AQ10">
            <v>1859994</v>
          </cell>
          <cell r="AR10">
            <v>0</v>
          </cell>
          <cell r="AS10">
            <v>619998</v>
          </cell>
          <cell r="AT10">
            <v>4583319</v>
          </cell>
          <cell r="AU10">
            <v>35756512</v>
          </cell>
          <cell r="AV10">
            <v>98758058</v>
          </cell>
        </row>
        <row r="11">
          <cell r="A11">
            <v>7203000</v>
          </cell>
          <cell r="B11" t="str">
            <v>هزينه خواروبار</v>
          </cell>
          <cell r="C11">
            <v>1134</v>
          </cell>
          <cell r="D11">
            <v>54252</v>
          </cell>
          <cell r="E11">
            <v>52704</v>
          </cell>
          <cell r="F11">
            <v>27900</v>
          </cell>
          <cell r="G11">
            <v>38754</v>
          </cell>
          <cell r="H11">
            <v>27903</v>
          </cell>
          <cell r="I11">
            <v>70256</v>
          </cell>
          <cell r="J11">
            <v>46503</v>
          </cell>
          <cell r="K11">
            <v>13950</v>
          </cell>
          <cell r="L11">
            <v>0</v>
          </cell>
          <cell r="M11">
            <v>4653</v>
          </cell>
          <cell r="N11">
            <v>12320</v>
          </cell>
          <cell r="O11">
            <v>0</v>
          </cell>
          <cell r="P11">
            <v>0</v>
          </cell>
          <cell r="Q11">
            <v>2698</v>
          </cell>
          <cell r="R11">
            <v>353027</v>
          </cell>
          <cell r="S11">
            <v>19604</v>
          </cell>
          <cell r="T11">
            <v>53976</v>
          </cell>
          <cell r="U11">
            <v>150526</v>
          </cell>
          <cell r="V11">
            <v>22015</v>
          </cell>
          <cell r="W11">
            <v>177736</v>
          </cell>
          <cell r="X11">
            <v>76310</v>
          </cell>
          <cell r="Y11">
            <v>5883</v>
          </cell>
          <cell r="Z11">
            <v>30414</v>
          </cell>
          <cell r="AA11">
            <v>2742</v>
          </cell>
          <cell r="AB11">
            <v>49568</v>
          </cell>
          <cell r="AC11">
            <v>15501</v>
          </cell>
          <cell r="AD11">
            <v>6201</v>
          </cell>
          <cell r="AE11">
            <v>0</v>
          </cell>
          <cell r="AF11">
            <v>3099</v>
          </cell>
          <cell r="AG11">
            <v>613575</v>
          </cell>
          <cell r="AH11">
            <v>613575</v>
          </cell>
          <cell r="AI11">
            <v>138687</v>
          </cell>
          <cell r="AJ11">
            <v>23253</v>
          </cell>
          <cell r="AK11">
            <v>44195</v>
          </cell>
          <cell r="AL11">
            <v>0</v>
          </cell>
          <cell r="AM11">
            <v>10851</v>
          </cell>
          <cell r="AN11">
            <v>0</v>
          </cell>
          <cell r="AO11">
            <v>19120</v>
          </cell>
          <cell r="AP11">
            <v>83716</v>
          </cell>
          <cell r="AQ11">
            <v>27903</v>
          </cell>
          <cell r="AR11">
            <v>0</v>
          </cell>
          <cell r="AS11">
            <v>10851</v>
          </cell>
          <cell r="AT11">
            <v>53915</v>
          </cell>
          <cell r="AU11">
            <v>412491</v>
          </cell>
          <cell r="AV11">
            <v>1379093</v>
          </cell>
        </row>
        <row r="12">
          <cell r="A12">
            <v>7204000</v>
          </cell>
          <cell r="B12" t="str">
            <v>هزينه حق اولاد</v>
          </cell>
          <cell r="C12">
            <v>0</v>
          </cell>
          <cell r="D12">
            <v>16382880</v>
          </cell>
          <cell r="E12">
            <v>15358950</v>
          </cell>
          <cell r="F12">
            <v>8191440</v>
          </cell>
          <cell r="G12">
            <v>11263230</v>
          </cell>
          <cell r="H12">
            <v>8191440</v>
          </cell>
          <cell r="I12">
            <v>21238291</v>
          </cell>
          <cell r="J12">
            <v>14335020</v>
          </cell>
          <cell r="K12">
            <v>3071790</v>
          </cell>
          <cell r="L12">
            <v>0</v>
          </cell>
          <cell r="M12">
            <v>0</v>
          </cell>
          <cell r="N12">
            <v>1023930</v>
          </cell>
          <cell r="O12">
            <v>0</v>
          </cell>
          <cell r="P12">
            <v>0</v>
          </cell>
          <cell r="Q12">
            <v>0</v>
          </cell>
          <cell r="R12">
            <v>99056971</v>
          </cell>
          <cell r="S12">
            <v>3927567</v>
          </cell>
          <cell r="T12">
            <v>12909725</v>
          </cell>
          <cell r="U12">
            <v>36789415</v>
          </cell>
          <cell r="V12">
            <v>2047860</v>
          </cell>
          <cell r="W12">
            <v>36112325</v>
          </cell>
          <cell r="X12">
            <v>22187200</v>
          </cell>
          <cell r="Y12">
            <v>1942965</v>
          </cell>
          <cell r="Z12">
            <v>7029385</v>
          </cell>
          <cell r="AA12">
            <v>0</v>
          </cell>
          <cell r="AB12">
            <v>12287160</v>
          </cell>
          <cell r="AC12">
            <v>4095720</v>
          </cell>
          <cell r="AD12">
            <v>2047860</v>
          </cell>
          <cell r="AE12">
            <v>0</v>
          </cell>
          <cell r="AF12">
            <v>0</v>
          </cell>
          <cell r="AG12">
            <v>141377182</v>
          </cell>
          <cell r="AH12">
            <v>141377182</v>
          </cell>
          <cell r="AI12">
            <v>12472328</v>
          </cell>
          <cell r="AJ12">
            <v>5119650</v>
          </cell>
          <cell r="AK12">
            <v>5448949</v>
          </cell>
          <cell r="AL12">
            <v>0</v>
          </cell>
          <cell r="AM12">
            <v>2047860</v>
          </cell>
          <cell r="AN12">
            <v>0</v>
          </cell>
          <cell r="AO12">
            <v>5119650</v>
          </cell>
          <cell r="AP12">
            <v>20378208</v>
          </cell>
          <cell r="AQ12">
            <v>7167510</v>
          </cell>
          <cell r="AR12">
            <v>0</v>
          </cell>
          <cell r="AS12">
            <v>3071790</v>
          </cell>
          <cell r="AT12">
            <v>8191440</v>
          </cell>
          <cell r="AU12">
            <v>69017385</v>
          </cell>
          <cell r="AV12">
            <v>309451538</v>
          </cell>
        </row>
        <row r="13">
          <cell r="A13">
            <v>7205000</v>
          </cell>
          <cell r="B13" t="str">
            <v>هزينه حق جذب</v>
          </cell>
          <cell r="C13">
            <v>5482406</v>
          </cell>
          <cell r="D13">
            <v>30809067</v>
          </cell>
          <cell r="E13">
            <v>33121728</v>
          </cell>
          <cell r="F13">
            <v>16773564</v>
          </cell>
          <cell r="G13">
            <v>27410970</v>
          </cell>
          <cell r="H13">
            <v>20526153</v>
          </cell>
          <cell r="I13">
            <v>46985249</v>
          </cell>
          <cell r="J13">
            <v>27410970</v>
          </cell>
          <cell r="K13">
            <v>13286844</v>
          </cell>
          <cell r="L13">
            <v>0</v>
          </cell>
          <cell r="M13">
            <v>11683023</v>
          </cell>
          <cell r="N13">
            <v>14345902</v>
          </cell>
          <cell r="O13">
            <v>0</v>
          </cell>
          <cell r="P13">
            <v>0</v>
          </cell>
          <cell r="Q13">
            <v>6708375</v>
          </cell>
          <cell r="R13">
            <v>254544251</v>
          </cell>
          <cell r="S13">
            <v>17110558</v>
          </cell>
          <cell r="T13">
            <v>26466589</v>
          </cell>
          <cell r="U13">
            <v>99053283</v>
          </cell>
          <cell r="V13">
            <v>11918744</v>
          </cell>
          <cell r="W13">
            <v>195777478</v>
          </cell>
          <cell r="X13">
            <v>46872261</v>
          </cell>
          <cell r="Y13">
            <v>3713755</v>
          </cell>
          <cell r="Z13">
            <v>32985721</v>
          </cell>
          <cell r="AA13">
            <v>2793092</v>
          </cell>
          <cell r="AB13">
            <v>45884084</v>
          </cell>
          <cell r="AC13">
            <v>10832379</v>
          </cell>
          <cell r="AD13">
            <v>6490650</v>
          </cell>
          <cell r="AE13">
            <v>0</v>
          </cell>
          <cell r="AF13">
            <v>0</v>
          </cell>
          <cell r="AG13">
            <v>499898594</v>
          </cell>
          <cell r="AH13">
            <v>499898594</v>
          </cell>
          <cell r="AI13">
            <v>162282715</v>
          </cell>
          <cell r="AJ13">
            <v>20635477</v>
          </cell>
          <cell r="AK13">
            <v>59338938</v>
          </cell>
          <cell r="AL13">
            <v>0</v>
          </cell>
          <cell r="AM13">
            <v>2383563</v>
          </cell>
          <cell r="AN13">
            <v>0</v>
          </cell>
          <cell r="AO13">
            <v>19142965</v>
          </cell>
          <cell r="AP13">
            <v>71465709</v>
          </cell>
          <cell r="AQ13">
            <v>20301717</v>
          </cell>
          <cell r="AR13">
            <v>0</v>
          </cell>
          <cell r="AS13">
            <v>7430976</v>
          </cell>
          <cell r="AT13">
            <v>83932197</v>
          </cell>
          <cell r="AU13">
            <v>446914257</v>
          </cell>
          <cell r="AV13">
            <v>1201357102</v>
          </cell>
        </row>
        <row r="14">
          <cell r="A14">
            <v>7206000</v>
          </cell>
          <cell r="B14" t="str">
            <v>هزينه اضافه كاري</v>
          </cell>
          <cell r="C14">
            <v>12723872</v>
          </cell>
          <cell r="D14">
            <v>82626607</v>
          </cell>
          <cell r="E14">
            <v>80668206</v>
          </cell>
          <cell r="F14">
            <v>37488893</v>
          </cell>
          <cell r="G14">
            <v>81380137</v>
          </cell>
          <cell r="H14">
            <v>54318314</v>
          </cell>
          <cell r="I14">
            <v>104083161</v>
          </cell>
          <cell r="J14">
            <v>73426294</v>
          </cell>
          <cell r="K14">
            <v>39230103</v>
          </cell>
          <cell r="L14">
            <v>0</v>
          </cell>
          <cell r="M14">
            <v>30152804</v>
          </cell>
          <cell r="N14">
            <v>34767552</v>
          </cell>
          <cell r="O14">
            <v>0</v>
          </cell>
          <cell r="P14">
            <v>0</v>
          </cell>
          <cell r="Q14">
            <v>3224936</v>
          </cell>
          <cell r="R14">
            <v>634090879</v>
          </cell>
          <cell r="S14">
            <v>35167933</v>
          </cell>
          <cell r="T14">
            <v>109332076</v>
          </cell>
          <cell r="U14">
            <v>475261123</v>
          </cell>
          <cell r="V14">
            <v>32309949</v>
          </cell>
          <cell r="W14">
            <v>283886536</v>
          </cell>
          <cell r="X14">
            <v>135322484</v>
          </cell>
          <cell r="Y14">
            <v>2685676</v>
          </cell>
          <cell r="Z14">
            <v>43015888</v>
          </cell>
          <cell r="AA14">
            <v>1305928</v>
          </cell>
          <cell r="AB14">
            <v>67996960</v>
          </cell>
          <cell r="AC14">
            <v>30145746</v>
          </cell>
          <cell r="AD14">
            <v>21097927</v>
          </cell>
          <cell r="AE14">
            <v>0</v>
          </cell>
          <cell r="AF14">
            <v>8934569</v>
          </cell>
          <cell r="AG14">
            <v>1246462795</v>
          </cell>
          <cell r="AH14">
            <v>1246462795</v>
          </cell>
          <cell r="AI14">
            <v>18498266</v>
          </cell>
          <cell r="AJ14">
            <v>128964856</v>
          </cell>
          <cell r="AK14">
            <v>34186862</v>
          </cell>
          <cell r="AL14">
            <v>0</v>
          </cell>
          <cell r="AM14">
            <v>48343532</v>
          </cell>
          <cell r="AN14">
            <v>0</v>
          </cell>
          <cell r="AO14">
            <v>33164299</v>
          </cell>
          <cell r="AP14">
            <v>160877604</v>
          </cell>
          <cell r="AQ14">
            <v>32880061</v>
          </cell>
          <cell r="AR14">
            <v>0</v>
          </cell>
          <cell r="AS14">
            <v>22857394</v>
          </cell>
          <cell r="AT14">
            <v>48230932</v>
          </cell>
          <cell r="AU14">
            <v>528003806</v>
          </cell>
          <cell r="AV14">
            <v>2408557480</v>
          </cell>
        </row>
        <row r="15">
          <cell r="A15">
            <v>7206001</v>
          </cell>
          <cell r="B15" t="str">
            <v>هزينه اضافه كاري ( پارس پاکان)</v>
          </cell>
          <cell r="C15">
            <v>0</v>
          </cell>
          <cell r="D15">
            <v>13464182</v>
          </cell>
          <cell r="E15">
            <v>11996554</v>
          </cell>
          <cell r="F15">
            <v>15971431</v>
          </cell>
          <cell r="G15">
            <v>18875852</v>
          </cell>
          <cell r="H15">
            <v>6705620</v>
          </cell>
          <cell r="I15">
            <v>12977057</v>
          </cell>
          <cell r="J15">
            <v>21540257</v>
          </cell>
          <cell r="K15">
            <v>15537241</v>
          </cell>
          <cell r="L15">
            <v>0</v>
          </cell>
          <cell r="M15">
            <v>0</v>
          </cell>
          <cell r="N15">
            <v>51156848</v>
          </cell>
          <cell r="O15">
            <v>9547226</v>
          </cell>
          <cell r="P15">
            <v>8839360</v>
          </cell>
          <cell r="Q15">
            <v>0</v>
          </cell>
          <cell r="R15">
            <v>186611628</v>
          </cell>
          <cell r="S15">
            <v>5093627</v>
          </cell>
          <cell r="T15">
            <v>29168392</v>
          </cell>
          <cell r="U15">
            <v>60115382</v>
          </cell>
          <cell r="V15">
            <v>219792</v>
          </cell>
          <cell r="W15">
            <v>3284141</v>
          </cell>
          <cell r="X15">
            <v>15113729</v>
          </cell>
          <cell r="Y15">
            <v>11837594</v>
          </cell>
          <cell r="Z15">
            <v>0</v>
          </cell>
          <cell r="AA15">
            <v>0</v>
          </cell>
          <cell r="AB15">
            <v>2230401</v>
          </cell>
          <cell r="AC15">
            <v>125145651</v>
          </cell>
          <cell r="AD15">
            <v>29787347</v>
          </cell>
          <cell r="AE15">
            <v>0</v>
          </cell>
          <cell r="AF15">
            <v>0</v>
          </cell>
          <cell r="AG15">
            <v>281996056</v>
          </cell>
          <cell r="AH15">
            <v>281996056</v>
          </cell>
          <cell r="AI15">
            <v>3032438</v>
          </cell>
          <cell r="AJ15">
            <v>0</v>
          </cell>
          <cell r="AK15">
            <v>0</v>
          </cell>
          <cell r="AL15">
            <v>0</v>
          </cell>
          <cell r="AM15">
            <v>0</v>
          </cell>
          <cell r="AN15">
            <v>0</v>
          </cell>
          <cell r="AO15">
            <v>0</v>
          </cell>
          <cell r="AP15">
            <v>0</v>
          </cell>
          <cell r="AQ15">
            <v>1897989</v>
          </cell>
          <cell r="AR15">
            <v>0</v>
          </cell>
          <cell r="AS15">
            <v>0</v>
          </cell>
          <cell r="AT15">
            <v>1568792</v>
          </cell>
          <cell r="AU15">
            <v>6499219</v>
          </cell>
          <cell r="AV15">
            <v>475106903</v>
          </cell>
        </row>
        <row r="16">
          <cell r="A16">
            <v>7207000</v>
          </cell>
          <cell r="B16" t="str">
            <v>هزينه نوبتكاري</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12536880</v>
          </cell>
          <cell r="AD16">
            <v>0</v>
          </cell>
          <cell r="AE16">
            <v>0</v>
          </cell>
          <cell r="AF16">
            <v>0</v>
          </cell>
          <cell r="AG16">
            <v>12536880</v>
          </cell>
          <cell r="AH16">
            <v>12536880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12536880</v>
          </cell>
        </row>
        <row r="17">
          <cell r="A17">
            <v>7208000</v>
          </cell>
          <cell r="B17" t="str">
            <v>هزينه شبكاري</v>
          </cell>
          <cell r="C17">
            <v>159048</v>
          </cell>
          <cell r="D17">
            <v>709489</v>
          </cell>
          <cell r="E17">
            <v>643808</v>
          </cell>
          <cell r="F17">
            <v>0</v>
          </cell>
          <cell r="G17">
            <v>1158841</v>
          </cell>
          <cell r="H17">
            <v>0</v>
          </cell>
          <cell r="I17">
            <v>18534</v>
          </cell>
          <cell r="J17">
            <v>0</v>
          </cell>
          <cell r="K17">
            <v>0</v>
          </cell>
          <cell r="L17">
            <v>0</v>
          </cell>
          <cell r="M17">
            <v>63007</v>
          </cell>
          <cell r="N17">
            <v>15960</v>
          </cell>
          <cell r="O17">
            <v>0</v>
          </cell>
          <cell r="P17">
            <v>0</v>
          </cell>
          <cell r="Q17">
            <v>0</v>
          </cell>
          <cell r="R17">
            <v>2768687</v>
          </cell>
          <cell r="S17">
            <v>0</v>
          </cell>
          <cell r="T17">
            <v>95492</v>
          </cell>
          <cell r="U17">
            <v>16641273</v>
          </cell>
          <cell r="V17">
            <v>43151</v>
          </cell>
          <cell r="W17">
            <v>1624232</v>
          </cell>
          <cell r="X17">
            <v>0</v>
          </cell>
          <cell r="Y17">
            <v>0</v>
          </cell>
          <cell r="Z17">
            <v>0</v>
          </cell>
          <cell r="AA17">
            <v>0</v>
          </cell>
          <cell r="AB17">
            <v>0</v>
          </cell>
          <cell r="AC17">
            <v>0</v>
          </cell>
          <cell r="AD17">
            <v>52257</v>
          </cell>
          <cell r="AE17">
            <v>0</v>
          </cell>
          <cell r="AF17">
            <v>0</v>
          </cell>
          <cell r="AG17">
            <v>18456405</v>
          </cell>
          <cell r="AH17">
            <v>18456405</v>
          </cell>
          <cell r="AI17">
            <v>0</v>
          </cell>
          <cell r="AJ17">
            <v>57282</v>
          </cell>
          <cell r="AK17">
            <v>34000</v>
          </cell>
          <cell r="AL17">
            <v>0</v>
          </cell>
          <cell r="AM17">
            <v>0</v>
          </cell>
          <cell r="AN17">
            <v>0</v>
          </cell>
          <cell r="AO17">
            <v>0</v>
          </cell>
          <cell r="AP17">
            <v>329253</v>
          </cell>
          <cell r="AQ17">
            <v>11316</v>
          </cell>
          <cell r="AR17">
            <v>0</v>
          </cell>
          <cell r="AS17">
            <v>11367</v>
          </cell>
          <cell r="AT17">
            <v>0</v>
          </cell>
          <cell r="AU17">
            <v>443218</v>
          </cell>
          <cell r="AV17">
            <v>21668310</v>
          </cell>
        </row>
        <row r="18">
          <cell r="A18">
            <v>7211000</v>
          </cell>
          <cell r="B18" t="str">
            <v>هزينه عيدي وپاداش ساليانه</v>
          </cell>
          <cell r="C18">
            <v>1693479</v>
          </cell>
          <cell r="D18">
            <v>18510498</v>
          </cell>
          <cell r="E18">
            <v>20832225</v>
          </cell>
          <cell r="F18">
            <v>9252145</v>
          </cell>
          <cell r="G18">
            <v>16212574</v>
          </cell>
          <cell r="H18">
            <v>11580410</v>
          </cell>
          <cell r="I18">
            <v>29769919</v>
          </cell>
          <cell r="J18">
            <v>16211831</v>
          </cell>
          <cell r="K18">
            <v>6948246</v>
          </cell>
          <cell r="L18">
            <v>0</v>
          </cell>
          <cell r="M18">
            <v>6948246</v>
          </cell>
          <cell r="N18">
            <v>11787444</v>
          </cell>
          <cell r="O18">
            <v>0</v>
          </cell>
          <cell r="P18">
            <v>0</v>
          </cell>
          <cell r="Q18">
            <v>2015818</v>
          </cell>
          <cell r="R18">
            <v>151762835</v>
          </cell>
          <cell r="S18">
            <v>11362137</v>
          </cell>
          <cell r="T18">
            <v>24180132</v>
          </cell>
          <cell r="U18">
            <v>70819695</v>
          </cell>
          <cell r="V18">
            <v>16022398</v>
          </cell>
          <cell r="W18">
            <v>105733276</v>
          </cell>
          <cell r="X18">
            <v>27409292</v>
          </cell>
          <cell r="Y18">
            <v>2197448</v>
          </cell>
          <cell r="Z18">
            <v>20364768</v>
          </cell>
          <cell r="AA18">
            <v>2048986</v>
          </cell>
          <cell r="AB18">
            <v>29924418</v>
          </cell>
          <cell r="AC18">
            <v>6948246</v>
          </cell>
          <cell r="AD18">
            <v>2316082</v>
          </cell>
          <cell r="AE18">
            <v>0</v>
          </cell>
          <cell r="AF18">
            <v>2293157</v>
          </cell>
          <cell r="AG18">
            <v>321620035</v>
          </cell>
          <cell r="AH18">
            <v>321620035</v>
          </cell>
          <cell r="AI18">
            <v>111367531</v>
          </cell>
          <cell r="AJ18">
            <v>13896492</v>
          </cell>
          <cell r="AK18">
            <v>29946058</v>
          </cell>
          <cell r="AL18">
            <v>0</v>
          </cell>
          <cell r="AM18">
            <v>6663515</v>
          </cell>
          <cell r="AN18">
            <v>0</v>
          </cell>
          <cell r="AO18">
            <v>10036355</v>
          </cell>
          <cell r="AP18">
            <v>42117034</v>
          </cell>
          <cell r="AQ18">
            <v>13896492</v>
          </cell>
          <cell r="AR18">
            <v>6500000</v>
          </cell>
          <cell r="AS18">
            <v>4632164</v>
          </cell>
          <cell r="AT18">
            <v>34243148</v>
          </cell>
          <cell r="AU18">
            <v>273298789</v>
          </cell>
          <cell r="AV18">
            <v>746681659</v>
          </cell>
        </row>
        <row r="19">
          <cell r="A19">
            <v>7213000</v>
          </cell>
          <cell r="B19" t="str">
            <v>هزينه بن كالاي اساسي</v>
          </cell>
          <cell r="C19">
            <v>840000</v>
          </cell>
          <cell r="D19">
            <v>6720000</v>
          </cell>
          <cell r="E19">
            <v>7560000</v>
          </cell>
          <cell r="F19">
            <v>3360000</v>
          </cell>
          <cell r="G19">
            <v>5880000</v>
          </cell>
          <cell r="H19">
            <v>4200000</v>
          </cell>
          <cell r="I19">
            <v>10360000</v>
          </cell>
          <cell r="J19">
            <v>5880000</v>
          </cell>
          <cell r="K19">
            <v>2520000</v>
          </cell>
          <cell r="L19">
            <v>0</v>
          </cell>
          <cell r="M19">
            <v>2520000</v>
          </cell>
          <cell r="N19">
            <v>5040000</v>
          </cell>
          <cell r="O19">
            <v>0</v>
          </cell>
          <cell r="P19">
            <v>0</v>
          </cell>
          <cell r="Q19">
            <v>840000</v>
          </cell>
          <cell r="R19">
            <v>55720000</v>
          </cell>
          <cell r="S19">
            <v>4200000</v>
          </cell>
          <cell r="T19">
            <v>8960000</v>
          </cell>
          <cell r="U19">
            <v>25760000</v>
          </cell>
          <cell r="V19">
            <v>5600000</v>
          </cell>
          <cell r="W19">
            <v>38920000</v>
          </cell>
          <cell r="X19">
            <v>10080000</v>
          </cell>
          <cell r="Y19">
            <v>840000</v>
          </cell>
          <cell r="Z19">
            <v>7560000</v>
          </cell>
          <cell r="AA19">
            <v>840000</v>
          </cell>
          <cell r="AB19">
            <v>10920000</v>
          </cell>
          <cell r="AC19">
            <v>2520000</v>
          </cell>
          <cell r="AD19">
            <v>840000</v>
          </cell>
          <cell r="AE19">
            <v>0</v>
          </cell>
          <cell r="AF19">
            <v>840000</v>
          </cell>
          <cell r="AG19">
            <v>117880000</v>
          </cell>
          <cell r="AH19">
            <v>117880000</v>
          </cell>
          <cell r="AI19">
            <v>41160000</v>
          </cell>
          <cell r="AJ19">
            <v>5040000</v>
          </cell>
          <cell r="AK19">
            <v>10920000</v>
          </cell>
          <cell r="AL19">
            <v>0</v>
          </cell>
          <cell r="AM19">
            <v>2520000</v>
          </cell>
          <cell r="AN19">
            <v>0</v>
          </cell>
          <cell r="AO19">
            <v>3640000</v>
          </cell>
          <cell r="AP19">
            <v>15120000</v>
          </cell>
          <cell r="AQ19">
            <v>5040000</v>
          </cell>
          <cell r="AR19">
            <v>0</v>
          </cell>
          <cell r="AS19">
            <v>1680000</v>
          </cell>
          <cell r="AT19">
            <v>12600000</v>
          </cell>
          <cell r="AU19">
            <v>97720000</v>
          </cell>
          <cell r="AV19">
            <v>271320000</v>
          </cell>
        </row>
        <row r="20">
          <cell r="A20">
            <v>7215000</v>
          </cell>
          <cell r="B20" t="str">
            <v>هزينه حق بيمه سهم كارفرما</v>
          </cell>
          <cell r="C20">
            <v>10853638</v>
          </cell>
          <cell r="D20">
            <v>56099801</v>
          </cell>
          <cell r="E20">
            <v>59453203</v>
          </cell>
          <cell r="F20">
            <v>27223626</v>
          </cell>
          <cell r="G20">
            <v>51845062</v>
          </cell>
          <cell r="H20">
            <v>35737646</v>
          </cell>
          <cell r="I20">
            <v>80353542</v>
          </cell>
          <cell r="J20">
            <v>48585974</v>
          </cell>
          <cell r="K20">
            <v>23100578</v>
          </cell>
          <cell r="L20">
            <v>0</v>
          </cell>
          <cell r="M20">
            <v>23019684</v>
          </cell>
          <cell r="N20">
            <v>35861004</v>
          </cell>
          <cell r="O20">
            <v>0</v>
          </cell>
          <cell r="P20">
            <v>0</v>
          </cell>
          <cell r="Q20">
            <v>11851205</v>
          </cell>
          <cell r="R20">
            <v>463984963</v>
          </cell>
          <cell r="S20">
            <v>30282733</v>
          </cell>
          <cell r="T20">
            <v>79685164</v>
          </cell>
          <cell r="U20">
            <v>265354478</v>
          </cell>
          <cell r="V20">
            <v>36765062</v>
          </cell>
          <cell r="W20">
            <v>326144651</v>
          </cell>
          <cell r="X20">
            <v>87300633</v>
          </cell>
          <cell r="Y20">
            <v>6793157</v>
          </cell>
          <cell r="Z20">
            <v>56884010</v>
          </cell>
          <cell r="AA20">
            <v>4325610</v>
          </cell>
          <cell r="AB20">
            <v>70862729</v>
          </cell>
          <cell r="AC20">
            <v>23418099</v>
          </cell>
          <cell r="AD20">
            <v>10086287</v>
          </cell>
          <cell r="AE20">
            <v>0</v>
          </cell>
          <cell r="AF20">
            <v>5368324</v>
          </cell>
          <cell r="AG20">
            <v>1003270937</v>
          </cell>
          <cell r="AH20">
            <v>1003270937</v>
          </cell>
          <cell r="AI20">
            <v>363455954</v>
          </cell>
          <cell r="AJ20">
            <v>76028987</v>
          </cell>
          <cell r="AK20">
            <v>91835248</v>
          </cell>
          <cell r="AL20">
            <v>0</v>
          </cell>
          <cell r="AM20">
            <v>24976026</v>
          </cell>
          <cell r="AN20">
            <v>0</v>
          </cell>
          <cell r="AO20">
            <v>37491462</v>
          </cell>
          <cell r="AP20">
            <v>141141133</v>
          </cell>
          <cell r="AQ20">
            <v>45131537</v>
          </cell>
          <cell r="AR20">
            <v>0</v>
          </cell>
          <cell r="AS20">
            <v>15597998</v>
          </cell>
          <cell r="AT20">
            <v>129038849</v>
          </cell>
          <cell r="AU20">
            <v>924697194</v>
          </cell>
          <cell r="AV20">
            <v>2391953094</v>
          </cell>
        </row>
        <row r="21">
          <cell r="A21">
            <v>7216000</v>
          </cell>
          <cell r="B21" t="str">
            <v>هزينه بازخريدسنوات</v>
          </cell>
          <cell r="C21">
            <v>4488049</v>
          </cell>
          <cell r="D21">
            <v>87394935</v>
          </cell>
          <cell r="E21">
            <v>96719019</v>
          </cell>
          <cell r="F21">
            <v>46742347</v>
          </cell>
          <cell r="G21">
            <v>79395371</v>
          </cell>
          <cell r="H21">
            <v>54872577</v>
          </cell>
          <cell r="I21">
            <v>140515544</v>
          </cell>
          <cell r="J21">
            <v>81097892</v>
          </cell>
          <cell r="K21">
            <v>31543543</v>
          </cell>
          <cell r="L21">
            <v>0</v>
          </cell>
          <cell r="M21">
            <v>10197951</v>
          </cell>
          <cell r="N21">
            <v>12338432</v>
          </cell>
          <cell r="O21">
            <v>0</v>
          </cell>
          <cell r="P21">
            <v>0</v>
          </cell>
          <cell r="Q21">
            <v>4174735</v>
          </cell>
          <cell r="R21">
            <v>649480395</v>
          </cell>
          <cell r="S21">
            <v>50323695</v>
          </cell>
          <cell r="T21">
            <v>152882533</v>
          </cell>
          <cell r="U21">
            <v>307058697</v>
          </cell>
          <cell r="V21">
            <v>19800165</v>
          </cell>
          <cell r="W21">
            <v>308004613</v>
          </cell>
          <cell r="X21">
            <v>142047396</v>
          </cell>
          <cell r="Y21">
            <v>4934112</v>
          </cell>
          <cell r="Z21">
            <v>52187069</v>
          </cell>
          <cell r="AA21">
            <v>2802244</v>
          </cell>
          <cell r="AB21">
            <v>105675156</v>
          </cell>
          <cell r="AC21">
            <v>31903752</v>
          </cell>
          <cell r="AD21">
            <v>18696298</v>
          </cell>
          <cell r="AE21">
            <v>0</v>
          </cell>
          <cell r="AF21">
            <v>2737103</v>
          </cell>
          <cell r="AG21">
            <v>1199052833</v>
          </cell>
          <cell r="AH21">
            <v>1199052833</v>
          </cell>
          <cell r="AI21">
            <v>212313914</v>
          </cell>
          <cell r="AJ21">
            <v>71521795</v>
          </cell>
          <cell r="AK21">
            <v>55045444</v>
          </cell>
          <cell r="AL21">
            <v>0</v>
          </cell>
          <cell r="AM21">
            <v>23607554</v>
          </cell>
          <cell r="AN21">
            <v>0</v>
          </cell>
          <cell r="AO21">
            <v>28992548</v>
          </cell>
          <cell r="AP21">
            <v>165261992</v>
          </cell>
          <cell r="AQ21">
            <v>26960694</v>
          </cell>
          <cell r="AR21">
            <v>0</v>
          </cell>
          <cell r="AS21">
            <v>16125186</v>
          </cell>
          <cell r="AT21">
            <v>77513909</v>
          </cell>
          <cell r="AU21">
            <v>677343036</v>
          </cell>
          <cell r="AV21">
            <v>2525876264</v>
          </cell>
        </row>
        <row r="22">
          <cell r="A22" t="str">
            <v xml:space="preserve">دستمزد </v>
          </cell>
          <cell r="B22" t="str">
            <v>دستمزد مستقیم</v>
          </cell>
          <cell r="C22">
            <v>59128904</v>
          </cell>
          <cell r="D22">
            <v>494759865</v>
          </cell>
          <cell r="E22">
            <v>519222758</v>
          </cell>
          <cell r="F22">
            <v>303405413</v>
          </cell>
          <cell r="G22">
            <v>484303307</v>
          </cell>
          <cell r="H22">
            <v>295311429</v>
          </cell>
          <cell r="I22">
            <v>719897089</v>
          </cell>
          <cell r="J22">
            <v>498653292</v>
          </cell>
          <cell r="K22">
            <v>241847980</v>
          </cell>
          <cell r="L22">
            <v>0</v>
          </cell>
          <cell r="M22">
            <v>140521455</v>
          </cell>
          <cell r="N22">
            <v>479632826</v>
          </cell>
          <cell r="O22">
            <v>55898543</v>
          </cell>
          <cell r="P22">
            <v>50954112</v>
          </cell>
          <cell r="Q22">
            <v>56815526</v>
          </cell>
          <cell r="R22">
            <v>4400352499</v>
          </cell>
          <cell r="S22">
            <v>262526977</v>
          </cell>
          <cell r="T22">
            <v>793026225</v>
          </cell>
          <cell r="U22">
            <v>1970688501</v>
          </cell>
          <cell r="V22">
            <v>245809735</v>
          </cell>
          <cell r="W22">
            <v>2189790209</v>
          </cell>
          <cell r="X22">
            <v>752662624</v>
          </cell>
          <cell r="Y22">
            <v>90918311</v>
          </cell>
          <cell r="Z22">
            <v>375962602</v>
          </cell>
          <cell r="AA22">
            <v>28823838</v>
          </cell>
          <cell r="AB22">
            <v>596023813</v>
          </cell>
          <cell r="AC22">
            <v>374089176</v>
          </cell>
          <cell r="AD22">
            <v>507298344</v>
          </cell>
          <cell r="AE22">
            <v>0</v>
          </cell>
          <cell r="AF22">
            <v>34436287</v>
          </cell>
          <cell r="AG22">
            <v>8222056642</v>
          </cell>
          <cell r="AH22">
            <v>8222056642</v>
          </cell>
          <cell r="AI22">
            <v>1889000581</v>
          </cell>
          <cell r="AJ22">
            <v>557791033</v>
          </cell>
          <cell r="AK22">
            <v>570322584</v>
          </cell>
          <cell r="AL22">
            <v>0</v>
          </cell>
          <cell r="AM22">
            <v>162206379</v>
          </cell>
          <cell r="AN22">
            <v>0</v>
          </cell>
          <cell r="AO22">
            <v>238103044</v>
          </cell>
          <cell r="AP22">
            <v>936051159</v>
          </cell>
          <cell r="AQ22">
            <v>291084235</v>
          </cell>
          <cell r="AR22">
            <v>6500000</v>
          </cell>
          <cell r="AS22">
            <v>106511250</v>
          </cell>
          <cell r="AT22">
            <v>784485789</v>
          </cell>
          <cell r="AU22">
            <v>5542056054</v>
          </cell>
          <cell r="AV22">
            <v>18164465195</v>
          </cell>
        </row>
        <row r="23">
          <cell r="A23">
            <v>7217000</v>
          </cell>
          <cell r="B23" t="str">
            <v>هزينه اياب وذهاب</v>
          </cell>
          <cell r="C23">
            <v>146000</v>
          </cell>
          <cell r="D23">
            <v>2408314</v>
          </cell>
          <cell r="E23">
            <v>3468025</v>
          </cell>
          <cell r="F23">
            <v>1743240</v>
          </cell>
          <cell r="G23">
            <v>3226351</v>
          </cell>
          <cell r="H23">
            <v>1292485</v>
          </cell>
          <cell r="I23">
            <v>4598698</v>
          </cell>
          <cell r="J23">
            <v>2685216</v>
          </cell>
          <cell r="K23">
            <v>1546352</v>
          </cell>
          <cell r="L23">
            <v>0</v>
          </cell>
          <cell r="M23">
            <v>390000</v>
          </cell>
          <cell r="N23">
            <v>0</v>
          </cell>
          <cell r="O23">
            <v>0</v>
          </cell>
          <cell r="P23">
            <v>0</v>
          </cell>
          <cell r="Q23">
            <v>2950000</v>
          </cell>
          <cell r="R23">
            <v>24454681</v>
          </cell>
          <cell r="S23">
            <v>967137</v>
          </cell>
          <cell r="T23">
            <v>5473708</v>
          </cell>
          <cell r="U23">
            <v>10975396</v>
          </cell>
          <cell r="V23">
            <v>2950000</v>
          </cell>
          <cell r="W23">
            <v>7204863</v>
          </cell>
          <cell r="X23">
            <v>5467414</v>
          </cell>
          <cell r="Y23">
            <v>0</v>
          </cell>
          <cell r="Z23">
            <v>3757996</v>
          </cell>
          <cell r="AA23">
            <v>0</v>
          </cell>
          <cell r="AB23">
            <v>5019488</v>
          </cell>
          <cell r="AC23">
            <v>1870205</v>
          </cell>
          <cell r="AD23">
            <v>789040</v>
          </cell>
          <cell r="AE23">
            <v>40000</v>
          </cell>
          <cell r="AF23">
            <v>1212637487</v>
          </cell>
          <cell r="AG23">
            <v>1257152734</v>
          </cell>
          <cell r="AH23">
            <v>1281607415</v>
          </cell>
          <cell r="AI23">
            <v>93636000</v>
          </cell>
          <cell r="AJ23">
            <v>16275500</v>
          </cell>
          <cell r="AK23">
            <v>0</v>
          </cell>
          <cell r="AL23">
            <v>160000</v>
          </cell>
          <cell r="AM23">
            <v>0</v>
          </cell>
          <cell r="AN23">
            <v>0</v>
          </cell>
          <cell r="AO23">
            <v>2950000</v>
          </cell>
          <cell r="AP23">
            <v>23793354</v>
          </cell>
          <cell r="AQ23">
            <v>3341792</v>
          </cell>
          <cell r="AR23">
            <v>7346000</v>
          </cell>
          <cell r="AS23">
            <v>1898271</v>
          </cell>
          <cell r="AT23">
            <v>11216307</v>
          </cell>
          <cell r="AU23">
            <v>160617224</v>
          </cell>
          <cell r="AV23">
            <v>1442224639</v>
          </cell>
        </row>
        <row r="24">
          <cell r="A24">
            <v>7218000</v>
          </cell>
          <cell r="B24" t="str">
            <v>هزينه پاداش بهره وري</v>
          </cell>
          <cell r="C24">
            <v>1625000</v>
          </cell>
          <cell r="D24">
            <v>13000000</v>
          </cell>
          <cell r="E24">
            <v>14625000</v>
          </cell>
          <cell r="F24">
            <v>6500000</v>
          </cell>
          <cell r="G24">
            <v>11375000</v>
          </cell>
          <cell r="H24">
            <v>8125000</v>
          </cell>
          <cell r="I24">
            <v>30474999</v>
          </cell>
          <cell r="J24">
            <v>11375000</v>
          </cell>
          <cell r="K24">
            <v>4875000</v>
          </cell>
          <cell r="L24">
            <v>0</v>
          </cell>
          <cell r="M24">
            <v>4875000</v>
          </cell>
          <cell r="N24">
            <v>9750000</v>
          </cell>
          <cell r="O24">
            <v>0</v>
          </cell>
          <cell r="P24">
            <v>0</v>
          </cell>
          <cell r="Q24">
            <v>3250000</v>
          </cell>
          <cell r="R24">
            <v>119849999</v>
          </cell>
          <cell r="S24">
            <v>8125000</v>
          </cell>
          <cell r="T24">
            <v>17875000</v>
          </cell>
          <cell r="U24">
            <v>50375000</v>
          </cell>
          <cell r="V24">
            <v>11375000</v>
          </cell>
          <cell r="W24">
            <v>76925000</v>
          </cell>
          <cell r="X24">
            <v>19500000</v>
          </cell>
          <cell r="Y24">
            <v>1625000</v>
          </cell>
          <cell r="Z24">
            <v>14625000</v>
          </cell>
          <cell r="AA24">
            <v>1625000</v>
          </cell>
          <cell r="AB24">
            <v>22750000</v>
          </cell>
          <cell r="AC24">
            <v>6500000</v>
          </cell>
          <cell r="AD24">
            <v>4875000</v>
          </cell>
          <cell r="AE24">
            <v>0</v>
          </cell>
          <cell r="AF24">
            <v>1625000</v>
          </cell>
          <cell r="AG24">
            <v>237800000</v>
          </cell>
          <cell r="AH24">
            <v>357649999</v>
          </cell>
          <cell r="AI24">
            <v>84500000</v>
          </cell>
          <cell r="AJ24">
            <v>14625000</v>
          </cell>
          <cell r="AK24">
            <v>22750000</v>
          </cell>
          <cell r="AL24">
            <v>0</v>
          </cell>
          <cell r="AM24">
            <v>4875000</v>
          </cell>
          <cell r="AN24">
            <v>0</v>
          </cell>
          <cell r="AO24">
            <v>6500000</v>
          </cell>
          <cell r="AP24">
            <v>30875000</v>
          </cell>
          <cell r="AQ24">
            <v>11375000</v>
          </cell>
          <cell r="AR24">
            <v>0</v>
          </cell>
          <cell r="AS24">
            <v>4875000</v>
          </cell>
          <cell r="AT24">
            <v>24375000</v>
          </cell>
          <cell r="AU24">
            <v>204750000</v>
          </cell>
          <cell r="AV24">
            <v>562399999</v>
          </cell>
        </row>
        <row r="25">
          <cell r="A25">
            <v>7218001</v>
          </cell>
          <cell r="B25" t="str">
            <v>هزينه پاداش بهره وري( پارس پاکان)</v>
          </cell>
          <cell r="C25">
            <v>0</v>
          </cell>
          <cell r="D25">
            <v>4949999</v>
          </cell>
          <cell r="E25">
            <v>2750000</v>
          </cell>
          <cell r="F25">
            <v>7699999</v>
          </cell>
          <cell r="G25">
            <v>6599999</v>
          </cell>
          <cell r="H25">
            <v>1650000</v>
          </cell>
          <cell r="I25">
            <v>6599999</v>
          </cell>
          <cell r="J25">
            <v>7149999</v>
          </cell>
          <cell r="K25">
            <v>4399999</v>
          </cell>
          <cell r="L25">
            <v>0</v>
          </cell>
          <cell r="M25">
            <v>0</v>
          </cell>
          <cell r="N25">
            <v>18699997</v>
          </cell>
          <cell r="O25">
            <v>3300000</v>
          </cell>
          <cell r="P25">
            <v>3300000</v>
          </cell>
          <cell r="Q25">
            <v>0</v>
          </cell>
          <cell r="R25">
            <v>67099991</v>
          </cell>
          <cell r="S25">
            <v>2750000</v>
          </cell>
          <cell r="T25">
            <v>17599997</v>
          </cell>
          <cell r="U25">
            <v>8799999</v>
          </cell>
          <cell r="V25">
            <v>1100000</v>
          </cell>
          <cell r="W25">
            <v>1100000</v>
          </cell>
          <cell r="X25">
            <v>6599999</v>
          </cell>
          <cell r="Y25">
            <v>2750000</v>
          </cell>
          <cell r="Z25">
            <v>0</v>
          </cell>
          <cell r="AA25">
            <v>0</v>
          </cell>
          <cell r="AB25">
            <v>1100000</v>
          </cell>
          <cell r="AC25">
            <v>5499999</v>
          </cell>
          <cell r="AD25">
            <v>32999995</v>
          </cell>
          <cell r="AE25">
            <v>0</v>
          </cell>
          <cell r="AF25">
            <v>0</v>
          </cell>
          <cell r="AG25">
            <v>80299989</v>
          </cell>
          <cell r="AH25">
            <v>147399980</v>
          </cell>
          <cell r="AI25">
            <v>1100000</v>
          </cell>
          <cell r="AJ25">
            <v>0</v>
          </cell>
          <cell r="AK25">
            <v>0</v>
          </cell>
          <cell r="AL25">
            <v>0</v>
          </cell>
          <cell r="AM25">
            <v>0</v>
          </cell>
          <cell r="AN25">
            <v>0</v>
          </cell>
          <cell r="AO25">
            <v>0</v>
          </cell>
          <cell r="AP25">
            <v>0</v>
          </cell>
          <cell r="AQ25">
            <v>1100000</v>
          </cell>
          <cell r="AR25">
            <v>0</v>
          </cell>
          <cell r="AS25">
            <v>0</v>
          </cell>
          <cell r="AT25">
            <v>1100000</v>
          </cell>
          <cell r="AU25">
            <v>3300000</v>
          </cell>
          <cell r="AV25">
            <v>150699980</v>
          </cell>
        </row>
        <row r="26">
          <cell r="A26">
            <v>7219000</v>
          </cell>
          <cell r="B26" t="str">
            <v>هزينه سايرمزاياي نقدي</v>
          </cell>
          <cell r="C26">
            <v>6480000</v>
          </cell>
          <cell r="D26">
            <v>5951068</v>
          </cell>
          <cell r="E26">
            <v>4373262</v>
          </cell>
          <cell r="F26">
            <v>1002999</v>
          </cell>
          <cell r="G26">
            <v>21303901</v>
          </cell>
          <cell r="H26">
            <v>999999</v>
          </cell>
          <cell r="I26">
            <v>3597483</v>
          </cell>
          <cell r="J26">
            <v>309999</v>
          </cell>
          <cell r="K26">
            <v>309999</v>
          </cell>
          <cell r="L26">
            <v>0</v>
          </cell>
          <cell r="M26">
            <v>1860003</v>
          </cell>
          <cell r="N26">
            <v>19605123</v>
          </cell>
          <cell r="O26">
            <v>0</v>
          </cell>
          <cell r="P26">
            <v>0</v>
          </cell>
          <cell r="Q26">
            <v>10792424</v>
          </cell>
          <cell r="R26">
            <v>76586260</v>
          </cell>
          <cell r="S26">
            <v>5852393</v>
          </cell>
          <cell r="T26">
            <v>24763642</v>
          </cell>
          <cell r="U26">
            <v>50209134</v>
          </cell>
          <cell r="V26">
            <v>6200001</v>
          </cell>
          <cell r="W26">
            <v>63952364</v>
          </cell>
          <cell r="X26">
            <v>48618206</v>
          </cell>
          <cell r="Y26">
            <v>3529455</v>
          </cell>
          <cell r="Z26">
            <v>29884198</v>
          </cell>
          <cell r="AA26">
            <v>0</v>
          </cell>
          <cell r="AB26">
            <v>8609001</v>
          </cell>
          <cell r="AC26">
            <v>600000</v>
          </cell>
          <cell r="AD26">
            <v>791277</v>
          </cell>
          <cell r="AE26">
            <v>0</v>
          </cell>
          <cell r="AF26">
            <v>0</v>
          </cell>
          <cell r="AG26">
            <v>243009671</v>
          </cell>
          <cell r="AH26">
            <v>319595931</v>
          </cell>
          <cell r="AI26">
            <v>454862160</v>
          </cell>
          <cell r="AJ26">
            <v>58577781</v>
          </cell>
          <cell r="AK26">
            <v>21286668</v>
          </cell>
          <cell r="AL26">
            <v>0</v>
          </cell>
          <cell r="AM26">
            <v>6200001</v>
          </cell>
          <cell r="AN26">
            <v>0</v>
          </cell>
          <cell r="AO26">
            <v>23122224</v>
          </cell>
          <cell r="AP26">
            <v>125790581</v>
          </cell>
          <cell r="AQ26">
            <v>17428120</v>
          </cell>
          <cell r="AR26">
            <v>0</v>
          </cell>
          <cell r="AS26">
            <v>1840002</v>
          </cell>
          <cell r="AT26">
            <v>84215014</v>
          </cell>
          <cell r="AU26">
            <v>793322551</v>
          </cell>
          <cell r="AV26">
            <v>1112918482</v>
          </cell>
        </row>
        <row r="27">
          <cell r="A27">
            <v>7219001</v>
          </cell>
          <cell r="B27" t="str">
            <v>هزينه سايرمزاياي نقدي ( پارس پاکان)</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row>
        <row r="28">
          <cell r="A28">
            <v>7223000</v>
          </cell>
          <cell r="B28" t="str">
            <v>هزينه بيمه حوادث كاركنان</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row>
        <row r="29">
          <cell r="A29">
            <v>7224000</v>
          </cell>
          <cell r="B29" t="str">
            <v>هزينه بهداشت ودرمان</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79000</v>
          </cell>
          <cell r="U29">
            <v>313400</v>
          </cell>
          <cell r="V29">
            <v>0</v>
          </cell>
          <cell r="W29">
            <v>0</v>
          </cell>
          <cell r="X29">
            <v>0</v>
          </cell>
          <cell r="Y29">
            <v>0</v>
          </cell>
          <cell r="Z29">
            <v>0</v>
          </cell>
          <cell r="AA29">
            <v>0</v>
          </cell>
          <cell r="AB29">
            <v>0</v>
          </cell>
          <cell r="AC29">
            <v>0</v>
          </cell>
          <cell r="AD29">
            <v>864000</v>
          </cell>
          <cell r="AE29">
            <v>213000</v>
          </cell>
          <cell r="AF29">
            <v>140000</v>
          </cell>
          <cell r="AG29">
            <v>1609400</v>
          </cell>
          <cell r="AH29">
            <v>1609400</v>
          </cell>
          <cell r="AI29">
            <v>0</v>
          </cell>
          <cell r="AJ29">
            <v>0</v>
          </cell>
          <cell r="AK29">
            <v>0</v>
          </cell>
          <cell r="AL29">
            <v>0</v>
          </cell>
          <cell r="AM29">
            <v>0</v>
          </cell>
          <cell r="AN29">
            <v>0</v>
          </cell>
          <cell r="AO29">
            <v>0</v>
          </cell>
          <cell r="AP29">
            <v>0</v>
          </cell>
          <cell r="AQ29">
            <v>0</v>
          </cell>
          <cell r="AR29">
            <v>0</v>
          </cell>
          <cell r="AS29">
            <v>3132270</v>
          </cell>
          <cell r="AT29">
            <v>0</v>
          </cell>
          <cell r="AU29">
            <v>3132270</v>
          </cell>
          <cell r="AV29">
            <v>4741670</v>
          </cell>
        </row>
        <row r="30">
          <cell r="A30">
            <v>7225000</v>
          </cell>
          <cell r="B30" t="str">
            <v>هزينه تغذيه پرسنل</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184000</v>
          </cell>
          <cell r="V30">
            <v>0</v>
          </cell>
          <cell r="W30">
            <v>0</v>
          </cell>
          <cell r="X30">
            <v>0</v>
          </cell>
          <cell r="Y30">
            <v>0</v>
          </cell>
          <cell r="Z30">
            <v>0</v>
          </cell>
          <cell r="AA30">
            <v>0</v>
          </cell>
          <cell r="AB30">
            <v>8850000</v>
          </cell>
          <cell r="AC30">
            <v>0</v>
          </cell>
          <cell r="AD30">
            <v>2872000</v>
          </cell>
          <cell r="AE30">
            <v>1628386545</v>
          </cell>
          <cell r="AF30">
            <v>702000</v>
          </cell>
          <cell r="AG30">
            <v>1640994545</v>
          </cell>
          <cell r="AH30">
            <v>1640994545</v>
          </cell>
          <cell r="AI30">
            <v>366500</v>
          </cell>
          <cell r="AJ30">
            <v>86000</v>
          </cell>
          <cell r="AK30">
            <v>0</v>
          </cell>
          <cell r="AL30">
            <v>50000</v>
          </cell>
          <cell r="AM30">
            <v>0</v>
          </cell>
          <cell r="AN30">
            <v>0</v>
          </cell>
          <cell r="AO30">
            <v>291000</v>
          </cell>
          <cell r="AP30">
            <v>1325500</v>
          </cell>
          <cell r="AQ30">
            <v>0</v>
          </cell>
          <cell r="AR30">
            <v>0</v>
          </cell>
          <cell r="AS30">
            <v>0</v>
          </cell>
          <cell r="AT30">
            <v>0</v>
          </cell>
          <cell r="AU30">
            <v>2119000</v>
          </cell>
          <cell r="AV30">
            <v>1643113545</v>
          </cell>
        </row>
        <row r="31">
          <cell r="A31">
            <v>7226000</v>
          </cell>
          <cell r="B31" t="str">
            <v>هزينه 3%صندوق پس انداز آتيه سهم کارفرما</v>
          </cell>
          <cell r="C31">
            <v>919125</v>
          </cell>
          <cell r="D31">
            <v>5057991</v>
          </cell>
          <cell r="E31">
            <v>5540928</v>
          </cell>
          <cell r="F31">
            <v>2589594</v>
          </cell>
          <cell r="G31">
            <v>4376553</v>
          </cell>
          <cell r="H31">
            <v>3211548</v>
          </cell>
          <cell r="I31">
            <v>7749112</v>
          </cell>
          <cell r="J31">
            <v>4474707</v>
          </cell>
          <cell r="K31">
            <v>1872678</v>
          </cell>
          <cell r="L31">
            <v>0</v>
          </cell>
          <cell r="M31">
            <v>2028591</v>
          </cell>
          <cell r="N31">
            <v>3470554</v>
          </cell>
          <cell r="O31">
            <v>0</v>
          </cell>
          <cell r="P31">
            <v>0</v>
          </cell>
          <cell r="Q31">
            <v>1203151</v>
          </cell>
          <cell r="R31">
            <v>42494532</v>
          </cell>
          <cell r="S31">
            <v>2808126</v>
          </cell>
          <cell r="T31">
            <v>7113528</v>
          </cell>
          <cell r="U31">
            <v>19600735</v>
          </cell>
          <cell r="V31">
            <v>3771801</v>
          </cell>
          <cell r="W31">
            <v>33389614</v>
          </cell>
          <cell r="X31">
            <v>7612860</v>
          </cell>
          <cell r="Y31">
            <v>846135</v>
          </cell>
          <cell r="Z31">
            <v>6216980</v>
          </cell>
          <cell r="AA31">
            <v>525032</v>
          </cell>
          <cell r="AB31">
            <v>9030303</v>
          </cell>
          <cell r="AC31">
            <v>1822821</v>
          </cell>
          <cell r="AD31">
            <v>765291</v>
          </cell>
          <cell r="AE31">
            <v>0</v>
          </cell>
          <cell r="AF31">
            <v>427893</v>
          </cell>
          <cell r="AG31">
            <v>93931119</v>
          </cell>
          <cell r="AH31">
            <v>136425651</v>
          </cell>
          <cell r="AI31">
            <v>34176682</v>
          </cell>
          <cell r="AJ31">
            <v>11854336</v>
          </cell>
          <cell r="AK31">
            <v>10569752</v>
          </cell>
          <cell r="AL31">
            <v>0</v>
          </cell>
          <cell r="AM31">
            <v>1682871</v>
          </cell>
          <cell r="AN31">
            <v>0</v>
          </cell>
          <cell r="AO31">
            <v>3960351</v>
          </cell>
          <cell r="AP31">
            <v>13026645</v>
          </cell>
          <cell r="AQ31">
            <v>4770909</v>
          </cell>
          <cell r="AR31">
            <v>0</v>
          </cell>
          <cell r="AS31">
            <v>1368216</v>
          </cell>
          <cell r="AT31">
            <v>14753230</v>
          </cell>
          <cell r="AU31">
            <v>96162992</v>
          </cell>
          <cell r="AV31">
            <v>232588643</v>
          </cell>
        </row>
        <row r="32">
          <cell r="A32">
            <v>7231000</v>
          </cell>
          <cell r="B32" t="str">
            <v>هزينه بازخريدمرخصي</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row>
        <row r="33">
          <cell r="A33">
            <v>7233000</v>
          </cell>
          <cell r="B33" t="str">
            <v>هزينه مزاياي غيرنقدي</v>
          </cell>
          <cell r="C33">
            <v>600000</v>
          </cell>
          <cell r="D33">
            <v>4800000</v>
          </cell>
          <cell r="E33">
            <v>4800000</v>
          </cell>
          <cell r="F33">
            <v>1800000</v>
          </cell>
          <cell r="G33">
            <v>3600000</v>
          </cell>
          <cell r="H33">
            <v>3000000</v>
          </cell>
          <cell r="I33">
            <v>6000000</v>
          </cell>
          <cell r="J33">
            <v>4200000</v>
          </cell>
          <cell r="K33">
            <v>1800000</v>
          </cell>
          <cell r="L33">
            <v>0</v>
          </cell>
          <cell r="M33">
            <v>1800000</v>
          </cell>
          <cell r="N33">
            <v>2400000</v>
          </cell>
          <cell r="O33">
            <v>1800000</v>
          </cell>
          <cell r="P33">
            <v>0</v>
          </cell>
          <cell r="Q33">
            <v>600000</v>
          </cell>
          <cell r="R33">
            <v>37200000</v>
          </cell>
          <cell r="S33">
            <v>2400000</v>
          </cell>
          <cell r="T33">
            <v>7200000</v>
          </cell>
          <cell r="U33">
            <v>18600000</v>
          </cell>
          <cell r="V33">
            <v>4800000</v>
          </cell>
          <cell r="W33">
            <v>25200000</v>
          </cell>
          <cell r="X33">
            <v>5400000</v>
          </cell>
          <cell r="Y33">
            <v>600000</v>
          </cell>
          <cell r="Z33">
            <v>4800000</v>
          </cell>
          <cell r="AA33">
            <v>600000</v>
          </cell>
          <cell r="AB33">
            <v>6600000</v>
          </cell>
          <cell r="AC33">
            <v>1800000</v>
          </cell>
          <cell r="AD33">
            <v>3600000</v>
          </cell>
          <cell r="AE33">
            <v>0</v>
          </cell>
          <cell r="AF33">
            <v>600000</v>
          </cell>
          <cell r="AG33">
            <v>82200000</v>
          </cell>
          <cell r="AH33">
            <v>119400000</v>
          </cell>
          <cell r="AI33">
            <v>29400000</v>
          </cell>
          <cell r="AJ33">
            <v>4200000</v>
          </cell>
          <cell r="AK33">
            <v>8400000</v>
          </cell>
          <cell r="AL33">
            <v>0</v>
          </cell>
          <cell r="AM33">
            <v>1800000</v>
          </cell>
          <cell r="AN33">
            <v>0</v>
          </cell>
          <cell r="AO33">
            <v>2400000</v>
          </cell>
          <cell r="AP33">
            <v>9000000</v>
          </cell>
          <cell r="AQ33">
            <v>3600000</v>
          </cell>
          <cell r="AR33">
            <v>1200000</v>
          </cell>
          <cell r="AS33">
            <v>1200000</v>
          </cell>
          <cell r="AT33">
            <v>9000000</v>
          </cell>
          <cell r="AU33">
            <v>70200000</v>
          </cell>
          <cell r="AV33">
            <v>189600000</v>
          </cell>
        </row>
        <row r="34">
          <cell r="A34">
            <v>7233001</v>
          </cell>
          <cell r="B34" t="str">
            <v>هزينه مزاياي غيرنقدي ( پارس پاکان)</v>
          </cell>
          <cell r="C34">
            <v>0</v>
          </cell>
          <cell r="D34">
            <v>5400000</v>
          </cell>
          <cell r="E34">
            <v>4800000</v>
          </cell>
          <cell r="F34">
            <v>6600000</v>
          </cell>
          <cell r="G34">
            <v>7200000</v>
          </cell>
          <cell r="H34">
            <v>1800000</v>
          </cell>
          <cell r="I34">
            <v>16200000</v>
          </cell>
          <cell r="J34">
            <v>8400000</v>
          </cell>
          <cell r="K34">
            <v>4800000</v>
          </cell>
          <cell r="L34">
            <v>0</v>
          </cell>
          <cell r="M34">
            <v>0</v>
          </cell>
          <cell r="N34">
            <v>16800000</v>
          </cell>
          <cell r="O34">
            <v>4200000</v>
          </cell>
          <cell r="P34">
            <v>3600000</v>
          </cell>
          <cell r="Q34">
            <v>0</v>
          </cell>
          <cell r="R34">
            <v>79800000</v>
          </cell>
          <cell r="S34">
            <v>3000000</v>
          </cell>
          <cell r="T34">
            <v>13200000</v>
          </cell>
          <cell r="U34">
            <v>8400000</v>
          </cell>
          <cell r="V34">
            <v>1200000</v>
          </cell>
          <cell r="W34">
            <v>1800000</v>
          </cell>
          <cell r="X34">
            <v>6600000</v>
          </cell>
          <cell r="Y34">
            <v>2400000</v>
          </cell>
          <cell r="Z34">
            <v>0</v>
          </cell>
          <cell r="AA34">
            <v>0</v>
          </cell>
          <cell r="AB34">
            <v>1200000</v>
          </cell>
          <cell r="AC34">
            <v>6000000</v>
          </cell>
          <cell r="AD34">
            <v>31200000</v>
          </cell>
          <cell r="AE34">
            <v>0</v>
          </cell>
          <cell r="AF34">
            <v>0</v>
          </cell>
          <cell r="AG34">
            <v>75000000</v>
          </cell>
          <cell r="AH34">
            <v>154800000</v>
          </cell>
          <cell r="AI34">
            <v>1200000</v>
          </cell>
          <cell r="AJ34">
            <v>0</v>
          </cell>
          <cell r="AK34">
            <v>0</v>
          </cell>
          <cell r="AL34">
            <v>0</v>
          </cell>
          <cell r="AM34">
            <v>0</v>
          </cell>
          <cell r="AN34">
            <v>0</v>
          </cell>
          <cell r="AO34">
            <v>0</v>
          </cell>
          <cell r="AP34">
            <v>0</v>
          </cell>
          <cell r="AQ34">
            <v>10800000</v>
          </cell>
          <cell r="AR34">
            <v>0</v>
          </cell>
          <cell r="AS34">
            <v>0</v>
          </cell>
          <cell r="AT34">
            <v>1200000</v>
          </cell>
          <cell r="AU34">
            <v>13200000</v>
          </cell>
          <cell r="AV34">
            <v>168000000</v>
          </cell>
        </row>
        <row r="35">
          <cell r="A35">
            <v>7234000</v>
          </cell>
          <cell r="B35" t="str">
            <v>هزينه سفروماموريت</v>
          </cell>
          <cell r="C35">
            <v>0</v>
          </cell>
          <cell r="D35">
            <v>0</v>
          </cell>
          <cell r="E35">
            <v>0</v>
          </cell>
          <cell r="F35">
            <v>0</v>
          </cell>
          <cell r="G35">
            <v>0</v>
          </cell>
          <cell r="H35">
            <v>0</v>
          </cell>
          <cell r="I35">
            <v>0</v>
          </cell>
          <cell r="J35">
            <v>365915</v>
          </cell>
          <cell r="K35">
            <v>0</v>
          </cell>
          <cell r="L35">
            <v>0</v>
          </cell>
          <cell r="M35">
            <v>0</v>
          </cell>
          <cell r="N35">
            <v>0</v>
          </cell>
          <cell r="O35">
            <v>0</v>
          </cell>
          <cell r="P35">
            <v>0</v>
          </cell>
          <cell r="Q35">
            <v>0</v>
          </cell>
          <cell r="R35">
            <v>365915</v>
          </cell>
          <cell r="S35">
            <v>0</v>
          </cell>
          <cell r="T35">
            <v>495915</v>
          </cell>
          <cell r="U35">
            <v>1471878</v>
          </cell>
          <cell r="V35">
            <v>0</v>
          </cell>
          <cell r="W35">
            <v>0</v>
          </cell>
          <cell r="X35">
            <v>0</v>
          </cell>
          <cell r="Y35">
            <v>0</v>
          </cell>
          <cell r="Z35">
            <v>0</v>
          </cell>
          <cell r="AA35">
            <v>0</v>
          </cell>
          <cell r="AB35">
            <v>0</v>
          </cell>
          <cell r="AC35">
            <v>711266</v>
          </cell>
          <cell r="AD35">
            <v>753613</v>
          </cell>
          <cell r="AE35">
            <v>0</v>
          </cell>
          <cell r="AF35">
            <v>0</v>
          </cell>
          <cell r="AG35">
            <v>3432672</v>
          </cell>
          <cell r="AH35">
            <v>3798587</v>
          </cell>
          <cell r="AI35">
            <v>87991877</v>
          </cell>
          <cell r="AJ35">
            <v>131753000</v>
          </cell>
          <cell r="AK35">
            <v>0</v>
          </cell>
          <cell r="AL35">
            <v>0</v>
          </cell>
          <cell r="AM35">
            <v>0</v>
          </cell>
          <cell r="AN35">
            <v>0</v>
          </cell>
          <cell r="AO35">
            <v>0</v>
          </cell>
          <cell r="AP35">
            <v>0</v>
          </cell>
          <cell r="AQ35">
            <v>0</v>
          </cell>
          <cell r="AR35">
            <v>0</v>
          </cell>
          <cell r="AS35">
            <v>0</v>
          </cell>
          <cell r="AT35">
            <v>41650000</v>
          </cell>
          <cell r="AU35">
            <v>261394877</v>
          </cell>
          <cell r="AV35">
            <v>265193464</v>
          </cell>
        </row>
        <row r="36">
          <cell r="A36">
            <v>7235000</v>
          </cell>
          <cell r="B36" t="str">
            <v>هزينه پوشاك</v>
          </cell>
          <cell r="C36">
            <v>0</v>
          </cell>
          <cell r="D36">
            <v>0</v>
          </cell>
          <cell r="E36">
            <v>316067</v>
          </cell>
          <cell r="F36">
            <v>0</v>
          </cell>
          <cell r="G36">
            <v>0</v>
          </cell>
          <cell r="H36">
            <v>0</v>
          </cell>
          <cell r="I36">
            <v>3402000</v>
          </cell>
          <cell r="J36">
            <v>52000</v>
          </cell>
          <cell r="K36">
            <v>305509</v>
          </cell>
          <cell r="L36">
            <v>0</v>
          </cell>
          <cell r="M36">
            <v>0</v>
          </cell>
          <cell r="N36">
            <v>2145775</v>
          </cell>
          <cell r="O36">
            <v>0</v>
          </cell>
          <cell r="P36">
            <v>0</v>
          </cell>
          <cell r="Q36">
            <v>5714500</v>
          </cell>
          <cell r="R36">
            <v>11935851</v>
          </cell>
          <cell r="S36">
            <v>0</v>
          </cell>
          <cell r="T36">
            <v>51086000</v>
          </cell>
          <cell r="U36">
            <v>2012000</v>
          </cell>
          <cell r="V36">
            <v>0</v>
          </cell>
          <cell r="W36">
            <v>1065444</v>
          </cell>
          <cell r="X36">
            <v>1116875</v>
          </cell>
          <cell r="Y36">
            <v>151375</v>
          </cell>
          <cell r="Z36">
            <v>2250000</v>
          </cell>
          <cell r="AA36">
            <v>0</v>
          </cell>
          <cell r="AB36">
            <v>2250000</v>
          </cell>
          <cell r="AC36">
            <v>5540000</v>
          </cell>
          <cell r="AD36">
            <v>126975446</v>
          </cell>
          <cell r="AE36">
            <v>0</v>
          </cell>
          <cell r="AF36">
            <v>280000</v>
          </cell>
          <cell r="AG36">
            <v>192727140</v>
          </cell>
          <cell r="AH36">
            <v>204662991</v>
          </cell>
          <cell r="AI36">
            <v>0</v>
          </cell>
          <cell r="AJ36">
            <v>750000</v>
          </cell>
          <cell r="AK36">
            <v>313375</v>
          </cell>
          <cell r="AL36">
            <v>1500000</v>
          </cell>
          <cell r="AM36">
            <v>0</v>
          </cell>
          <cell r="AN36">
            <v>0</v>
          </cell>
          <cell r="AO36">
            <v>750000</v>
          </cell>
          <cell r="AP36">
            <v>2510000</v>
          </cell>
          <cell r="AQ36">
            <v>2250000</v>
          </cell>
          <cell r="AR36">
            <v>14750000</v>
          </cell>
          <cell r="AS36">
            <v>1270000</v>
          </cell>
          <cell r="AT36">
            <v>6095000</v>
          </cell>
          <cell r="AU36">
            <v>30188375</v>
          </cell>
          <cell r="AV36">
            <v>234851366</v>
          </cell>
        </row>
        <row r="37">
          <cell r="A37">
            <v>7236000</v>
          </cell>
          <cell r="B37" t="str">
            <v>هزينه هاي ورزشي</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26574800</v>
          </cell>
          <cell r="AE37">
            <v>0</v>
          </cell>
          <cell r="AF37">
            <v>0</v>
          </cell>
          <cell r="AG37">
            <v>26574800</v>
          </cell>
          <cell r="AH37">
            <v>26574800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26574800</v>
          </cell>
        </row>
        <row r="38">
          <cell r="A38">
            <v>7237000</v>
          </cell>
          <cell r="B38" t="str">
            <v>هزينه هاي آموزشي</v>
          </cell>
          <cell r="C38">
            <v>0</v>
          </cell>
          <cell r="D38">
            <v>0</v>
          </cell>
          <cell r="E38">
            <v>0</v>
          </cell>
          <cell r="F38">
            <v>0</v>
          </cell>
          <cell r="G38">
            <v>0</v>
          </cell>
          <cell r="H38">
            <v>0</v>
          </cell>
          <cell r="I38">
            <v>0</v>
          </cell>
          <cell r="J38">
            <v>0</v>
          </cell>
          <cell r="K38">
            <v>0</v>
          </cell>
          <cell r="L38">
            <v>0</v>
          </cell>
          <cell r="M38">
            <v>0</v>
          </cell>
          <cell r="N38">
            <v>2200000</v>
          </cell>
          <cell r="O38">
            <v>0</v>
          </cell>
          <cell r="P38">
            <v>0</v>
          </cell>
          <cell r="Q38">
            <v>550000</v>
          </cell>
          <cell r="R38">
            <v>2750000</v>
          </cell>
          <cell r="S38">
            <v>0</v>
          </cell>
          <cell r="T38">
            <v>4512000</v>
          </cell>
          <cell r="U38">
            <v>0</v>
          </cell>
          <cell r="V38">
            <v>2625000</v>
          </cell>
          <cell r="W38">
            <v>11000000</v>
          </cell>
          <cell r="X38">
            <v>72500</v>
          </cell>
          <cell r="Y38">
            <v>0</v>
          </cell>
          <cell r="Z38">
            <v>0</v>
          </cell>
          <cell r="AA38">
            <v>0</v>
          </cell>
          <cell r="AB38">
            <v>0</v>
          </cell>
          <cell r="AC38">
            <v>0</v>
          </cell>
          <cell r="AD38">
            <v>0</v>
          </cell>
          <cell r="AE38">
            <v>0</v>
          </cell>
          <cell r="AF38">
            <v>0</v>
          </cell>
          <cell r="AG38">
            <v>18209500</v>
          </cell>
          <cell r="AH38">
            <v>20959500</v>
          </cell>
          <cell r="AI38">
            <v>550000</v>
          </cell>
          <cell r="AJ38">
            <v>2750000</v>
          </cell>
          <cell r="AK38">
            <v>3300000</v>
          </cell>
          <cell r="AL38">
            <v>3035000</v>
          </cell>
          <cell r="AM38">
            <v>0</v>
          </cell>
          <cell r="AN38">
            <v>0</v>
          </cell>
          <cell r="AO38">
            <v>0</v>
          </cell>
          <cell r="AP38">
            <v>0</v>
          </cell>
          <cell r="AQ38">
            <v>0</v>
          </cell>
          <cell r="AR38">
            <v>0</v>
          </cell>
          <cell r="AS38">
            <v>315789</v>
          </cell>
          <cell r="AT38">
            <v>2124232</v>
          </cell>
          <cell r="AU38">
            <v>12075021</v>
          </cell>
          <cell r="AV38">
            <v>33034521</v>
          </cell>
        </row>
        <row r="39">
          <cell r="A39" t="str">
            <v>جمع سایر هزینه های کارکنان</v>
          </cell>
          <cell r="C39">
            <v>9770125</v>
          </cell>
          <cell r="D39">
            <v>41567372</v>
          </cell>
          <cell r="E39">
            <v>40673282</v>
          </cell>
          <cell r="F39">
            <v>27935832</v>
          </cell>
          <cell r="G39">
            <v>57681804</v>
          </cell>
          <cell r="H39">
            <v>20079032</v>
          </cell>
          <cell r="I39">
            <v>78622291</v>
          </cell>
          <cell r="J39">
            <v>39012836</v>
          </cell>
          <cell r="K39">
            <v>19909537</v>
          </cell>
          <cell r="L39">
            <v>0</v>
          </cell>
          <cell r="M39">
            <v>10953594</v>
          </cell>
          <cell r="N39">
            <v>75071449</v>
          </cell>
          <cell r="O39">
            <v>9300000</v>
          </cell>
          <cell r="P39">
            <v>6900000</v>
          </cell>
          <cell r="Q39">
            <v>25060075</v>
          </cell>
          <cell r="R39">
            <v>462537229</v>
          </cell>
          <cell r="S39">
            <v>25902656</v>
          </cell>
          <cell r="T39">
            <v>149398790</v>
          </cell>
          <cell r="U39">
            <v>170941542</v>
          </cell>
          <cell r="V39">
            <v>34021802</v>
          </cell>
          <cell r="W39">
            <v>221637285</v>
          </cell>
          <cell r="X39">
            <v>100987854</v>
          </cell>
          <cell r="Y39">
            <v>11901965</v>
          </cell>
          <cell r="Z39">
            <v>61534174</v>
          </cell>
          <cell r="AA39">
            <v>2750032</v>
          </cell>
          <cell r="AB39">
            <v>65408792</v>
          </cell>
          <cell r="AC39">
            <v>30344291</v>
          </cell>
          <cell r="AD39">
            <v>233060462</v>
          </cell>
          <cell r="AE39">
            <v>1628639545</v>
          </cell>
          <cell r="AF39">
            <v>1216412380</v>
          </cell>
          <cell r="AG39">
            <v>3952941570</v>
          </cell>
          <cell r="AH39">
            <v>4415478799</v>
          </cell>
          <cell r="AI39">
            <v>787783219</v>
          </cell>
          <cell r="AJ39">
            <v>240871617</v>
          </cell>
          <cell r="AK39">
            <v>66619795</v>
          </cell>
          <cell r="AL39">
            <v>4745000</v>
          </cell>
          <cell r="AM39">
            <v>14557872</v>
          </cell>
          <cell r="AN39">
            <v>0</v>
          </cell>
          <cell r="AO39">
            <v>39973575</v>
          </cell>
          <cell r="AP39">
            <v>206321080</v>
          </cell>
          <cell r="AQ39">
            <v>54665821</v>
          </cell>
          <cell r="AR39">
            <v>23296000</v>
          </cell>
          <cell r="AS39">
            <v>15899548</v>
          </cell>
          <cell r="AT39">
            <v>195728783</v>
          </cell>
          <cell r="AU39">
            <v>1650462310</v>
          </cell>
          <cell r="AV39">
            <v>6065941109</v>
          </cell>
        </row>
        <row r="40">
          <cell r="A40" t="str">
            <v>جمع هزینه های کارکنان</v>
          </cell>
          <cell r="C40">
            <v>68899029</v>
          </cell>
          <cell r="D40">
            <v>536327237</v>
          </cell>
          <cell r="E40">
            <v>559896040</v>
          </cell>
          <cell r="F40">
            <v>331341245</v>
          </cell>
          <cell r="G40">
            <v>541985111</v>
          </cell>
          <cell r="H40">
            <v>315390461</v>
          </cell>
          <cell r="I40">
            <v>798519380</v>
          </cell>
          <cell r="J40">
            <v>537666128</v>
          </cell>
          <cell r="K40">
            <v>261757517</v>
          </cell>
          <cell r="L40">
            <v>0</v>
          </cell>
          <cell r="M40">
            <v>151475049</v>
          </cell>
          <cell r="N40">
            <v>554704275</v>
          </cell>
          <cell r="O40">
            <v>65198543</v>
          </cell>
          <cell r="P40">
            <v>57854112</v>
          </cell>
          <cell r="Q40">
            <v>81875601</v>
          </cell>
          <cell r="R40">
            <v>4862889728</v>
          </cell>
          <cell r="S40">
            <v>288429633</v>
          </cell>
          <cell r="T40">
            <v>942425015</v>
          </cell>
          <cell r="U40">
            <v>2141630043</v>
          </cell>
          <cell r="V40">
            <v>279831537</v>
          </cell>
          <cell r="W40">
            <v>2411427494</v>
          </cell>
          <cell r="X40">
            <v>853650478</v>
          </cell>
          <cell r="Y40">
            <v>102820276</v>
          </cell>
          <cell r="Z40">
            <v>437496776</v>
          </cell>
          <cell r="AA40">
            <v>31573870</v>
          </cell>
          <cell r="AB40">
            <v>661432605</v>
          </cell>
          <cell r="AC40">
            <v>404433467</v>
          </cell>
          <cell r="AD40">
            <v>740358806</v>
          </cell>
          <cell r="AE40">
            <v>1628639545</v>
          </cell>
          <cell r="AF40">
            <v>1250848667</v>
          </cell>
          <cell r="AG40">
            <v>12174998212</v>
          </cell>
          <cell r="AH40">
            <v>12637535441</v>
          </cell>
          <cell r="AI40">
            <v>2676783800</v>
          </cell>
          <cell r="AJ40">
            <v>798662650</v>
          </cell>
          <cell r="AK40">
            <v>636942379</v>
          </cell>
          <cell r="AL40">
            <v>4745000</v>
          </cell>
          <cell r="AM40">
            <v>176764251</v>
          </cell>
          <cell r="AN40">
            <v>0</v>
          </cell>
          <cell r="AO40">
            <v>278076619</v>
          </cell>
          <cell r="AP40">
            <v>1142372239</v>
          </cell>
          <cell r="AQ40">
            <v>345750056</v>
          </cell>
          <cell r="AR40">
            <v>29796000</v>
          </cell>
          <cell r="AS40">
            <v>122410798</v>
          </cell>
          <cell r="AT40">
            <v>980214572</v>
          </cell>
          <cell r="AU40">
            <v>7192518364</v>
          </cell>
          <cell r="AV40">
            <v>24230406304</v>
          </cell>
        </row>
        <row r="41">
          <cell r="A41">
            <v>7313000</v>
          </cell>
          <cell r="B41" t="str">
            <v>هزينه سربار مواد اوليه</v>
          </cell>
          <cell r="C41">
            <v>0</v>
          </cell>
          <cell r="D41">
            <v>24649971</v>
          </cell>
          <cell r="E41">
            <v>105881933</v>
          </cell>
          <cell r="F41">
            <v>46742865</v>
          </cell>
          <cell r="G41">
            <v>33577631</v>
          </cell>
          <cell r="H41">
            <v>272500</v>
          </cell>
          <cell r="I41">
            <v>9056107</v>
          </cell>
          <cell r="J41">
            <v>744756</v>
          </cell>
          <cell r="K41">
            <v>5405683</v>
          </cell>
          <cell r="L41">
            <v>0</v>
          </cell>
          <cell r="M41">
            <v>0</v>
          </cell>
          <cell r="N41">
            <v>0</v>
          </cell>
          <cell r="O41">
            <v>0</v>
          </cell>
          <cell r="P41">
            <v>0</v>
          </cell>
          <cell r="Q41">
            <v>3854277</v>
          </cell>
          <cell r="R41">
            <v>230185723</v>
          </cell>
          <cell r="S41">
            <v>0</v>
          </cell>
          <cell r="T41">
            <v>0</v>
          </cell>
          <cell r="U41">
            <v>0</v>
          </cell>
          <cell r="V41">
            <v>0</v>
          </cell>
          <cell r="W41">
            <v>79261722</v>
          </cell>
          <cell r="X41">
            <v>0</v>
          </cell>
          <cell r="Y41">
            <v>4286093</v>
          </cell>
          <cell r="Z41">
            <v>0</v>
          </cell>
          <cell r="AA41">
            <v>0</v>
          </cell>
          <cell r="AB41">
            <v>0</v>
          </cell>
          <cell r="AC41">
            <v>0</v>
          </cell>
          <cell r="AD41">
            <v>0</v>
          </cell>
          <cell r="AE41">
            <v>0</v>
          </cell>
          <cell r="AF41">
            <v>0</v>
          </cell>
          <cell r="AG41">
            <v>83547815</v>
          </cell>
          <cell r="AH41">
            <v>313733538</v>
          </cell>
          <cell r="AI41">
            <v>0</v>
          </cell>
          <cell r="AJ41">
            <v>0</v>
          </cell>
          <cell r="AK41">
            <v>0</v>
          </cell>
          <cell r="AL41">
            <v>0</v>
          </cell>
          <cell r="AM41">
            <v>0</v>
          </cell>
          <cell r="AN41">
            <v>0</v>
          </cell>
          <cell r="AO41">
            <v>0</v>
          </cell>
          <cell r="AP41">
            <v>0</v>
          </cell>
          <cell r="AQ41">
            <v>0</v>
          </cell>
          <cell r="AR41">
            <v>0</v>
          </cell>
          <cell r="AS41">
            <v>0</v>
          </cell>
          <cell r="AT41">
            <v>0</v>
          </cell>
          <cell r="AU41">
            <v>0</v>
          </cell>
          <cell r="AV41">
            <v>313733538</v>
          </cell>
        </row>
        <row r="42">
          <cell r="A42">
            <v>7314000</v>
          </cell>
          <cell r="B42" t="str">
            <v>هزينه  سربار مواد بسته بندي</v>
          </cell>
          <cell r="C42">
            <v>0</v>
          </cell>
          <cell r="D42">
            <v>0</v>
          </cell>
          <cell r="E42">
            <v>5634121</v>
          </cell>
          <cell r="F42">
            <v>2015215</v>
          </cell>
          <cell r="G42">
            <v>4660647</v>
          </cell>
          <cell r="H42">
            <v>0</v>
          </cell>
          <cell r="I42">
            <v>1690210</v>
          </cell>
          <cell r="J42">
            <v>632021</v>
          </cell>
          <cell r="K42">
            <v>1648468</v>
          </cell>
          <cell r="L42">
            <v>0</v>
          </cell>
          <cell r="M42">
            <v>0</v>
          </cell>
          <cell r="N42">
            <v>0</v>
          </cell>
          <cell r="O42">
            <v>0</v>
          </cell>
          <cell r="P42">
            <v>0</v>
          </cell>
          <cell r="Q42">
            <v>2047827</v>
          </cell>
          <cell r="R42">
            <v>18328509</v>
          </cell>
          <cell r="S42">
            <v>0</v>
          </cell>
          <cell r="T42">
            <v>0</v>
          </cell>
          <cell r="U42">
            <v>0</v>
          </cell>
          <cell r="V42">
            <v>0</v>
          </cell>
          <cell r="W42">
            <v>12530197</v>
          </cell>
          <cell r="X42">
            <v>0</v>
          </cell>
          <cell r="Y42">
            <v>0</v>
          </cell>
          <cell r="Z42">
            <v>0</v>
          </cell>
          <cell r="AA42">
            <v>0</v>
          </cell>
          <cell r="AB42">
            <v>0</v>
          </cell>
          <cell r="AC42">
            <v>0</v>
          </cell>
          <cell r="AD42">
            <v>0</v>
          </cell>
          <cell r="AE42">
            <v>0</v>
          </cell>
          <cell r="AF42">
            <v>0</v>
          </cell>
          <cell r="AG42">
            <v>12530197</v>
          </cell>
          <cell r="AH42">
            <v>30858706</v>
          </cell>
          <cell r="AI42">
            <v>0</v>
          </cell>
          <cell r="AJ42">
            <v>0</v>
          </cell>
          <cell r="AK42">
            <v>0</v>
          </cell>
          <cell r="AL42">
            <v>0</v>
          </cell>
          <cell r="AM42">
            <v>0</v>
          </cell>
          <cell r="AN42">
            <v>0</v>
          </cell>
          <cell r="AO42">
            <v>0</v>
          </cell>
          <cell r="AP42">
            <v>0</v>
          </cell>
          <cell r="AQ42">
            <v>0</v>
          </cell>
          <cell r="AR42">
            <v>0</v>
          </cell>
          <cell r="AS42">
            <v>0</v>
          </cell>
          <cell r="AT42">
            <v>0</v>
          </cell>
          <cell r="AU42">
            <v>0</v>
          </cell>
          <cell r="AV42">
            <v>30858706</v>
          </cell>
        </row>
        <row r="43">
          <cell r="A43">
            <v>7316000</v>
          </cell>
          <cell r="B43" t="str">
            <v>هزينه سربار مواد اوليه (افشانه ها )</v>
          </cell>
          <cell r="C43">
            <v>0</v>
          </cell>
          <cell r="D43">
            <v>0</v>
          </cell>
          <cell r="E43">
            <v>0</v>
          </cell>
          <cell r="F43">
            <v>0</v>
          </cell>
          <cell r="G43">
            <v>0</v>
          </cell>
          <cell r="H43">
            <v>0</v>
          </cell>
          <cell r="I43">
            <v>0</v>
          </cell>
          <cell r="J43">
            <v>0</v>
          </cell>
          <cell r="K43">
            <v>0</v>
          </cell>
          <cell r="L43">
            <v>0</v>
          </cell>
          <cell r="M43">
            <v>0</v>
          </cell>
          <cell r="N43">
            <v>0</v>
          </cell>
          <cell r="O43">
            <v>1487404</v>
          </cell>
          <cell r="P43">
            <v>0</v>
          </cell>
          <cell r="Q43">
            <v>0</v>
          </cell>
          <cell r="R43">
            <v>1487404</v>
          </cell>
          <cell r="S43">
            <v>0</v>
          </cell>
          <cell r="T43">
            <v>0</v>
          </cell>
          <cell r="U43">
            <v>0</v>
          </cell>
          <cell r="V43">
            <v>0</v>
          </cell>
          <cell r="W43">
            <v>42672949</v>
          </cell>
          <cell r="X43">
            <v>0</v>
          </cell>
          <cell r="Y43">
            <v>0</v>
          </cell>
          <cell r="Z43">
            <v>0</v>
          </cell>
          <cell r="AA43">
            <v>0</v>
          </cell>
          <cell r="AB43">
            <v>1387961</v>
          </cell>
          <cell r="AC43">
            <v>0</v>
          </cell>
          <cell r="AD43">
            <v>0</v>
          </cell>
          <cell r="AE43">
            <v>0</v>
          </cell>
          <cell r="AF43">
            <v>0</v>
          </cell>
          <cell r="AG43">
            <v>44060910</v>
          </cell>
          <cell r="AH43">
            <v>45548314</v>
          </cell>
          <cell r="AI43">
            <v>0</v>
          </cell>
          <cell r="AJ43">
            <v>0</v>
          </cell>
          <cell r="AK43">
            <v>91667111</v>
          </cell>
          <cell r="AL43">
            <v>0</v>
          </cell>
          <cell r="AM43">
            <v>0</v>
          </cell>
          <cell r="AN43">
            <v>0</v>
          </cell>
          <cell r="AO43">
            <v>0</v>
          </cell>
          <cell r="AP43">
            <v>0</v>
          </cell>
          <cell r="AQ43">
            <v>0</v>
          </cell>
          <cell r="AR43">
            <v>0</v>
          </cell>
          <cell r="AS43">
            <v>0</v>
          </cell>
          <cell r="AT43">
            <v>0</v>
          </cell>
          <cell r="AU43">
            <v>91667111</v>
          </cell>
          <cell r="AV43">
            <v>137215425</v>
          </cell>
        </row>
        <row r="44">
          <cell r="A44">
            <v>7317000</v>
          </cell>
          <cell r="B44" t="str">
            <v>هزينه  سربار  بسته بندي (افشا نه ها )</v>
          </cell>
          <cell r="C44">
            <v>0</v>
          </cell>
          <cell r="D44">
            <v>0</v>
          </cell>
          <cell r="E44">
            <v>0</v>
          </cell>
          <cell r="F44">
            <v>0</v>
          </cell>
          <cell r="G44">
            <v>0</v>
          </cell>
          <cell r="H44">
            <v>0</v>
          </cell>
          <cell r="I44">
            <v>0</v>
          </cell>
          <cell r="J44">
            <v>0</v>
          </cell>
          <cell r="K44">
            <v>0</v>
          </cell>
          <cell r="L44">
            <v>0</v>
          </cell>
          <cell r="M44">
            <v>0</v>
          </cell>
          <cell r="N44">
            <v>0</v>
          </cell>
          <cell r="O44">
            <v>1701000</v>
          </cell>
          <cell r="P44">
            <v>7710540</v>
          </cell>
          <cell r="Q44">
            <v>0</v>
          </cell>
          <cell r="R44">
            <v>9411540</v>
          </cell>
          <cell r="S44">
            <v>0</v>
          </cell>
          <cell r="T44">
            <v>0</v>
          </cell>
          <cell r="U44">
            <v>0</v>
          </cell>
          <cell r="V44">
            <v>0</v>
          </cell>
          <cell r="W44">
            <v>291357</v>
          </cell>
          <cell r="X44">
            <v>0</v>
          </cell>
          <cell r="Y44">
            <v>0</v>
          </cell>
          <cell r="Z44">
            <v>0</v>
          </cell>
          <cell r="AA44">
            <v>0</v>
          </cell>
          <cell r="AB44">
            <v>0</v>
          </cell>
          <cell r="AC44">
            <v>0</v>
          </cell>
          <cell r="AD44">
            <v>0</v>
          </cell>
          <cell r="AE44">
            <v>0</v>
          </cell>
          <cell r="AF44">
            <v>0</v>
          </cell>
          <cell r="AG44">
            <v>291357</v>
          </cell>
          <cell r="AH44">
            <v>9702897</v>
          </cell>
          <cell r="AI44">
            <v>0</v>
          </cell>
          <cell r="AJ44">
            <v>0</v>
          </cell>
          <cell r="AK44">
            <v>0</v>
          </cell>
          <cell r="AL44">
            <v>0</v>
          </cell>
          <cell r="AM44">
            <v>0</v>
          </cell>
          <cell r="AN44">
            <v>0</v>
          </cell>
          <cell r="AO44">
            <v>0</v>
          </cell>
          <cell r="AP44">
            <v>0</v>
          </cell>
          <cell r="AQ44">
            <v>0</v>
          </cell>
          <cell r="AR44">
            <v>0</v>
          </cell>
          <cell r="AS44">
            <v>0</v>
          </cell>
          <cell r="AT44">
            <v>0</v>
          </cell>
          <cell r="AU44">
            <v>0</v>
          </cell>
          <cell r="AV44">
            <v>9702897</v>
          </cell>
        </row>
        <row r="45">
          <cell r="A45">
            <v>7319000</v>
          </cell>
          <cell r="B45" t="str">
            <v>تعميرونگهداري ساختمان وتاسيسات</v>
          </cell>
          <cell r="C45">
            <v>0</v>
          </cell>
          <cell r="D45">
            <v>1090000</v>
          </cell>
          <cell r="E45">
            <v>12502500</v>
          </cell>
          <cell r="F45">
            <v>0</v>
          </cell>
          <cell r="G45">
            <v>0</v>
          </cell>
          <cell r="H45">
            <v>0</v>
          </cell>
          <cell r="I45">
            <v>930000</v>
          </cell>
          <cell r="J45">
            <v>584000</v>
          </cell>
          <cell r="K45">
            <v>0</v>
          </cell>
          <cell r="L45">
            <v>0</v>
          </cell>
          <cell r="M45">
            <v>0</v>
          </cell>
          <cell r="N45">
            <v>18150000</v>
          </cell>
          <cell r="O45">
            <v>0</v>
          </cell>
          <cell r="P45">
            <v>0</v>
          </cell>
          <cell r="Q45">
            <v>7130000</v>
          </cell>
          <cell r="R45">
            <v>40386500</v>
          </cell>
          <cell r="S45">
            <v>0</v>
          </cell>
          <cell r="T45">
            <v>0</v>
          </cell>
          <cell r="U45">
            <v>698195122</v>
          </cell>
          <cell r="V45">
            <v>7048000</v>
          </cell>
          <cell r="W45">
            <v>13500000</v>
          </cell>
          <cell r="X45">
            <v>24115000</v>
          </cell>
          <cell r="Y45">
            <v>0</v>
          </cell>
          <cell r="Z45">
            <v>0</v>
          </cell>
          <cell r="AA45">
            <v>0</v>
          </cell>
          <cell r="AB45">
            <v>0</v>
          </cell>
          <cell r="AC45">
            <v>4377000</v>
          </cell>
          <cell r="AD45">
            <v>0</v>
          </cell>
          <cell r="AE45">
            <v>0</v>
          </cell>
          <cell r="AF45">
            <v>0</v>
          </cell>
          <cell r="AG45">
            <v>747235122</v>
          </cell>
          <cell r="AH45">
            <v>787621622</v>
          </cell>
          <cell r="AI45">
            <v>14273333</v>
          </cell>
          <cell r="AJ45">
            <v>0</v>
          </cell>
          <cell r="AK45">
            <v>0</v>
          </cell>
          <cell r="AL45">
            <v>0</v>
          </cell>
          <cell r="AM45">
            <v>0</v>
          </cell>
          <cell r="AN45">
            <v>0</v>
          </cell>
          <cell r="AO45">
            <v>6000000</v>
          </cell>
          <cell r="AP45">
            <v>0</v>
          </cell>
          <cell r="AQ45">
            <v>0</v>
          </cell>
          <cell r="AR45">
            <v>0</v>
          </cell>
          <cell r="AS45">
            <v>0</v>
          </cell>
          <cell r="AT45">
            <v>5000000</v>
          </cell>
          <cell r="AU45">
            <v>25273333</v>
          </cell>
          <cell r="AV45">
            <v>812894955</v>
          </cell>
        </row>
        <row r="46">
          <cell r="A46">
            <v>7320000</v>
          </cell>
          <cell r="B46" t="str">
            <v>تعميرونگهداري ماشين آلات</v>
          </cell>
          <cell r="C46">
            <v>0</v>
          </cell>
          <cell r="D46">
            <v>38443737</v>
          </cell>
          <cell r="E46">
            <v>17198950</v>
          </cell>
          <cell r="F46">
            <v>17116150</v>
          </cell>
          <cell r="G46">
            <v>68005594</v>
          </cell>
          <cell r="H46">
            <v>595040</v>
          </cell>
          <cell r="I46">
            <v>28099791</v>
          </cell>
          <cell r="J46">
            <v>497420</v>
          </cell>
          <cell r="K46">
            <v>370000</v>
          </cell>
          <cell r="L46">
            <v>0</v>
          </cell>
          <cell r="M46">
            <v>0</v>
          </cell>
          <cell r="N46">
            <v>0</v>
          </cell>
          <cell r="O46">
            <v>0</v>
          </cell>
          <cell r="P46">
            <v>0</v>
          </cell>
          <cell r="Q46">
            <v>3189636</v>
          </cell>
          <cell r="R46">
            <v>173516318</v>
          </cell>
          <cell r="S46">
            <v>0</v>
          </cell>
          <cell r="T46">
            <v>0</v>
          </cell>
          <cell r="U46">
            <v>81186078</v>
          </cell>
          <cell r="V46">
            <v>43634472</v>
          </cell>
          <cell r="W46">
            <v>485527</v>
          </cell>
          <cell r="X46">
            <v>545354</v>
          </cell>
          <cell r="Y46">
            <v>1424500</v>
          </cell>
          <cell r="Z46">
            <v>0</v>
          </cell>
          <cell r="AA46">
            <v>0</v>
          </cell>
          <cell r="AB46">
            <v>0</v>
          </cell>
          <cell r="AC46">
            <v>0</v>
          </cell>
          <cell r="AD46">
            <v>0</v>
          </cell>
          <cell r="AE46">
            <v>60000</v>
          </cell>
          <cell r="AF46">
            <v>0</v>
          </cell>
          <cell r="AG46">
            <v>127335931</v>
          </cell>
          <cell r="AH46">
            <v>300852249</v>
          </cell>
          <cell r="AI46">
            <v>0</v>
          </cell>
          <cell r="AJ46">
            <v>0</v>
          </cell>
          <cell r="AK46">
            <v>0</v>
          </cell>
          <cell r="AL46">
            <v>0</v>
          </cell>
          <cell r="AM46">
            <v>0</v>
          </cell>
          <cell r="AN46">
            <v>0</v>
          </cell>
          <cell r="AO46">
            <v>0</v>
          </cell>
          <cell r="AP46">
            <v>0</v>
          </cell>
          <cell r="AQ46">
            <v>11625</v>
          </cell>
          <cell r="AR46">
            <v>0</v>
          </cell>
          <cell r="AS46">
            <v>0</v>
          </cell>
          <cell r="AT46">
            <v>0</v>
          </cell>
          <cell r="AU46">
            <v>11625</v>
          </cell>
          <cell r="AV46">
            <v>300863874</v>
          </cell>
        </row>
        <row r="47">
          <cell r="A47">
            <v>7321000</v>
          </cell>
          <cell r="B47" t="str">
            <v>تعميرونگهداري وسائطنقليه</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12433685</v>
          </cell>
          <cell r="V47">
            <v>0</v>
          </cell>
          <cell r="W47">
            <v>50000</v>
          </cell>
          <cell r="X47">
            <v>14132288</v>
          </cell>
          <cell r="Y47">
            <v>0</v>
          </cell>
          <cell r="Z47">
            <v>0</v>
          </cell>
          <cell r="AA47">
            <v>0</v>
          </cell>
          <cell r="AB47">
            <v>7992000</v>
          </cell>
          <cell r="AC47">
            <v>0</v>
          </cell>
          <cell r="AD47">
            <v>885000</v>
          </cell>
          <cell r="AE47">
            <v>0</v>
          </cell>
          <cell r="AF47">
            <v>0</v>
          </cell>
          <cell r="AG47">
            <v>35492973</v>
          </cell>
          <cell r="AH47">
            <v>35492973</v>
          </cell>
          <cell r="AI47">
            <v>0</v>
          </cell>
          <cell r="AJ47">
            <v>7084180</v>
          </cell>
          <cell r="AK47">
            <v>0</v>
          </cell>
          <cell r="AL47">
            <v>0</v>
          </cell>
          <cell r="AM47">
            <v>0</v>
          </cell>
          <cell r="AN47">
            <v>0</v>
          </cell>
          <cell r="AO47">
            <v>0</v>
          </cell>
          <cell r="AP47">
            <v>530000</v>
          </cell>
          <cell r="AQ47">
            <v>0</v>
          </cell>
          <cell r="AR47">
            <v>0</v>
          </cell>
          <cell r="AS47">
            <v>0</v>
          </cell>
          <cell r="AT47">
            <v>0</v>
          </cell>
          <cell r="AU47">
            <v>7614180</v>
          </cell>
          <cell r="AV47">
            <v>43107153</v>
          </cell>
        </row>
        <row r="48">
          <cell r="A48">
            <v>7322000</v>
          </cell>
          <cell r="B48" t="str">
            <v>تعميرونگهداري اثاثيه ومنصوبات</v>
          </cell>
          <cell r="C48">
            <v>0</v>
          </cell>
          <cell r="D48">
            <v>0</v>
          </cell>
          <cell r="E48">
            <v>0</v>
          </cell>
          <cell r="F48">
            <v>0</v>
          </cell>
          <cell r="G48">
            <v>0</v>
          </cell>
          <cell r="H48">
            <v>0</v>
          </cell>
          <cell r="I48">
            <v>0</v>
          </cell>
          <cell r="J48">
            <v>0</v>
          </cell>
          <cell r="K48">
            <v>0</v>
          </cell>
          <cell r="L48">
            <v>0</v>
          </cell>
          <cell r="M48">
            <v>0</v>
          </cell>
          <cell r="N48">
            <v>1186790</v>
          </cell>
          <cell r="O48">
            <v>0</v>
          </cell>
          <cell r="P48">
            <v>0</v>
          </cell>
          <cell r="Q48">
            <v>0</v>
          </cell>
          <cell r="R48">
            <v>1186790</v>
          </cell>
          <cell r="S48">
            <v>0</v>
          </cell>
          <cell r="T48">
            <v>300000</v>
          </cell>
          <cell r="U48">
            <v>25695500</v>
          </cell>
          <cell r="V48">
            <v>0</v>
          </cell>
          <cell r="W48">
            <v>3000000</v>
          </cell>
          <cell r="X48">
            <v>0</v>
          </cell>
          <cell r="Y48">
            <v>0</v>
          </cell>
          <cell r="Z48">
            <v>0</v>
          </cell>
          <cell r="AA48">
            <v>0</v>
          </cell>
          <cell r="AB48">
            <v>200000</v>
          </cell>
          <cell r="AC48">
            <v>0</v>
          </cell>
          <cell r="AD48">
            <v>4562862</v>
          </cell>
          <cell r="AE48">
            <v>0</v>
          </cell>
          <cell r="AF48">
            <v>0</v>
          </cell>
          <cell r="AG48">
            <v>33758362</v>
          </cell>
          <cell r="AH48">
            <v>34945152</v>
          </cell>
          <cell r="AI48">
            <v>16578496</v>
          </cell>
          <cell r="AJ48">
            <v>465000</v>
          </cell>
          <cell r="AK48">
            <v>0</v>
          </cell>
          <cell r="AL48">
            <v>0</v>
          </cell>
          <cell r="AM48">
            <v>0</v>
          </cell>
          <cell r="AN48">
            <v>0</v>
          </cell>
          <cell r="AO48">
            <v>2990000</v>
          </cell>
          <cell r="AP48">
            <v>1617000</v>
          </cell>
          <cell r="AQ48">
            <v>2686000</v>
          </cell>
          <cell r="AR48">
            <v>0</v>
          </cell>
          <cell r="AS48">
            <v>0</v>
          </cell>
          <cell r="AT48">
            <v>8390000</v>
          </cell>
          <cell r="AU48">
            <v>32726496</v>
          </cell>
          <cell r="AV48">
            <v>67671648</v>
          </cell>
        </row>
        <row r="49">
          <cell r="A49">
            <v>7323000</v>
          </cell>
          <cell r="B49" t="str">
            <v>تعميرونگهداري سايردارائيها</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2910000</v>
          </cell>
          <cell r="V49">
            <v>0</v>
          </cell>
          <cell r="W49">
            <v>152750000</v>
          </cell>
          <cell r="X49">
            <v>0</v>
          </cell>
          <cell r="Y49">
            <v>0</v>
          </cell>
          <cell r="Z49">
            <v>0</v>
          </cell>
          <cell r="AA49">
            <v>0</v>
          </cell>
          <cell r="AB49">
            <v>0</v>
          </cell>
          <cell r="AC49">
            <v>0</v>
          </cell>
          <cell r="AD49">
            <v>0</v>
          </cell>
          <cell r="AE49">
            <v>0</v>
          </cell>
          <cell r="AF49">
            <v>0</v>
          </cell>
          <cell r="AG49">
            <v>155660000</v>
          </cell>
          <cell r="AH49">
            <v>155660000</v>
          </cell>
          <cell r="AI49">
            <v>0</v>
          </cell>
          <cell r="AJ49">
            <v>0</v>
          </cell>
          <cell r="AK49">
            <v>30900000</v>
          </cell>
          <cell r="AL49">
            <v>0</v>
          </cell>
          <cell r="AM49">
            <v>0</v>
          </cell>
          <cell r="AN49">
            <v>0</v>
          </cell>
          <cell r="AO49">
            <v>0</v>
          </cell>
          <cell r="AP49">
            <v>0</v>
          </cell>
          <cell r="AQ49">
            <v>0</v>
          </cell>
          <cell r="AR49">
            <v>0</v>
          </cell>
          <cell r="AS49">
            <v>0</v>
          </cell>
          <cell r="AT49">
            <v>9050000</v>
          </cell>
          <cell r="AU49">
            <v>39950000</v>
          </cell>
          <cell r="AV49">
            <v>195610000</v>
          </cell>
        </row>
        <row r="50">
          <cell r="A50">
            <v>7324000</v>
          </cell>
          <cell r="B50" t="str">
            <v>هزينه موادوملزومات مصرفي</v>
          </cell>
          <cell r="C50">
            <v>0</v>
          </cell>
          <cell r="D50">
            <v>15233050</v>
          </cell>
          <cell r="E50">
            <v>9975555</v>
          </cell>
          <cell r="F50">
            <v>8919944</v>
          </cell>
          <cell r="G50">
            <v>9369887</v>
          </cell>
          <cell r="H50">
            <v>11917360</v>
          </cell>
          <cell r="I50">
            <v>45670000</v>
          </cell>
          <cell r="J50">
            <v>6556505</v>
          </cell>
          <cell r="K50">
            <v>5254671</v>
          </cell>
          <cell r="L50">
            <v>0</v>
          </cell>
          <cell r="M50">
            <v>0</v>
          </cell>
          <cell r="N50">
            <v>80291065</v>
          </cell>
          <cell r="O50">
            <v>0</v>
          </cell>
          <cell r="P50">
            <v>0</v>
          </cell>
          <cell r="Q50">
            <v>56548412</v>
          </cell>
          <cell r="R50">
            <v>249736449</v>
          </cell>
          <cell r="S50">
            <v>2278005</v>
          </cell>
          <cell r="T50">
            <v>90078375</v>
          </cell>
          <cell r="U50">
            <v>242585094</v>
          </cell>
          <cell r="V50">
            <v>31210944</v>
          </cell>
          <cell r="W50">
            <v>295503389</v>
          </cell>
          <cell r="X50">
            <v>30328537</v>
          </cell>
          <cell r="Y50">
            <v>21623161</v>
          </cell>
          <cell r="Z50">
            <v>5212950</v>
          </cell>
          <cell r="AA50">
            <v>2910884</v>
          </cell>
          <cell r="AB50">
            <v>12569942</v>
          </cell>
          <cell r="AC50">
            <v>5838177</v>
          </cell>
          <cell r="AD50">
            <v>177521411</v>
          </cell>
          <cell r="AE50">
            <v>8630200</v>
          </cell>
          <cell r="AF50">
            <v>1990000</v>
          </cell>
          <cell r="AG50">
            <v>928281069</v>
          </cell>
          <cell r="AH50">
            <v>1178017518</v>
          </cell>
          <cell r="AI50">
            <v>47951149</v>
          </cell>
          <cell r="AJ50">
            <v>6103400</v>
          </cell>
          <cell r="AK50">
            <v>407400194</v>
          </cell>
          <cell r="AL50">
            <v>4923994</v>
          </cell>
          <cell r="AM50">
            <v>0</v>
          </cell>
          <cell r="AN50">
            <v>0</v>
          </cell>
          <cell r="AO50">
            <v>66515801</v>
          </cell>
          <cell r="AP50">
            <v>8323759</v>
          </cell>
          <cell r="AQ50">
            <v>37409166</v>
          </cell>
          <cell r="AR50">
            <v>0</v>
          </cell>
          <cell r="AS50">
            <v>11070014</v>
          </cell>
          <cell r="AT50">
            <v>94357077</v>
          </cell>
          <cell r="AU50">
            <v>684054554</v>
          </cell>
          <cell r="AV50">
            <v>1862072072</v>
          </cell>
        </row>
        <row r="51">
          <cell r="A51">
            <v>7350000</v>
          </cell>
          <cell r="B51" t="str">
            <v xml:space="preserve">هزينه حق المشاوره حقوقي </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27526800</v>
          </cell>
          <cell r="AC51">
            <v>23020200</v>
          </cell>
          <cell r="AD51">
            <v>24901239</v>
          </cell>
          <cell r="AE51">
            <v>0</v>
          </cell>
          <cell r="AF51">
            <v>0</v>
          </cell>
          <cell r="AG51">
            <v>75448239</v>
          </cell>
          <cell r="AH51">
            <v>75448239</v>
          </cell>
          <cell r="AI51">
            <v>45521329</v>
          </cell>
          <cell r="AJ51">
            <v>434430000</v>
          </cell>
          <cell r="AK51">
            <v>112653750</v>
          </cell>
          <cell r="AL51">
            <v>0</v>
          </cell>
          <cell r="AM51">
            <v>0</v>
          </cell>
          <cell r="AN51">
            <v>76028068</v>
          </cell>
          <cell r="AO51">
            <v>0</v>
          </cell>
          <cell r="AP51">
            <v>17490000</v>
          </cell>
          <cell r="AQ51">
            <v>19845000</v>
          </cell>
          <cell r="AR51">
            <v>0</v>
          </cell>
          <cell r="AS51">
            <v>18659775</v>
          </cell>
          <cell r="AT51">
            <v>21713430</v>
          </cell>
          <cell r="AU51">
            <v>746341352</v>
          </cell>
          <cell r="AV51">
            <v>821789591</v>
          </cell>
        </row>
        <row r="52">
          <cell r="A52">
            <v>7376000</v>
          </cell>
          <cell r="B52" t="str">
            <v>هزينه اجاره</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22050000</v>
          </cell>
          <cell r="AJ52">
            <v>0</v>
          </cell>
          <cell r="AK52">
            <v>0</v>
          </cell>
          <cell r="AL52">
            <v>0</v>
          </cell>
          <cell r="AM52">
            <v>0</v>
          </cell>
          <cell r="AN52">
            <v>0</v>
          </cell>
          <cell r="AO52">
            <v>0</v>
          </cell>
          <cell r="AP52">
            <v>0</v>
          </cell>
          <cell r="AQ52">
            <v>0</v>
          </cell>
          <cell r="AR52">
            <v>0</v>
          </cell>
          <cell r="AS52">
            <v>0</v>
          </cell>
          <cell r="AT52">
            <v>0</v>
          </cell>
          <cell r="AU52">
            <v>22050000</v>
          </cell>
          <cell r="AV52">
            <v>22050000</v>
          </cell>
        </row>
        <row r="53">
          <cell r="A53">
            <v>7325000</v>
          </cell>
          <cell r="B53" t="str">
            <v>هزينه ضايعات مواد اوليه وبسته بندي</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249222092</v>
          </cell>
          <cell r="AE53">
            <v>0</v>
          </cell>
          <cell r="AF53">
            <v>0</v>
          </cell>
          <cell r="AG53">
            <v>249222092</v>
          </cell>
          <cell r="AH53">
            <v>249222092</v>
          </cell>
          <cell r="AI53">
            <v>0</v>
          </cell>
          <cell r="AJ53">
            <v>0</v>
          </cell>
          <cell r="AK53">
            <v>0</v>
          </cell>
          <cell r="AL53">
            <v>0</v>
          </cell>
          <cell r="AM53">
            <v>0</v>
          </cell>
          <cell r="AN53">
            <v>0</v>
          </cell>
          <cell r="AO53">
            <v>0</v>
          </cell>
          <cell r="AP53">
            <v>0</v>
          </cell>
          <cell r="AQ53">
            <v>0</v>
          </cell>
          <cell r="AR53">
            <v>0</v>
          </cell>
          <cell r="AS53">
            <v>0</v>
          </cell>
          <cell r="AT53">
            <v>0</v>
          </cell>
          <cell r="AU53">
            <v>0</v>
          </cell>
          <cell r="AV53">
            <v>249222092</v>
          </cell>
        </row>
        <row r="54">
          <cell r="A54">
            <v>7353000</v>
          </cell>
          <cell r="B54" t="str">
            <v>تعديل انبارگرداني ومصرف</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row>
        <row r="55">
          <cell r="A55">
            <v>7355000</v>
          </cell>
          <cell r="B55" t="str">
            <v>هزينه حق الزحمه هيات مديره</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40500000</v>
          </cell>
          <cell r="AK55">
            <v>0</v>
          </cell>
          <cell r="AL55">
            <v>0</v>
          </cell>
          <cell r="AM55">
            <v>0</v>
          </cell>
          <cell r="AN55">
            <v>0</v>
          </cell>
          <cell r="AO55">
            <v>0</v>
          </cell>
          <cell r="AP55">
            <v>0</v>
          </cell>
          <cell r="AQ55">
            <v>0</v>
          </cell>
          <cell r="AR55">
            <v>0</v>
          </cell>
          <cell r="AS55">
            <v>0</v>
          </cell>
          <cell r="AT55">
            <v>0</v>
          </cell>
          <cell r="AU55">
            <v>40500000</v>
          </cell>
          <cell r="AV55">
            <v>40500000</v>
          </cell>
        </row>
        <row r="56">
          <cell r="A56">
            <v>7356000</v>
          </cell>
          <cell r="B56" t="str">
            <v>هزينه هاي ثبتي ومحضري</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800000</v>
          </cell>
          <cell r="AC56">
            <v>0</v>
          </cell>
          <cell r="AD56">
            <v>0</v>
          </cell>
          <cell r="AE56">
            <v>0</v>
          </cell>
          <cell r="AF56">
            <v>0</v>
          </cell>
          <cell r="AG56">
            <v>800000</v>
          </cell>
          <cell r="AH56">
            <v>800000</v>
          </cell>
          <cell r="AI56">
            <v>2605263</v>
          </cell>
          <cell r="AJ56">
            <v>0</v>
          </cell>
          <cell r="AK56">
            <v>0</v>
          </cell>
          <cell r="AL56">
            <v>0</v>
          </cell>
          <cell r="AM56">
            <v>0</v>
          </cell>
          <cell r="AN56">
            <v>31860000</v>
          </cell>
          <cell r="AO56">
            <v>0</v>
          </cell>
          <cell r="AP56">
            <v>0</v>
          </cell>
          <cell r="AQ56">
            <v>0</v>
          </cell>
          <cell r="AR56">
            <v>0</v>
          </cell>
          <cell r="AS56">
            <v>0</v>
          </cell>
          <cell r="AT56">
            <v>800000</v>
          </cell>
          <cell r="AU56">
            <v>35265263</v>
          </cell>
          <cell r="AV56">
            <v>36065263</v>
          </cell>
        </row>
        <row r="57">
          <cell r="A57">
            <v>7357000</v>
          </cell>
          <cell r="B57" t="str">
            <v>هزينه هاي عوارض</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359000</v>
          </cell>
          <cell r="AC57">
            <v>0</v>
          </cell>
          <cell r="AD57">
            <v>378208000</v>
          </cell>
          <cell r="AE57">
            <v>0</v>
          </cell>
          <cell r="AF57">
            <v>0</v>
          </cell>
          <cell r="AG57">
            <v>378567000</v>
          </cell>
          <cell r="AH57">
            <v>378567000</v>
          </cell>
          <cell r="AI57">
            <v>192000</v>
          </cell>
          <cell r="AJ57">
            <v>3219000</v>
          </cell>
          <cell r="AK57">
            <v>0</v>
          </cell>
          <cell r="AL57">
            <v>0</v>
          </cell>
          <cell r="AM57">
            <v>0</v>
          </cell>
          <cell r="AN57">
            <v>0</v>
          </cell>
          <cell r="AO57">
            <v>0</v>
          </cell>
          <cell r="AP57">
            <v>0</v>
          </cell>
          <cell r="AQ57">
            <v>0</v>
          </cell>
          <cell r="AR57">
            <v>0</v>
          </cell>
          <cell r="AS57">
            <v>125000</v>
          </cell>
          <cell r="AT57">
            <v>0</v>
          </cell>
          <cell r="AU57">
            <v>3536000</v>
          </cell>
          <cell r="AV57">
            <v>382103000</v>
          </cell>
        </row>
        <row r="58">
          <cell r="A58">
            <v>7359000</v>
          </cell>
          <cell r="B58" t="str">
            <v>يك درصدبازآموزي ونوآموزي</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88888888</v>
          </cell>
          <cell r="AL58">
            <v>0</v>
          </cell>
          <cell r="AM58">
            <v>0</v>
          </cell>
          <cell r="AN58">
            <v>844520561</v>
          </cell>
          <cell r="AO58">
            <v>0</v>
          </cell>
          <cell r="AP58">
            <v>0</v>
          </cell>
          <cell r="AQ58">
            <v>0</v>
          </cell>
          <cell r="AR58">
            <v>0</v>
          </cell>
          <cell r="AS58">
            <v>0</v>
          </cell>
          <cell r="AT58">
            <v>0</v>
          </cell>
          <cell r="AU58">
            <v>933409449</v>
          </cell>
          <cell r="AV58">
            <v>933409449</v>
          </cell>
        </row>
        <row r="59">
          <cell r="A59">
            <v>7361000</v>
          </cell>
          <cell r="B59" t="str">
            <v>هزينه هاي آزمايشگاهي مواد</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2200000</v>
          </cell>
          <cell r="AL59">
            <v>0</v>
          </cell>
          <cell r="AM59">
            <v>0</v>
          </cell>
          <cell r="AN59">
            <v>0</v>
          </cell>
          <cell r="AO59">
            <v>0</v>
          </cell>
          <cell r="AP59">
            <v>0</v>
          </cell>
          <cell r="AQ59">
            <v>0</v>
          </cell>
          <cell r="AR59">
            <v>0</v>
          </cell>
          <cell r="AS59">
            <v>0</v>
          </cell>
          <cell r="AT59">
            <v>3300000</v>
          </cell>
          <cell r="AU59">
            <v>5500000</v>
          </cell>
          <cell r="AV59">
            <v>5500000</v>
          </cell>
        </row>
        <row r="60">
          <cell r="A60">
            <v>7364000</v>
          </cell>
          <cell r="B60" t="str">
            <v>هزينه حمل ونگهداري</v>
          </cell>
          <cell r="C60">
            <v>0</v>
          </cell>
          <cell r="D60">
            <v>0</v>
          </cell>
          <cell r="E60">
            <v>0</v>
          </cell>
          <cell r="F60">
            <v>0</v>
          </cell>
          <cell r="G60">
            <v>0</v>
          </cell>
          <cell r="H60">
            <v>0</v>
          </cell>
          <cell r="I60">
            <v>0</v>
          </cell>
          <cell r="J60">
            <v>0</v>
          </cell>
          <cell r="K60">
            <v>0</v>
          </cell>
          <cell r="L60">
            <v>0</v>
          </cell>
          <cell r="M60">
            <v>0</v>
          </cell>
          <cell r="N60">
            <v>150000</v>
          </cell>
          <cell r="O60">
            <v>0</v>
          </cell>
          <cell r="P60">
            <v>0</v>
          </cell>
          <cell r="Q60">
            <v>60000</v>
          </cell>
          <cell r="R60">
            <v>210000</v>
          </cell>
          <cell r="S60">
            <v>0</v>
          </cell>
          <cell r="T60">
            <v>0</v>
          </cell>
          <cell r="U60">
            <v>21461820</v>
          </cell>
          <cell r="V60">
            <v>0</v>
          </cell>
          <cell r="W60">
            <v>1500000</v>
          </cell>
          <cell r="X60">
            <v>173313368</v>
          </cell>
          <cell r="Y60">
            <v>410000</v>
          </cell>
          <cell r="Z60">
            <v>0</v>
          </cell>
          <cell r="AA60">
            <v>0</v>
          </cell>
          <cell r="AB60">
            <v>115000</v>
          </cell>
          <cell r="AC60">
            <v>0</v>
          </cell>
          <cell r="AD60">
            <v>18987000</v>
          </cell>
          <cell r="AE60">
            <v>0</v>
          </cell>
          <cell r="AF60">
            <v>10730000</v>
          </cell>
          <cell r="AG60">
            <v>226517188</v>
          </cell>
          <cell r="AH60">
            <v>226727188</v>
          </cell>
          <cell r="AI60">
            <v>20149000</v>
          </cell>
          <cell r="AJ60">
            <v>0</v>
          </cell>
          <cell r="AK60">
            <v>0</v>
          </cell>
          <cell r="AL60">
            <v>0</v>
          </cell>
          <cell r="AM60">
            <v>0</v>
          </cell>
          <cell r="AN60">
            <v>0</v>
          </cell>
          <cell r="AO60">
            <v>765000</v>
          </cell>
          <cell r="AP60">
            <v>575000</v>
          </cell>
          <cell r="AQ60">
            <v>5360000</v>
          </cell>
          <cell r="AR60">
            <v>0</v>
          </cell>
          <cell r="AS60">
            <v>9058394</v>
          </cell>
          <cell r="AT60">
            <v>890000</v>
          </cell>
          <cell r="AU60">
            <v>36797394</v>
          </cell>
          <cell r="AV60">
            <v>263524582</v>
          </cell>
        </row>
        <row r="61">
          <cell r="A61">
            <v>7365000</v>
          </cell>
          <cell r="B61" t="str">
            <v>هزينه كارآموزان</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row>
        <row r="62">
          <cell r="A62">
            <v>7367000</v>
          </cell>
          <cell r="B62" t="str">
            <v>هزينه حق عضويت</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1339550</v>
          </cell>
          <cell r="AC62">
            <v>0</v>
          </cell>
          <cell r="AD62">
            <v>20000000</v>
          </cell>
          <cell r="AE62">
            <v>0</v>
          </cell>
          <cell r="AF62">
            <v>0</v>
          </cell>
          <cell r="AG62">
            <v>21339550</v>
          </cell>
          <cell r="AH62">
            <v>21339550</v>
          </cell>
          <cell r="AI62">
            <v>0</v>
          </cell>
          <cell r="AJ62">
            <v>0</v>
          </cell>
          <cell r="AK62">
            <v>9108000</v>
          </cell>
          <cell r="AL62">
            <v>0</v>
          </cell>
          <cell r="AM62">
            <v>0</v>
          </cell>
          <cell r="AN62">
            <v>0</v>
          </cell>
          <cell r="AO62">
            <v>0</v>
          </cell>
          <cell r="AP62">
            <v>0</v>
          </cell>
          <cell r="AQ62">
            <v>0</v>
          </cell>
          <cell r="AR62">
            <v>0</v>
          </cell>
          <cell r="AS62">
            <v>0</v>
          </cell>
          <cell r="AT62">
            <v>0</v>
          </cell>
          <cell r="AU62">
            <v>9108000</v>
          </cell>
          <cell r="AV62">
            <v>30447550</v>
          </cell>
        </row>
        <row r="63">
          <cell r="A63">
            <v>7368000</v>
          </cell>
          <cell r="B63" t="str">
            <v>هزينه تبليغات</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5000000</v>
          </cell>
          <cell r="AE63">
            <v>0</v>
          </cell>
          <cell r="AF63">
            <v>0</v>
          </cell>
          <cell r="AG63">
            <v>5000000</v>
          </cell>
          <cell r="AH63">
            <v>5000000</v>
          </cell>
          <cell r="AI63">
            <v>1722909525</v>
          </cell>
          <cell r="AJ63">
            <v>0</v>
          </cell>
          <cell r="AK63">
            <v>0</v>
          </cell>
          <cell r="AL63">
            <v>0</v>
          </cell>
          <cell r="AM63">
            <v>0</v>
          </cell>
          <cell r="AN63">
            <v>0</v>
          </cell>
          <cell r="AO63">
            <v>0</v>
          </cell>
          <cell r="AP63">
            <v>0</v>
          </cell>
          <cell r="AQ63">
            <v>0</v>
          </cell>
          <cell r="AR63">
            <v>0</v>
          </cell>
          <cell r="AS63">
            <v>0</v>
          </cell>
          <cell r="AT63">
            <v>0</v>
          </cell>
          <cell r="AU63">
            <v>1722909525</v>
          </cell>
          <cell r="AV63">
            <v>1727909525</v>
          </cell>
        </row>
        <row r="64">
          <cell r="A64">
            <v>7368100</v>
          </cell>
          <cell r="B64" t="str">
            <v>هزينه پورسانت</v>
          </cell>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1232000000</v>
          </cell>
          <cell r="AJ64">
            <v>0</v>
          </cell>
          <cell r="AK64">
            <v>0</v>
          </cell>
          <cell r="AL64">
            <v>0</v>
          </cell>
          <cell r="AM64">
            <v>0</v>
          </cell>
          <cell r="AN64">
            <v>0</v>
          </cell>
          <cell r="AO64">
            <v>0</v>
          </cell>
          <cell r="AP64">
            <v>0</v>
          </cell>
          <cell r="AQ64">
            <v>0</v>
          </cell>
          <cell r="AR64">
            <v>0</v>
          </cell>
          <cell r="AS64">
            <v>0</v>
          </cell>
          <cell r="AT64">
            <v>0</v>
          </cell>
          <cell r="AU64">
            <v>1232000000</v>
          </cell>
          <cell r="AV64">
            <v>1232000000</v>
          </cell>
        </row>
        <row r="65">
          <cell r="A65">
            <v>7369000</v>
          </cell>
          <cell r="B65" t="str">
            <v>هزينه کارمزد بانکي</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192000</v>
          </cell>
          <cell r="AC65">
            <v>0</v>
          </cell>
          <cell r="AD65">
            <v>11443861</v>
          </cell>
          <cell r="AE65">
            <v>0</v>
          </cell>
          <cell r="AF65">
            <v>0</v>
          </cell>
          <cell r="AG65">
            <v>11635861</v>
          </cell>
          <cell r="AH65">
            <v>11635861</v>
          </cell>
          <cell r="AI65">
            <v>0</v>
          </cell>
          <cell r="AJ65">
            <v>0</v>
          </cell>
          <cell r="AK65">
            <v>0</v>
          </cell>
          <cell r="AL65">
            <v>0</v>
          </cell>
          <cell r="AM65">
            <v>0</v>
          </cell>
          <cell r="AN65">
            <v>3027133</v>
          </cell>
          <cell r="AO65">
            <v>0</v>
          </cell>
          <cell r="AP65">
            <v>150000</v>
          </cell>
          <cell r="AQ65">
            <v>0</v>
          </cell>
          <cell r="AR65">
            <v>0</v>
          </cell>
          <cell r="AS65">
            <v>0</v>
          </cell>
          <cell r="AT65">
            <v>0</v>
          </cell>
          <cell r="AU65">
            <v>3177133</v>
          </cell>
          <cell r="AV65">
            <v>14812994</v>
          </cell>
        </row>
        <row r="66">
          <cell r="A66">
            <v>7372000</v>
          </cell>
          <cell r="B66" t="str">
            <v>هزينه مراسم وپذيرائي</v>
          </cell>
          <cell r="C66">
            <v>0</v>
          </cell>
          <cell r="D66">
            <v>0</v>
          </cell>
          <cell r="E66">
            <v>0</v>
          </cell>
          <cell r="F66">
            <v>0</v>
          </cell>
          <cell r="G66">
            <v>0</v>
          </cell>
          <cell r="H66">
            <v>0</v>
          </cell>
          <cell r="I66">
            <v>0</v>
          </cell>
          <cell r="J66">
            <v>0</v>
          </cell>
          <cell r="K66">
            <v>0</v>
          </cell>
          <cell r="L66">
            <v>0</v>
          </cell>
          <cell r="M66">
            <v>0</v>
          </cell>
          <cell r="N66">
            <v>4728000</v>
          </cell>
          <cell r="O66">
            <v>0</v>
          </cell>
          <cell r="P66">
            <v>0</v>
          </cell>
          <cell r="Q66">
            <v>0</v>
          </cell>
          <cell r="R66">
            <v>4728000</v>
          </cell>
          <cell r="S66">
            <v>0</v>
          </cell>
          <cell r="T66">
            <v>1802640</v>
          </cell>
          <cell r="U66">
            <v>787250</v>
          </cell>
          <cell r="V66">
            <v>0</v>
          </cell>
          <cell r="W66">
            <v>5040450</v>
          </cell>
          <cell r="X66">
            <v>2135000</v>
          </cell>
          <cell r="Y66">
            <v>0</v>
          </cell>
          <cell r="Z66">
            <v>0</v>
          </cell>
          <cell r="AA66">
            <v>0</v>
          </cell>
          <cell r="AB66">
            <v>655500</v>
          </cell>
          <cell r="AC66">
            <v>636000</v>
          </cell>
          <cell r="AD66">
            <v>72668127</v>
          </cell>
          <cell r="AE66">
            <v>4949200</v>
          </cell>
          <cell r="AF66">
            <v>1000000</v>
          </cell>
          <cell r="AG66">
            <v>89674167</v>
          </cell>
          <cell r="AH66">
            <v>94402167</v>
          </cell>
          <cell r="AI66">
            <v>51174738</v>
          </cell>
          <cell r="AJ66">
            <v>64843995</v>
          </cell>
          <cell r="AK66">
            <v>0</v>
          </cell>
          <cell r="AL66">
            <v>2967830</v>
          </cell>
          <cell r="AM66">
            <v>0</v>
          </cell>
          <cell r="AN66">
            <v>0</v>
          </cell>
          <cell r="AO66">
            <v>137000</v>
          </cell>
          <cell r="AP66">
            <v>7167490</v>
          </cell>
          <cell r="AQ66">
            <v>44790500</v>
          </cell>
          <cell r="AR66">
            <v>15695808</v>
          </cell>
          <cell r="AS66">
            <v>0</v>
          </cell>
          <cell r="AT66">
            <v>1687480</v>
          </cell>
          <cell r="AU66">
            <v>188464841</v>
          </cell>
          <cell r="AV66">
            <v>282867008</v>
          </cell>
        </row>
        <row r="67">
          <cell r="A67">
            <v>7373000</v>
          </cell>
          <cell r="B67" t="str">
            <v>هزينه اشتراک</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1025295</v>
          </cell>
          <cell r="AE67">
            <v>0</v>
          </cell>
          <cell r="AF67">
            <v>0</v>
          </cell>
          <cell r="AG67">
            <v>1025295</v>
          </cell>
          <cell r="AH67">
            <v>1025295</v>
          </cell>
          <cell r="AI67">
            <v>11847589</v>
          </cell>
          <cell r="AJ67">
            <v>500000</v>
          </cell>
          <cell r="AK67">
            <v>0</v>
          </cell>
          <cell r="AL67">
            <v>0</v>
          </cell>
          <cell r="AM67">
            <v>0</v>
          </cell>
          <cell r="AN67">
            <v>0</v>
          </cell>
          <cell r="AO67">
            <v>56970000</v>
          </cell>
          <cell r="AP67">
            <v>5000000</v>
          </cell>
          <cell r="AQ67">
            <v>0</v>
          </cell>
          <cell r="AR67">
            <v>0</v>
          </cell>
          <cell r="AS67">
            <v>0</v>
          </cell>
          <cell r="AT67">
            <v>0</v>
          </cell>
          <cell r="AU67">
            <v>74317589</v>
          </cell>
          <cell r="AV67">
            <v>75342884</v>
          </cell>
        </row>
        <row r="68">
          <cell r="A68">
            <v>7374001</v>
          </cell>
          <cell r="B68" t="str">
            <v>هزينه آب</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5184000</v>
          </cell>
          <cell r="V68">
            <v>0</v>
          </cell>
          <cell r="W68">
            <v>0</v>
          </cell>
          <cell r="X68">
            <v>0</v>
          </cell>
          <cell r="Y68">
            <v>0</v>
          </cell>
          <cell r="Z68">
            <v>0</v>
          </cell>
          <cell r="AA68">
            <v>0</v>
          </cell>
          <cell r="AB68">
            <v>0</v>
          </cell>
          <cell r="AC68">
            <v>0</v>
          </cell>
          <cell r="AD68">
            <v>0</v>
          </cell>
          <cell r="AE68">
            <v>0</v>
          </cell>
          <cell r="AF68">
            <v>0</v>
          </cell>
          <cell r="AG68">
            <v>5184000</v>
          </cell>
          <cell r="AH68">
            <v>5184000</v>
          </cell>
          <cell r="AI68">
            <v>967855</v>
          </cell>
          <cell r="AJ68">
            <v>0</v>
          </cell>
          <cell r="AK68">
            <v>0</v>
          </cell>
          <cell r="AL68">
            <v>0</v>
          </cell>
          <cell r="AM68">
            <v>0</v>
          </cell>
          <cell r="AN68">
            <v>0</v>
          </cell>
          <cell r="AO68">
            <v>0</v>
          </cell>
          <cell r="AP68">
            <v>0</v>
          </cell>
          <cell r="AQ68">
            <v>0</v>
          </cell>
          <cell r="AR68">
            <v>0</v>
          </cell>
          <cell r="AS68">
            <v>0</v>
          </cell>
          <cell r="AT68">
            <v>0</v>
          </cell>
          <cell r="AU68">
            <v>967855</v>
          </cell>
          <cell r="AV68">
            <v>6151855</v>
          </cell>
        </row>
        <row r="69">
          <cell r="A69">
            <v>7374002</v>
          </cell>
          <cell r="B69" t="str">
            <v>هزينه برق</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329649599</v>
          </cell>
          <cell r="V69">
            <v>0</v>
          </cell>
          <cell r="W69">
            <v>0</v>
          </cell>
          <cell r="X69">
            <v>0</v>
          </cell>
          <cell r="Y69">
            <v>0</v>
          </cell>
          <cell r="Z69">
            <v>0</v>
          </cell>
          <cell r="AA69">
            <v>0</v>
          </cell>
          <cell r="AB69">
            <v>0</v>
          </cell>
          <cell r="AC69">
            <v>0</v>
          </cell>
          <cell r="AD69">
            <v>0</v>
          </cell>
          <cell r="AE69">
            <v>0</v>
          </cell>
          <cell r="AF69">
            <v>0</v>
          </cell>
          <cell r="AG69">
            <v>329649599</v>
          </cell>
          <cell r="AH69">
            <v>329649599</v>
          </cell>
          <cell r="AI69">
            <v>6489761</v>
          </cell>
          <cell r="AJ69">
            <v>0</v>
          </cell>
          <cell r="AK69">
            <v>0</v>
          </cell>
          <cell r="AL69">
            <v>0</v>
          </cell>
          <cell r="AM69">
            <v>0</v>
          </cell>
          <cell r="AN69">
            <v>0</v>
          </cell>
          <cell r="AO69">
            <v>0</v>
          </cell>
          <cell r="AP69">
            <v>0</v>
          </cell>
          <cell r="AQ69">
            <v>0</v>
          </cell>
          <cell r="AR69">
            <v>0</v>
          </cell>
          <cell r="AS69">
            <v>0</v>
          </cell>
          <cell r="AT69">
            <v>0</v>
          </cell>
          <cell r="AU69">
            <v>6489761</v>
          </cell>
          <cell r="AV69">
            <v>336139360</v>
          </cell>
        </row>
        <row r="70">
          <cell r="A70">
            <v>7374003</v>
          </cell>
          <cell r="B70" t="str">
            <v>هزينه گاز</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117982156</v>
          </cell>
          <cell r="V70">
            <v>0</v>
          </cell>
          <cell r="W70">
            <v>0</v>
          </cell>
          <cell r="X70">
            <v>0</v>
          </cell>
          <cell r="Y70">
            <v>0</v>
          </cell>
          <cell r="Z70">
            <v>0</v>
          </cell>
          <cell r="AA70">
            <v>0</v>
          </cell>
          <cell r="AB70">
            <v>0</v>
          </cell>
          <cell r="AC70">
            <v>0</v>
          </cell>
          <cell r="AD70">
            <v>0</v>
          </cell>
          <cell r="AE70">
            <v>0</v>
          </cell>
          <cell r="AF70">
            <v>0</v>
          </cell>
          <cell r="AG70">
            <v>117982156</v>
          </cell>
          <cell r="AH70">
            <v>117982156</v>
          </cell>
          <cell r="AI70">
            <v>4541664</v>
          </cell>
          <cell r="AJ70">
            <v>0</v>
          </cell>
          <cell r="AK70">
            <v>0</v>
          </cell>
          <cell r="AL70">
            <v>0</v>
          </cell>
          <cell r="AM70">
            <v>0</v>
          </cell>
          <cell r="AN70">
            <v>0</v>
          </cell>
          <cell r="AO70">
            <v>0</v>
          </cell>
          <cell r="AP70">
            <v>0</v>
          </cell>
          <cell r="AQ70">
            <v>0</v>
          </cell>
          <cell r="AR70">
            <v>0</v>
          </cell>
          <cell r="AS70">
            <v>0</v>
          </cell>
          <cell r="AT70">
            <v>0</v>
          </cell>
          <cell r="AU70">
            <v>4541664</v>
          </cell>
          <cell r="AV70">
            <v>122523820</v>
          </cell>
        </row>
        <row r="71">
          <cell r="A71">
            <v>7374004</v>
          </cell>
          <cell r="B71" t="str">
            <v>هزينه سوخت</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80000</v>
          </cell>
          <cell r="X71">
            <v>2530000</v>
          </cell>
          <cell r="Y71">
            <v>0</v>
          </cell>
          <cell r="Z71">
            <v>0</v>
          </cell>
          <cell r="AA71">
            <v>0</v>
          </cell>
          <cell r="AB71">
            <v>2888000</v>
          </cell>
          <cell r="AC71">
            <v>80000</v>
          </cell>
          <cell r="AD71">
            <v>570000</v>
          </cell>
          <cell r="AE71">
            <v>0</v>
          </cell>
          <cell r="AF71">
            <v>0</v>
          </cell>
          <cell r="AG71">
            <v>6148000</v>
          </cell>
          <cell r="AH71">
            <v>6148000</v>
          </cell>
          <cell r="AI71">
            <v>0</v>
          </cell>
          <cell r="AJ71">
            <v>10704000</v>
          </cell>
          <cell r="AK71">
            <v>0</v>
          </cell>
          <cell r="AL71">
            <v>0</v>
          </cell>
          <cell r="AM71">
            <v>0</v>
          </cell>
          <cell r="AN71">
            <v>0</v>
          </cell>
          <cell r="AO71">
            <v>0</v>
          </cell>
          <cell r="AP71">
            <v>1290000</v>
          </cell>
          <cell r="AQ71">
            <v>70000</v>
          </cell>
          <cell r="AR71">
            <v>0</v>
          </cell>
          <cell r="AS71">
            <v>340000</v>
          </cell>
          <cell r="AT71">
            <v>0</v>
          </cell>
          <cell r="AU71">
            <v>12404000</v>
          </cell>
          <cell r="AV71">
            <v>18552000</v>
          </cell>
        </row>
        <row r="72">
          <cell r="A72">
            <v>7374009</v>
          </cell>
          <cell r="B72" t="str">
            <v>هزينه تلفن -تلكس</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14774045</v>
          </cell>
          <cell r="AE72">
            <v>0</v>
          </cell>
          <cell r="AF72">
            <v>0</v>
          </cell>
          <cell r="AG72">
            <v>14774045</v>
          </cell>
          <cell r="AH72">
            <v>14774045</v>
          </cell>
          <cell r="AI72">
            <v>3356718</v>
          </cell>
          <cell r="AJ72">
            <v>2087624</v>
          </cell>
          <cell r="AK72">
            <v>0</v>
          </cell>
          <cell r="AL72">
            <v>0</v>
          </cell>
          <cell r="AM72">
            <v>0</v>
          </cell>
          <cell r="AN72">
            <v>0</v>
          </cell>
          <cell r="AO72">
            <v>0</v>
          </cell>
          <cell r="AP72">
            <v>0</v>
          </cell>
          <cell r="AQ72">
            <v>0</v>
          </cell>
          <cell r="AR72">
            <v>0</v>
          </cell>
          <cell r="AS72">
            <v>0</v>
          </cell>
          <cell r="AT72">
            <v>0</v>
          </cell>
          <cell r="AU72">
            <v>5444342</v>
          </cell>
          <cell r="AV72">
            <v>20218387</v>
          </cell>
        </row>
        <row r="73">
          <cell r="A73">
            <v>7377000</v>
          </cell>
          <cell r="B73" t="str">
            <v>هزينه مميزي    ISO</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row>
        <row r="74">
          <cell r="A74">
            <v>7375000</v>
          </cell>
          <cell r="B74" t="str">
            <v xml:space="preserve"> هزينه كارشناسان رسمي</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10800000</v>
          </cell>
          <cell r="AE74">
            <v>0</v>
          </cell>
          <cell r="AF74">
            <v>0</v>
          </cell>
          <cell r="AG74">
            <v>10800000</v>
          </cell>
          <cell r="AH74">
            <v>10800000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10800000</v>
          </cell>
        </row>
        <row r="75">
          <cell r="A75">
            <v>7378000</v>
          </cell>
          <cell r="B75" t="str">
            <v>هزينه آگهي</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32040000</v>
          </cell>
          <cell r="AE75">
            <v>0</v>
          </cell>
          <cell r="AF75">
            <v>0</v>
          </cell>
          <cell r="AG75">
            <v>32040000</v>
          </cell>
          <cell r="AH75">
            <v>32040000</v>
          </cell>
          <cell r="AI75">
            <v>0</v>
          </cell>
          <cell r="AJ75">
            <v>0</v>
          </cell>
          <cell r="AK75">
            <v>0</v>
          </cell>
          <cell r="AL75">
            <v>0</v>
          </cell>
          <cell r="AM75">
            <v>0</v>
          </cell>
          <cell r="AN75">
            <v>41220000</v>
          </cell>
          <cell r="AO75">
            <v>0</v>
          </cell>
          <cell r="AP75">
            <v>0</v>
          </cell>
          <cell r="AQ75">
            <v>0</v>
          </cell>
          <cell r="AR75">
            <v>0</v>
          </cell>
          <cell r="AS75">
            <v>0</v>
          </cell>
          <cell r="AT75">
            <v>0</v>
          </cell>
          <cell r="AU75">
            <v>41220000</v>
          </cell>
          <cell r="AV75">
            <v>73260000</v>
          </cell>
        </row>
        <row r="76">
          <cell r="A76">
            <v>7379000</v>
          </cell>
          <cell r="B76" t="str">
            <v>هزينه انتشارات</v>
          </cell>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20000000</v>
          </cell>
          <cell r="AJ76">
            <v>4311200</v>
          </cell>
          <cell r="AK76">
            <v>0</v>
          </cell>
          <cell r="AL76">
            <v>0</v>
          </cell>
          <cell r="AM76">
            <v>0</v>
          </cell>
          <cell r="AN76">
            <v>0</v>
          </cell>
          <cell r="AO76">
            <v>0</v>
          </cell>
          <cell r="AP76">
            <v>0</v>
          </cell>
          <cell r="AQ76">
            <v>0</v>
          </cell>
          <cell r="AR76">
            <v>0</v>
          </cell>
          <cell r="AS76">
            <v>0</v>
          </cell>
          <cell r="AT76">
            <v>33500000</v>
          </cell>
          <cell r="AU76">
            <v>57811200</v>
          </cell>
          <cell r="AV76">
            <v>57811200</v>
          </cell>
        </row>
        <row r="77">
          <cell r="A77">
            <v>7601001</v>
          </cell>
          <cell r="B77" t="str">
            <v xml:space="preserve"> سودوكارمزدتسهيلات مالي وسايرخدمات بانكي</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row>
        <row r="78">
          <cell r="A78">
            <v>7602000</v>
          </cell>
          <cell r="B78" t="str">
            <v xml:space="preserve"> هزينه تمبرسفته</v>
          </cell>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row>
        <row r="79">
          <cell r="A79">
            <v>7602001</v>
          </cell>
          <cell r="B79" t="str">
            <v xml:space="preserve"> هزينه تمبرسفته</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row>
        <row r="80">
          <cell r="A80">
            <v>7698001</v>
          </cell>
          <cell r="B80" t="str">
            <v xml:space="preserve"> سايرهزينه هاي تامين مالي</v>
          </cell>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row>
        <row r="81">
          <cell r="A81">
            <v>7704000</v>
          </cell>
          <cell r="B81" t="str">
            <v xml:space="preserve"> هزينه جرائم دولتي</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row>
        <row r="82">
          <cell r="A82">
            <v>7380010</v>
          </cell>
          <cell r="B82" t="str">
            <v>هزينه بيمه مسئوليت مدني کارفرما</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row>
        <row r="83">
          <cell r="A83" t="str">
            <v>جمع هزینه های عملیاتی</v>
          </cell>
          <cell r="C83">
            <v>0</v>
          </cell>
          <cell r="D83">
            <v>79416758</v>
          </cell>
          <cell r="E83">
            <v>151193059</v>
          </cell>
          <cell r="F83">
            <v>74794174</v>
          </cell>
          <cell r="G83">
            <v>115613759</v>
          </cell>
          <cell r="H83">
            <v>12784900</v>
          </cell>
          <cell r="I83">
            <v>85446108</v>
          </cell>
          <cell r="J83">
            <v>9014702</v>
          </cell>
          <cell r="K83">
            <v>12678822</v>
          </cell>
          <cell r="L83">
            <v>0</v>
          </cell>
          <cell r="M83">
            <v>0</v>
          </cell>
          <cell r="N83">
            <v>104505855</v>
          </cell>
          <cell r="O83">
            <v>3188404</v>
          </cell>
          <cell r="P83">
            <v>7710540</v>
          </cell>
          <cell r="Q83">
            <v>72830152</v>
          </cell>
          <cell r="R83">
            <v>729177233</v>
          </cell>
          <cell r="S83">
            <v>2278005</v>
          </cell>
          <cell r="T83">
            <v>92181015</v>
          </cell>
          <cell r="U83">
            <v>1538070304</v>
          </cell>
          <cell r="V83">
            <v>81893416</v>
          </cell>
          <cell r="W83">
            <v>606665591</v>
          </cell>
          <cell r="X83">
            <v>247099547</v>
          </cell>
          <cell r="Y83">
            <v>27743754</v>
          </cell>
          <cell r="Z83">
            <v>5212950</v>
          </cell>
          <cell r="AA83">
            <v>2910884</v>
          </cell>
          <cell r="AB83">
            <v>56025753</v>
          </cell>
          <cell r="AC83">
            <v>33951377</v>
          </cell>
          <cell r="AD83">
            <v>1022608932</v>
          </cell>
          <cell r="AE83">
            <v>13639400</v>
          </cell>
          <cell r="AF83">
            <v>13720000</v>
          </cell>
          <cell r="AG83">
            <v>3744000928</v>
          </cell>
          <cell r="AH83">
            <v>4473178161</v>
          </cell>
          <cell r="AI83">
            <v>3222608420</v>
          </cell>
          <cell r="AJ83">
            <v>574248399</v>
          </cell>
          <cell r="AK83">
            <v>742817943</v>
          </cell>
          <cell r="AL83">
            <v>7891824</v>
          </cell>
          <cell r="AM83">
            <v>0</v>
          </cell>
          <cell r="AN83">
            <v>996655762</v>
          </cell>
          <cell r="AO83">
            <v>133377801</v>
          </cell>
          <cell r="AP83">
            <v>42143249</v>
          </cell>
          <cell r="AQ83">
            <v>110172291</v>
          </cell>
          <cell r="AR83">
            <v>15695808</v>
          </cell>
          <cell r="AS83">
            <v>39253183</v>
          </cell>
          <cell r="AT83">
            <v>178687987</v>
          </cell>
          <cell r="AU83">
            <v>6063552667</v>
          </cell>
          <cell r="AV83">
            <v>10536730828</v>
          </cell>
        </row>
        <row r="84">
          <cell r="A84">
            <v>7400000</v>
          </cell>
          <cell r="B84" t="str">
            <v>هزينه استهلاك دارائيهاي ثابت</v>
          </cell>
          <cell r="C84">
            <v>90088329</v>
          </cell>
          <cell r="D84">
            <v>12503387</v>
          </cell>
          <cell r="E84">
            <v>7928526</v>
          </cell>
          <cell r="F84">
            <v>1683202</v>
          </cell>
          <cell r="G84">
            <v>4550834</v>
          </cell>
          <cell r="H84">
            <v>89681455</v>
          </cell>
          <cell r="I84">
            <v>123764044</v>
          </cell>
          <cell r="J84">
            <v>38224485</v>
          </cell>
          <cell r="K84">
            <v>39912285</v>
          </cell>
          <cell r="L84">
            <v>0</v>
          </cell>
          <cell r="M84">
            <v>204748</v>
          </cell>
          <cell r="N84">
            <v>203607014</v>
          </cell>
          <cell r="O84">
            <v>285614022</v>
          </cell>
          <cell r="P84">
            <v>164034083</v>
          </cell>
          <cell r="Q84">
            <v>519587427</v>
          </cell>
          <cell r="R84">
            <v>1581383841</v>
          </cell>
          <cell r="S84">
            <v>4566023</v>
          </cell>
          <cell r="T84">
            <v>78024870</v>
          </cell>
          <cell r="U84">
            <v>934462861</v>
          </cell>
          <cell r="V84">
            <v>1182942491</v>
          </cell>
          <cell r="W84">
            <v>640359422</v>
          </cell>
          <cell r="X84">
            <v>116124377</v>
          </cell>
          <cell r="Y84">
            <v>33012663</v>
          </cell>
          <cell r="Z84">
            <v>5220561</v>
          </cell>
          <cell r="AA84">
            <v>0</v>
          </cell>
          <cell r="AB84">
            <v>10397284</v>
          </cell>
          <cell r="AC84">
            <v>10789174</v>
          </cell>
          <cell r="AD84">
            <v>27931874</v>
          </cell>
          <cell r="AE84">
            <v>14635036</v>
          </cell>
          <cell r="AF84">
            <v>1410931</v>
          </cell>
          <cell r="AG84">
            <v>3059877567</v>
          </cell>
          <cell r="AH84">
            <v>4641261408</v>
          </cell>
          <cell r="AI84">
            <v>306650502</v>
          </cell>
          <cell r="AJ84">
            <v>78436360</v>
          </cell>
          <cell r="AK84">
            <v>117154371</v>
          </cell>
          <cell r="AL84">
            <v>7630432</v>
          </cell>
          <cell r="AM84">
            <v>0</v>
          </cell>
          <cell r="AN84">
            <v>0</v>
          </cell>
          <cell r="AO84">
            <v>16567401</v>
          </cell>
          <cell r="AP84">
            <v>12473013</v>
          </cell>
          <cell r="AQ84">
            <v>9884953</v>
          </cell>
          <cell r="AR84">
            <v>549495</v>
          </cell>
          <cell r="AS84">
            <v>3589072</v>
          </cell>
          <cell r="AT84">
            <v>32578746</v>
          </cell>
          <cell r="AU84">
            <v>585514345</v>
          </cell>
          <cell r="AV84">
            <v>5226775753</v>
          </cell>
        </row>
        <row r="85">
          <cell r="A85" t="str">
            <v xml:space="preserve">جمع استهلاک </v>
          </cell>
          <cell r="C85">
            <v>90088329</v>
          </cell>
          <cell r="D85">
            <v>12503387</v>
          </cell>
          <cell r="E85">
            <v>7928526</v>
          </cell>
          <cell r="F85">
            <v>1683202</v>
          </cell>
          <cell r="G85">
            <v>4550834</v>
          </cell>
          <cell r="H85">
            <v>89681455</v>
          </cell>
          <cell r="I85">
            <v>123764044</v>
          </cell>
          <cell r="J85">
            <v>38224485</v>
          </cell>
          <cell r="K85">
            <v>39912285</v>
          </cell>
          <cell r="L85">
            <v>0</v>
          </cell>
          <cell r="M85">
            <v>204748</v>
          </cell>
          <cell r="N85">
            <v>203607014</v>
          </cell>
          <cell r="O85">
            <v>285614022</v>
          </cell>
          <cell r="P85">
            <v>164034083</v>
          </cell>
          <cell r="Q85">
            <v>519587427</v>
          </cell>
          <cell r="R85">
            <v>1581383841</v>
          </cell>
          <cell r="S85">
            <v>4566023</v>
          </cell>
          <cell r="T85">
            <v>78024870</v>
          </cell>
          <cell r="U85">
            <v>934462861</v>
          </cell>
          <cell r="V85">
            <v>1182942491</v>
          </cell>
          <cell r="W85">
            <v>640359422</v>
          </cell>
          <cell r="X85">
            <v>116124377</v>
          </cell>
          <cell r="Y85">
            <v>33012663</v>
          </cell>
          <cell r="Z85">
            <v>5220561</v>
          </cell>
          <cell r="AA85">
            <v>0</v>
          </cell>
          <cell r="AB85">
            <v>10397284</v>
          </cell>
          <cell r="AC85">
            <v>10789174</v>
          </cell>
          <cell r="AD85">
            <v>27931874</v>
          </cell>
          <cell r="AE85">
            <v>14635036</v>
          </cell>
          <cell r="AF85">
            <v>1410931</v>
          </cell>
          <cell r="AG85">
            <v>3059877567</v>
          </cell>
          <cell r="AH85">
            <v>4641261408</v>
          </cell>
          <cell r="AI85">
            <v>306650502</v>
          </cell>
          <cell r="AJ85">
            <v>78436360</v>
          </cell>
          <cell r="AK85">
            <v>117154371</v>
          </cell>
          <cell r="AL85">
            <v>7630432</v>
          </cell>
          <cell r="AM85">
            <v>0</v>
          </cell>
          <cell r="AN85">
            <v>0</v>
          </cell>
          <cell r="AO85">
            <v>16567401</v>
          </cell>
          <cell r="AP85">
            <v>12473013</v>
          </cell>
          <cell r="AQ85">
            <v>9884953</v>
          </cell>
          <cell r="AR85">
            <v>549495</v>
          </cell>
          <cell r="AS85">
            <v>3589072</v>
          </cell>
          <cell r="AT85">
            <v>32578746</v>
          </cell>
          <cell r="AU85">
            <v>585514345</v>
          </cell>
          <cell r="AV85">
            <v>5226775753</v>
          </cell>
        </row>
        <row r="86">
          <cell r="A86" t="str">
            <v>جمع سربار</v>
          </cell>
          <cell r="C86">
            <v>99858454</v>
          </cell>
          <cell r="D86">
            <v>133487517</v>
          </cell>
          <cell r="E86">
            <v>199794867</v>
          </cell>
          <cell r="F86">
            <v>104413208</v>
          </cell>
          <cell r="G86">
            <v>177846397</v>
          </cell>
          <cell r="H86">
            <v>122545387</v>
          </cell>
          <cell r="I86">
            <v>287832443</v>
          </cell>
          <cell r="J86">
            <v>86252023</v>
          </cell>
          <cell r="K86">
            <v>72500644</v>
          </cell>
          <cell r="L86">
            <v>0</v>
          </cell>
          <cell r="M86">
            <v>11158342</v>
          </cell>
          <cell r="N86">
            <v>383184318</v>
          </cell>
          <cell r="O86">
            <v>298102426</v>
          </cell>
          <cell r="P86">
            <v>178644623</v>
          </cell>
          <cell r="Q86">
            <v>617477654</v>
          </cell>
          <cell r="R86">
            <v>2773098303</v>
          </cell>
          <cell r="S86">
            <v>32746684</v>
          </cell>
          <cell r="T86">
            <v>319604675</v>
          </cell>
          <cell r="U86">
            <v>2643474707</v>
          </cell>
          <cell r="V86">
            <v>1298857709</v>
          </cell>
          <cell r="W86">
            <v>1468662298</v>
          </cell>
          <cell r="X86">
            <v>464211778</v>
          </cell>
          <cell r="Y86">
            <v>72658382</v>
          </cell>
          <cell r="Z86">
            <v>71967685</v>
          </cell>
          <cell r="AA86">
            <v>5660916</v>
          </cell>
          <cell r="AB86">
            <v>131831829</v>
          </cell>
          <cell r="AC86">
            <v>75084842</v>
          </cell>
          <cell r="AD86">
            <v>1283601268</v>
          </cell>
          <cell r="AE86">
            <v>1656913981</v>
          </cell>
          <cell r="AF86">
            <v>1231543311</v>
          </cell>
          <cell r="AG86">
            <v>10756820065</v>
          </cell>
          <cell r="AH86">
            <v>13529918368</v>
          </cell>
          <cell r="AI86">
            <v>4317042141</v>
          </cell>
          <cell r="AJ86">
            <v>893556376</v>
          </cell>
          <cell r="AK86">
            <v>926592109</v>
          </cell>
          <cell r="AL86">
            <v>20267256</v>
          </cell>
          <cell r="AM86">
            <v>14557872</v>
          </cell>
          <cell r="AN86">
            <v>996655762</v>
          </cell>
          <cell r="AO86">
            <v>189918777</v>
          </cell>
          <cell r="AP86">
            <v>260937342</v>
          </cell>
          <cell r="AQ86">
            <v>174723065</v>
          </cell>
          <cell r="AR86">
            <v>39541303</v>
          </cell>
          <cell r="AS86">
            <v>58741803</v>
          </cell>
          <cell r="AT86">
            <v>406995516</v>
          </cell>
          <cell r="AU86">
            <v>8299529322</v>
          </cell>
          <cell r="AV86">
            <v>21829447690</v>
          </cell>
        </row>
        <row r="87">
          <cell r="A87" t="str">
            <v xml:space="preserve">جمع کل </v>
          </cell>
          <cell r="C87">
            <v>158987358</v>
          </cell>
          <cell r="D87">
            <v>5986175285</v>
          </cell>
          <cell r="E87">
            <v>14905237061</v>
          </cell>
          <cell r="F87">
            <v>6393167296</v>
          </cell>
          <cell r="G87">
            <v>56562142248</v>
          </cell>
          <cell r="H87">
            <v>1473840813</v>
          </cell>
          <cell r="I87">
            <v>7993436626</v>
          </cell>
          <cell r="J87">
            <v>7907928880</v>
          </cell>
          <cell r="K87">
            <v>1851817176</v>
          </cell>
          <cell r="L87">
            <v>0</v>
          </cell>
          <cell r="M87">
            <v>151679797</v>
          </cell>
          <cell r="N87">
            <v>862817144</v>
          </cell>
          <cell r="O87">
            <v>13618262278</v>
          </cell>
          <cell r="P87">
            <v>1260091500</v>
          </cell>
          <cell r="Q87">
            <v>4416138087</v>
          </cell>
          <cell r="R87">
            <v>123541721549</v>
          </cell>
          <cell r="S87">
            <v>295273661</v>
          </cell>
          <cell r="T87">
            <v>1112630900</v>
          </cell>
          <cell r="U87">
            <v>4614163208</v>
          </cell>
          <cell r="V87">
            <v>1544667444</v>
          </cell>
          <cell r="W87">
            <v>3658452507</v>
          </cell>
          <cell r="X87">
            <v>1216874402</v>
          </cell>
          <cell r="Y87">
            <v>163576693</v>
          </cell>
          <cell r="Z87">
            <v>447930287</v>
          </cell>
          <cell r="AA87">
            <v>34484754</v>
          </cell>
          <cell r="AB87">
            <v>727855642</v>
          </cell>
          <cell r="AC87">
            <v>449174018</v>
          </cell>
          <cell r="AD87">
            <v>1790899612</v>
          </cell>
          <cell r="AE87">
            <v>1656913981</v>
          </cell>
          <cell r="AF87">
            <v>1265979598</v>
          </cell>
          <cell r="AG87">
            <v>18978876707</v>
          </cell>
          <cell r="AH87">
            <v>21751975010</v>
          </cell>
          <cell r="AI87">
            <v>6206042722</v>
          </cell>
          <cell r="AJ87">
            <v>1451347409</v>
          </cell>
          <cell r="AK87">
            <v>1496914693</v>
          </cell>
          <cell r="AL87">
            <v>20267256</v>
          </cell>
          <cell r="AM87">
            <v>176764251</v>
          </cell>
          <cell r="AN87">
            <v>996655762</v>
          </cell>
          <cell r="AO87">
            <v>428021821</v>
          </cell>
          <cell r="AP87">
            <v>1196988501</v>
          </cell>
          <cell r="AQ87">
            <v>465807300</v>
          </cell>
          <cell r="AR87">
            <v>46041303</v>
          </cell>
          <cell r="AS87">
            <v>165253053</v>
          </cell>
          <cell r="AT87">
            <v>1191481305</v>
          </cell>
          <cell r="AU87">
            <v>13841585376</v>
          </cell>
          <cell r="AV87">
            <v>156362183632</v>
          </cell>
        </row>
      </sheetData>
      <sheetData sheetId="18"/>
      <sheetData sheetId="19"/>
      <sheetData sheetId="20"/>
      <sheetData sheetId="21"/>
      <sheetData sheetId="22"/>
      <sheetData sheetId="23"/>
      <sheetData sheetId="24"/>
      <sheetData sheetId="25"/>
      <sheetData sheetId="26">
        <row r="92">
          <cell r="D92">
            <v>19001798</v>
          </cell>
        </row>
      </sheetData>
      <sheetData sheetId="27">
        <row r="92">
          <cell r="I92">
            <v>548078.92384783155</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2)"/>
    </sheetNames>
    <sheetDataSet>
      <sheetData sheetId="0"/>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E3C26-1524-4901-9C9A-25F5C2B38EBB}">
  <sheetPr codeName="Sheet88">
    <tabColor rgb="FF458B74"/>
    <pageSetUpPr fitToPage="1"/>
  </sheetPr>
  <dimension ref="A1:FT31"/>
  <sheetViews>
    <sheetView showGridLines="0" rightToLeft="1" zoomScale="80" zoomScaleNormal="80" workbookViewId="0">
      <selection activeCell="T5" sqref="T5"/>
    </sheetView>
  </sheetViews>
  <sheetFormatPr defaultColWidth="8" defaultRowHeight="21" x14ac:dyDescent="0.6"/>
  <cols>
    <col min="1" max="1" width="6.625" style="17" customWidth="1"/>
    <col min="2" max="2" width="24.5" style="17" customWidth="1"/>
    <col min="3" max="15" width="16.25" style="17" customWidth="1"/>
    <col min="16" max="16" width="8" style="17"/>
    <col min="17" max="17" width="5.25" style="17" bestFit="1" customWidth="1"/>
    <col min="18" max="19" width="19.375" style="17" customWidth="1"/>
    <col min="20" max="31" width="16.25" style="17" customWidth="1"/>
    <col min="32" max="32" width="8" style="17"/>
    <col min="33" max="33" width="5.25" style="17" bestFit="1" customWidth="1"/>
    <col min="34" max="35" width="19.375" style="17" customWidth="1"/>
    <col min="36" max="47" width="16.25" style="17" customWidth="1"/>
    <col min="48" max="48" width="8" style="17"/>
    <col min="49" max="49" width="5.25" style="17" bestFit="1" customWidth="1"/>
    <col min="50" max="51" width="19.375" style="17" customWidth="1"/>
    <col min="52" max="63" width="16.25" style="17" customWidth="1"/>
    <col min="64" max="64" width="8" style="17"/>
    <col min="65" max="65" width="5.25" style="17" bestFit="1" customWidth="1"/>
    <col min="66" max="67" width="19.375" style="17" customWidth="1"/>
    <col min="68" max="79" width="16.25" style="17" customWidth="1"/>
    <col min="80" max="80" width="8" style="17"/>
    <col min="81" max="81" width="5.25" style="17" bestFit="1" customWidth="1"/>
    <col min="82" max="83" width="19.375" style="17" customWidth="1"/>
    <col min="84" max="95" width="16.25" style="17" customWidth="1"/>
    <col min="96" max="96" width="8" style="17"/>
    <col min="97" max="97" width="5.25" style="17" bestFit="1" customWidth="1"/>
    <col min="98" max="99" width="19.375" style="17" customWidth="1"/>
    <col min="100" max="111" width="16.25" style="17" customWidth="1"/>
    <col min="112" max="112" width="8" style="17"/>
    <col min="113" max="113" width="5.25" style="17" bestFit="1" customWidth="1"/>
    <col min="114" max="115" width="19.375" style="17" customWidth="1"/>
    <col min="116" max="127" width="16.25" style="17" customWidth="1"/>
    <col min="128" max="128" width="8" style="17"/>
    <col min="129" max="129" width="5.25" style="17" bestFit="1" customWidth="1"/>
    <col min="130" max="131" width="19.375" style="17" customWidth="1"/>
    <col min="132" max="143" width="16.25" style="17" customWidth="1"/>
    <col min="144" max="144" width="8" style="17"/>
    <col min="145" max="145" width="5.25" style="17" bestFit="1" customWidth="1"/>
    <col min="146" max="147" width="19.375" style="17" customWidth="1"/>
    <col min="148" max="159" width="16.25" style="17" customWidth="1"/>
    <col min="160" max="160" width="8" style="17"/>
    <col min="161" max="161" width="5.25" style="17" bestFit="1" customWidth="1"/>
    <col min="162" max="163" width="19.375" style="17" customWidth="1"/>
    <col min="164" max="175" width="16.25" style="17" customWidth="1"/>
    <col min="176" max="16384" width="8" style="17"/>
  </cols>
  <sheetData>
    <row r="1" spans="1:176" s="5" customFormat="1" ht="24" customHeight="1" x14ac:dyDescent="0.2">
      <c r="A1" s="1" t="str">
        <f>[1]صادرات!A1</f>
        <v>انبارهای عمومی و خدمات گمرکی ایران</v>
      </c>
      <c r="B1" s="1"/>
      <c r="C1" s="1"/>
      <c r="D1" s="1"/>
      <c r="E1" s="1"/>
      <c r="F1" s="1"/>
      <c r="G1" s="1"/>
      <c r="H1" s="1"/>
      <c r="I1" s="1"/>
      <c r="J1" s="1"/>
      <c r="K1" s="1"/>
      <c r="L1" s="1"/>
      <c r="M1" s="1"/>
      <c r="N1" s="1"/>
      <c r="O1" s="1"/>
      <c r="P1" s="2"/>
      <c r="Q1" s="2"/>
      <c r="R1" s="2"/>
      <c r="S1" s="2"/>
      <c r="T1" s="2"/>
      <c r="U1" s="3" t="str">
        <f>AF2</f>
        <v>شهید کاوه</v>
      </c>
      <c r="V1" s="3"/>
      <c r="W1" s="3" t="str">
        <f>U1</f>
        <v>شهید کاوه</v>
      </c>
      <c r="X1" s="3"/>
      <c r="Y1" s="3"/>
      <c r="Z1" s="4" t="str">
        <f>W1</f>
        <v>شهید کاوه</v>
      </c>
      <c r="AG1" s="2"/>
      <c r="AH1" s="2"/>
      <c r="AI1" s="2"/>
      <c r="AJ1" s="2"/>
      <c r="AK1" s="3" t="str">
        <f>AV2</f>
        <v>مطهری</v>
      </c>
      <c r="AL1" s="3"/>
      <c r="AM1" s="3" t="str">
        <f>AK1</f>
        <v>مطهری</v>
      </c>
      <c r="AN1" s="3"/>
      <c r="AO1" s="3"/>
      <c r="AP1" s="4" t="str">
        <f>AM1</f>
        <v>مطهری</v>
      </c>
      <c r="AW1" s="2"/>
      <c r="AX1" s="2"/>
      <c r="AY1" s="2"/>
      <c r="AZ1" s="2"/>
      <c r="BA1" s="3" t="str">
        <f>BL2</f>
        <v>سرخس</v>
      </c>
      <c r="BB1" s="3"/>
      <c r="BC1" s="3" t="str">
        <f>BA1</f>
        <v>سرخس</v>
      </c>
      <c r="BD1" s="3"/>
      <c r="BE1" s="3"/>
      <c r="BF1" s="4" t="str">
        <f>BC1</f>
        <v>سرخس</v>
      </c>
      <c r="BM1" s="2"/>
      <c r="BN1" s="2"/>
      <c r="BO1" s="2"/>
      <c r="BP1" s="2"/>
      <c r="BQ1" s="3" t="str">
        <f>CB2</f>
        <v>لطف آباد</v>
      </c>
      <c r="BR1" s="3"/>
      <c r="BS1" s="3" t="str">
        <f>BQ1</f>
        <v>لطف آباد</v>
      </c>
      <c r="BT1" s="3"/>
      <c r="BU1" s="3"/>
      <c r="BV1" s="4" t="str">
        <f>BS1</f>
        <v>لطف آباد</v>
      </c>
      <c r="CC1" s="2"/>
      <c r="CD1" s="2"/>
      <c r="CE1" s="2"/>
      <c r="CF1" s="2"/>
      <c r="CG1" s="3" t="str">
        <f>CR2</f>
        <v>نیشابور</v>
      </c>
      <c r="CH1" s="3"/>
      <c r="CI1" s="3" t="str">
        <f>CG1</f>
        <v>نیشابور</v>
      </c>
      <c r="CJ1" s="3"/>
      <c r="CK1" s="3"/>
      <c r="CL1" s="4" t="str">
        <f>CI1</f>
        <v>نیشابور</v>
      </c>
      <c r="CS1" s="2"/>
      <c r="CT1" s="2"/>
      <c r="CU1" s="2"/>
      <c r="CV1" s="2"/>
      <c r="CW1" s="3" t="str">
        <f>DH2</f>
        <v>ماهیرود</v>
      </c>
      <c r="CX1" s="3"/>
      <c r="CY1" s="3" t="str">
        <f>CW1</f>
        <v>ماهیرود</v>
      </c>
      <c r="CZ1" s="3"/>
      <c r="DA1" s="3"/>
      <c r="DB1" s="4" t="str">
        <f>CY1</f>
        <v>ماهیرود</v>
      </c>
      <c r="DI1" s="2"/>
      <c r="DJ1" s="2"/>
      <c r="DK1" s="2"/>
      <c r="DL1" s="2"/>
      <c r="DM1" s="3" t="str">
        <f>DX2</f>
        <v>دوغارون</v>
      </c>
      <c r="DN1" s="3"/>
      <c r="DO1" s="3" t="str">
        <f>DM1</f>
        <v>دوغارون</v>
      </c>
      <c r="DP1" s="3"/>
      <c r="DQ1" s="3"/>
      <c r="DR1" s="4" t="str">
        <f>DO1</f>
        <v>دوغارون</v>
      </c>
      <c r="DY1" s="2"/>
      <c r="DZ1" s="2"/>
      <c r="EA1" s="2"/>
      <c r="EB1" s="2"/>
      <c r="EC1" s="3" t="str">
        <f>EN2</f>
        <v>بجنورد</v>
      </c>
      <c r="ED1" s="3"/>
      <c r="EE1" s="3" t="str">
        <f>EC1</f>
        <v>بجنورد</v>
      </c>
      <c r="EF1" s="3"/>
      <c r="EG1" s="3"/>
      <c r="EH1" s="4" t="str">
        <f>EE1</f>
        <v>بجنورد</v>
      </c>
      <c r="EO1" s="2"/>
      <c r="EP1" s="2"/>
      <c r="EQ1" s="2"/>
      <c r="ER1" s="2"/>
      <c r="ES1" s="3" t="str">
        <f>FD2</f>
        <v>بیرجند</v>
      </c>
      <c r="ET1" s="3"/>
      <c r="EU1" s="3" t="str">
        <f>ES1</f>
        <v>بیرجند</v>
      </c>
      <c r="EV1" s="3"/>
      <c r="EW1" s="3"/>
      <c r="EX1" s="4" t="str">
        <f>EU1</f>
        <v>بیرجند</v>
      </c>
      <c r="FE1" s="2"/>
      <c r="FF1" s="2"/>
      <c r="FG1" s="2"/>
      <c r="FH1" s="2"/>
      <c r="FI1" s="3" t="str">
        <f>FT2</f>
        <v>باجگیران</v>
      </c>
      <c r="FJ1" s="3"/>
      <c r="FK1" s="3" t="str">
        <f>FI1</f>
        <v>باجگیران</v>
      </c>
      <c r="FL1" s="3"/>
      <c r="FM1" s="3"/>
      <c r="FN1" s="4" t="str">
        <f>FK1</f>
        <v>باجگیران</v>
      </c>
    </row>
    <row r="2" spans="1:176" s="5" customFormat="1" ht="28.5" customHeight="1" thickBot="1" x14ac:dyDescent="0.8">
      <c r="A2" s="6" t="str">
        <f xml:space="preserve"> "جدول فروش خدمات در دوره " &amp; [1]روکش!$F$9 &amp; " سال " &amp; [1]روکش!$D$9&amp;"- مجتمع خراسان"</f>
        <v>جدول فروش خدمات در دوره شش ماهه سال 1405- مجتمع خراسان</v>
      </c>
      <c r="B2" s="6"/>
      <c r="C2" s="6"/>
      <c r="D2" s="6"/>
      <c r="E2" s="6"/>
      <c r="F2" s="6"/>
      <c r="G2" s="6"/>
      <c r="H2" s="6"/>
      <c r="I2" s="6"/>
      <c r="J2" s="6"/>
      <c r="K2" s="6"/>
      <c r="L2" s="7"/>
      <c r="M2" s="7"/>
      <c r="N2" s="7"/>
      <c r="O2" s="7"/>
      <c r="P2" s="8"/>
      <c r="Q2" s="9" t="str">
        <f xml:space="preserve"> "جدول فروش خدمات در دوره " &amp; [1]روکش!$F$9 &amp; " سال " &amp; [1]روکش!$D$9&amp;"- مجتمع خراسان/ شعبه "&amp;AF$2</f>
        <v>جدول فروش خدمات در دوره شش ماهه سال 1405- مجتمع خراسان/ شعبه شهید کاوه</v>
      </c>
      <c r="R2" s="9"/>
      <c r="S2" s="9"/>
      <c r="T2" s="9"/>
      <c r="U2" s="9"/>
      <c r="V2" s="9"/>
      <c r="W2" s="9"/>
      <c r="X2" s="9"/>
      <c r="Y2" s="9"/>
      <c r="Z2" s="9"/>
      <c r="AA2" s="9"/>
      <c r="AB2" s="9"/>
      <c r="AC2" s="9"/>
      <c r="AD2" s="9"/>
      <c r="AE2" s="9"/>
      <c r="AF2" s="10" t="str">
        <f>[1]واردات!$AA$42</f>
        <v>شهید کاوه</v>
      </c>
      <c r="AG2" s="9" t="str">
        <f xml:space="preserve"> "جدول فروش خدمات در دوره " &amp; [1]روکش!$F$9 &amp; " سال " &amp; [1]روکش!$D$9&amp;"- مجتمع خراسان/ شعبه "&amp;AV$2</f>
        <v>جدول فروش خدمات در دوره شش ماهه سال 1405- مجتمع خراسان/ شعبه مطهری</v>
      </c>
      <c r="AH2" s="9"/>
      <c r="AI2" s="9"/>
      <c r="AJ2" s="9"/>
      <c r="AK2" s="9"/>
      <c r="AL2" s="9"/>
      <c r="AM2" s="9"/>
      <c r="AN2" s="9"/>
      <c r="AO2" s="9"/>
      <c r="AP2" s="9"/>
      <c r="AQ2" s="9"/>
      <c r="AR2" s="9"/>
      <c r="AS2" s="9"/>
      <c r="AT2" s="9"/>
      <c r="AU2" s="9"/>
      <c r="AV2" s="10" t="str">
        <f>[1]واردات!$AA$43</f>
        <v>مطهری</v>
      </c>
      <c r="AW2" s="9" t="str">
        <f xml:space="preserve"> "جدول فروش خدمات در دوره " &amp; [1]روکش!$F$9 &amp; " سال " &amp; [1]روکش!$D$9&amp;"- مجتمع خراسان/ شعبه "&amp;BL$2</f>
        <v>جدول فروش خدمات در دوره شش ماهه سال 1405- مجتمع خراسان/ شعبه سرخس</v>
      </c>
      <c r="AX2" s="9"/>
      <c r="AY2" s="9"/>
      <c r="AZ2" s="9"/>
      <c r="BA2" s="9"/>
      <c r="BB2" s="9"/>
      <c r="BC2" s="9"/>
      <c r="BD2" s="9"/>
      <c r="BE2" s="9"/>
      <c r="BF2" s="9"/>
      <c r="BG2" s="9"/>
      <c r="BH2" s="9"/>
      <c r="BI2" s="9"/>
      <c r="BJ2" s="9"/>
      <c r="BK2" s="9"/>
      <c r="BL2" s="10" t="str">
        <f>[1]واردات!$AA$44</f>
        <v>سرخس</v>
      </c>
      <c r="BM2" s="9" t="str">
        <f xml:space="preserve"> "جدول فروش خدمات در دوره " &amp; [1]روکش!$F$9 &amp; " سال " &amp; [1]روکش!$D$9&amp;"- مجتمع خراسان/ شعبه "&amp;CB$2</f>
        <v>جدول فروش خدمات در دوره شش ماهه سال 1405- مجتمع خراسان/ شعبه لطف آباد</v>
      </c>
      <c r="BN2" s="9"/>
      <c r="BO2" s="9"/>
      <c r="BP2" s="9"/>
      <c r="BQ2" s="9"/>
      <c r="BR2" s="9"/>
      <c r="BS2" s="9"/>
      <c r="BT2" s="9"/>
      <c r="BU2" s="9"/>
      <c r="BV2" s="9"/>
      <c r="BW2" s="9"/>
      <c r="BX2" s="9"/>
      <c r="BY2" s="9"/>
      <c r="BZ2" s="9"/>
      <c r="CA2" s="9"/>
      <c r="CB2" s="10" t="str">
        <f>[1]واردات!$AA$45</f>
        <v>لطف آباد</v>
      </c>
      <c r="CC2" s="9" t="str">
        <f xml:space="preserve"> "جدول فروش خدمات در دوره " &amp; [1]روکش!$F$9 &amp; " سال " &amp; [1]روکش!$D$9&amp;"- مجتمع خراسان/ شعبه "&amp;CR$2</f>
        <v>جدول فروش خدمات در دوره شش ماهه سال 1405- مجتمع خراسان/ شعبه نیشابور</v>
      </c>
      <c r="CD2" s="9"/>
      <c r="CE2" s="9"/>
      <c r="CF2" s="9"/>
      <c r="CG2" s="9"/>
      <c r="CH2" s="9"/>
      <c r="CI2" s="9"/>
      <c r="CJ2" s="9"/>
      <c r="CK2" s="9"/>
      <c r="CL2" s="9"/>
      <c r="CM2" s="9"/>
      <c r="CN2" s="9"/>
      <c r="CO2" s="9"/>
      <c r="CP2" s="9"/>
      <c r="CQ2" s="9"/>
      <c r="CR2" s="10" t="str">
        <f>[1]واردات!$AA$46</f>
        <v>نیشابور</v>
      </c>
      <c r="CS2" s="9" t="str">
        <f xml:space="preserve"> "جدول فروش خدمات در دوره " &amp; [1]روکش!$F$9 &amp; " سال " &amp; [1]روکش!$D$9&amp;"- مجتمع خراسان/ شعبه "&amp;DH$2</f>
        <v>جدول فروش خدمات در دوره شش ماهه سال 1405- مجتمع خراسان/ شعبه ماهیرود</v>
      </c>
      <c r="CT2" s="9"/>
      <c r="CU2" s="9"/>
      <c r="CV2" s="9"/>
      <c r="CW2" s="9"/>
      <c r="CX2" s="9"/>
      <c r="CY2" s="9"/>
      <c r="CZ2" s="9"/>
      <c r="DA2" s="9"/>
      <c r="DB2" s="9"/>
      <c r="DC2" s="9"/>
      <c r="DD2" s="9"/>
      <c r="DE2" s="9"/>
      <c r="DF2" s="9"/>
      <c r="DG2" s="9"/>
      <c r="DH2" s="10" t="str">
        <f>[1]واردات!$AA$47</f>
        <v>ماهیرود</v>
      </c>
      <c r="DI2" s="9" t="str">
        <f xml:space="preserve"> "جدول فروش خدمات در دوره " &amp; [1]روکش!$F$9 &amp; " سال " &amp; [1]روکش!$D$9&amp;"- مجتمع خراسان/ شعبه "&amp;DX$2</f>
        <v>جدول فروش خدمات در دوره شش ماهه سال 1405- مجتمع خراسان/ شعبه دوغارون</v>
      </c>
      <c r="DJ2" s="9"/>
      <c r="DK2" s="9"/>
      <c r="DL2" s="9"/>
      <c r="DM2" s="9"/>
      <c r="DN2" s="9"/>
      <c r="DO2" s="9"/>
      <c r="DP2" s="9"/>
      <c r="DQ2" s="9"/>
      <c r="DR2" s="9"/>
      <c r="DS2" s="9"/>
      <c r="DT2" s="9"/>
      <c r="DU2" s="9"/>
      <c r="DV2" s="9"/>
      <c r="DW2" s="9"/>
      <c r="DX2" s="10" t="str">
        <f>[1]واردات!$AA$48</f>
        <v>دوغارون</v>
      </c>
      <c r="DY2" s="9" t="str">
        <f xml:space="preserve"> "جدول فروش خدمات در دوره " &amp; [1]روکش!$F$9 &amp; " سال " &amp; [1]روکش!$D$9&amp;"- مجتمع خراسان/ شعبه "&amp;EN$2</f>
        <v>جدول فروش خدمات در دوره شش ماهه سال 1405- مجتمع خراسان/ شعبه بجنورد</v>
      </c>
      <c r="DZ2" s="9"/>
      <c r="EA2" s="9"/>
      <c r="EB2" s="9"/>
      <c r="EC2" s="9"/>
      <c r="ED2" s="9"/>
      <c r="EE2" s="9"/>
      <c r="EF2" s="9"/>
      <c r="EG2" s="9"/>
      <c r="EH2" s="9"/>
      <c r="EI2" s="9"/>
      <c r="EJ2" s="9"/>
      <c r="EK2" s="9"/>
      <c r="EL2" s="9"/>
      <c r="EM2" s="9"/>
      <c r="EN2" s="10" t="str">
        <f>[1]واردات!$AA$49</f>
        <v>بجنورد</v>
      </c>
      <c r="EO2" s="9" t="str">
        <f xml:space="preserve"> "جدول فروش خدمات در دوره " &amp; [1]روکش!$F$9 &amp; " سال " &amp; [1]روکش!$D$9&amp;"- مجتمع خراسان/ شعبه "&amp;FD$2</f>
        <v>جدول فروش خدمات در دوره شش ماهه سال 1405- مجتمع خراسان/ شعبه بیرجند</v>
      </c>
      <c r="EP2" s="9"/>
      <c r="EQ2" s="9"/>
      <c r="ER2" s="9"/>
      <c r="ES2" s="9"/>
      <c r="ET2" s="9"/>
      <c r="EU2" s="9"/>
      <c r="EV2" s="9"/>
      <c r="EW2" s="9"/>
      <c r="EX2" s="9"/>
      <c r="EY2" s="9"/>
      <c r="EZ2" s="9"/>
      <c r="FA2" s="9"/>
      <c r="FB2" s="9"/>
      <c r="FC2" s="9"/>
      <c r="FD2" s="10" t="str">
        <f>[1]واردات!$AA$50</f>
        <v>بیرجند</v>
      </c>
      <c r="FE2" s="9" t="str">
        <f xml:space="preserve"> "جدول فروش خدمات در دوره " &amp; [1]روکش!$F$9 &amp; " سال " &amp; [1]روکش!$D$9&amp;"- مجتمع خراسان/ شعبه "&amp;FT$2</f>
        <v>جدول فروش خدمات در دوره شش ماهه سال 1405- مجتمع خراسان/ شعبه باجگیران</v>
      </c>
      <c r="FF2" s="9"/>
      <c r="FG2" s="9"/>
      <c r="FH2" s="9"/>
      <c r="FI2" s="9"/>
      <c r="FJ2" s="9"/>
      <c r="FK2" s="9"/>
      <c r="FL2" s="9"/>
      <c r="FM2" s="9"/>
      <c r="FN2" s="9"/>
      <c r="FO2" s="9"/>
      <c r="FP2" s="9"/>
      <c r="FQ2" s="9"/>
      <c r="FR2" s="9"/>
      <c r="FS2" s="9"/>
      <c r="FT2" s="10" t="str">
        <f>[1]واردات!$AA$51</f>
        <v>باجگیران</v>
      </c>
    </row>
    <row r="3" spans="1:176" ht="63" customHeight="1" x14ac:dyDescent="0.6">
      <c r="A3" s="11" t="s">
        <v>0</v>
      </c>
      <c r="B3" s="12" t="s">
        <v>1</v>
      </c>
      <c r="C3" s="13" t="s">
        <v>2</v>
      </c>
      <c r="D3" s="14" t="s">
        <v>3</v>
      </c>
      <c r="E3" s="15"/>
      <c r="F3" s="14" t="s">
        <v>4</v>
      </c>
      <c r="G3" s="15"/>
      <c r="H3" s="16" t="s">
        <v>5</v>
      </c>
      <c r="I3" s="14"/>
      <c r="J3" s="14"/>
      <c r="K3" s="15"/>
      <c r="L3" s="14" t="s">
        <v>6</v>
      </c>
      <c r="M3" s="15"/>
      <c r="N3" s="14" t="s">
        <v>7</v>
      </c>
      <c r="O3" s="15"/>
      <c r="Q3" s="11" t="str">
        <f>$A$3</f>
        <v>بخش</v>
      </c>
      <c r="R3" s="12" t="str">
        <f>$B$3</f>
        <v xml:space="preserve">شرح خدمات  </v>
      </c>
      <c r="S3" s="13" t="str">
        <f>$C$3</f>
        <v xml:space="preserve">واحد سنجش </v>
      </c>
      <c r="T3" s="14" t="str">
        <f>$D$3</f>
        <v>عملکرد سال قبل</v>
      </c>
      <c r="U3" s="15"/>
      <c r="V3" s="14" t="str">
        <f>$F$3</f>
        <v>بودجه دوره رسیدگی سال جاری</v>
      </c>
      <c r="W3" s="15"/>
      <c r="X3" s="16" t="str">
        <f>$H$3</f>
        <v>عملکرد دوره رسیدگی سال جاری</v>
      </c>
      <c r="Y3" s="14"/>
      <c r="Z3" s="14"/>
      <c r="AA3" s="15"/>
      <c r="AB3" s="14" t="str">
        <f>$L$3</f>
        <v>تغییرات مقداری سال جاری و سال قبل</v>
      </c>
      <c r="AC3" s="15"/>
      <c r="AD3" s="14" t="str">
        <f>$N$3</f>
        <v>تغییرات درصدی سال جاری و سال قبل</v>
      </c>
      <c r="AE3" s="15"/>
      <c r="AG3" s="11" t="str">
        <f>$A$3</f>
        <v>بخش</v>
      </c>
      <c r="AH3" s="12" t="str">
        <f>$B$3</f>
        <v xml:space="preserve">شرح خدمات  </v>
      </c>
      <c r="AI3" s="13" t="str">
        <f>$C$3</f>
        <v xml:space="preserve">واحد سنجش </v>
      </c>
      <c r="AJ3" s="14" t="str">
        <f>$D$3</f>
        <v>عملکرد سال قبل</v>
      </c>
      <c r="AK3" s="15"/>
      <c r="AL3" s="14" t="str">
        <f>$F$3</f>
        <v>بودجه دوره رسیدگی سال جاری</v>
      </c>
      <c r="AM3" s="15"/>
      <c r="AN3" s="16" t="str">
        <f>$H$3</f>
        <v>عملکرد دوره رسیدگی سال جاری</v>
      </c>
      <c r="AO3" s="14"/>
      <c r="AP3" s="14"/>
      <c r="AQ3" s="15"/>
      <c r="AR3" s="14" t="str">
        <f>$L$3</f>
        <v>تغییرات مقداری سال جاری و سال قبل</v>
      </c>
      <c r="AS3" s="15"/>
      <c r="AT3" s="14" t="str">
        <f>$N$3</f>
        <v>تغییرات درصدی سال جاری و سال قبل</v>
      </c>
      <c r="AU3" s="15"/>
      <c r="AW3" s="11" t="str">
        <f>$A$3</f>
        <v>بخش</v>
      </c>
      <c r="AX3" s="12" t="str">
        <f>$B$3</f>
        <v xml:space="preserve">شرح خدمات  </v>
      </c>
      <c r="AY3" s="13" t="str">
        <f>$C$3</f>
        <v xml:space="preserve">واحد سنجش </v>
      </c>
      <c r="AZ3" s="14" t="str">
        <f>$D$3</f>
        <v>عملکرد سال قبل</v>
      </c>
      <c r="BA3" s="15"/>
      <c r="BB3" s="14" t="str">
        <f>$F$3</f>
        <v>بودجه دوره رسیدگی سال جاری</v>
      </c>
      <c r="BC3" s="15"/>
      <c r="BD3" s="16" t="str">
        <f>$H$3</f>
        <v>عملکرد دوره رسیدگی سال جاری</v>
      </c>
      <c r="BE3" s="14"/>
      <c r="BF3" s="14"/>
      <c r="BG3" s="15"/>
      <c r="BH3" s="14" t="str">
        <f>$L$3</f>
        <v>تغییرات مقداری سال جاری و سال قبل</v>
      </c>
      <c r="BI3" s="15"/>
      <c r="BJ3" s="14" t="str">
        <f>$N$3</f>
        <v>تغییرات درصدی سال جاری و سال قبل</v>
      </c>
      <c r="BK3" s="15"/>
      <c r="BM3" s="11" t="str">
        <f>$A$3</f>
        <v>بخش</v>
      </c>
      <c r="BN3" s="12" t="str">
        <f>$B$3</f>
        <v xml:space="preserve">شرح خدمات  </v>
      </c>
      <c r="BO3" s="13" t="str">
        <f>$C$3</f>
        <v xml:space="preserve">واحد سنجش </v>
      </c>
      <c r="BP3" s="14" t="str">
        <f>$D$3</f>
        <v>عملکرد سال قبل</v>
      </c>
      <c r="BQ3" s="15"/>
      <c r="BR3" s="14" t="str">
        <f>$F$3</f>
        <v>بودجه دوره رسیدگی سال جاری</v>
      </c>
      <c r="BS3" s="15"/>
      <c r="BT3" s="16" t="str">
        <f>$H$3</f>
        <v>عملکرد دوره رسیدگی سال جاری</v>
      </c>
      <c r="BU3" s="14"/>
      <c r="BV3" s="14"/>
      <c r="BW3" s="15"/>
      <c r="BX3" s="14" t="str">
        <f>$L$3</f>
        <v>تغییرات مقداری سال جاری و سال قبل</v>
      </c>
      <c r="BY3" s="15"/>
      <c r="BZ3" s="14" t="str">
        <f>$N$3</f>
        <v>تغییرات درصدی سال جاری و سال قبل</v>
      </c>
      <c r="CA3" s="15"/>
      <c r="CC3" s="11" t="str">
        <f>$A$3</f>
        <v>بخش</v>
      </c>
      <c r="CD3" s="12" t="str">
        <f>$B$3</f>
        <v xml:space="preserve">شرح خدمات  </v>
      </c>
      <c r="CE3" s="13" t="str">
        <f>$C$3</f>
        <v xml:space="preserve">واحد سنجش </v>
      </c>
      <c r="CF3" s="14" t="str">
        <f>$D$3</f>
        <v>عملکرد سال قبل</v>
      </c>
      <c r="CG3" s="15"/>
      <c r="CH3" s="14" t="str">
        <f>$F$3</f>
        <v>بودجه دوره رسیدگی سال جاری</v>
      </c>
      <c r="CI3" s="15"/>
      <c r="CJ3" s="16" t="str">
        <f>$H$3</f>
        <v>عملکرد دوره رسیدگی سال جاری</v>
      </c>
      <c r="CK3" s="14"/>
      <c r="CL3" s="14"/>
      <c r="CM3" s="15"/>
      <c r="CN3" s="14" t="str">
        <f>$L$3</f>
        <v>تغییرات مقداری سال جاری و سال قبل</v>
      </c>
      <c r="CO3" s="15"/>
      <c r="CP3" s="14" t="str">
        <f>$N$3</f>
        <v>تغییرات درصدی سال جاری و سال قبل</v>
      </c>
      <c r="CQ3" s="15"/>
      <c r="CS3" s="11" t="str">
        <f>$A$3</f>
        <v>بخش</v>
      </c>
      <c r="CT3" s="12" t="str">
        <f>$B$3</f>
        <v xml:space="preserve">شرح خدمات  </v>
      </c>
      <c r="CU3" s="13" t="str">
        <f>$C$3</f>
        <v xml:space="preserve">واحد سنجش </v>
      </c>
      <c r="CV3" s="14" t="str">
        <f>$D$3</f>
        <v>عملکرد سال قبل</v>
      </c>
      <c r="CW3" s="15"/>
      <c r="CX3" s="14" t="str">
        <f>$F$3</f>
        <v>بودجه دوره رسیدگی سال جاری</v>
      </c>
      <c r="CY3" s="15"/>
      <c r="CZ3" s="16" t="str">
        <f>$H$3</f>
        <v>عملکرد دوره رسیدگی سال جاری</v>
      </c>
      <c r="DA3" s="14"/>
      <c r="DB3" s="14"/>
      <c r="DC3" s="15"/>
      <c r="DD3" s="14" t="str">
        <f>$L$3</f>
        <v>تغییرات مقداری سال جاری و سال قبل</v>
      </c>
      <c r="DE3" s="15"/>
      <c r="DF3" s="14" t="str">
        <f>$N$3</f>
        <v>تغییرات درصدی سال جاری و سال قبل</v>
      </c>
      <c r="DG3" s="15"/>
      <c r="DI3" s="11" t="str">
        <f>$A$3</f>
        <v>بخش</v>
      </c>
      <c r="DJ3" s="12" t="str">
        <f>$B$3</f>
        <v xml:space="preserve">شرح خدمات  </v>
      </c>
      <c r="DK3" s="13" t="str">
        <f>$C$3</f>
        <v xml:space="preserve">واحد سنجش </v>
      </c>
      <c r="DL3" s="14" t="str">
        <f>$D$3</f>
        <v>عملکرد سال قبل</v>
      </c>
      <c r="DM3" s="15"/>
      <c r="DN3" s="14" t="str">
        <f>$F$3</f>
        <v>بودجه دوره رسیدگی سال جاری</v>
      </c>
      <c r="DO3" s="15"/>
      <c r="DP3" s="16" t="str">
        <f>$H$3</f>
        <v>عملکرد دوره رسیدگی سال جاری</v>
      </c>
      <c r="DQ3" s="14"/>
      <c r="DR3" s="14"/>
      <c r="DS3" s="15"/>
      <c r="DT3" s="14" t="str">
        <f>$L$3</f>
        <v>تغییرات مقداری سال جاری و سال قبل</v>
      </c>
      <c r="DU3" s="15"/>
      <c r="DV3" s="14" t="str">
        <f>$N$3</f>
        <v>تغییرات درصدی سال جاری و سال قبل</v>
      </c>
      <c r="DW3" s="15"/>
      <c r="DY3" s="11" t="str">
        <f>$A$3</f>
        <v>بخش</v>
      </c>
      <c r="DZ3" s="12" t="str">
        <f>$B$3</f>
        <v xml:space="preserve">شرح خدمات  </v>
      </c>
      <c r="EA3" s="13" t="str">
        <f>$C$3</f>
        <v xml:space="preserve">واحد سنجش </v>
      </c>
      <c r="EB3" s="14" t="str">
        <f>$D$3</f>
        <v>عملکرد سال قبل</v>
      </c>
      <c r="EC3" s="15"/>
      <c r="ED3" s="14" t="str">
        <f>$F$3</f>
        <v>بودجه دوره رسیدگی سال جاری</v>
      </c>
      <c r="EE3" s="15"/>
      <c r="EF3" s="16" t="str">
        <f>$H$3</f>
        <v>عملکرد دوره رسیدگی سال جاری</v>
      </c>
      <c r="EG3" s="14"/>
      <c r="EH3" s="14"/>
      <c r="EI3" s="15"/>
      <c r="EJ3" s="14" t="str">
        <f>$L$3</f>
        <v>تغییرات مقداری سال جاری و سال قبل</v>
      </c>
      <c r="EK3" s="15"/>
      <c r="EL3" s="14" t="str">
        <f>$N$3</f>
        <v>تغییرات درصدی سال جاری و سال قبل</v>
      </c>
      <c r="EM3" s="15"/>
      <c r="EO3" s="11" t="str">
        <f>$A$3</f>
        <v>بخش</v>
      </c>
      <c r="EP3" s="12" t="str">
        <f>$B$3</f>
        <v xml:space="preserve">شرح خدمات  </v>
      </c>
      <c r="EQ3" s="13" t="str">
        <f>$C$3</f>
        <v xml:space="preserve">واحد سنجش </v>
      </c>
      <c r="ER3" s="14" t="str">
        <f>$D$3</f>
        <v>عملکرد سال قبل</v>
      </c>
      <c r="ES3" s="15"/>
      <c r="ET3" s="14" t="str">
        <f>$F$3</f>
        <v>بودجه دوره رسیدگی سال جاری</v>
      </c>
      <c r="EU3" s="15"/>
      <c r="EV3" s="16" t="str">
        <f>$H$3</f>
        <v>عملکرد دوره رسیدگی سال جاری</v>
      </c>
      <c r="EW3" s="14"/>
      <c r="EX3" s="14"/>
      <c r="EY3" s="15"/>
      <c r="EZ3" s="14" t="str">
        <f>$L$3</f>
        <v>تغییرات مقداری سال جاری و سال قبل</v>
      </c>
      <c r="FA3" s="15"/>
      <c r="FB3" s="14" t="str">
        <f>$N$3</f>
        <v>تغییرات درصدی سال جاری و سال قبل</v>
      </c>
      <c r="FC3" s="15"/>
      <c r="FE3" s="11" t="str">
        <f>$A$3</f>
        <v>بخش</v>
      </c>
      <c r="FF3" s="12" t="str">
        <f>$B$3</f>
        <v xml:space="preserve">شرح خدمات  </v>
      </c>
      <c r="FG3" s="13" t="str">
        <f>$C$3</f>
        <v xml:space="preserve">واحد سنجش </v>
      </c>
      <c r="FH3" s="14" t="str">
        <f>$D$3</f>
        <v>عملکرد سال قبل</v>
      </c>
      <c r="FI3" s="15"/>
      <c r="FJ3" s="14" t="str">
        <f>$F$3</f>
        <v>بودجه دوره رسیدگی سال جاری</v>
      </c>
      <c r="FK3" s="15"/>
      <c r="FL3" s="16" t="str">
        <f>$H$3</f>
        <v>عملکرد دوره رسیدگی سال جاری</v>
      </c>
      <c r="FM3" s="14"/>
      <c r="FN3" s="14"/>
      <c r="FO3" s="15"/>
      <c r="FP3" s="14" t="str">
        <f>$L$3</f>
        <v>تغییرات مقداری سال جاری و سال قبل</v>
      </c>
      <c r="FQ3" s="15"/>
      <c r="FR3" s="14" t="str">
        <f>$N$3</f>
        <v>تغییرات درصدی سال جاری و سال قبل</v>
      </c>
      <c r="FS3" s="15"/>
    </row>
    <row r="4" spans="1:176" ht="108" customHeight="1" thickBot="1" x14ac:dyDescent="0.65">
      <c r="A4" s="18"/>
      <c r="B4" s="19"/>
      <c r="C4" s="20"/>
      <c r="D4" s="21" t="s">
        <v>8</v>
      </c>
      <c r="E4" s="22" t="s">
        <v>9</v>
      </c>
      <c r="F4" s="21" t="s">
        <v>10</v>
      </c>
      <c r="G4" s="22" t="s">
        <v>9</v>
      </c>
      <c r="H4" s="21" t="s">
        <v>8</v>
      </c>
      <c r="I4" s="23" t="s">
        <v>11</v>
      </c>
      <c r="J4" s="23" t="s">
        <v>9</v>
      </c>
      <c r="K4" s="24" t="s">
        <v>12</v>
      </c>
      <c r="L4" s="21" t="s">
        <v>8</v>
      </c>
      <c r="M4" s="22" t="s">
        <v>9</v>
      </c>
      <c r="N4" s="21" t="s">
        <v>8</v>
      </c>
      <c r="O4" s="22" t="s">
        <v>9</v>
      </c>
      <c r="Q4" s="18"/>
      <c r="R4" s="19"/>
      <c r="S4" s="20"/>
      <c r="T4" s="21" t="str">
        <f>$D$4</f>
        <v>عملکرد عملیاتی</v>
      </c>
      <c r="U4" s="22" t="str">
        <f>$E$4</f>
        <v>ارزش ریالی ارائه خدمات
(میلیون ریال)</v>
      </c>
      <c r="V4" s="21" t="str">
        <f>$F$4</f>
        <v>بودجه عملیاتی</v>
      </c>
      <c r="W4" s="22" t="str">
        <f>$G$4</f>
        <v>ارزش ریالی ارائه خدمات
(میلیون ریال)</v>
      </c>
      <c r="X4" s="21" t="str">
        <f>$H$4</f>
        <v>عملکرد عملیاتی</v>
      </c>
      <c r="Y4" s="23" t="str">
        <f>$I$4</f>
        <v>درصد تحقق بودجه
(عملیاتی)</v>
      </c>
      <c r="Z4" s="23" t="str">
        <f>$J$4</f>
        <v>ارزش ریالی ارائه خدمات
(میلیون ریال)</v>
      </c>
      <c r="AA4" s="24" t="str">
        <f>$K$4</f>
        <v>درصد تحقق بودجه
(ریالی)</v>
      </c>
      <c r="AB4" s="21" t="str">
        <f>$L$4</f>
        <v>عملکرد عملیاتی</v>
      </c>
      <c r="AC4" s="22" t="str">
        <f>$M$4</f>
        <v>ارزش ریالی ارائه خدمات
(میلیون ریال)</v>
      </c>
      <c r="AD4" s="21" t="str">
        <f>$N$4</f>
        <v>عملکرد عملیاتی</v>
      </c>
      <c r="AE4" s="22" t="str">
        <f>$O$4</f>
        <v>ارزش ریالی ارائه خدمات
(میلیون ریال)</v>
      </c>
      <c r="AG4" s="18"/>
      <c r="AH4" s="19"/>
      <c r="AI4" s="20"/>
      <c r="AJ4" s="21" t="str">
        <f>$D$4</f>
        <v>عملکرد عملیاتی</v>
      </c>
      <c r="AK4" s="22" t="str">
        <f>$E$4</f>
        <v>ارزش ریالی ارائه خدمات
(میلیون ریال)</v>
      </c>
      <c r="AL4" s="21" t="str">
        <f>$F$4</f>
        <v>بودجه عملیاتی</v>
      </c>
      <c r="AM4" s="22" t="str">
        <f>$G$4</f>
        <v>ارزش ریالی ارائه خدمات
(میلیون ریال)</v>
      </c>
      <c r="AN4" s="21" t="str">
        <f>$H$4</f>
        <v>عملکرد عملیاتی</v>
      </c>
      <c r="AO4" s="23" t="str">
        <f>$I$4</f>
        <v>درصد تحقق بودجه
(عملیاتی)</v>
      </c>
      <c r="AP4" s="23" t="str">
        <f>$J$4</f>
        <v>ارزش ریالی ارائه خدمات
(میلیون ریال)</v>
      </c>
      <c r="AQ4" s="24" t="str">
        <f>$K$4</f>
        <v>درصد تحقق بودجه
(ریالی)</v>
      </c>
      <c r="AR4" s="21" t="str">
        <f>$L$4</f>
        <v>عملکرد عملیاتی</v>
      </c>
      <c r="AS4" s="22" t="str">
        <f>$M$4</f>
        <v>ارزش ریالی ارائه خدمات
(میلیون ریال)</v>
      </c>
      <c r="AT4" s="21" t="str">
        <f>$N$4</f>
        <v>عملکرد عملیاتی</v>
      </c>
      <c r="AU4" s="22" t="str">
        <f>$O$4</f>
        <v>ارزش ریالی ارائه خدمات
(میلیون ریال)</v>
      </c>
      <c r="AW4" s="18"/>
      <c r="AX4" s="19"/>
      <c r="AY4" s="20"/>
      <c r="AZ4" s="21" t="str">
        <f>$D$4</f>
        <v>عملکرد عملیاتی</v>
      </c>
      <c r="BA4" s="22" t="str">
        <f>$E$4</f>
        <v>ارزش ریالی ارائه خدمات
(میلیون ریال)</v>
      </c>
      <c r="BB4" s="21" t="str">
        <f>$F$4</f>
        <v>بودجه عملیاتی</v>
      </c>
      <c r="BC4" s="22" t="str">
        <f>$G$4</f>
        <v>ارزش ریالی ارائه خدمات
(میلیون ریال)</v>
      </c>
      <c r="BD4" s="21" t="str">
        <f>$H$4</f>
        <v>عملکرد عملیاتی</v>
      </c>
      <c r="BE4" s="23" t="str">
        <f>$I$4</f>
        <v>درصد تحقق بودجه
(عملیاتی)</v>
      </c>
      <c r="BF4" s="23" t="str">
        <f>$J$4</f>
        <v>ارزش ریالی ارائه خدمات
(میلیون ریال)</v>
      </c>
      <c r="BG4" s="24" t="str">
        <f>$K$4</f>
        <v>درصد تحقق بودجه
(ریالی)</v>
      </c>
      <c r="BH4" s="21" t="str">
        <f>$L$4</f>
        <v>عملکرد عملیاتی</v>
      </c>
      <c r="BI4" s="22" t="str">
        <f>$M$4</f>
        <v>ارزش ریالی ارائه خدمات
(میلیون ریال)</v>
      </c>
      <c r="BJ4" s="21" t="str">
        <f>$N$4</f>
        <v>عملکرد عملیاتی</v>
      </c>
      <c r="BK4" s="22" t="str">
        <f>$O$4</f>
        <v>ارزش ریالی ارائه خدمات
(میلیون ریال)</v>
      </c>
      <c r="BM4" s="18"/>
      <c r="BN4" s="19"/>
      <c r="BO4" s="20"/>
      <c r="BP4" s="21" t="str">
        <f>$D$4</f>
        <v>عملکرد عملیاتی</v>
      </c>
      <c r="BQ4" s="22" t="str">
        <f>$E$4</f>
        <v>ارزش ریالی ارائه خدمات
(میلیون ریال)</v>
      </c>
      <c r="BR4" s="21" t="str">
        <f>$F$4</f>
        <v>بودجه عملیاتی</v>
      </c>
      <c r="BS4" s="22" t="str">
        <f>$G$4</f>
        <v>ارزش ریالی ارائه خدمات
(میلیون ریال)</v>
      </c>
      <c r="BT4" s="21" t="str">
        <f>$H$4</f>
        <v>عملکرد عملیاتی</v>
      </c>
      <c r="BU4" s="23" t="str">
        <f>$I$4</f>
        <v>درصد تحقق بودجه
(عملیاتی)</v>
      </c>
      <c r="BV4" s="23" t="str">
        <f>$J$4</f>
        <v>ارزش ریالی ارائه خدمات
(میلیون ریال)</v>
      </c>
      <c r="BW4" s="24" t="str">
        <f>$K$4</f>
        <v>درصد تحقق بودجه
(ریالی)</v>
      </c>
      <c r="BX4" s="21" t="str">
        <f>$L$4</f>
        <v>عملکرد عملیاتی</v>
      </c>
      <c r="BY4" s="22" t="str">
        <f>$M$4</f>
        <v>ارزش ریالی ارائه خدمات
(میلیون ریال)</v>
      </c>
      <c r="BZ4" s="21" t="str">
        <f>$N$4</f>
        <v>عملکرد عملیاتی</v>
      </c>
      <c r="CA4" s="22" t="str">
        <f>$O$4</f>
        <v>ارزش ریالی ارائه خدمات
(میلیون ریال)</v>
      </c>
      <c r="CC4" s="18"/>
      <c r="CD4" s="19"/>
      <c r="CE4" s="20"/>
      <c r="CF4" s="21" t="str">
        <f>$D$4</f>
        <v>عملکرد عملیاتی</v>
      </c>
      <c r="CG4" s="22" t="str">
        <f>$E$4</f>
        <v>ارزش ریالی ارائه خدمات
(میلیون ریال)</v>
      </c>
      <c r="CH4" s="21" t="str">
        <f>$F$4</f>
        <v>بودجه عملیاتی</v>
      </c>
      <c r="CI4" s="22" t="str">
        <f>$G$4</f>
        <v>ارزش ریالی ارائه خدمات
(میلیون ریال)</v>
      </c>
      <c r="CJ4" s="21" t="str">
        <f>$H$4</f>
        <v>عملکرد عملیاتی</v>
      </c>
      <c r="CK4" s="23" t="str">
        <f>$I$4</f>
        <v>درصد تحقق بودجه
(عملیاتی)</v>
      </c>
      <c r="CL4" s="23" t="str">
        <f>$J$4</f>
        <v>ارزش ریالی ارائه خدمات
(میلیون ریال)</v>
      </c>
      <c r="CM4" s="24" t="str">
        <f>$K$4</f>
        <v>درصد تحقق بودجه
(ریالی)</v>
      </c>
      <c r="CN4" s="21" t="str">
        <f>$L$4</f>
        <v>عملکرد عملیاتی</v>
      </c>
      <c r="CO4" s="22" t="str">
        <f>$M$4</f>
        <v>ارزش ریالی ارائه خدمات
(میلیون ریال)</v>
      </c>
      <c r="CP4" s="21" t="str">
        <f>$N$4</f>
        <v>عملکرد عملیاتی</v>
      </c>
      <c r="CQ4" s="22" t="str">
        <f>$O$4</f>
        <v>ارزش ریالی ارائه خدمات
(میلیون ریال)</v>
      </c>
      <c r="CS4" s="18"/>
      <c r="CT4" s="19"/>
      <c r="CU4" s="20"/>
      <c r="CV4" s="21" t="str">
        <f>$D$4</f>
        <v>عملکرد عملیاتی</v>
      </c>
      <c r="CW4" s="22" t="str">
        <f>$E$4</f>
        <v>ارزش ریالی ارائه خدمات
(میلیون ریال)</v>
      </c>
      <c r="CX4" s="21" t="str">
        <f>$F$4</f>
        <v>بودجه عملیاتی</v>
      </c>
      <c r="CY4" s="22" t="str">
        <f>$G$4</f>
        <v>ارزش ریالی ارائه خدمات
(میلیون ریال)</v>
      </c>
      <c r="CZ4" s="21" t="str">
        <f>$H$4</f>
        <v>عملکرد عملیاتی</v>
      </c>
      <c r="DA4" s="23" t="str">
        <f>$I$4</f>
        <v>درصد تحقق بودجه
(عملیاتی)</v>
      </c>
      <c r="DB4" s="23" t="str">
        <f>$J$4</f>
        <v>ارزش ریالی ارائه خدمات
(میلیون ریال)</v>
      </c>
      <c r="DC4" s="24" t="str">
        <f>$K$4</f>
        <v>درصد تحقق بودجه
(ریالی)</v>
      </c>
      <c r="DD4" s="21" t="str">
        <f>$L$4</f>
        <v>عملکرد عملیاتی</v>
      </c>
      <c r="DE4" s="22" t="str">
        <f>$M$4</f>
        <v>ارزش ریالی ارائه خدمات
(میلیون ریال)</v>
      </c>
      <c r="DF4" s="21" t="str">
        <f>$N$4</f>
        <v>عملکرد عملیاتی</v>
      </c>
      <c r="DG4" s="22" t="str">
        <f>$O$4</f>
        <v>ارزش ریالی ارائه خدمات
(میلیون ریال)</v>
      </c>
      <c r="DI4" s="18"/>
      <c r="DJ4" s="19"/>
      <c r="DK4" s="20"/>
      <c r="DL4" s="21" t="str">
        <f>$D$4</f>
        <v>عملکرد عملیاتی</v>
      </c>
      <c r="DM4" s="22" t="str">
        <f>$E$4</f>
        <v>ارزش ریالی ارائه خدمات
(میلیون ریال)</v>
      </c>
      <c r="DN4" s="21" t="str">
        <f>$F$4</f>
        <v>بودجه عملیاتی</v>
      </c>
      <c r="DO4" s="22" t="str">
        <f>$G$4</f>
        <v>ارزش ریالی ارائه خدمات
(میلیون ریال)</v>
      </c>
      <c r="DP4" s="21" t="str">
        <f>$H$4</f>
        <v>عملکرد عملیاتی</v>
      </c>
      <c r="DQ4" s="23" t="str">
        <f>$I$4</f>
        <v>درصد تحقق بودجه
(عملیاتی)</v>
      </c>
      <c r="DR4" s="23" t="str">
        <f>$J$4</f>
        <v>ارزش ریالی ارائه خدمات
(میلیون ریال)</v>
      </c>
      <c r="DS4" s="24" t="str">
        <f>$K$4</f>
        <v>درصد تحقق بودجه
(ریالی)</v>
      </c>
      <c r="DT4" s="21" t="str">
        <f>$L$4</f>
        <v>عملکرد عملیاتی</v>
      </c>
      <c r="DU4" s="22" t="str">
        <f>$M$4</f>
        <v>ارزش ریالی ارائه خدمات
(میلیون ریال)</v>
      </c>
      <c r="DV4" s="21" t="str">
        <f>$N$4</f>
        <v>عملکرد عملیاتی</v>
      </c>
      <c r="DW4" s="22" t="str">
        <f>$O$4</f>
        <v>ارزش ریالی ارائه خدمات
(میلیون ریال)</v>
      </c>
      <c r="DY4" s="18"/>
      <c r="DZ4" s="19"/>
      <c r="EA4" s="20"/>
      <c r="EB4" s="21" t="str">
        <f>$D$4</f>
        <v>عملکرد عملیاتی</v>
      </c>
      <c r="EC4" s="22" t="str">
        <f>$E$4</f>
        <v>ارزش ریالی ارائه خدمات
(میلیون ریال)</v>
      </c>
      <c r="ED4" s="21" t="str">
        <f>$F$4</f>
        <v>بودجه عملیاتی</v>
      </c>
      <c r="EE4" s="22" t="str">
        <f>$G$4</f>
        <v>ارزش ریالی ارائه خدمات
(میلیون ریال)</v>
      </c>
      <c r="EF4" s="21" t="str">
        <f>$H$4</f>
        <v>عملکرد عملیاتی</v>
      </c>
      <c r="EG4" s="23" t="str">
        <f>$I$4</f>
        <v>درصد تحقق بودجه
(عملیاتی)</v>
      </c>
      <c r="EH4" s="23" t="str">
        <f>$J$4</f>
        <v>ارزش ریالی ارائه خدمات
(میلیون ریال)</v>
      </c>
      <c r="EI4" s="24" t="str">
        <f>$K$4</f>
        <v>درصد تحقق بودجه
(ریالی)</v>
      </c>
      <c r="EJ4" s="21" t="str">
        <f>$L$4</f>
        <v>عملکرد عملیاتی</v>
      </c>
      <c r="EK4" s="22" t="str">
        <f>$M$4</f>
        <v>ارزش ریالی ارائه خدمات
(میلیون ریال)</v>
      </c>
      <c r="EL4" s="21" t="str">
        <f>$N$4</f>
        <v>عملکرد عملیاتی</v>
      </c>
      <c r="EM4" s="22" t="str">
        <f>$O$4</f>
        <v>ارزش ریالی ارائه خدمات
(میلیون ریال)</v>
      </c>
      <c r="EO4" s="18"/>
      <c r="EP4" s="19"/>
      <c r="EQ4" s="20"/>
      <c r="ER4" s="21" t="str">
        <f>$D$4</f>
        <v>عملکرد عملیاتی</v>
      </c>
      <c r="ES4" s="22" t="str">
        <f>$E$4</f>
        <v>ارزش ریالی ارائه خدمات
(میلیون ریال)</v>
      </c>
      <c r="ET4" s="21" t="str">
        <f>$F$4</f>
        <v>بودجه عملیاتی</v>
      </c>
      <c r="EU4" s="22" t="str">
        <f>$G$4</f>
        <v>ارزش ریالی ارائه خدمات
(میلیون ریال)</v>
      </c>
      <c r="EV4" s="21" t="str">
        <f>$H$4</f>
        <v>عملکرد عملیاتی</v>
      </c>
      <c r="EW4" s="23" t="str">
        <f>$I$4</f>
        <v>درصد تحقق بودجه
(عملیاتی)</v>
      </c>
      <c r="EX4" s="23" t="str">
        <f>$J$4</f>
        <v>ارزش ریالی ارائه خدمات
(میلیون ریال)</v>
      </c>
      <c r="EY4" s="24" t="str">
        <f>$K$4</f>
        <v>درصد تحقق بودجه
(ریالی)</v>
      </c>
      <c r="EZ4" s="21" t="str">
        <f>$L$4</f>
        <v>عملکرد عملیاتی</v>
      </c>
      <c r="FA4" s="22" t="str">
        <f>$M$4</f>
        <v>ارزش ریالی ارائه خدمات
(میلیون ریال)</v>
      </c>
      <c r="FB4" s="21" t="str">
        <f>$N$4</f>
        <v>عملکرد عملیاتی</v>
      </c>
      <c r="FC4" s="22" t="str">
        <f>$O$4</f>
        <v>ارزش ریالی ارائه خدمات
(میلیون ریال)</v>
      </c>
      <c r="FE4" s="18"/>
      <c r="FF4" s="19"/>
      <c r="FG4" s="20"/>
      <c r="FH4" s="21" t="str">
        <f>$D$4</f>
        <v>عملکرد عملیاتی</v>
      </c>
      <c r="FI4" s="22" t="str">
        <f>$E$4</f>
        <v>ارزش ریالی ارائه خدمات
(میلیون ریال)</v>
      </c>
      <c r="FJ4" s="21" t="str">
        <f>$F$4</f>
        <v>بودجه عملیاتی</v>
      </c>
      <c r="FK4" s="22" t="str">
        <f>$G$4</f>
        <v>ارزش ریالی ارائه خدمات
(میلیون ریال)</v>
      </c>
      <c r="FL4" s="21" t="str">
        <f>$H$4</f>
        <v>عملکرد عملیاتی</v>
      </c>
      <c r="FM4" s="23" t="str">
        <f>$I$4</f>
        <v>درصد تحقق بودجه
(عملیاتی)</v>
      </c>
      <c r="FN4" s="23" t="str">
        <f>$J$4</f>
        <v>ارزش ریالی ارائه خدمات
(میلیون ریال)</v>
      </c>
      <c r="FO4" s="24" t="str">
        <f>$K$4</f>
        <v>درصد تحقق بودجه
(ریالی)</v>
      </c>
      <c r="FP4" s="21" t="str">
        <f>$L$4</f>
        <v>عملکرد عملیاتی</v>
      </c>
      <c r="FQ4" s="22" t="str">
        <f>$M$4</f>
        <v>ارزش ریالی ارائه خدمات
(میلیون ریال)</v>
      </c>
      <c r="FR4" s="21" t="str">
        <f>$N$4</f>
        <v>عملکرد عملیاتی</v>
      </c>
      <c r="FS4" s="22" t="str">
        <f>$O$4</f>
        <v>ارزش ریالی ارائه خدمات
(میلیون ریال)</v>
      </c>
    </row>
    <row r="5" spans="1:176" ht="30" customHeight="1" x14ac:dyDescent="0.6">
      <c r="A5" s="25" t="s">
        <v>13</v>
      </c>
      <c r="B5" s="26" t="s">
        <v>14</v>
      </c>
      <c r="C5" s="27" t="s">
        <v>15</v>
      </c>
      <c r="D5" s="28">
        <f>SUM(T5,AJ5,AZ5,BP5,CF5,CV5,DL5,EB5,ER5,FH5)</f>
        <v>113724</v>
      </c>
      <c r="E5" s="29">
        <f>SUM(U5,AK5,BA5,BQ5,CG5,CW5,DM5,EC5,ES5,FI5)</f>
        <v>331775</v>
      </c>
      <c r="F5" s="28">
        <f>SUM(V5,AL5,BB5,BR5,CH5,CX5,DN5,ED5,ET5,FJ5)</f>
        <v>152262.27588707619</v>
      </c>
      <c r="G5" s="29">
        <f>SUM(W5,AM5,BC5,BS5,CI5,CY5,DO5,EE5,EU5,FK5)</f>
        <v>615444</v>
      </c>
      <c r="H5" s="30">
        <f>SUM(X5,AN5,BD5,BT5,CJ5,CZ5,DP5,EF5,EV5,FL5)</f>
        <v>145726</v>
      </c>
      <c r="I5" s="31">
        <f>IFERROR(H5*100/F5,"")</f>
        <v>95.707225674254502</v>
      </c>
      <c r="J5" s="32">
        <f>SUM(Z5,AP5,BF5,BV5,CL5,DB5,DR5,EH5,EX5,FN5)</f>
        <v>528593</v>
      </c>
      <c r="K5" s="33">
        <f>IFERROR(J5*100/G5,"")</f>
        <v>85.88807430082997</v>
      </c>
      <c r="L5" s="34">
        <f>IFERROR(H5-D5,"")</f>
        <v>32002</v>
      </c>
      <c r="M5" s="35">
        <f>IFERROR(J5-E5,"")</f>
        <v>196818</v>
      </c>
      <c r="N5" s="36">
        <f>IFERROR((H5-D5)*100/D5,"")</f>
        <v>28.140058386971969</v>
      </c>
      <c r="O5" s="37">
        <f>IFERROR((J5-E5)*100/E5,"")</f>
        <v>59.322733780423476</v>
      </c>
      <c r="P5" s="38">
        <v>1</v>
      </c>
      <c r="Q5" s="25" t="str">
        <f>$A$5</f>
        <v>واردات</v>
      </c>
      <c r="R5" s="26" t="str">
        <f>$B5</f>
        <v>انبارداری</v>
      </c>
      <c r="S5" s="27" t="str">
        <f>$C5</f>
        <v>تن</v>
      </c>
      <c r="T5" s="39">
        <f>SUMIFS([1]واردات!$D$42:$D$51,[1]واردات!$AA$42:$AA$51,AF2)</f>
        <v>11125</v>
      </c>
      <c r="U5" s="40">
        <f>65097-10422</f>
        <v>54675</v>
      </c>
      <c r="V5" s="39">
        <f>SUMIFS([1]واردات!$H$42:$H$51,[1]واردات!$AA$42:$AA$51,AF2)</f>
        <v>38497.26561103703</v>
      </c>
      <c r="W5" s="41">
        <v>210259</v>
      </c>
      <c r="X5" s="39">
        <f>SUMIFS([1]واردات!$L$42:$L$51,[1]واردات!$AA$42:$AA$51,AF2)</f>
        <v>2891</v>
      </c>
      <c r="Y5" s="42">
        <f>IFERROR(X5*100/V5,"")</f>
        <v>7.5096242658106096</v>
      </c>
      <c r="Z5" s="32">
        <v>33548</v>
      </c>
      <c r="AA5" s="33">
        <f>IFERROR(Z5*100/W5,"")</f>
        <v>15.95555957176625</v>
      </c>
      <c r="AB5" s="43">
        <f t="shared" ref="AB5:AB10" si="0">X5-T5</f>
        <v>-8234</v>
      </c>
      <c r="AC5" s="44">
        <f>Z5-U5</f>
        <v>-21127</v>
      </c>
      <c r="AD5" s="36">
        <f>IFERROR((X5-T5)*100/T5,"")</f>
        <v>-74.013483146067415</v>
      </c>
      <c r="AE5" s="37">
        <f>IFERROR((Z5-U5)*100/U5,"")</f>
        <v>-38.641060813900317</v>
      </c>
      <c r="AF5" s="45"/>
      <c r="AG5" s="25" t="str">
        <f>$A$5</f>
        <v>واردات</v>
      </c>
      <c r="AH5" s="26" t="str">
        <f>$B5</f>
        <v>انبارداری</v>
      </c>
      <c r="AI5" s="27" t="str">
        <f>$C5</f>
        <v>تن</v>
      </c>
      <c r="AJ5" s="39">
        <f>SUMIFS([1]واردات!$D$42:$D$51,[1]واردات!$AA$42:$AA$51,AV2)</f>
        <v>9899</v>
      </c>
      <c r="AK5" s="40">
        <f>37012-5940</f>
        <v>31072</v>
      </c>
      <c r="AL5" s="39">
        <f>SUMIFS([1]واردات!$H$42:$H$51,[1]واردات!$AA$42:$AA$51,AV2)</f>
        <v>16320.389275384978</v>
      </c>
      <c r="AM5" s="41">
        <v>58398</v>
      </c>
      <c r="AN5" s="39">
        <f>SUMIFS([1]واردات!$L$42:$L$51,[1]واردات!$AA$42:$AA$51,AV2)</f>
        <v>6309</v>
      </c>
      <c r="AO5" s="42">
        <f>IFERROR(AN5*100/AL5,"")</f>
        <v>38.65716615911527</v>
      </c>
      <c r="AP5" s="32">
        <v>39017</v>
      </c>
      <c r="AQ5" s="33">
        <f>IFERROR(AP5*100/AM5,"")</f>
        <v>66.812219596561519</v>
      </c>
      <c r="AR5" s="43">
        <f t="shared" ref="AR5:AR10" si="1">AN5-AJ5</f>
        <v>-3590</v>
      </c>
      <c r="AS5" s="35">
        <f>AP5-AK5</f>
        <v>7945</v>
      </c>
      <c r="AT5" s="36">
        <f>IFERROR((AN5-AJ5)*100/AJ5,"")</f>
        <v>-36.266289524194363</v>
      </c>
      <c r="AU5" s="37">
        <f>IFERROR((AP5-AK5)*100/AK5,"")</f>
        <v>25.569644696189496</v>
      </c>
      <c r="AV5" s="45"/>
      <c r="AW5" s="25" t="str">
        <f>$A$5</f>
        <v>واردات</v>
      </c>
      <c r="AX5" s="26" t="str">
        <f>$B5</f>
        <v>انبارداری</v>
      </c>
      <c r="AY5" s="27" t="str">
        <f>$C5</f>
        <v>تن</v>
      </c>
      <c r="AZ5" s="39">
        <f>SUMIFS([1]واردات!$D$42:$D$51,[1]واردات!$AA$42:$AA$51,BL2)</f>
        <v>7882</v>
      </c>
      <c r="BA5" s="40">
        <f>28179-2256</f>
        <v>25923</v>
      </c>
      <c r="BB5" s="39">
        <f>SUMIFS([1]واردات!$H$42:$H$51,[1]واردات!$AA$42:$AA$51,BL2)</f>
        <v>9271.6113885696359</v>
      </c>
      <c r="BC5" s="41">
        <v>45500</v>
      </c>
      <c r="BD5" s="39">
        <f>SUMIFS([1]واردات!$L$42:$L$51,[1]واردات!$AA$42:$AA$51,BL2)</f>
        <v>6778</v>
      </c>
      <c r="BE5" s="42">
        <f>IFERROR(BD5*100/BB5,"")</f>
        <v>73.104875904917165</v>
      </c>
      <c r="BF5" s="32">
        <v>26869</v>
      </c>
      <c r="BG5" s="33">
        <f>IFERROR(BF5*100/BC5,"")</f>
        <v>59.052747252747253</v>
      </c>
      <c r="BH5" s="43">
        <f>BD5-AZ5</f>
        <v>-1104</v>
      </c>
      <c r="BI5" s="35">
        <f>BF5-BA5</f>
        <v>946</v>
      </c>
      <c r="BJ5" s="36">
        <f>IFERROR((BD5-AZ5)*100/AZ5,"")</f>
        <v>-14.006597310327328</v>
      </c>
      <c r="BK5" s="37">
        <f>IFERROR((BF5-BA5)*100/BA5,"")</f>
        <v>3.6492689889287506</v>
      </c>
      <c r="BL5" s="45"/>
      <c r="BM5" s="25" t="str">
        <f>$A$5</f>
        <v>واردات</v>
      </c>
      <c r="BN5" s="26" t="str">
        <f>$B5</f>
        <v>انبارداری</v>
      </c>
      <c r="BO5" s="27" t="str">
        <f>$C5</f>
        <v>تن</v>
      </c>
      <c r="BP5" s="39">
        <f>SUMIFS([1]واردات!$D$42:$D$51,[1]واردات!$AA$42:$AA$51,CB2)</f>
        <v>40280</v>
      </c>
      <c r="BQ5" s="40">
        <f>39079-6826</f>
        <v>32253</v>
      </c>
      <c r="BR5" s="39">
        <f>SUMIFS([1]واردات!$H$42:$H$51,[1]واردات!$AA$42:$AA$51,CB2)</f>
        <v>37960.714858659485</v>
      </c>
      <c r="BS5" s="41">
        <v>57420</v>
      </c>
      <c r="BT5" s="39">
        <f>SUMIFS([1]واردات!$L$42:$L$51,[1]واردات!$AA$42:$AA$51,CB2)</f>
        <v>62858</v>
      </c>
      <c r="BU5" s="42">
        <f>IFERROR(BT5*100/BR5,"")</f>
        <v>165.58697652044088</v>
      </c>
      <c r="BV5" s="32">
        <v>115432</v>
      </c>
      <c r="BW5" s="33">
        <f>IFERROR(BV5*100/BS5,"")</f>
        <v>201.03099965168931</v>
      </c>
      <c r="BX5" s="46">
        <f t="shared" ref="BX5:BX10" si="2">BT5-BP5</f>
        <v>22578</v>
      </c>
      <c r="BY5" s="35">
        <f>BV5-BQ5</f>
        <v>83179</v>
      </c>
      <c r="BZ5" s="36">
        <f>IFERROR((BT5-BP5)*100/BP5,"")</f>
        <v>56.05263157894737</v>
      </c>
      <c r="CA5" s="37">
        <f>IFERROR((BV5-BQ5)*100/BQ5,"")</f>
        <v>257.89538957616344</v>
      </c>
      <c r="CB5" s="45"/>
      <c r="CC5" s="25" t="str">
        <f>$A$5</f>
        <v>واردات</v>
      </c>
      <c r="CD5" s="26" t="str">
        <f>$B5</f>
        <v>انبارداری</v>
      </c>
      <c r="CE5" s="27" t="str">
        <f>$C5</f>
        <v>تن</v>
      </c>
      <c r="CF5" s="39">
        <f>SUMIFS([1]واردات!$D$42:$D$51,[1]واردات!$AA$42:$AA$51,CR2)</f>
        <v>10826</v>
      </c>
      <c r="CG5" s="40">
        <f>100918-10695</f>
        <v>90223</v>
      </c>
      <c r="CH5" s="39">
        <f>SUMIFS([1]واردات!$H$42:$H$51,[1]واردات!$AA$42:$AA$51,CR2)</f>
        <v>5774.4347436758444</v>
      </c>
      <c r="CI5" s="41">
        <v>78185</v>
      </c>
      <c r="CJ5" s="39">
        <f>SUMIFS([1]واردات!$L$42:$L$51,[1]واردات!$AA$42:$AA$51,CR2)</f>
        <v>6401</v>
      </c>
      <c r="CK5" s="42">
        <f>IFERROR(CJ5*100/CH5,"")</f>
        <v>110.85067689110817</v>
      </c>
      <c r="CL5" s="32">
        <v>147424</v>
      </c>
      <c r="CM5" s="33">
        <f>IFERROR(CL5*100/CI5,"")</f>
        <v>188.55790752701924</v>
      </c>
      <c r="CN5" s="43">
        <f t="shared" ref="CN5:CN10" si="3">CJ5-CF5</f>
        <v>-4425</v>
      </c>
      <c r="CO5" s="35">
        <f>CL5-CG5</f>
        <v>57201</v>
      </c>
      <c r="CP5" s="36">
        <f>IFERROR((CJ5-CF5)*100/CF5,"")</f>
        <v>-40.873822279697023</v>
      </c>
      <c r="CQ5" s="37">
        <f>IFERROR((CL5-CG5)*100/CG5,"")</f>
        <v>63.399576604635179</v>
      </c>
      <c r="CR5" s="45"/>
      <c r="CS5" s="25" t="str">
        <f>$A$5</f>
        <v>واردات</v>
      </c>
      <c r="CT5" s="26" t="str">
        <f>$B5</f>
        <v>انبارداری</v>
      </c>
      <c r="CU5" s="27" t="str">
        <f>$C5</f>
        <v>تن</v>
      </c>
      <c r="CV5" s="39">
        <f>SUMIFS([1]واردات!$D$42:$D$51,[1]واردات!$AA$42:$AA$51,DH2)</f>
        <v>20</v>
      </c>
      <c r="CW5" s="40">
        <f>398-89</f>
        <v>309</v>
      </c>
      <c r="CX5" s="39">
        <f>SUMIFS([1]واردات!$H$42:$H$51,[1]واردات!$AA$42:$AA$51,DH2)</f>
        <v>33.470577777777777</v>
      </c>
      <c r="CY5" s="41">
        <v>465</v>
      </c>
      <c r="CZ5" s="39">
        <f>SUMIFS([1]واردات!$L$42:$L$51,[1]واردات!$AA$42:$AA$51,DH2)</f>
        <v>1952</v>
      </c>
      <c r="DA5" s="42">
        <f>IFERROR(CZ5*100/CX5,"")</f>
        <v>5831.9877623863349</v>
      </c>
      <c r="DB5" s="32">
        <v>19113</v>
      </c>
      <c r="DC5" s="33">
        <f>IFERROR(DB5*100/CY5,"")</f>
        <v>4110.322580645161</v>
      </c>
      <c r="DD5" s="46">
        <f t="shared" ref="DD5:DD10" si="4">CZ5-CV5</f>
        <v>1932</v>
      </c>
      <c r="DE5" s="35">
        <f>DB5-CW5</f>
        <v>18804</v>
      </c>
      <c r="DF5" s="36">
        <f>IFERROR((CZ5-CV5)*100/CV5,"")</f>
        <v>9660</v>
      </c>
      <c r="DG5" s="37">
        <f>IFERROR((DB5-CW5)*100/CW5,"")</f>
        <v>6085.4368932038833</v>
      </c>
      <c r="DH5" s="45"/>
      <c r="DI5" s="25" t="str">
        <f>$A$5</f>
        <v>واردات</v>
      </c>
      <c r="DJ5" s="26" t="str">
        <f>$B5</f>
        <v>انبارداری</v>
      </c>
      <c r="DK5" s="27" t="str">
        <f>$C5</f>
        <v>تن</v>
      </c>
      <c r="DL5" s="39">
        <f>SUMIFS([1]واردات!$D$42:$D$51,[1]واردات!$AA$42:$AA$51,DX2)</f>
        <v>32693</v>
      </c>
      <c r="DM5" s="40">
        <f>104022-14133</f>
        <v>89889</v>
      </c>
      <c r="DN5" s="39">
        <f>SUMIFS([1]واردات!$H$42:$H$51,[1]واردات!$AA$42:$AA$51,DX2)</f>
        <v>37898.876855284332</v>
      </c>
      <c r="DO5" s="41">
        <v>128943</v>
      </c>
      <c r="DP5" s="39">
        <f>SUMIFS([1]واردات!$L$42:$L$51,[1]واردات!$AA$42:$AA$51,DX2)</f>
        <v>51694</v>
      </c>
      <c r="DQ5" s="42">
        <f>IFERROR(DP5*100/DN5,"")</f>
        <v>136.39982049439595</v>
      </c>
      <c r="DR5" s="32">
        <v>131601</v>
      </c>
      <c r="DS5" s="33">
        <f>IFERROR(DR5*100/DO5,"")</f>
        <v>102.06137595681813</v>
      </c>
      <c r="DT5" s="46">
        <f t="shared" ref="DT5:DT10" si="5">DP5-DL5</f>
        <v>19001</v>
      </c>
      <c r="DU5" s="35">
        <f>DR5-DM5</f>
        <v>41712</v>
      </c>
      <c r="DV5" s="36">
        <f>IFERROR((DP5-DL5)*100/DL5,"")</f>
        <v>58.119475116997521</v>
      </c>
      <c r="DW5" s="37">
        <f>IFERROR((DR5-DM5)*100/DM5,"")</f>
        <v>46.403898141040614</v>
      </c>
      <c r="DX5" s="45"/>
      <c r="DY5" s="25" t="str">
        <f>$A$5</f>
        <v>واردات</v>
      </c>
      <c r="DZ5" s="26" t="str">
        <f>$B5</f>
        <v>انبارداری</v>
      </c>
      <c r="EA5" s="27" t="str">
        <f>$C5</f>
        <v>تن</v>
      </c>
      <c r="EB5" s="39">
        <f>SUMIFS([1]واردات!$D$42:$D$51,[1]واردات!$AA$42:$AA$51,EN2)</f>
        <v>373</v>
      </c>
      <c r="EC5" s="40">
        <v>5089</v>
      </c>
      <c r="ED5" s="39">
        <f>SUMIFS([1]واردات!$H$42:$H$51,[1]واردات!$AA$42:$AA$51,EN2)</f>
        <v>3069.1125766871169</v>
      </c>
      <c r="EE5" s="41">
        <v>26217</v>
      </c>
      <c r="EF5" s="39">
        <f>SUMIFS([1]واردات!$L$42:$L$51,[1]واردات!$AA$42:$AA$51,EN2)</f>
        <v>96</v>
      </c>
      <c r="EG5" s="42">
        <f>IFERROR(EF5*100/ED5,"")</f>
        <v>3.1279400022408104</v>
      </c>
      <c r="EH5" s="32">
        <v>195</v>
      </c>
      <c r="EI5" s="33">
        <f>IFERROR(EH5*100/EE5,"")</f>
        <v>0.74379219590342149</v>
      </c>
      <c r="EJ5" s="43">
        <f t="shared" ref="EJ5:EJ10" si="6">EF5-EB5</f>
        <v>-277</v>
      </c>
      <c r="EK5" s="44">
        <f>EH5-EC5</f>
        <v>-4894</v>
      </c>
      <c r="EL5" s="36">
        <f>IFERROR((EF5-EB5)*100/EB5,"")</f>
        <v>-74.262734584450399</v>
      </c>
      <c r="EM5" s="37">
        <f>IFERROR((EH5-EC5)*100/EC5,"")</f>
        <v>-96.168205934368245</v>
      </c>
      <c r="EN5" s="45"/>
      <c r="EO5" s="25" t="str">
        <f>$A$5</f>
        <v>واردات</v>
      </c>
      <c r="EP5" s="26" t="str">
        <f>$B5</f>
        <v>انبارداری</v>
      </c>
      <c r="EQ5" s="27" t="str">
        <f>$C5</f>
        <v>تن</v>
      </c>
      <c r="ER5" s="39">
        <f>SUMIFS([1]واردات!$D$42:$D$51,[1]واردات!$AA$42:$AA$51,FD2)</f>
        <v>626</v>
      </c>
      <c r="ES5" s="40">
        <v>2342</v>
      </c>
      <c r="ET5" s="39">
        <f>SUMIFS([1]واردات!$H$42:$H$51,[1]واردات!$AA$42:$AA$51,FD2)</f>
        <v>3436.3999999999996</v>
      </c>
      <c r="EU5" s="41">
        <v>10057</v>
      </c>
      <c r="EV5" s="39">
        <f>SUMIFS([1]واردات!$L$42:$L$51,[1]واردات!$AA$42:$AA$51,FD2)</f>
        <v>6747</v>
      </c>
      <c r="EW5" s="42">
        <f>IFERROR(EV5*100/ET5,"")</f>
        <v>196.33919217786058</v>
      </c>
      <c r="EX5" s="32">
        <v>15394</v>
      </c>
      <c r="EY5" s="33">
        <f>IFERROR(EX5*100/EU5,"")</f>
        <v>153.06751516356766</v>
      </c>
      <c r="EZ5" s="46">
        <f t="shared" ref="EZ5:EZ10" si="7">EV5-ER5</f>
        <v>6121</v>
      </c>
      <c r="FA5" s="35">
        <f>EX5-ES5</f>
        <v>13052</v>
      </c>
      <c r="FB5" s="36">
        <f>IFERROR((EV5-ER5)*100/ER5,"")</f>
        <v>977.7955271565495</v>
      </c>
      <c r="FC5" s="37">
        <f>IFERROR((EX5-ES5)*100/ES5,"")</f>
        <v>557.30145175064047</v>
      </c>
      <c r="FD5" s="45"/>
      <c r="FE5" s="25" t="str">
        <f>$A$5</f>
        <v>واردات</v>
      </c>
      <c r="FF5" s="26" t="str">
        <f>$B5</f>
        <v>انبارداری</v>
      </c>
      <c r="FG5" s="27" t="str">
        <f>$C5</f>
        <v>تن</v>
      </c>
      <c r="FH5" s="39">
        <f>SUMIFS([1]واردات!$D$42:$D$51,[1]واردات!$AA$42:$AA$51,FT2)</f>
        <v>0</v>
      </c>
      <c r="FI5" s="40"/>
      <c r="FJ5" s="39">
        <f>SUMIFS([1]واردات!$H$42:$H$51,[1]واردات!$AA$42:$AA$51,FT2)</f>
        <v>0</v>
      </c>
      <c r="FK5" s="41"/>
      <c r="FL5" s="39">
        <f>SUMIFS([1]واردات!$L$42:$L$51,[1]واردات!$AA$42:$AA$51,FT2)</f>
        <v>0</v>
      </c>
      <c r="FM5" s="42" t="str">
        <f>IFERROR(FL5*100/FJ5,"")</f>
        <v/>
      </c>
      <c r="FN5" s="32"/>
      <c r="FO5" s="33" t="str">
        <f>IFERROR(FN5*100/FK5,"")</f>
        <v/>
      </c>
      <c r="FP5" s="34">
        <f t="shared" ref="FP5:FP10" si="8">FL5-FH5</f>
        <v>0</v>
      </c>
      <c r="FQ5" s="35">
        <f>FN5-FI5</f>
        <v>0</v>
      </c>
      <c r="FR5" s="36" t="str">
        <f>IFERROR((FL5-FH5)*100/FH5,"")</f>
        <v/>
      </c>
      <c r="FS5" s="37" t="str">
        <f>IFERROR((FN5-FI5)*100/FI5,"")</f>
        <v/>
      </c>
      <c r="FT5" s="45"/>
    </row>
    <row r="6" spans="1:176" ht="35.25" customHeight="1" x14ac:dyDescent="0.6">
      <c r="A6" s="25"/>
      <c r="B6" s="47" t="s">
        <v>16</v>
      </c>
      <c r="C6" s="48" t="s">
        <v>17</v>
      </c>
      <c r="D6" s="49">
        <f>IFERROR(D7/D5,"")</f>
        <v>29.692210966902326</v>
      </c>
      <c r="E6" s="50"/>
      <c r="F6" s="49">
        <f>IFERROR(F7/F5,"")</f>
        <v>52.017422634240198</v>
      </c>
      <c r="G6" s="50"/>
      <c r="H6" s="51">
        <f>IFERROR(H7/H5,"")</f>
        <v>25.251259212494681</v>
      </c>
      <c r="I6" s="52">
        <f t="shared" ref="I6:I10" si="9">IFERROR(H6*100/F6,"")</f>
        <v>48.543849221535957</v>
      </c>
      <c r="J6" s="32"/>
      <c r="K6" s="33"/>
      <c r="L6" s="53">
        <f t="shared" ref="L6:L10" si="10">IFERROR(H6-D6,"")</f>
        <v>-4.4409517544076458</v>
      </c>
      <c r="M6" s="33"/>
      <c r="N6" s="53">
        <f t="shared" ref="N6:N10" si="11">IFERROR((H6-D6)*100/D6,"")</f>
        <v>-14.956621988702491</v>
      </c>
      <c r="O6" s="54" t="str">
        <f t="shared" ref="O6:O24" si="12">IFERROR((J6-E6)*100/E6,"-")</f>
        <v>-</v>
      </c>
      <c r="P6" s="38">
        <v>1</v>
      </c>
      <c r="Q6" s="25"/>
      <c r="R6" s="47" t="str">
        <f t="shared" ref="R6:R20" si="13">$B6</f>
        <v>میانگین مدت ماندگاری کالا</v>
      </c>
      <c r="S6" s="48" t="str">
        <f t="shared" ref="S6:S20" si="14">$C6</f>
        <v>روز</v>
      </c>
      <c r="T6" s="51">
        <v>60</v>
      </c>
      <c r="U6" s="55"/>
      <c r="V6" s="56">
        <v>60</v>
      </c>
      <c r="W6" s="41"/>
      <c r="X6" s="51">
        <v>78</v>
      </c>
      <c r="Y6" s="52">
        <f t="shared" ref="Y6:Y10" si="15">IFERROR(X6*100/V6,"")</f>
        <v>130</v>
      </c>
      <c r="Z6" s="32"/>
      <c r="AA6" s="33"/>
      <c r="AB6" s="53">
        <f t="shared" si="0"/>
        <v>18</v>
      </c>
      <c r="AC6" s="57"/>
      <c r="AD6" s="53">
        <f t="shared" ref="AD6:AD10" si="16">IFERROR((X6-T6)*100/T6,"")</f>
        <v>30</v>
      </c>
      <c r="AE6" s="54" t="str">
        <f t="shared" ref="AE6:AE7" si="17">IFERROR((Z6-U6)*100/U6,"-")</f>
        <v>-</v>
      </c>
      <c r="AF6" s="45"/>
      <c r="AG6" s="25"/>
      <c r="AH6" s="47" t="str">
        <f t="shared" ref="AH6:AH20" si="18">$B6</f>
        <v>میانگین مدت ماندگاری کالا</v>
      </c>
      <c r="AI6" s="48" t="str">
        <f t="shared" ref="AI6:AI20" si="19">$C6</f>
        <v>روز</v>
      </c>
      <c r="AJ6" s="51">
        <v>50</v>
      </c>
      <c r="AK6" s="55"/>
      <c r="AL6" s="56">
        <v>50</v>
      </c>
      <c r="AM6" s="41"/>
      <c r="AN6" s="51">
        <v>52</v>
      </c>
      <c r="AO6" s="52">
        <f t="shared" ref="AO6:AO10" si="20">IFERROR(AN6*100/AL6,"")</f>
        <v>104</v>
      </c>
      <c r="AP6" s="32"/>
      <c r="AQ6" s="33"/>
      <c r="AR6" s="53">
        <f t="shared" si="1"/>
        <v>2</v>
      </c>
      <c r="AS6" s="33"/>
      <c r="AT6" s="53">
        <f t="shared" ref="AT6:AT10" si="21">IFERROR((AN6-AJ6)*100/AJ6,"")</f>
        <v>4</v>
      </c>
      <c r="AU6" s="54" t="str">
        <f t="shared" ref="AU6:AU7" si="22">IFERROR((AP6-AK6)*100/AK6,"-")</f>
        <v>-</v>
      </c>
      <c r="AV6" s="45"/>
      <c r="AW6" s="25"/>
      <c r="AX6" s="47" t="str">
        <f t="shared" ref="AX6:AX20" si="23">$B6</f>
        <v>میانگین مدت ماندگاری کالا</v>
      </c>
      <c r="AY6" s="48" t="str">
        <f t="shared" ref="AY6:AY20" si="24">$C6</f>
        <v>روز</v>
      </c>
      <c r="AZ6" s="51">
        <v>25</v>
      </c>
      <c r="BA6" s="55"/>
      <c r="BB6" s="56">
        <v>25</v>
      </c>
      <c r="BC6" s="41"/>
      <c r="BD6" s="51">
        <v>42</v>
      </c>
      <c r="BE6" s="52">
        <f t="shared" ref="BE6:BE10" si="25">IFERROR(BD6*100/BB6,"")</f>
        <v>168</v>
      </c>
      <c r="BF6" s="32"/>
      <c r="BG6" s="33"/>
      <c r="BH6" s="53">
        <f t="shared" ref="BH6:BH10" si="26">BD6-AZ6</f>
        <v>17</v>
      </c>
      <c r="BI6" s="33"/>
      <c r="BJ6" s="53">
        <f t="shared" ref="BJ6:BJ10" si="27">IFERROR((BD6-AZ6)*100/AZ6,"")</f>
        <v>68</v>
      </c>
      <c r="BK6" s="54" t="str">
        <f t="shared" ref="BK6:BK7" si="28">IFERROR((BF6-BA6)*100/BA6,"-")</f>
        <v>-</v>
      </c>
      <c r="BL6" s="45"/>
      <c r="BM6" s="25"/>
      <c r="BN6" s="47" t="str">
        <f t="shared" ref="BN6:BN20" si="29">$B6</f>
        <v>میانگین مدت ماندگاری کالا</v>
      </c>
      <c r="BO6" s="48" t="str">
        <f t="shared" ref="BO6:BO20" si="30">$C6</f>
        <v>روز</v>
      </c>
      <c r="BP6" s="51">
        <v>8</v>
      </c>
      <c r="BQ6" s="55"/>
      <c r="BR6" s="56">
        <v>9</v>
      </c>
      <c r="BS6" s="41"/>
      <c r="BT6" s="51">
        <v>14</v>
      </c>
      <c r="BU6" s="52">
        <f t="shared" ref="BU6:BU10" si="31">IFERROR(BT6*100/BR6,"")</f>
        <v>155.55555555555554</v>
      </c>
      <c r="BV6" s="32"/>
      <c r="BW6" s="33"/>
      <c r="BX6" s="53">
        <f t="shared" si="2"/>
        <v>6</v>
      </c>
      <c r="BY6" s="33"/>
      <c r="BZ6" s="53">
        <f t="shared" ref="BZ6:BZ10" si="32">IFERROR((BT6-BP6)*100/BP6,"")</f>
        <v>75</v>
      </c>
      <c r="CA6" s="54" t="str">
        <f t="shared" ref="CA6:CA7" si="33">IFERROR((BV6-BQ6)*100/BQ6,"-")</f>
        <v>-</v>
      </c>
      <c r="CB6" s="45"/>
      <c r="CC6" s="25"/>
      <c r="CD6" s="47" t="str">
        <f t="shared" ref="CD6:CD20" si="34">$B6</f>
        <v>میانگین مدت ماندگاری کالا</v>
      </c>
      <c r="CE6" s="48" t="str">
        <f t="shared" ref="CE6:CE20" si="35">$C6</f>
        <v>روز</v>
      </c>
      <c r="CF6" s="51">
        <v>62</v>
      </c>
      <c r="CG6" s="55"/>
      <c r="CH6" s="56">
        <v>63</v>
      </c>
      <c r="CI6" s="41"/>
      <c r="CJ6" s="51">
        <v>96</v>
      </c>
      <c r="CK6" s="52">
        <f t="shared" ref="CK6:CK10" si="36">IFERROR(CJ6*100/CH6,"")</f>
        <v>152.38095238095238</v>
      </c>
      <c r="CL6" s="32"/>
      <c r="CM6" s="33"/>
      <c r="CN6" s="53">
        <f t="shared" si="3"/>
        <v>34</v>
      </c>
      <c r="CO6" s="33"/>
      <c r="CP6" s="53">
        <f t="shared" ref="CP6:CP10" si="37">IFERROR((CJ6-CF6)*100/CF6,"")</f>
        <v>54.838709677419352</v>
      </c>
      <c r="CQ6" s="54" t="str">
        <f t="shared" ref="CQ6:CQ7" si="38">IFERROR((CL6-CG6)*100/CG6,"-")</f>
        <v>-</v>
      </c>
      <c r="CR6" s="45"/>
      <c r="CS6" s="25"/>
      <c r="CT6" s="47" t="str">
        <f t="shared" ref="CT6:CT20" si="39">$B6</f>
        <v>میانگین مدت ماندگاری کالا</v>
      </c>
      <c r="CU6" s="48" t="str">
        <f t="shared" ref="CU6:CU20" si="40">$C6</f>
        <v>روز</v>
      </c>
      <c r="CV6" s="51">
        <v>55</v>
      </c>
      <c r="CW6" s="55"/>
      <c r="CX6" s="56">
        <v>51</v>
      </c>
      <c r="CY6" s="41"/>
      <c r="CZ6" s="51">
        <v>59</v>
      </c>
      <c r="DA6" s="52">
        <f t="shared" ref="DA6:DA10" si="41">IFERROR(CZ6*100/CX6,"")</f>
        <v>115.68627450980392</v>
      </c>
      <c r="DB6" s="32"/>
      <c r="DC6" s="33"/>
      <c r="DD6" s="53">
        <f t="shared" si="4"/>
        <v>4</v>
      </c>
      <c r="DE6" s="33"/>
      <c r="DF6" s="53">
        <f t="shared" ref="DF6:DF10" si="42">IFERROR((CZ6-CV6)*100/CV6,"")</f>
        <v>7.2727272727272725</v>
      </c>
      <c r="DG6" s="54" t="str">
        <f t="shared" ref="DG6:DG7" si="43">IFERROR((DB6-CW6)*100/CW6,"-")</f>
        <v>-</v>
      </c>
      <c r="DH6" s="45"/>
      <c r="DI6" s="25"/>
      <c r="DJ6" s="47" t="str">
        <f t="shared" ref="DJ6:DJ20" si="44">$B6</f>
        <v>میانگین مدت ماندگاری کالا</v>
      </c>
      <c r="DK6" s="48" t="str">
        <f t="shared" ref="DK6:DK20" si="45">$C6</f>
        <v>روز</v>
      </c>
      <c r="DL6" s="51">
        <v>29</v>
      </c>
      <c r="DM6" s="55"/>
      <c r="DN6" s="56">
        <v>90</v>
      </c>
      <c r="DO6" s="41"/>
      <c r="DP6" s="51">
        <v>20</v>
      </c>
      <c r="DQ6" s="52">
        <f t="shared" ref="DQ6:DQ10" si="46">IFERROR(DP6*100/DN6,"")</f>
        <v>22.222222222222221</v>
      </c>
      <c r="DR6" s="32"/>
      <c r="DS6" s="33"/>
      <c r="DT6" s="58">
        <f t="shared" si="5"/>
        <v>-9</v>
      </c>
      <c r="DU6" s="33"/>
      <c r="DV6" s="53">
        <f t="shared" ref="DV6:DV10" si="47">IFERROR((DP6-DL6)*100/DL6,"")</f>
        <v>-31.03448275862069</v>
      </c>
      <c r="DW6" s="54" t="str">
        <f t="shared" ref="DW6:DW7" si="48">IFERROR((DR6-DM6)*100/DM6,"-")</f>
        <v>-</v>
      </c>
      <c r="DX6" s="45"/>
      <c r="DY6" s="25"/>
      <c r="DZ6" s="47" t="str">
        <f t="shared" ref="DZ6:DZ20" si="49">$B6</f>
        <v>میانگین مدت ماندگاری کالا</v>
      </c>
      <c r="EA6" s="48" t="str">
        <f t="shared" ref="EA6:EA20" si="50">$C6</f>
        <v>روز</v>
      </c>
      <c r="EB6" s="51">
        <v>116</v>
      </c>
      <c r="EC6" s="55"/>
      <c r="ED6" s="56">
        <v>90</v>
      </c>
      <c r="EE6" s="41"/>
      <c r="EF6" s="51">
        <v>24</v>
      </c>
      <c r="EG6" s="52">
        <f t="shared" ref="EG6:EG10" si="51">IFERROR(EF6*100/ED6,"")</f>
        <v>26.666666666666668</v>
      </c>
      <c r="EH6" s="32"/>
      <c r="EI6" s="33"/>
      <c r="EJ6" s="58">
        <f t="shared" si="6"/>
        <v>-92</v>
      </c>
      <c r="EK6" s="57"/>
      <c r="EL6" s="53">
        <f t="shared" ref="EL6:EL10" si="52">IFERROR((EF6-EB6)*100/EB6,"")</f>
        <v>-79.310344827586206</v>
      </c>
      <c r="EM6" s="54" t="str">
        <f t="shared" ref="EM6:EM7" si="53">IFERROR((EH6-EC6)*100/EC6,"-")</f>
        <v>-</v>
      </c>
      <c r="EN6" s="45"/>
      <c r="EO6" s="25"/>
      <c r="EP6" s="47" t="str">
        <f t="shared" ref="EP6:EP20" si="54">$B6</f>
        <v>میانگین مدت ماندگاری کالا</v>
      </c>
      <c r="EQ6" s="48" t="str">
        <f t="shared" ref="EQ6:EQ20" si="55">$C6</f>
        <v>روز</v>
      </c>
      <c r="ER6" s="51">
        <v>50</v>
      </c>
      <c r="ES6" s="55"/>
      <c r="ET6" s="56">
        <v>49</v>
      </c>
      <c r="EU6" s="41"/>
      <c r="EV6" s="51">
        <v>29</v>
      </c>
      <c r="EW6" s="52">
        <f t="shared" ref="EW6:EW10" si="56">IFERROR(EV6*100/ET6,"")</f>
        <v>59.183673469387756</v>
      </c>
      <c r="EX6" s="32"/>
      <c r="EY6" s="33"/>
      <c r="EZ6" s="58">
        <f t="shared" si="7"/>
        <v>-21</v>
      </c>
      <c r="FA6" s="33"/>
      <c r="FB6" s="53">
        <f t="shared" ref="FB6:FB10" si="57">IFERROR((EV6-ER6)*100/ER6,"")</f>
        <v>-42</v>
      </c>
      <c r="FC6" s="54" t="str">
        <f t="shared" ref="FC6:FC7" si="58">IFERROR((EX6-ES6)*100/ES6,"-")</f>
        <v>-</v>
      </c>
      <c r="FD6" s="45"/>
      <c r="FE6" s="25"/>
      <c r="FF6" s="47" t="str">
        <f t="shared" ref="FF6:FF20" si="59">$B6</f>
        <v>میانگین مدت ماندگاری کالا</v>
      </c>
      <c r="FG6" s="48" t="str">
        <f t="shared" ref="FG6:FG20" si="60">$C6</f>
        <v>روز</v>
      </c>
      <c r="FH6" s="51"/>
      <c r="FI6" s="55"/>
      <c r="FJ6" s="56"/>
      <c r="FK6" s="41"/>
      <c r="FL6" s="51"/>
      <c r="FM6" s="52" t="str">
        <f t="shared" ref="FM6:FM10" si="61">IFERROR(FL6*100/FJ6,"")</f>
        <v/>
      </c>
      <c r="FN6" s="32"/>
      <c r="FO6" s="33"/>
      <c r="FP6" s="53">
        <f t="shared" si="8"/>
        <v>0</v>
      </c>
      <c r="FQ6" s="33"/>
      <c r="FR6" s="53" t="str">
        <f t="shared" ref="FR6:FR10" si="62">IFERROR((FL6-FH6)*100/FH6,"")</f>
        <v/>
      </c>
      <c r="FS6" s="54" t="str">
        <f t="shared" ref="FS6:FS7" si="63">IFERROR((FN6-FI6)*100/FI6,"-")</f>
        <v>-</v>
      </c>
      <c r="FT6" s="45"/>
    </row>
    <row r="7" spans="1:176" ht="30" customHeight="1" x14ac:dyDescent="0.6">
      <c r="A7" s="25"/>
      <c r="B7" s="47" t="s">
        <v>14</v>
      </c>
      <c r="C7" s="59" t="s">
        <v>18</v>
      </c>
      <c r="D7" s="60">
        <f t="shared" ref="D7:H12" si="64">SUM(T7,AJ7,AZ7,BP7,CF7,CV7,DL7,EB7,ER7,FH7)</f>
        <v>3376717</v>
      </c>
      <c r="E7" s="61"/>
      <c r="F7" s="60">
        <f t="shared" si="64"/>
        <v>7920291.1560693225</v>
      </c>
      <c r="G7" s="61"/>
      <c r="H7" s="60">
        <f t="shared" si="64"/>
        <v>3679765</v>
      </c>
      <c r="I7" s="31">
        <f t="shared" si="9"/>
        <v>46.459971325425258</v>
      </c>
      <c r="J7" s="62"/>
      <c r="K7" s="63"/>
      <c r="L7" s="64">
        <f t="shared" si="10"/>
        <v>303048</v>
      </c>
      <c r="M7" s="63"/>
      <c r="N7" s="34">
        <f t="shared" si="11"/>
        <v>8.9746342379299175</v>
      </c>
      <c r="O7" s="54" t="str">
        <f t="shared" si="12"/>
        <v>-</v>
      </c>
      <c r="P7" s="38">
        <v>1</v>
      </c>
      <c r="Q7" s="25"/>
      <c r="R7" s="47" t="str">
        <f t="shared" si="13"/>
        <v>انبارداری</v>
      </c>
      <c r="S7" s="59" t="str">
        <f t="shared" si="14"/>
        <v>تن روز</v>
      </c>
      <c r="T7" s="60">
        <f>IFERROR(T5*T6,"")</f>
        <v>667500</v>
      </c>
      <c r="U7" s="65"/>
      <c r="V7" s="60">
        <f>IFERROR(V5*V6,"")</f>
        <v>2309835.9366622218</v>
      </c>
      <c r="W7" s="66"/>
      <c r="X7" s="60">
        <f>IFERROR(X5*X6,"")</f>
        <v>225498</v>
      </c>
      <c r="Y7" s="31">
        <f t="shared" si="15"/>
        <v>9.7625115455537923</v>
      </c>
      <c r="Z7" s="62"/>
      <c r="AA7" s="63"/>
      <c r="AB7" s="67">
        <f t="shared" si="0"/>
        <v>-442002</v>
      </c>
      <c r="AC7" s="68"/>
      <c r="AD7" s="34">
        <f t="shared" si="16"/>
        <v>-66.217528089887637</v>
      </c>
      <c r="AE7" s="54" t="str">
        <f t="shared" si="17"/>
        <v>-</v>
      </c>
      <c r="AF7" s="45"/>
      <c r="AG7" s="25"/>
      <c r="AH7" s="47" t="str">
        <f t="shared" si="18"/>
        <v>انبارداری</v>
      </c>
      <c r="AI7" s="59" t="str">
        <f t="shared" si="19"/>
        <v>تن روز</v>
      </c>
      <c r="AJ7" s="60">
        <f>IFERROR(AJ5*AJ6,"")</f>
        <v>494950</v>
      </c>
      <c r="AK7" s="65"/>
      <c r="AL7" s="60">
        <f>IFERROR(AL5*AL6,"")</f>
        <v>816019.46376924892</v>
      </c>
      <c r="AM7" s="66"/>
      <c r="AN7" s="60">
        <f>IFERROR(AN5*AN6,"")</f>
        <v>328068</v>
      </c>
      <c r="AO7" s="31">
        <f t="shared" si="20"/>
        <v>40.203452805479884</v>
      </c>
      <c r="AP7" s="62"/>
      <c r="AQ7" s="63"/>
      <c r="AR7" s="67">
        <f t="shared" si="1"/>
        <v>-166882</v>
      </c>
      <c r="AS7" s="63"/>
      <c r="AT7" s="34">
        <f t="shared" si="21"/>
        <v>-33.716941105162135</v>
      </c>
      <c r="AU7" s="54" t="str">
        <f t="shared" si="22"/>
        <v>-</v>
      </c>
      <c r="AV7" s="45"/>
      <c r="AW7" s="25"/>
      <c r="AX7" s="47" t="str">
        <f t="shared" si="23"/>
        <v>انبارداری</v>
      </c>
      <c r="AY7" s="59" t="str">
        <f t="shared" si="24"/>
        <v>تن روز</v>
      </c>
      <c r="AZ7" s="60">
        <f>IFERROR(AZ5*AZ6,"")</f>
        <v>197050</v>
      </c>
      <c r="BA7" s="65"/>
      <c r="BB7" s="60">
        <f>IFERROR(BB5*BB6,"")</f>
        <v>231790.2847142409</v>
      </c>
      <c r="BC7" s="66"/>
      <c r="BD7" s="60">
        <f>IFERROR(BD5*BD6,"")</f>
        <v>284676</v>
      </c>
      <c r="BE7" s="31">
        <f t="shared" si="25"/>
        <v>122.81619152026084</v>
      </c>
      <c r="BF7" s="62"/>
      <c r="BG7" s="63"/>
      <c r="BH7" s="64">
        <f t="shared" si="26"/>
        <v>87626</v>
      </c>
      <c r="BI7" s="63"/>
      <c r="BJ7" s="34">
        <f t="shared" si="27"/>
        <v>44.46891651865009</v>
      </c>
      <c r="BK7" s="54" t="str">
        <f t="shared" si="28"/>
        <v>-</v>
      </c>
      <c r="BL7" s="45"/>
      <c r="BM7" s="25"/>
      <c r="BN7" s="47" t="str">
        <f t="shared" si="29"/>
        <v>انبارداری</v>
      </c>
      <c r="BO7" s="59" t="str">
        <f t="shared" si="30"/>
        <v>تن روز</v>
      </c>
      <c r="BP7" s="60">
        <f>IFERROR(BP5*BP6,"")</f>
        <v>322240</v>
      </c>
      <c r="BQ7" s="65"/>
      <c r="BR7" s="60">
        <f>IFERROR(BR5*BR6,"")</f>
        <v>341646.43372793536</v>
      </c>
      <c r="BS7" s="66"/>
      <c r="BT7" s="60">
        <f>IFERROR(BT5*BT6,"")</f>
        <v>880012</v>
      </c>
      <c r="BU7" s="31">
        <f t="shared" si="31"/>
        <v>257.57974125401915</v>
      </c>
      <c r="BV7" s="62"/>
      <c r="BW7" s="63"/>
      <c r="BX7" s="64">
        <f t="shared" si="2"/>
        <v>557772</v>
      </c>
      <c r="BY7" s="63"/>
      <c r="BZ7" s="34">
        <f t="shared" si="32"/>
        <v>173.09210526315789</v>
      </c>
      <c r="CA7" s="54" t="str">
        <f t="shared" si="33"/>
        <v>-</v>
      </c>
      <c r="CB7" s="45"/>
      <c r="CC7" s="25"/>
      <c r="CD7" s="47" t="str">
        <f t="shared" si="34"/>
        <v>انبارداری</v>
      </c>
      <c r="CE7" s="59" t="str">
        <f t="shared" si="35"/>
        <v>تن روز</v>
      </c>
      <c r="CF7" s="60">
        <f>IFERROR(CF5*CF6,"")</f>
        <v>671212</v>
      </c>
      <c r="CG7" s="65"/>
      <c r="CH7" s="60">
        <f>IFERROR(CH5*CH6,"")</f>
        <v>363789.38885157817</v>
      </c>
      <c r="CI7" s="66"/>
      <c r="CJ7" s="60">
        <f>IFERROR(CJ5*CJ6,"")</f>
        <v>614496</v>
      </c>
      <c r="CK7" s="31">
        <f t="shared" si="36"/>
        <v>168.91531716740292</v>
      </c>
      <c r="CL7" s="62"/>
      <c r="CM7" s="63"/>
      <c r="CN7" s="67">
        <f t="shared" si="3"/>
        <v>-56716</v>
      </c>
      <c r="CO7" s="63"/>
      <c r="CP7" s="34">
        <f t="shared" si="37"/>
        <v>-8.4497893363050718</v>
      </c>
      <c r="CQ7" s="54" t="str">
        <f t="shared" si="38"/>
        <v>-</v>
      </c>
      <c r="CR7" s="45"/>
      <c r="CS7" s="25"/>
      <c r="CT7" s="47" t="str">
        <f t="shared" si="39"/>
        <v>انبارداری</v>
      </c>
      <c r="CU7" s="59" t="str">
        <f t="shared" si="40"/>
        <v>تن روز</v>
      </c>
      <c r="CV7" s="60">
        <f>IFERROR(CV5*CV6,"")</f>
        <v>1100</v>
      </c>
      <c r="CW7" s="65"/>
      <c r="CX7" s="60">
        <f>IFERROR(CX5*CX6,"")</f>
        <v>1706.9994666666666</v>
      </c>
      <c r="CY7" s="66"/>
      <c r="CZ7" s="60">
        <f>IFERROR(CZ5*CZ6,"")</f>
        <v>115168</v>
      </c>
      <c r="DA7" s="31">
        <f t="shared" si="41"/>
        <v>6746.8093721724263</v>
      </c>
      <c r="DB7" s="62"/>
      <c r="DC7" s="63"/>
      <c r="DD7" s="64">
        <f t="shared" si="4"/>
        <v>114068</v>
      </c>
      <c r="DE7" s="63"/>
      <c r="DF7" s="34">
        <f t="shared" si="42"/>
        <v>10369.818181818182</v>
      </c>
      <c r="DG7" s="54" t="str">
        <f t="shared" si="43"/>
        <v>-</v>
      </c>
      <c r="DH7" s="45"/>
      <c r="DI7" s="25"/>
      <c r="DJ7" s="47" t="str">
        <f t="shared" si="44"/>
        <v>انبارداری</v>
      </c>
      <c r="DK7" s="59" t="str">
        <f t="shared" si="45"/>
        <v>تن روز</v>
      </c>
      <c r="DL7" s="60">
        <f>IFERROR(DL5*DL6,"")</f>
        <v>948097</v>
      </c>
      <c r="DM7" s="65"/>
      <c r="DN7" s="60">
        <f>IFERROR(DN5*DN6,"")</f>
        <v>3410898.9169755899</v>
      </c>
      <c r="DO7" s="66"/>
      <c r="DP7" s="60">
        <f>IFERROR(DP5*DP6,"")</f>
        <v>1033880</v>
      </c>
      <c r="DQ7" s="31">
        <f t="shared" si="46"/>
        <v>30.311071220976878</v>
      </c>
      <c r="DR7" s="62"/>
      <c r="DS7" s="63"/>
      <c r="DT7" s="64">
        <f t="shared" si="5"/>
        <v>85783</v>
      </c>
      <c r="DU7" s="63"/>
      <c r="DV7" s="34">
        <f t="shared" si="47"/>
        <v>9.0479138737913942</v>
      </c>
      <c r="DW7" s="54" t="str">
        <f t="shared" si="48"/>
        <v>-</v>
      </c>
      <c r="DX7" s="45"/>
      <c r="DY7" s="25"/>
      <c r="DZ7" s="47" t="str">
        <f t="shared" si="49"/>
        <v>انبارداری</v>
      </c>
      <c r="EA7" s="59" t="str">
        <f t="shared" si="50"/>
        <v>تن روز</v>
      </c>
      <c r="EB7" s="60">
        <f>IFERROR(EB5*EB6,"")</f>
        <v>43268</v>
      </c>
      <c r="EC7" s="65"/>
      <c r="ED7" s="60">
        <f>IFERROR(ED5*ED6,"")</f>
        <v>276220.1319018405</v>
      </c>
      <c r="EE7" s="66"/>
      <c r="EF7" s="60">
        <f>IFERROR(EF5*EF6,"")</f>
        <v>2304</v>
      </c>
      <c r="EG7" s="31">
        <f t="shared" si="51"/>
        <v>0.83411733393088283</v>
      </c>
      <c r="EH7" s="62"/>
      <c r="EI7" s="63"/>
      <c r="EJ7" s="67">
        <f t="shared" si="6"/>
        <v>-40964</v>
      </c>
      <c r="EK7" s="68"/>
      <c r="EL7" s="34">
        <f t="shared" si="52"/>
        <v>-94.675048534713881</v>
      </c>
      <c r="EM7" s="54" t="str">
        <f t="shared" si="53"/>
        <v>-</v>
      </c>
      <c r="EN7" s="45"/>
      <c r="EO7" s="25"/>
      <c r="EP7" s="47" t="str">
        <f t="shared" si="54"/>
        <v>انبارداری</v>
      </c>
      <c r="EQ7" s="59" t="str">
        <f t="shared" si="55"/>
        <v>تن روز</v>
      </c>
      <c r="ER7" s="60">
        <f>IFERROR(ER5*ER6,"")</f>
        <v>31300</v>
      </c>
      <c r="ES7" s="65"/>
      <c r="ET7" s="60">
        <f>IFERROR(ET5*ET6,"")</f>
        <v>168383.59999999998</v>
      </c>
      <c r="EU7" s="66"/>
      <c r="EV7" s="60">
        <f>IFERROR(EV5*EV6,"")</f>
        <v>195663</v>
      </c>
      <c r="EW7" s="31">
        <f t="shared" si="56"/>
        <v>116.20074639097871</v>
      </c>
      <c r="EX7" s="62"/>
      <c r="EY7" s="63"/>
      <c r="EZ7" s="64">
        <f t="shared" si="7"/>
        <v>164363</v>
      </c>
      <c r="FA7" s="63"/>
      <c r="FB7" s="34">
        <f t="shared" si="57"/>
        <v>525.12140575079877</v>
      </c>
      <c r="FC7" s="54" t="str">
        <f t="shared" si="58"/>
        <v>-</v>
      </c>
      <c r="FD7" s="45"/>
      <c r="FE7" s="25"/>
      <c r="FF7" s="47" t="str">
        <f t="shared" si="59"/>
        <v>انبارداری</v>
      </c>
      <c r="FG7" s="59" t="str">
        <f t="shared" si="60"/>
        <v>تن روز</v>
      </c>
      <c r="FH7" s="60">
        <f>IFERROR(FH5*FH6,"")</f>
        <v>0</v>
      </c>
      <c r="FI7" s="65"/>
      <c r="FJ7" s="60">
        <f>IFERROR(FJ5*FJ6,"")</f>
        <v>0</v>
      </c>
      <c r="FK7" s="66"/>
      <c r="FL7" s="60">
        <f>IFERROR(FL5*FL6,"")</f>
        <v>0</v>
      </c>
      <c r="FM7" s="31" t="str">
        <f t="shared" si="61"/>
        <v/>
      </c>
      <c r="FN7" s="62"/>
      <c r="FO7" s="63"/>
      <c r="FP7" s="64">
        <f t="shared" si="8"/>
        <v>0</v>
      </c>
      <c r="FQ7" s="63"/>
      <c r="FR7" s="34" t="str">
        <f t="shared" si="62"/>
        <v/>
      </c>
      <c r="FS7" s="54" t="str">
        <f t="shared" si="63"/>
        <v>-</v>
      </c>
      <c r="FT7" s="45"/>
    </row>
    <row r="8" spans="1:176" ht="30" customHeight="1" x14ac:dyDescent="0.6">
      <c r="A8" s="25"/>
      <c r="B8" s="69" t="s">
        <v>19</v>
      </c>
      <c r="C8" s="70" t="s">
        <v>15</v>
      </c>
      <c r="D8" s="71">
        <f t="shared" si="64"/>
        <v>227448</v>
      </c>
      <c r="E8" s="72">
        <f>SUM(U8,AK8,BA8,BQ8,CG8,CW8,DM8,EC8,ES8,FI8)</f>
        <v>465998</v>
      </c>
      <c r="F8" s="71">
        <f t="shared" si="64"/>
        <v>304524.55177415238</v>
      </c>
      <c r="G8" s="72">
        <f>SUM(W8,AM8,BC8,BS8,CI8,CY8,DO8,EE8,EU8,FK8)</f>
        <v>690927</v>
      </c>
      <c r="H8" s="71">
        <f t="shared" si="64"/>
        <v>291452</v>
      </c>
      <c r="I8" s="31">
        <f t="shared" si="9"/>
        <v>95.707225674254502</v>
      </c>
      <c r="J8" s="73">
        <f>SUM(Z8,AP8,BF8,BV8,CL8,DB8,DR8,EH8,EX8,FN8)</f>
        <v>808273</v>
      </c>
      <c r="K8" s="74">
        <f>IFERROR(J8*100/G8,"")</f>
        <v>116.98384923443432</v>
      </c>
      <c r="L8" s="75">
        <f t="shared" si="10"/>
        <v>64004</v>
      </c>
      <c r="M8" s="74">
        <f>IFERROR(J8-E8,"")</f>
        <v>342275</v>
      </c>
      <c r="N8" s="76">
        <f t="shared" si="11"/>
        <v>28.140058386971969</v>
      </c>
      <c r="O8" s="74">
        <f>IFERROR((J8-E8)*100/E8,"")</f>
        <v>73.449886051013095</v>
      </c>
      <c r="P8" s="38">
        <v>1</v>
      </c>
      <c r="Q8" s="25"/>
      <c r="R8" s="69" t="str">
        <f t="shared" si="13"/>
        <v>باربری</v>
      </c>
      <c r="S8" s="70" t="str">
        <f t="shared" si="14"/>
        <v>تن</v>
      </c>
      <c r="T8" s="71">
        <f>IFERROR(2*T5,"")</f>
        <v>22250</v>
      </c>
      <c r="U8" s="77">
        <v>40772</v>
      </c>
      <c r="V8" s="71">
        <f>IFERROR(2*V5,"")</f>
        <v>76994.53122207406</v>
      </c>
      <c r="W8" s="78">
        <v>138874</v>
      </c>
      <c r="X8" s="71">
        <f>IFERROR(2*X5,"")</f>
        <v>5782</v>
      </c>
      <c r="Y8" s="42">
        <f t="shared" si="15"/>
        <v>7.5096242658106096</v>
      </c>
      <c r="Z8" s="73">
        <v>14688</v>
      </c>
      <c r="AA8" s="74">
        <f>IFERROR(Z8*100/W8,"")</f>
        <v>10.576493800135374</v>
      </c>
      <c r="AB8" s="79">
        <f t="shared" si="0"/>
        <v>-16468</v>
      </c>
      <c r="AC8" s="80">
        <f t="shared" ref="AC8:AC25" si="65">Z8-U8</f>
        <v>-26084</v>
      </c>
      <c r="AD8" s="76">
        <f t="shared" si="16"/>
        <v>-74.013483146067415</v>
      </c>
      <c r="AE8" s="74">
        <f>IFERROR((Z8-U8)*100/U8,"")</f>
        <v>-63.975277150985974</v>
      </c>
      <c r="AF8" s="45"/>
      <c r="AG8" s="25"/>
      <c r="AH8" s="69" t="str">
        <f t="shared" si="18"/>
        <v>باربری</v>
      </c>
      <c r="AI8" s="70" t="str">
        <f t="shared" si="19"/>
        <v>تن</v>
      </c>
      <c r="AJ8" s="71">
        <f>IFERROR(2*AJ5,"")</f>
        <v>19798</v>
      </c>
      <c r="AK8" s="77">
        <v>9720</v>
      </c>
      <c r="AL8" s="71">
        <f>IFERROR(2*AL5,"")</f>
        <v>32640.778550769955</v>
      </c>
      <c r="AM8" s="78">
        <v>16351</v>
      </c>
      <c r="AN8" s="71">
        <f>IFERROR(2*AN5,"")</f>
        <v>12618</v>
      </c>
      <c r="AO8" s="42">
        <f t="shared" si="20"/>
        <v>38.65716615911527</v>
      </c>
      <c r="AP8" s="73">
        <v>25516</v>
      </c>
      <c r="AQ8" s="74">
        <f>IFERROR(AP8*100/AM8,"")</f>
        <v>156.05161763806495</v>
      </c>
      <c r="AR8" s="79">
        <f t="shared" si="1"/>
        <v>-7180</v>
      </c>
      <c r="AS8" s="74">
        <f t="shared" ref="AS8:AS25" si="66">AP8-AK8</f>
        <v>15796</v>
      </c>
      <c r="AT8" s="76">
        <f t="shared" si="21"/>
        <v>-36.266289524194363</v>
      </c>
      <c r="AU8" s="74">
        <f>IFERROR((AP8-AK8)*100/AK8,"")</f>
        <v>162.51028806584361</v>
      </c>
      <c r="AV8" s="45"/>
      <c r="AW8" s="25"/>
      <c r="AX8" s="69" t="str">
        <f t="shared" si="23"/>
        <v>باربری</v>
      </c>
      <c r="AY8" s="70" t="str">
        <f t="shared" si="24"/>
        <v>تن</v>
      </c>
      <c r="AZ8" s="71">
        <f>IFERROR(2*AZ5,"")</f>
        <v>15764</v>
      </c>
      <c r="BA8" s="77">
        <v>32643</v>
      </c>
      <c r="BB8" s="71">
        <f>IFERROR(2*BB5,"")</f>
        <v>18543.222777139272</v>
      </c>
      <c r="BC8" s="78">
        <v>57439</v>
      </c>
      <c r="BD8" s="71">
        <f>IFERROR(2*BD5,"")</f>
        <v>13556</v>
      </c>
      <c r="BE8" s="42">
        <f t="shared" si="25"/>
        <v>73.104875904917165</v>
      </c>
      <c r="BF8" s="73">
        <v>43718</v>
      </c>
      <c r="BG8" s="74">
        <f>IFERROR(BF8*100/BC8,"")</f>
        <v>76.112049304479541</v>
      </c>
      <c r="BH8" s="79">
        <f t="shared" si="26"/>
        <v>-2208</v>
      </c>
      <c r="BI8" s="74">
        <f t="shared" ref="BI8:BI25" si="67">BF8-BA8</f>
        <v>11075</v>
      </c>
      <c r="BJ8" s="76">
        <f t="shared" si="27"/>
        <v>-14.006597310327328</v>
      </c>
      <c r="BK8" s="74">
        <f>IFERROR((BF8-BA8)*100/BA8,"")</f>
        <v>33.927641454523176</v>
      </c>
      <c r="BL8" s="45"/>
      <c r="BM8" s="25"/>
      <c r="BN8" s="69" t="str">
        <f t="shared" si="29"/>
        <v>باربری</v>
      </c>
      <c r="BO8" s="70" t="str">
        <f t="shared" si="30"/>
        <v>تن</v>
      </c>
      <c r="BP8" s="71">
        <f>IFERROR(2*BP5,"")</f>
        <v>80560</v>
      </c>
      <c r="BQ8" s="77">
        <v>311287</v>
      </c>
      <c r="BR8" s="71">
        <f>IFERROR(2*BR5,"")</f>
        <v>75921.42971731897</v>
      </c>
      <c r="BS8" s="78">
        <v>385608</v>
      </c>
      <c r="BT8" s="71">
        <f>IFERROR(2*BT5,"")</f>
        <v>125716</v>
      </c>
      <c r="BU8" s="42">
        <f t="shared" si="31"/>
        <v>165.58697652044088</v>
      </c>
      <c r="BV8" s="73">
        <v>515378</v>
      </c>
      <c r="BW8" s="74">
        <f>IFERROR(BV8*100/BS8,"")</f>
        <v>133.65334744092445</v>
      </c>
      <c r="BX8" s="81">
        <f t="shared" si="2"/>
        <v>45156</v>
      </c>
      <c r="BY8" s="74">
        <f t="shared" ref="BY8:BY25" si="68">BV8-BQ8</f>
        <v>204091</v>
      </c>
      <c r="BZ8" s="76">
        <f t="shared" si="32"/>
        <v>56.05263157894737</v>
      </c>
      <c r="CA8" s="74">
        <f>IFERROR((BV8-BQ8)*100/BQ8,"")</f>
        <v>65.563611715233847</v>
      </c>
      <c r="CB8" s="45"/>
      <c r="CC8" s="25"/>
      <c r="CD8" s="69" t="str">
        <f t="shared" si="34"/>
        <v>باربری</v>
      </c>
      <c r="CE8" s="70" t="str">
        <f t="shared" si="35"/>
        <v>تن</v>
      </c>
      <c r="CF8" s="71">
        <f>IFERROR(2*CF5,"")</f>
        <v>21652</v>
      </c>
      <c r="CG8" s="77">
        <v>24587</v>
      </c>
      <c r="CH8" s="71">
        <f>IFERROR(2*CH5,"")</f>
        <v>11548.869487351689</v>
      </c>
      <c r="CI8" s="78">
        <v>18793</v>
      </c>
      <c r="CJ8" s="71">
        <f>IFERROR(2*CJ5,"")</f>
        <v>12802</v>
      </c>
      <c r="CK8" s="42">
        <f t="shared" si="36"/>
        <v>110.85067689110817</v>
      </c>
      <c r="CL8" s="73">
        <v>21518</v>
      </c>
      <c r="CM8" s="74">
        <f>IFERROR(CL8*100/CI8,"")</f>
        <v>114.50007981695312</v>
      </c>
      <c r="CN8" s="79">
        <f t="shared" si="3"/>
        <v>-8850</v>
      </c>
      <c r="CO8" s="80">
        <f t="shared" ref="CO8:CO25" si="69">CL8-CG8</f>
        <v>-3069</v>
      </c>
      <c r="CP8" s="76">
        <f t="shared" si="37"/>
        <v>-40.873822279697023</v>
      </c>
      <c r="CQ8" s="74">
        <f>IFERROR((CL8-CG8)*100/CG8,"")</f>
        <v>-12.482206043844307</v>
      </c>
      <c r="CR8" s="45"/>
      <c r="CS8" s="25"/>
      <c r="CT8" s="69" t="str">
        <f t="shared" si="39"/>
        <v>باربری</v>
      </c>
      <c r="CU8" s="70" t="str">
        <f t="shared" si="40"/>
        <v>تن</v>
      </c>
      <c r="CV8" s="71">
        <f>IFERROR(2*CV5,"")</f>
        <v>40</v>
      </c>
      <c r="CW8" s="77">
        <v>53</v>
      </c>
      <c r="CX8" s="71">
        <f>IFERROR(2*CX5,"")</f>
        <v>66.941155555555554</v>
      </c>
      <c r="CY8" s="78">
        <v>60</v>
      </c>
      <c r="CZ8" s="71">
        <f>IFERROR(2*CZ5,"")</f>
        <v>3904</v>
      </c>
      <c r="DA8" s="42">
        <f t="shared" si="41"/>
        <v>5831.9877623863349</v>
      </c>
      <c r="DB8" s="73">
        <v>2362</v>
      </c>
      <c r="DC8" s="74">
        <f>IFERROR(DB8*100/CY8,"")</f>
        <v>3936.6666666666665</v>
      </c>
      <c r="DD8" s="81">
        <f t="shared" si="4"/>
        <v>3864</v>
      </c>
      <c r="DE8" s="74">
        <f t="shared" ref="DE8:DE25" si="70">DB8-CW8</f>
        <v>2309</v>
      </c>
      <c r="DF8" s="76">
        <f t="shared" si="42"/>
        <v>9660</v>
      </c>
      <c r="DG8" s="74">
        <f>IFERROR((DB8-CW8)*100/CW8,"")</f>
        <v>4356.6037735849059</v>
      </c>
      <c r="DH8" s="45"/>
      <c r="DI8" s="25"/>
      <c r="DJ8" s="69" t="str">
        <f t="shared" si="44"/>
        <v>باربری</v>
      </c>
      <c r="DK8" s="70" t="str">
        <f t="shared" si="45"/>
        <v>تن</v>
      </c>
      <c r="DL8" s="71">
        <f>IFERROR(2*DL5,"")</f>
        <v>65386</v>
      </c>
      <c r="DM8" s="77">
        <v>46190</v>
      </c>
      <c r="DN8" s="71">
        <f>IFERROR(2*DN5,"")</f>
        <v>75797.753710568664</v>
      </c>
      <c r="DO8" s="78">
        <v>69943</v>
      </c>
      <c r="DP8" s="71">
        <f>IFERROR(2*DP5,"")</f>
        <v>103388</v>
      </c>
      <c r="DQ8" s="42">
        <f t="shared" si="46"/>
        <v>136.39982049439595</v>
      </c>
      <c r="DR8" s="73">
        <v>163436</v>
      </c>
      <c r="DS8" s="74">
        <f>IFERROR(DR8*100/DO8,"")</f>
        <v>233.67027436626967</v>
      </c>
      <c r="DT8" s="81">
        <f t="shared" si="5"/>
        <v>38002</v>
      </c>
      <c r="DU8" s="74">
        <f t="shared" ref="DU8:DU25" si="71">DR8-DM8</f>
        <v>117246</v>
      </c>
      <c r="DV8" s="76">
        <f t="shared" si="47"/>
        <v>58.119475116997521</v>
      </c>
      <c r="DW8" s="74">
        <f>IFERROR((DR8-DM8)*100/DM8,"")</f>
        <v>253.83416323879626</v>
      </c>
      <c r="DX8" s="45"/>
      <c r="DY8" s="25"/>
      <c r="DZ8" s="69" t="str">
        <f t="shared" si="49"/>
        <v>باربری</v>
      </c>
      <c r="EA8" s="70" t="str">
        <f t="shared" si="50"/>
        <v>تن</v>
      </c>
      <c r="EB8" s="71">
        <f>IFERROR(2*EB5,"")</f>
        <v>746</v>
      </c>
      <c r="EC8" s="77">
        <v>215</v>
      </c>
      <c r="ED8" s="71">
        <f>IFERROR(2*ED5,"")</f>
        <v>6138.2251533742337</v>
      </c>
      <c r="EE8" s="78">
        <v>1417</v>
      </c>
      <c r="EF8" s="71">
        <f>IFERROR(2*EF5,"")</f>
        <v>192</v>
      </c>
      <c r="EG8" s="42">
        <f t="shared" si="51"/>
        <v>3.1279400022408104</v>
      </c>
      <c r="EH8" s="73">
        <v>259</v>
      </c>
      <c r="EI8" s="74">
        <f>IFERROR(EH8*100/EE8,"")</f>
        <v>18.278052223006352</v>
      </c>
      <c r="EJ8" s="79">
        <f t="shared" si="6"/>
        <v>-554</v>
      </c>
      <c r="EK8" s="74">
        <f t="shared" ref="EK8:EK25" si="72">EH8-EC8</f>
        <v>44</v>
      </c>
      <c r="EL8" s="76">
        <f t="shared" si="52"/>
        <v>-74.262734584450399</v>
      </c>
      <c r="EM8" s="74">
        <f>IFERROR((EH8-EC8)*100/EC8,"")</f>
        <v>20.465116279069768</v>
      </c>
      <c r="EN8" s="45"/>
      <c r="EO8" s="25"/>
      <c r="EP8" s="69" t="str">
        <f t="shared" si="54"/>
        <v>باربری</v>
      </c>
      <c r="EQ8" s="70" t="str">
        <f t="shared" si="55"/>
        <v>تن</v>
      </c>
      <c r="ER8" s="71">
        <f>IFERROR(2*ER5,"")</f>
        <v>1252</v>
      </c>
      <c r="ES8" s="77">
        <v>531</v>
      </c>
      <c r="ET8" s="71">
        <f>IFERROR(2*ET5,"")</f>
        <v>6872.7999999999993</v>
      </c>
      <c r="EU8" s="78">
        <v>2442</v>
      </c>
      <c r="EV8" s="71">
        <f>IFERROR(2*EV5,"")</f>
        <v>13494</v>
      </c>
      <c r="EW8" s="42">
        <f t="shared" si="56"/>
        <v>196.33919217786058</v>
      </c>
      <c r="EX8" s="73">
        <v>21398</v>
      </c>
      <c r="EY8" s="74">
        <f>IFERROR(EX8*100/EU8,"")</f>
        <v>876.24897624897631</v>
      </c>
      <c r="EZ8" s="81">
        <f t="shared" si="7"/>
        <v>12242</v>
      </c>
      <c r="FA8" s="74">
        <f t="shared" ref="FA8:FA25" si="73">EX8-ES8</f>
        <v>20867</v>
      </c>
      <c r="FB8" s="76">
        <f t="shared" si="57"/>
        <v>977.7955271565495</v>
      </c>
      <c r="FC8" s="74">
        <f>IFERROR((EX8-ES8)*100/ES8,"")</f>
        <v>3929.7551789077211</v>
      </c>
      <c r="FD8" s="45"/>
      <c r="FE8" s="25"/>
      <c r="FF8" s="69" t="str">
        <f t="shared" si="59"/>
        <v>باربری</v>
      </c>
      <c r="FG8" s="70" t="str">
        <f t="shared" si="60"/>
        <v>تن</v>
      </c>
      <c r="FH8" s="71">
        <f>IFERROR(2*FH5,"")</f>
        <v>0</v>
      </c>
      <c r="FI8" s="77"/>
      <c r="FJ8" s="71">
        <f>IFERROR(2*FJ5,"")</f>
        <v>0</v>
      </c>
      <c r="FK8" s="78"/>
      <c r="FL8" s="71">
        <f>IFERROR(2*FL5,"")</f>
        <v>0</v>
      </c>
      <c r="FM8" s="42" t="str">
        <f t="shared" si="61"/>
        <v/>
      </c>
      <c r="FN8" s="73"/>
      <c r="FO8" s="74" t="str">
        <f>IFERROR(FN8*100/FK8,"")</f>
        <v/>
      </c>
      <c r="FP8" s="75">
        <f t="shared" si="8"/>
        <v>0</v>
      </c>
      <c r="FQ8" s="74">
        <f t="shared" ref="FQ8:FQ25" si="74">FN8-FI8</f>
        <v>0</v>
      </c>
      <c r="FR8" s="76" t="str">
        <f t="shared" si="62"/>
        <v/>
      </c>
      <c r="FS8" s="74" t="str">
        <f>IFERROR((FN8-FI8)*100/FI8,"")</f>
        <v/>
      </c>
      <c r="FT8" s="45"/>
    </row>
    <row r="9" spans="1:176" ht="30" customHeight="1" x14ac:dyDescent="0.6">
      <c r="A9" s="25"/>
      <c r="B9" s="69" t="s">
        <v>20</v>
      </c>
      <c r="C9" s="70" t="s">
        <v>15</v>
      </c>
      <c r="D9" s="82">
        <f t="shared" si="64"/>
        <v>3902</v>
      </c>
      <c r="E9" s="83">
        <f t="shared" si="64"/>
        <v>151</v>
      </c>
      <c r="F9" s="82">
        <f t="shared" si="64"/>
        <v>9774.4184502281296</v>
      </c>
      <c r="G9" s="83">
        <f t="shared" si="64"/>
        <v>67</v>
      </c>
      <c r="H9" s="82">
        <f t="shared" si="64"/>
        <v>657</v>
      </c>
      <c r="I9" s="52">
        <f t="shared" si="9"/>
        <v>6.7216275151865021</v>
      </c>
      <c r="J9" s="73">
        <f t="shared" ref="J9:J12" si="75">SUM(Z9,AP9,BF9,BV9,CL9,DB9,DR9,EH9,EX9,FN9)</f>
        <v>479</v>
      </c>
      <c r="K9" s="74">
        <f t="shared" ref="K9:K12" si="76">IFERROR(J9*100/G9,"")</f>
        <v>714.92537313432831</v>
      </c>
      <c r="L9" s="75">
        <f t="shared" si="10"/>
        <v>-3245</v>
      </c>
      <c r="M9" s="74">
        <f t="shared" ref="M9:M12" si="77">IFERROR(J9-E9,"")</f>
        <v>328</v>
      </c>
      <c r="N9" s="84">
        <f t="shared" si="11"/>
        <v>-83.162480779087645</v>
      </c>
      <c r="O9" s="74">
        <f t="shared" ref="O9:O11" si="78">IFERROR((J9-E9)*100/E9,"")</f>
        <v>217.21854304635761</v>
      </c>
      <c r="P9" s="38">
        <v>1</v>
      </c>
      <c r="Q9" s="25"/>
      <c r="R9" s="69" t="str">
        <f t="shared" si="13"/>
        <v>حمل یکسره</v>
      </c>
      <c r="S9" s="70" t="str">
        <f t="shared" si="14"/>
        <v>تن</v>
      </c>
      <c r="T9" s="71">
        <f>SUMIFS([1]واردات!$C$42:$C$51,[1]واردات!$AA$42:$AA$51,AF2)</f>
        <v>3822</v>
      </c>
      <c r="U9" s="77">
        <v>26</v>
      </c>
      <c r="V9" s="71">
        <f>SUMIFS([1]واردات!$G$42:$G$51,[1]واردات!$AA$42:$AA$51,AF2)</f>
        <v>9716.27363125185</v>
      </c>
      <c r="W9" s="78">
        <v>67</v>
      </c>
      <c r="X9" s="71">
        <f>SUMIFS([1]واردات!$K$42:$K$51,[1]واردات!$AA$42:$AA$51,AF2)</f>
        <v>40</v>
      </c>
      <c r="Y9" s="85">
        <f t="shared" si="15"/>
        <v>0.41168046020587812</v>
      </c>
      <c r="Z9" s="73">
        <v>26</v>
      </c>
      <c r="AA9" s="74">
        <f>IFERROR(Z9*100/W9,"")</f>
        <v>38.805970149253731</v>
      </c>
      <c r="AB9" s="79">
        <f t="shared" si="0"/>
        <v>-3782</v>
      </c>
      <c r="AC9" s="74">
        <f>Z9-U9</f>
        <v>0</v>
      </c>
      <c r="AD9" s="84">
        <f t="shared" si="16"/>
        <v>-98.953427524856096</v>
      </c>
      <c r="AE9" s="74">
        <f t="shared" ref="AE9:AE11" si="79">IFERROR((Z9-U9)*100/U9,"")</f>
        <v>0</v>
      </c>
      <c r="AF9" s="45"/>
      <c r="AG9" s="25"/>
      <c r="AH9" s="69" t="str">
        <f t="shared" si="18"/>
        <v>حمل یکسره</v>
      </c>
      <c r="AI9" s="70" t="str">
        <f t="shared" si="19"/>
        <v>تن</v>
      </c>
      <c r="AJ9" s="71">
        <f>SUMIFS([1]واردات!$C$42:$C$51,[1]واردات!$AA$42:$AA$51,AV2)</f>
        <v>0</v>
      </c>
      <c r="AK9" s="77"/>
      <c r="AL9" s="71">
        <f>SUMIFS([1]واردات!$G$42:$G$51,[1]واردات!$AA$42:$AA$51,AV2)</f>
        <v>0</v>
      </c>
      <c r="AM9" s="78"/>
      <c r="AN9" s="71">
        <f>SUMIFS([1]واردات!$K$42:$K$51,[1]واردات!$AA$42:$AA$51,AV2)</f>
        <v>493</v>
      </c>
      <c r="AO9" s="85" t="str">
        <f t="shared" si="20"/>
        <v/>
      </c>
      <c r="AP9" s="73">
        <v>292</v>
      </c>
      <c r="AQ9" s="74" t="str">
        <f>IFERROR(AP9*100/AM9,"")</f>
        <v/>
      </c>
      <c r="AR9" s="75">
        <f t="shared" si="1"/>
        <v>493</v>
      </c>
      <c r="AS9" s="74">
        <f t="shared" si="66"/>
        <v>292</v>
      </c>
      <c r="AT9" s="84" t="str">
        <f t="shared" si="21"/>
        <v/>
      </c>
      <c r="AU9" s="74" t="str">
        <f t="shared" ref="AU9:AU11" si="80">IFERROR((AP9-AK9)*100/AK9,"")</f>
        <v/>
      </c>
      <c r="AV9" s="45"/>
      <c r="AW9" s="25"/>
      <c r="AX9" s="69" t="str">
        <f t="shared" si="23"/>
        <v>حمل یکسره</v>
      </c>
      <c r="AY9" s="70" t="str">
        <f t="shared" si="24"/>
        <v>تن</v>
      </c>
      <c r="AZ9" s="71">
        <f>SUMIFS([1]واردات!$C$42:$C$51,[1]واردات!$AA$42:$AA$51,BL2)</f>
        <v>0</v>
      </c>
      <c r="BA9" s="77"/>
      <c r="BB9" s="71">
        <f>SUMIFS([1]واردات!$G$42:$G$51,[1]واردات!$AA$42:$AA$51,BL2)</f>
        <v>0</v>
      </c>
      <c r="BC9" s="78"/>
      <c r="BD9" s="71">
        <f>SUMIFS([1]واردات!$K$42:$K$51,[1]واردات!$AA$42:$AA$51,BL2)</f>
        <v>0</v>
      </c>
      <c r="BE9" s="85" t="str">
        <f t="shared" si="25"/>
        <v/>
      </c>
      <c r="BF9" s="73"/>
      <c r="BG9" s="74" t="str">
        <f>IFERROR(BF9*100/BC9,"")</f>
        <v/>
      </c>
      <c r="BH9" s="75">
        <f t="shared" si="26"/>
        <v>0</v>
      </c>
      <c r="BI9" s="74">
        <f t="shared" si="67"/>
        <v>0</v>
      </c>
      <c r="BJ9" s="84" t="str">
        <f t="shared" si="27"/>
        <v/>
      </c>
      <c r="BK9" s="74" t="str">
        <f t="shared" ref="BK9:BK11" si="81">IFERROR((BF9-BA9)*100/BA9,"")</f>
        <v/>
      </c>
      <c r="BL9" s="45"/>
      <c r="BM9" s="25"/>
      <c r="BN9" s="69" t="str">
        <f t="shared" si="29"/>
        <v>حمل یکسره</v>
      </c>
      <c r="BO9" s="70" t="str">
        <f t="shared" si="30"/>
        <v>تن</v>
      </c>
      <c r="BP9" s="71">
        <f>SUMIFS([1]واردات!$C$42:$C$51,[1]واردات!$AA$42:$AA$51,CB2)</f>
        <v>0</v>
      </c>
      <c r="BQ9" s="77"/>
      <c r="BR9" s="71">
        <f>SUMIFS([1]واردات!$G$42:$G$51,[1]واردات!$AA$42:$AA$51,CB2)</f>
        <v>0</v>
      </c>
      <c r="BS9" s="78"/>
      <c r="BT9" s="71">
        <f>SUMIFS([1]واردات!$K$42:$K$51,[1]واردات!$AA$42:$AA$51,CB2)</f>
        <v>0</v>
      </c>
      <c r="BU9" s="85" t="str">
        <f t="shared" si="31"/>
        <v/>
      </c>
      <c r="BV9" s="73"/>
      <c r="BW9" s="74" t="str">
        <f>IFERROR(BV9*100/BS9,"")</f>
        <v/>
      </c>
      <c r="BX9" s="75">
        <f t="shared" si="2"/>
        <v>0</v>
      </c>
      <c r="BY9" s="74">
        <f t="shared" si="68"/>
        <v>0</v>
      </c>
      <c r="BZ9" s="84" t="str">
        <f t="shared" si="32"/>
        <v/>
      </c>
      <c r="CA9" s="74" t="str">
        <f t="shared" ref="CA9:CA11" si="82">IFERROR((BV9-BQ9)*100/BQ9,"")</f>
        <v/>
      </c>
      <c r="CB9" s="45"/>
      <c r="CC9" s="25"/>
      <c r="CD9" s="69" t="str">
        <f t="shared" si="34"/>
        <v>حمل یکسره</v>
      </c>
      <c r="CE9" s="70" t="str">
        <f t="shared" si="35"/>
        <v>تن</v>
      </c>
      <c r="CF9" s="71">
        <f>SUMIFS([1]واردات!$C$42:$C$51,[1]واردات!$AA$42:$AA$51,CR2)</f>
        <v>1</v>
      </c>
      <c r="CG9" s="77"/>
      <c r="CH9" s="71">
        <f>SUMIFS([1]واردات!$G$42:$G$51,[1]واردات!$AA$42:$AA$51,CR2)</f>
        <v>0</v>
      </c>
      <c r="CI9" s="78"/>
      <c r="CJ9" s="71">
        <f>SUMIFS([1]واردات!$K$42:$K$51,[1]واردات!$AA$42:$AA$51,CR2)</f>
        <v>0</v>
      </c>
      <c r="CK9" s="85" t="str">
        <f t="shared" si="36"/>
        <v/>
      </c>
      <c r="CL9" s="73"/>
      <c r="CM9" s="74" t="str">
        <f>IFERROR(CL9*100/CI9,"")</f>
        <v/>
      </c>
      <c r="CN9" s="79">
        <f t="shared" si="3"/>
        <v>-1</v>
      </c>
      <c r="CO9" s="74">
        <f t="shared" si="69"/>
        <v>0</v>
      </c>
      <c r="CP9" s="84">
        <f t="shared" si="37"/>
        <v>-100</v>
      </c>
      <c r="CQ9" s="74" t="str">
        <f t="shared" ref="CQ9:CQ11" si="83">IFERROR((CL9-CG9)*100/CG9,"")</f>
        <v/>
      </c>
      <c r="CR9" s="45"/>
      <c r="CS9" s="25"/>
      <c r="CT9" s="69" t="str">
        <f t="shared" si="39"/>
        <v>حمل یکسره</v>
      </c>
      <c r="CU9" s="70" t="str">
        <f t="shared" si="40"/>
        <v>تن</v>
      </c>
      <c r="CV9" s="71">
        <f>SUMIFS([1]واردات!$C$42:$C$51,[1]واردات!$AA$42:$AA$51,DH2)</f>
        <v>0</v>
      </c>
      <c r="CW9" s="77"/>
      <c r="CX9" s="71">
        <f>SUMIFS([1]واردات!$G$42:$G$51,[1]واردات!$AA$42:$AA$51,DH2)</f>
        <v>0</v>
      </c>
      <c r="CY9" s="78"/>
      <c r="CZ9" s="71">
        <f>SUMIFS([1]واردات!$K$42:$K$51,[1]واردات!$AA$42:$AA$51,DH2)</f>
        <v>0</v>
      </c>
      <c r="DA9" s="85" t="str">
        <f t="shared" si="41"/>
        <v/>
      </c>
      <c r="DB9" s="73"/>
      <c r="DC9" s="74" t="str">
        <f>IFERROR(DB9*100/CY9,"")</f>
        <v/>
      </c>
      <c r="DD9" s="75">
        <f t="shared" si="4"/>
        <v>0</v>
      </c>
      <c r="DE9" s="74">
        <f t="shared" si="70"/>
        <v>0</v>
      </c>
      <c r="DF9" s="84" t="str">
        <f t="shared" si="42"/>
        <v/>
      </c>
      <c r="DG9" s="74" t="str">
        <f t="shared" ref="DG9:DG11" si="84">IFERROR((DB9-CW9)*100/CW9,"")</f>
        <v/>
      </c>
      <c r="DH9" s="45"/>
      <c r="DI9" s="25"/>
      <c r="DJ9" s="69" t="str">
        <f t="shared" si="44"/>
        <v>حمل یکسره</v>
      </c>
      <c r="DK9" s="70" t="str">
        <f t="shared" si="45"/>
        <v>تن</v>
      </c>
      <c r="DL9" s="71">
        <f>SUMIFS([1]واردات!$C$42:$C$51,[1]واردات!$AA$42:$AA$51,DX2)</f>
        <v>50</v>
      </c>
      <c r="DM9" s="77">
        <v>125</v>
      </c>
      <c r="DN9" s="71">
        <f>SUMIFS([1]واردات!$G$42:$G$51,[1]واردات!$AA$42:$AA$51,DX2)</f>
        <v>0</v>
      </c>
      <c r="DO9" s="78"/>
      <c r="DP9" s="71">
        <f>SUMIFS([1]واردات!$K$42:$K$51,[1]واردات!$AA$42:$AA$51,DX2)</f>
        <v>86</v>
      </c>
      <c r="DQ9" s="85" t="str">
        <f t="shared" si="46"/>
        <v/>
      </c>
      <c r="DR9" s="73">
        <v>128</v>
      </c>
      <c r="DS9" s="74" t="str">
        <f>IFERROR(DR9*100/DO9,"")</f>
        <v/>
      </c>
      <c r="DT9" s="81">
        <f t="shared" si="5"/>
        <v>36</v>
      </c>
      <c r="DU9" s="74">
        <f t="shared" si="71"/>
        <v>3</v>
      </c>
      <c r="DV9" s="84">
        <f t="shared" si="47"/>
        <v>72</v>
      </c>
      <c r="DW9" s="74">
        <f t="shared" ref="DW9:DW11" si="85">IFERROR((DR9-DM9)*100/DM9,"")</f>
        <v>2.4</v>
      </c>
      <c r="DX9" s="45"/>
      <c r="DY9" s="25"/>
      <c r="DZ9" s="69" t="str">
        <f t="shared" si="49"/>
        <v>حمل یکسره</v>
      </c>
      <c r="EA9" s="70" t="str">
        <f t="shared" si="50"/>
        <v>تن</v>
      </c>
      <c r="EB9" s="71">
        <f>SUMIFS([1]واردات!$C$42:$C$51,[1]واردات!$AA$42:$AA$51,EN2)</f>
        <v>29</v>
      </c>
      <c r="EC9" s="77"/>
      <c r="ED9" s="71">
        <f>SUMIFS([1]واردات!$G$42:$G$51,[1]واردات!$AA$42:$AA$51,EN2)</f>
        <v>58.144818976279652</v>
      </c>
      <c r="EE9" s="78"/>
      <c r="EF9" s="71">
        <f>SUMIFS([1]واردات!$K$42:$K$51,[1]واردات!$AA$42:$AA$51,EN2)</f>
        <v>38</v>
      </c>
      <c r="EG9" s="85">
        <f t="shared" si="51"/>
        <v>65.354060205264744</v>
      </c>
      <c r="EH9" s="73">
        <v>33</v>
      </c>
      <c r="EI9" s="74" t="str">
        <f>IFERROR(EH9*100/EE9,"")</f>
        <v/>
      </c>
      <c r="EJ9" s="81">
        <f t="shared" si="6"/>
        <v>9</v>
      </c>
      <c r="EK9" s="74">
        <f t="shared" si="72"/>
        <v>33</v>
      </c>
      <c r="EL9" s="84">
        <f t="shared" si="52"/>
        <v>31.03448275862069</v>
      </c>
      <c r="EM9" s="74" t="str">
        <f t="shared" ref="EM9:EM11" si="86">IFERROR((EH9-EC9)*100/EC9,"")</f>
        <v/>
      </c>
      <c r="EN9" s="45"/>
      <c r="EO9" s="25"/>
      <c r="EP9" s="69" t="str">
        <f t="shared" si="54"/>
        <v>حمل یکسره</v>
      </c>
      <c r="EQ9" s="70" t="str">
        <f t="shared" si="55"/>
        <v>تن</v>
      </c>
      <c r="ER9" s="71">
        <f>SUMIFS([1]واردات!$C$42:$C$51,[1]واردات!$AA$42:$AA$51,FD2)</f>
        <v>0</v>
      </c>
      <c r="ES9" s="77"/>
      <c r="ET9" s="71">
        <f>SUMIFS([1]واردات!$G$42:$G$51,[1]واردات!$AA$42:$AA$51,FD2)</f>
        <v>0</v>
      </c>
      <c r="EU9" s="78"/>
      <c r="EV9" s="71">
        <f>SUMIFS([1]واردات!$K$42:$K$51,[1]واردات!$AA$42:$AA$51,FD2)</f>
        <v>0</v>
      </c>
      <c r="EW9" s="85" t="str">
        <f t="shared" si="56"/>
        <v/>
      </c>
      <c r="EX9" s="73"/>
      <c r="EY9" s="74" t="str">
        <f>IFERROR(EX9*100/EU9,"")</f>
        <v/>
      </c>
      <c r="EZ9" s="75">
        <f t="shared" si="7"/>
        <v>0</v>
      </c>
      <c r="FA9" s="74">
        <f t="shared" si="73"/>
        <v>0</v>
      </c>
      <c r="FB9" s="84" t="str">
        <f t="shared" si="57"/>
        <v/>
      </c>
      <c r="FC9" s="74" t="str">
        <f t="shared" ref="FC9:FC11" si="87">IFERROR((EX9-ES9)*100/ES9,"")</f>
        <v/>
      </c>
      <c r="FD9" s="45"/>
      <c r="FE9" s="25"/>
      <c r="FF9" s="69" t="str">
        <f t="shared" si="59"/>
        <v>حمل یکسره</v>
      </c>
      <c r="FG9" s="70" t="str">
        <f t="shared" si="60"/>
        <v>تن</v>
      </c>
      <c r="FH9" s="71">
        <f>SUMIFS([1]واردات!$C$42:$C$51,[1]واردات!$AA$42:$AA$51,FT2)</f>
        <v>0</v>
      </c>
      <c r="FI9" s="77"/>
      <c r="FJ9" s="71">
        <f>SUMIFS([1]واردات!$G$42:$G$51,[1]واردات!$AA$42:$AA$51,FT2)</f>
        <v>0</v>
      </c>
      <c r="FK9" s="78"/>
      <c r="FL9" s="71">
        <f>SUMIFS([1]واردات!$K$42:$K$51,[1]واردات!$AA$42:$AA$51,FT2)</f>
        <v>0</v>
      </c>
      <c r="FM9" s="85" t="str">
        <f t="shared" si="61"/>
        <v/>
      </c>
      <c r="FN9" s="73"/>
      <c r="FO9" s="74" t="str">
        <f>IFERROR(FN9*100/FK9,"")</f>
        <v/>
      </c>
      <c r="FP9" s="75">
        <f t="shared" si="8"/>
        <v>0</v>
      </c>
      <c r="FQ9" s="74">
        <f t="shared" si="74"/>
        <v>0</v>
      </c>
      <c r="FR9" s="84" t="str">
        <f t="shared" si="62"/>
        <v/>
      </c>
      <c r="FS9" s="74" t="str">
        <f t="shared" ref="FS9:FS11" si="88">IFERROR((FN9-FI9)*100/FI9,"")</f>
        <v/>
      </c>
      <c r="FT9" s="45"/>
    </row>
    <row r="10" spans="1:176" ht="30" customHeight="1" x14ac:dyDescent="0.6">
      <c r="A10" s="25"/>
      <c r="B10" s="69" t="s">
        <v>21</v>
      </c>
      <c r="C10" s="70" t="s">
        <v>15</v>
      </c>
      <c r="D10" s="86">
        <f t="shared" si="64"/>
        <v>498346</v>
      </c>
      <c r="E10" s="87">
        <f t="shared" si="64"/>
        <v>95843</v>
      </c>
      <c r="F10" s="86">
        <f t="shared" si="64"/>
        <v>509431.766219393</v>
      </c>
      <c r="G10" s="87">
        <f t="shared" si="64"/>
        <v>146941</v>
      </c>
      <c r="H10" s="86">
        <f t="shared" si="64"/>
        <v>641162</v>
      </c>
      <c r="I10" s="52">
        <f t="shared" si="9"/>
        <v>125.85826847002622</v>
      </c>
      <c r="J10" s="73">
        <f>SUM(Z10,AP10,BF10,BV10,CL10,DB10,DR10,EH10,EX10,FN10)</f>
        <v>164419</v>
      </c>
      <c r="K10" s="74">
        <f t="shared" si="76"/>
        <v>111.89456992942746</v>
      </c>
      <c r="L10" s="75">
        <f t="shared" si="10"/>
        <v>142816</v>
      </c>
      <c r="M10" s="74">
        <f t="shared" si="77"/>
        <v>68576</v>
      </c>
      <c r="N10" s="84">
        <f t="shared" si="11"/>
        <v>28.658000666203801</v>
      </c>
      <c r="O10" s="74">
        <f t="shared" si="78"/>
        <v>71.550347964900936</v>
      </c>
      <c r="P10" s="38">
        <v>1</v>
      </c>
      <c r="Q10" s="25"/>
      <c r="R10" s="69" t="str">
        <f t="shared" si="13"/>
        <v>ترانشیپ</v>
      </c>
      <c r="S10" s="70" t="str">
        <f t="shared" si="14"/>
        <v>تن</v>
      </c>
      <c r="T10" s="71">
        <f>SUMIFS([1]واردات!$E$42:$E$51,[1]واردات!$AA$42:$AA$51,AF2)</f>
        <v>0</v>
      </c>
      <c r="U10" s="77"/>
      <c r="V10" s="71">
        <f>SUMIFS([1]واردات!$I$42:$I$51,[1]واردات!$AA$42:$AA$51,AF2)</f>
        <v>0</v>
      </c>
      <c r="W10" s="78"/>
      <c r="X10" s="71">
        <f>SUMIFS([1]واردات!$M$42:$M$51,[1]واردات!$AA$42:$AA$51,AF2)</f>
        <v>0</v>
      </c>
      <c r="Y10" s="85" t="str">
        <f t="shared" si="15"/>
        <v/>
      </c>
      <c r="Z10" s="73"/>
      <c r="AA10" s="74" t="str">
        <f t="shared" ref="AA10:AA12" si="89">IFERROR(Z10*100/W10,"")</f>
        <v/>
      </c>
      <c r="AB10" s="75">
        <f t="shared" si="0"/>
        <v>0</v>
      </c>
      <c r="AC10" s="74">
        <f t="shared" si="65"/>
        <v>0</v>
      </c>
      <c r="AD10" s="84" t="str">
        <f t="shared" si="16"/>
        <v/>
      </c>
      <c r="AE10" s="74" t="str">
        <f t="shared" si="79"/>
        <v/>
      </c>
      <c r="AF10" s="45"/>
      <c r="AG10" s="25"/>
      <c r="AH10" s="69" t="str">
        <f t="shared" si="18"/>
        <v>ترانشیپ</v>
      </c>
      <c r="AI10" s="70" t="str">
        <f t="shared" si="19"/>
        <v>تن</v>
      </c>
      <c r="AJ10" s="71">
        <f>SUMIFS([1]واردات!$E$42:$E$51,[1]واردات!$AA$42:$AA$51,AV2)</f>
        <v>0</v>
      </c>
      <c r="AK10" s="77"/>
      <c r="AL10" s="71">
        <f>SUMIFS([1]واردات!$I$42:$I$51,[1]واردات!$AA$42:$AA$51,AV2)</f>
        <v>0</v>
      </c>
      <c r="AM10" s="78"/>
      <c r="AN10" s="71">
        <f>SUMIFS([1]واردات!$M$42:$M$51,[1]واردات!$AA$42:$AA$51,AV2)</f>
        <v>2207</v>
      </c>
      <c r="AO10" s="85" t="str">
        <f t="shared" si="20"/>
        <v/>
      </c>
      <c r="AP10" s="73">
        <v>1557</v>
      </c>
      <c r="AQ10" s="74" t="str">
        <f t="shared" ref="AQ10:AQ12" si="90">IFERROR(AP10*100/AM10,"")</f>
        <v/>
      </c>
      <c r="AR10" s="75">
        <f t="shared" si="1"/>
        <v>2207</v>
      </c>
      <c r="AS10" s="74">
        <f t="shared" si="66"/>
        <v>1557</v>
      </c>
      <c r="AT10" s="84" t="str">
        <f t="shared" si="21"/>
        <v/>
      </c>
      <c r="AU10" s="74" t="str">
        <f t="shared" si="80"/>
        <v/>
      </c>
      <c r="AV10" s="45"/>
      <c r="AW10" s="25"/>
      <c r="AX10" s="69" t="str">
        <f t="shared" si="23"/>
        <v>ترانشیپ</v>
      </c>
      <c r="AY10" s="70" t="str">
        <f t="shared" si="24"/>
        <v>تن</v>
      </c>
      <c r="AZ10" s="71">
        <f>SUMIFS([1]واردات!$E$42:$E$51,[1]واردات!$AA$42:$AA$51,BL2)</f>
        <v>29637</v>
      </c>
      <c r="BA10" s="77">
        <v>8883</v>
      </c>
      <c r="BB10" s="71">
        <f>SUMIFS([1]واردات!$I$42:$I$51,[1]واردات!$AA$42:$AA$51,BL2)</f>
        <v>35361.703312900892</v>
      </c>
      <c r="BC10" s="78">
        <v>14281</v>
      </c>
      <c r="BD10" s="71">
        <f>SUMIFS([1]واردات!$M$42:$M$51,[1]واردات!$AA$42:$AA$51,BL2)</f>
        <v>24810</v>
      </c>
      <c r="BE10" s="85">
        <f t="shared" si="25"/>
        <v>70.160647467874242</v>
      </c>
      <c r="BF10" s="73">
        <v>7949</v>
      </c>
      <c r="BG10" s="74">
        <f t="shared" ref="BG10:BG12" si="91">IFERROR(BF10*100/BC10,"")</f>
        <v>55.661368251523001</v>
      </c>
      <c r="BH10" s="79">
        <f t="shared" si="26"/>
        <v>-4827</v>
      </c>
      <c r="BI10" s="80">
        <f t="shared" si="67"/>
        <v>-934</v>
      </c>
      <c r="BJ10" s="84">
        <f t="shared" si="27"/>
        <v>-16.287073590444376</v>
      </c>
      <c r="BK10" s="74">
        <f t="shared" si="81"/>
        <v>-10.51446583361477</v>
      </c>
      <c r="BL10" s="45"/>
      <c r="BM10" s="25"/>
      <c r="BN10" s="69" t="str">
        <f t="shared" si="29"/>
        <v>ترانشیپ</v>
      </c>
      <c r="BO10" s="70" t="str">
        <f t="shared" si="30"/>
        <v>تن</v>
      </c>
      <c r="BP10" s="71">
        <f>SUMIFS([1]واردات!$E$42:$E$51,[1]واردات!$AA$42:$AA$51,CB2)</f>
        <v>418170</v>
      </c>
      <c r="BQ10" s="77">
        <v>75305</v>
      </c>
      <c r="BR10" s="71">
        <f>SUMIFS([1]واردات!$I$42:$I$51,[1]واردات!$AA$42:$AA$51,CB2)</f>
        <v>401431.40062814206</v>
      </c>
      <c r="BS10" s="78">
        <v>107863</v>
      </c>
      <c r="BT10" s="71">
        <f>SUMIFS([1]واردات!$M$42:$M$51,[1]واردات!$AA$42:$AA$51,CB2)</f>
        <v>489014</v>
      </c>
      <c r="BU10" s="85">
        <f t="shared" si="31"/>
        <v>121.81757561436713</v>
      </c>
      <c r="BV10" s="73">
        <v>130124</v>
      </c>
      <c r="BW10" s="74">
        <f t="shared" ref="BW10:BW12" si="92">IFERROR(BV10*100/BS10,"")</f>
        <v>120.63821699748755</v>
      </c>
      <c r="BX10" s="81">
        <f t="shared" si="2"/>
        <v>70844</v>
      </c>
      <c r="BY10" s="74">
        <f t="shared" si="68"/>
        <v>54819</v>
      </c>
      <c r="BZ10" s="84">
        <f t="shared" si="32"/>
        <v>16.941435301432431</v>
      </c>
      <c r="CA10" s="74">
        <f t="shared" si="82"/>
        <v>72.795963083460592</v>
      </c>
      <c r="CB10" s="45"/>
      <c r="CC10" s="25"/>
      <c r="CD10" s="69" t="str">
        <f t="shared" si="34"/>
        <v>ترانشیپ</v>
      </c>
      <c r="CE10" s="70" t="str">
        <f t="shared" si="35"/>
        <v>تن</v>
      </c>
      <c r="CF10" s="71">
        <f>SUMIFS([1]واردات!$E$42:$E$51,[1]واردات!$AA$42:$AA$51,CR2)</f>
        <v>0</v>
      </c>
      <c r="CG10" s="77"/>
      <c r="CH10" s="71">
        <f>SUMIFS([1]واردات!$I$42:$I$51,[1]واردات!$AA$42:$AA$51,CR2)</f>
        <v>0</v>
      </c>
      <c r="CI10" s="78"/>
      <c r="CJ10" s="71">
        <f>SUMIFS([1]واردات!$M$42:$M$51,[1]واردات!$AA$42:$AA$51,CR2)</f>
        <v>0</v>
      </c>
      <c r="CK10" s="85" t="str">
        <f t="shared" si="36"/>
        <v/>
      </c>
      <c r="CL10" s="73"/>
      <c r="CM10" s="74" t="str">
        <f t="shared" ref="CM10:CM12" si="93">IFERROR(CL10*100/CI10,"")</f>
        <v/>
      </c>
      <c r="CN10" s="75">
        <f t="shared" si="3"/>
        <v>0</v>
      </c>
      <c r="CO10" s="74">
        <f t="shared" si="69"/>
        <v>0</v>
      </c>
      <c r="CP10" s="84" t="str">
        <f t="shared" si="37"/>
        <v/>
      </c>
      <c r="CQ10" s="74" t="str">
        <f t="shared" si="83"/>
        <v/>
      </c>
      <c r="CR10" s="45"/>
      <c r="CS10" s="25"/>
      <c r="CT10" s="69" t="str">
        <f t="shared" si="39"/>
        <v>ترانشیپ</v>
      </c>
      <c r="CU10" s="70" t="str">
        <f t="shared" si="40"/>
        <v>تن</v>
      </c>
      <c r="CV10" s="71">
        <f>SUMIFS([1]واردات!$E$42:$E$51,[1]واردات!$AA$42:$AA$51,DH2)</f>
        <v>0</v>
      </c>
      <c r="CW10" s="77"/>
      <c r="CX10" s="71">
        <f>SUMIFS([1]واردات!$I$42:$I$51,[1]واردات!$AA$42:$AA$51,DH2)</f>
        <v>0</v>
      </c>
      <c r="CY10" s="78"/>
      <c r="CZ10" s="71">
        <f>SUMIFS([1]واردات!$M$42:$M$51,[1]واردات!$AA$42:$AA$51,DH2)</f>
        <v>0</v>
      </c>
      <c r="DA10" s="85" t="str">
        <f t="shared" si="41"/>
        <v/>
      </c>
      <c r="DB10" s="73"/>
      <c r="DC10" s="74" t="str">
        <f t="shared" ref="DC10:DC12" si="94">IFERROR(DB10*100/CY10,"")</f>
        <v/>
      </c>
      <c r="DD10" s="75">
        <f t="shared" si="4"/>
        <v>0</v>
      </c>
      <c r="DE10" s="74">
        <f t="shared" si="70"/>
        <v>0</v>
      </c>
      <c r="DF10" s="84" t="str">
        <f t="shared" si="42"/>
        <v/>
      </c>
      <c r="DG10" s="74" t="str">
        <f t="shared" si="84"/>
        <v/>
      </c>
      <c r="DH10" s="45"/>
      <c r="DI10" s="25"/>
      <c r="DJ10" s="69" t="str">
        <f t="shared" si="44"/>
        <v>ترانشیپ</v>
      </c>
      <c r="DK10" s="70" t="str">
        <f t="shared" si="45"/>
        <v>تن</v>
      </c>
      <c r="DL10" s="71">
        <f>SUMIFS([1]واردات!$E$42:$E$51,[1]واردات!$AA$42:$AA$51,DX2)</f>
        <v>50539</v>
      </c>
      <c r="DM10" s="77">
        <v>11655</v>
      </c>
      <c r="DN10" s="71">
        <f>SUMIFS([1]واردات!$I$42:$I$51,[1]واردات!$AA$42:$AA$51,DX2)</f>
        <v>72638.662278350035</v>
      </c>
      <c r="DO10" s="78">
        <v>24797</v>
      </c>
      <c r="DP10" s="71">
        <f>SUMIFS([1]واردات!$M$42:$M$51,[1]واردات!$AA$42:$AA$51,DX2)</f>
        <v>125131</v>
      </c>
      <c r="DQ10" s="85">
        <f t="shared" si="46"/>
        <v>172.265011600159</v>
      </c>
      <c r="DR10" s="73">
        <v>24789</v>
      </c>
      <c r="DS10" s="74">
        <f t="shared" ref="DS10:DS12" si="95">IFERROR(DR10*100/DO10,"")</f>
        <v>99.967738032826546</v>
      </c>
      <c r="DT10" s="81">
        <f t="shared" si="5"/>
        <v>74592</v>
      </c>
      <c r="DU10" s="74">
        <f t="shared" si="71"/>
        <v>13134</v>
      </c>
      <c r="DV10" s="84">
        <f t="shared" si="47"/>
        <v>147.59294802034071</v>
      </c>
      <c r="DW10" s="74">
        <f t="shared" si="85"/>
        <v>112.68983268983268</v>
      </c>
      <c r="DX10" s="45"/>
      <c r="DY10" s="25"/>
      <c r="DZ10" s="69" t="str">
        <f t="shared" si="49"/>
        <v>ترانشیپ</v>
      </c>
      <c r="EA10" s="70" t="str">
        <f t="shared" si="50"/>
        <v>تن</v>
      </c>
      <c r="EB10" s="71">
        <f>SUMIFS([1]واردات!$E$42:$E$51,[1]واردات!$AA$42:$AA$51,EN2)</f>
        <v>0</v>
      </c>
      <c r="EC10" s="77"/>
      <c r="ED10" s="71">
        <f>SUMIFS([1]واردات!$I$42:$I$51,[1]واردات!$AA$42:$AA$51,EN2)</f>
        <v>0</v>
      </c>
      <c r="EE10" s="78"/>
      <c r="EF10" s="71">
        <f>SUMIFS([1]واردات!$M$42:$M$51,[1]واردات!$AA$42:$AA$51,EN2)</f>
        <v>0</v>
      </c>
      <c r="EG10" s="85" t="str">
        <f t="shared" si="51"/>
        <v/>
      </c>
      <c r="EH10" s="73"/>
      <c r="EI10" s="74" t="str">
        <f t="shared" ref="EI10:EI12" si="96">IFERROR(EH10*100/EE10,"")</f>
        <v/>
      </c>
      <c r="EJ10" s="75">
        <f t="shared" si="6"/>
        <v>0</v>
      </c>
      <c r="EK10" s="74">
        <f t="shared" si="72"/>
        <v>0</v>
      </c>
      <c r="EL10" s="84" t="str">
        <f t="shared" si="52"/>
        <v/>
      </c>
      <c r="EM10" s="74" t="str">
        <f t="shared" si="86"/>
        <v/>
      </c>
      <c r="EN10" s="45"/>
      <c r="EO10" s="25"/>
      <c r="EP10" s="69" t="str">
        <f t="shared" si="54"/>
        <v>ترانشیپ</v>
      </c>
      <c r="EQ10" s="70" t="str">
        <f t="shared" si="55"/>
        <v>تن</v>
      </c>
      <c r="ER10" s="71">
        <f>SUMIFS([1]واردات!$E$42:$E$51,[1]واردات!$AA$42:$AA$51,FD2)</f>
        <v>0</v>
      </c>
      <c r="ES10" s="77"/>
      <c r="ET10" s="71">
        <f>SUMIFS([1]واردات!$I$42:$I$51,[1]واردات!$AA$42:$AA$51,FD2)</f>
        <v>0</v>
      </c>
      <c r="EU10" s="78"/>
      <c r="EV10" s="71">
        <f>SUMIFS([1]واردات!$M$42:$M$51,[1]واردات!$AA$42:$AA$51,FD2)</f>
        <v>0</v>
      </c>
      <c r="EW10" s="85" t="str">
        <f t="shared" si="56"/>
        <v/>
      </c>
      <c r="EX10" s="73"/>
      <c r="EY10" s="74" t="str">
        <f t="shared" ref="EY10:EY12" si="97">IFERROR(EX10*100/EU10,"")</f>
        <v/>
      </c>
      <c r="EZ10" s="75">
        <f t="shared" si="7"/>
        <v>0</v>
      </c>
      <c r="FA10" s="74">
        <f t="shared" si="73"/>
        <v>0</v>
      </c>
      <c r="FB10" s="84" t="str">
        <f t="shared" si="57"/>
        <v/>
      </c>
      <c r="FC10" s="74" t="str">
        <f t="shared" si="87"/>
        <v/>
      </c>
      <c r="FD10" s="45"/>
      <c r="FE10" s="25"/>
      <c r="FF10" s="69" t="str">
        <f t="shared" si="59"/>
        <v>ترانشیپ</v>
      </c>
      <c r="FG10" s="70" t="str">
        <f t="shared" si="60"/>
        <v>تن</v>
      </c>
      <c r="FH10" s="71">
        <f>SUMIFS([1]واردات!$E$42:$E$51,[1]واردات!$AA$42:$AA$51,FT2)</f>
        <v>0</v>
      </c>
      <c r="FI10" s="77"/>
      <c r="FJ10" s="71">
        <f>SUMIFS([1]واردات!$I$42:$I$51,[1]واردات!$AA$42:$AA$51,FT2)</f>
        <v>0</v>
      </c>
      <c r="FK10" s="78"/>
      <c r="FL10" s="71">
        <f>SUMIFS([1]واردات!$M$42:$M$51,[1]واردات!$AA$42:$AA$51,FT2)</f>
        <v>0</v>
      </c>
      <c r="FM10" s="85" t="str">
        <f t="shared" si="61"/>
        <v/>
      </c>
      <c r="FN10" s="73"/>
      <c r="FO10" s="74" t="str">
        <f t="shared" ref="FO10:FO12" si="98">IFERROR(FN10*100/FK10,"")</f>
        <v/>
      </c>
      <c r="FP10" s="75">
        <f t="shared" si="8"/>
        <v>0</v>
      </c>
      <c r="FQ10" s="74">
        <f t="shared" si="74"/>
        <v>0</v>
      </c>
      <c r="FR10" s="84" t="str">
        <f t="shared" si="62"/>
        <v/>
      </c>
      <c r="FS10" s="74" t="str">
        <f t="shared" si="88"/>
        <v/>
      </c>
      <c r="FT10" s="45"/>
    </row>
    <row r="11" spans="1:176" ht="30" customHeight="1" x14ac:dyDescent="0.6">
      <c r="A11" s="25"/>
      <c r="B11" s="69" t="s">
        <v>22</v>
      </c>
      <c r="C11" s="70" t="s">
        <v>23</v>
      </c>
      <c r="D11" s="88"/>
      <c r="E11" s="83">
        <f t="shared" si="64"/>
        <v>73454</v>
      </c>
      <c r="F11" s="88"/>
      <c r="G11" s="83">
        <f t="shared" si="64"/>
        <v>132255</v>
      </c>
      <c r="H11" s="89"/>
      <c r="I11" s="90" t="s">
        <v>24</v>
      </c>
      <c r="J11" s="73">
        <f t="shared" si="75"/>
        <v>118106</v>
      </c>
      <c r="K11" s="74">
        <f t="shared" si="76"/>
        <v>89.301727722959441</v>
      </c>
      <c r="L11" s="91"/>
      <c r="M11" s="74">
        <f t="shared" si="77"/>
        <v>44652</v>
      </c>
      <c r="N11" s="91"/>
      <c r="O11" s="74">
        <f t="shared" si="78"/>
        <v>60.789065265336127</v>
      </c>
      <c r="P11" s="38">
        <v>1</v>
      </c>
      <c r="Q11" s="25"/>
      <c r="R11" s="69" t="str">
        <f t="shared" si="13"/>
        <v>خدمات باربری</v>
      </c>
      <c r="S11" s="70" t="str">
        <f t="shared" si="14"/>
        <v>میلیون ریال</v>
      </c>
      <c r="T11" s="89"/>
      <c r="U11" s="77">
        <v>12286</v>
      </c>
      <c r="V11" s="92"/>
      <c r="W11" s="78">
        <v>38822</v>
      </c>
      <c r="X11" s="93"/>
      <c r="Y11" s="90" t="s">
        <v>24</v>
      </c>
      <c r="Z11" s="73">
        <v>3602</v>
      </c>
      <c r="AA11" s="74">
        <f t="shared" si="89"/>
        <v>9.2782442944722057</v>
      </c>
      <c r="AB11" s="91"/>
      <c r="AC11" s="80">
        <f t="shared" si="65"/>
        <v>-8684</v>
      </c>
      <c r="AD11" s="91"/>
      <c r="AE11" s="74">
        <f t="shared" si="79"/>
        <v>-70.682077160996258</v>
      </c>
      <c r="AF11" s="45"/>
      <c r="AG11" s="25"/>
      <c r="AH11" s="69" t="str">
        <f t="shared" si="18"/>
        <v>خدمات باربری</v>
      </c>
      <c r="AI11" s="70" t="str">
        <f t="shared" si="19"/>
        <v>میلیون ریال</v>
      </c>
      <c r="AJ11" s="89"/>
      <c r="AK11" s="77">
        <v>2818</v>
      </c>
      <c r="AL11" s="92"/>
      <c r="AM11" s="78">
        <v>3883</v>
      </c>
      <c r="AN11" s="93"/>
      <c r="AO11" s="90" t="s">
        <v>24</v>
      </c>
      <c r="AP11" s="73">
        <v>1448</v>
      </c>
      <c r="AQ11" s="74">
        <f t="shared" si="90"/>
        <v>37.290754571207827</v>
      </c>
      <c r="AR11" s="91"/>
      <c r="AS11" s="80">
        <f t="shared" si="66"/>
        <v>-1370</v>
      </c>
      <c r="AT11" s="91"/>
      <c r="AU11" s="74">
        <f t="shared" si="80"/>
        <v>-48.616039744499645</v>
      </c>
      <c r="AV11" s="45"/>
      <c r="AW11" s="25"/>
      <c r="AX11" s="69" t="str">
        <f t="shared" si="23"/>
        <v>خدمات باربری</v>
      </c>
      <c r="AY11" s="70" t="str">
        <f t="shared" si="24"/>
        <v>میلیون ریال</v>
      </c>
      <c r="AZ11" s="89"/>
      <c r="BA11" s="77">
        <v>6742</v>
      </c>
      <c r="BB11" s="92"/>
      <c r="BC11" s="78">
        <v>13533</v>
      </c>
      <c r="BD11" s="93"/>
      <c r="BE11" s="90" t="s">
        <v>24</v>
      </c>
      <c r="BF11" s="73">
        <v>6290</v>
      </c>
      <c r="BG11" s="74">
        <f t="shared" si="91"/>
        <v>46.478977314712182</v>
      </c>
      <c r="BH11" s="91"/>
      <c r="BI11" s="80">
        <f t="shared" si="67"/>
        <v>-452</v>
      </c>
      <c r="BJ11" s="91"/>
      <c r="BK11" s="74">
        <f t="shared" si="81"/>
        <v>-6.7042420646692378</v>
      </c>
      <c r="BL11" s="45"/>
      <c r="BM11" s="25"/>
      <c r="BN11" s="69" t="str">
        <f t="shared" si="29"/>
        <v>خدمات باربری</v>
      </c>
      <c r="BO11" s="70" t="str">
        <f t="shared" si="30"/>
        <v>میلیون ریال</v>
      </c>
      <c r="BP11" s="89"/>
      <c r="BQ11" s="77">
        <v>40661</v>
      </c>
      <c r="BR11" s="92"/>
      <c r="BS11" s="78">
        <v>56411</v>
      </c>
      <c r="BT11" s="93"/>
      <c r="BU11" s="90" t="s">
        <v>24</v>
      </c>
      <c r="BV11" s="73">
        <v>59733</v>
      </c>
      <c r="BW11" s="74">
        <f t="shared" si="92"/>
        <v>105.88892237329598</v>
      </c>
      <c r="BX11" s="91"/>
      <c r="BY11" s="74">
        <f t="shared" si="68"/>
        <v>19072</v>
      </c>
      <c r="BZ11" s="91"/>
      <c r="CA11" s="74">
        <f t="shared" si="82"/>
        <v>46.904896583950226</v>
      </c>
      <c r="CB11" s="45"/>
      <c r="CC11" s="25"/>
      <c r="CD11" s="69" t="str">
        <f t="shared" si="34"/>
        <v>خدمات باربری</v>
      </c>
      <c r="CE11" s="70" t="str">
        <f t="shared" si="35"/>
        <v>میلیون ریال</v>
      </c>
      <c r="CF11" s="89"/>
      <c r="CG11" s="77">
        <v>1149</v>
      </c>
      <c r="CH11" s="92"/>
      <c r="CI11" s="78">
        <v>1254</v>
      </c>
      <c r="CJ11" s="93"/>
      <c r="CK11" s="90" t="s">
        <v>24</v>
      </c>
      <c r="CL11" s="73">
        <v>1948</v>
      </c>
      <c r="CM11" s="74">
        <f t="shared" si="93"/>
        <v>155.34290271132377</v>
      </c>
      <c r="CN11" s="91"/>
      <c r="CO11" s="74">
        <f t="shared" si="69"/>
        <v>799</v>
      </c>
      <c r="CP11" s="91"/>
      <c r="CQ11" s="74">
        <f t="shared" si="83"/>
        <v>69.538729329852046</v>
      </c>
      <c r="CR11" s="45"/>
      <c r="CS11" s="25"/>
      <c r="CT11" s="69" t="str">
        <f t="shared" si="39"/>
        <v>خدمات باربری</v>
      </c>
      <c r="CU11" s="70" t="str">
        <f t="shared" si="40"/>
        <v>میلیون ریال</v>
      </c>
      <c r="CV11" s="89"/>
      <c r="CW11" s="77">
        <v>5</v>
      </c>
      <c r="CX11" s="92"/>
      <c r="CY11" s="78">
        <v>4</v>
      </c>
      <c r="CZ11" s="93"/>
      <c r="DA11" s="90" t="s">
        <v>24</v>
      </c>
      <c r="DB11" s="73">
        <v>61</v>
      </c>
      <c r="DC11" s="74">
        <f t="shared" si="94"/>
        <v>1525</v>
      </c>
      <c r="DD11" s="91"/>
      <c r="DE11" s="74">
        <f t="shared" si="70"/>
        <v>56</v>
      </c>
      <c r="DF11" s="91"/>
      <c r="DG11" s="74">
        <f t="shared" si="84"/>
        <v>1120</v>
      </c>
      <c r="DH11" s="45"/>
      <c r="DI11" s="25"/>
      <c r="DJ11" s="69" t="str">
        <f t="shared" si="44"/>
        <v>خدمات باربری</v>
      </c>
      <c r="DK11" s="70" t="str">
        <f t="shared" si="45"/>
        <v>میلیون ریال</v>
      </c>
      <c r="DL11" s="89"/>
      <c r="DM11" s="77">
        <v>9573</v>
      </c>
      <c r="DN11" s="92"/>
      <c r="DO11" s="78">
        <v>16803</v>
      </c>
      <c r="DP11" s="93"/>
      <c r="DQ11" s="90" t="s">
        <v>24</v>
      </c>
      <c r="DR11" s="73">
        <v>43786</v>
      </c>
      <c r="DS11" s="74">
        <f t="shared" si="95"/>
        <v>260.58441944890791</v>
      </c>
      <c r="DT11" s="91"/>
      <c r="DU11" s="74">
        <f t="shared" si="71"/>
        <v>34213</v>
      </c>
      <c r="DV11" s="91"/>
      <c r="DW11" s="74">
        <f t="shared" si="85"/>
        <v>357.39057766635329</v>
      </c>
      <c r="DX11" s="45"/>
      <c r="DY11" s="25"/>
      <c r="DZ11" s="69" t="str">
        <f t="shared" si="49"/>
        <v>خدمات باربری</v>
      </c>
      <c r="EA11" s="70" t="str">
        <f t="shared" si="50"/>
        <v>میلیون ریال</v>
      </c>
      <c r="EB11" s="89"/>
      <c r="EC11" s="77">
        <v>168</v>
      </c>
      <c r="ED11" s="92"/>
      <c r="EE11" s="78">
        <v>1334</v>
      </c>
      <c r="EF11" s="93"/>
      <c r="EG11" s="90" t="s">
        <v>24</v>
      </c>
      <c r="EH11" s="73">
        <v>325</v>
      </c>
      <c r="EI11" s="74">
        <f t="shared" si="96"/>
        <v>24.362818590704649</v>
      </c>
      <c r="EJ11" s="91"/>
      <c r="EK11" s="74">
        <f t="shared" si="72"/>
        <v>157</v>
      </c>
      <c r="EL11" s="91"/>
      <c r="EM11" s="74">
        <f t="shared" si="86"/>
        <v>93.452380952380949</v>
      </c>
      <c r="EN11" s="45"/>
      <c r="EO11" s="25"/>
      <c r="EP11" s="69" t="str">
        <f t="shared" si="54"/>
        <v>خدمات باربری</v>
      </c>
      <c r="EQ11" s="70" t="str">
        <f t="shared" si="55"/>
        <v>میلیون ریال</v>
      </c>
      <c r="ER11" s="89"/>
      <c r="ES11" s="77">
        <v>52</v>
      </c>
      <c r="ET11" s="92"/>
      <c r="EU11" s="78">
        <v>211</v>
      </c>
      <c r="EV11" s="93"/>
      <c r="EW11" s="90" t="s">
        <v>24</v>
      </c>
      <c r="EX11" s="73">
        <v>913</v>
      </c>
      <c r="EY11" s="74">
        <f t="shared" si="97"/>
        <v>432.70142180094786</v>
      </c>
      <c r="EZ11" s="91"/>
      <c r="FA11" s="74">
        <f t="shared" si="73"/>
        <v>861</v>
      </c>
      <c r="FB11" s="91"/>
      <c r="FC11" s="74">
        <f t="shared" si="87"/>
        <v>1655.7692307692307</v>
      </c>
      <c r="FD11" s="45"/>
      <c r="FE11" s="25"/>
      <c r="FF11" s="69" t="str">
        <f t="shared" si="59"/>
        <v>خدمات باربری</v>
      </c>
      <c r="FG11" s="70" t="str">
        <f t="shared" si="60"/>
        <v>میلیون ریال</v>
      </c>
      <c r="FH11" s="89"/>
      <c r="FI11" s="77"/>
      <c r="FJ11" s="92"/>
      <c r="FK11" s="78"/>
      <c r="FL11" s="93"/>
      <c r="FM11" s="90" t="s">
        <v>24</v>
      </c>
      <c r="FN11" s="73"/>
      <c r="FO11" s="74" t="str">
        <f t="shared" si="98"/>
        <v/>
      </c>
      <c r="FP11" s="91"/>
      <c r="FQ11" s="74">
        <f t="shared" si="74"/>
        <v>0</v>
      </c>
      <c r="FR11" s="91"/>
      <c r="FS11" s="74" t="str">
        <f t="shared" si="88"/>
        <v/>
      </c>
      <c r="FT11" s="45"/>
    </row>
    <row r="12" spans="1:176" ht="30" customHeight="1" thickBot="1" x14ac:dyDescent="0.65">
      <c r="A12" s="94"/>
      <c r="B12" s="95" t="s">
        <v>25</v>
      </c>
      <c r="C12" s="96" t="s">
        <v>23</v>
      </c>
      <c r="D12" s="97"/>
      <c r="E12" s="98">
        <f t="shared" si="64"/>
        <v>74605</v>
      </c>
      <c r="F12" s="97"/>
      <c r="G12" s="98">
        <f t="shared" si="64"/>
        <v>158140</v>
      </c>
      <c r="H12" s="99"/>
      <c r="I12" s="100" t="s">
        <v>24</v>
      </c>
      <c r="J12" s="101">
        <f t="shared" si="75"/>
        <v>150422</v>
      </c>
      <c r="K12" s="102">
        <f t="shared" si="76"/>
        <v>95.119514354369542</v>
      </c>
      <c r="L12" s="91"/>
      <c r="M12" s="74">
        <f t="shared" si="77"/>
        <v>75817</v>
      </c>
      <c r="N12" s="91"/>
      <c r="O12" s="102">
        <f>IFERROR((J12-E12)*100/E12,"")</f>
        <v>101.6245559949065</v>
      </c>
      <c r="P12" s="38">
        <v>0</v>
      </c>
      <c r="Q12" s="94"/>
      <c r="R12" s="95" t="str">
        <f t="shared" si="13"/>
        <v>بیمه</v>
      </c>
      <c r="S12" s="96" t="str">
        <f t="shared" si="14"/>
        <v>میلیون ریال</v>
      </c>
      <c r="T12" s="99"/>
      <c r="U12" s="103">
        <v>23994</v>
      </c>
      <c r="V12" s="104"/>
      <c r="W12" s="105">
        <v>57455</v>
      </c>
      <c r="X12" s="106"/>
      <c r="Y12" s="100" t="s">
        <v>24</v>
      </c>
      <c r="Z12" s="101">
        <v>17962</v>
      </c>
      <c r="AA12" s="102">
        <f t="shared" si="89"/>
        <v>31.262727351840571</v>
      </c>
      <c r="AB12" s="91"/>
      <c r="AC12" s="80">
        <f t="shared" si="65"/>
        <v>-6032</v>
      </c>
      <c r="AD12" s="91"/>
      <c r="AE12" s="102">
        <f>IFERROR((Z12-U12)*100/U12,"")</f>
        <v>-25.139618237892808</v>
      </c>
      <c r="AF12" s="45"/>
      <c r="AG12" s="94"/>
      <c r="AH12" s="95" t="str">
        <f t="shared" si="18"/>
        <v>بیمه</v>
      </c>
      <c r="AI12" s="96" t="str">
        <f t="shared" si="19"/>
        <v>میلیون ریال</v>
      </c>
      <c r="AJ12" s="99"/>
      <c r="AK12" s="103">
        <v>2402</v>
      </c>
      <c r="AL12" s="104"/>
      <c r="AM12" s="105">
        <v>4269</v>
      </c>
      <c r="AN12" s="106"/>
      <c r="AO12" s="100" t="s">
        <v>24</v>
      </c>
      <c r="AP12" s="101">
        <v>6902</v>
      </c>
      <c r="AQ12" s="102">
        <f t="shared" si="90"/>
        <v>161.67720777699697</v>
      </c>
      <c r="AR12" s="91"/>
      <c r="AS12" s="74">
        <f t="shared" si="66"/>
        <v>4500</v>
      </c>
      <c r="AT12" s="91"/>
      <c r="AU12" s="102">
        <f>IFERROR((AP12-AK12)*100/AK12,"")</f>
        <v>187.34388009991673</v>
      </c>
      <c r="AV12" s="45"/>
      <c r="AW12" s="94"/>
      <c r="AX12" s="95" t="str">
        <f t="shared" si="23"/>
        <v>بیمه</v>
      </c>
      <c r="AY12" s="96" t="str">
        <f t="shared" si="24"/>
        <v>میلیون ریال</v>
      </c>
      <c r="AZ12" s="99"/>
      <c r="BA12" s="103">
        <v>7033</v>
      </c>
      <c r="BB12" s="104"/>
      <c r="BC12" s="105">
        <v>17991</v>
      </c>
      <c r="BD12" s="106"/>
      <c r="BE12" s="100" t="s">
        <v>24</v>
      </c>
      <c r="BF12" s="101">
        <v>13170</v>
      </c>
      <c r="BG12" s="102">
        <f t="shared" si="91"/>
        <v>73.203268300817072</v>
      </c>
      <c r="BH12" s="91"/>
      <c r="BI12" s="74">
        <f t="shared" si="67"/>
        <v>6137</v>
      </c>
      <c r="BJ12" s="91"/>
      <c r="BK12" s="102">
        <f>IFERROR((BF12-BA12)*100/BA12,"")</f>
        <v>87.260059718470075</v>
      </c>
      <c r="BL12" s="45"/>
      <c r="BM12" s="94"/>
      <c r="BN12" s="95" t="str">
        <f t="shared" si="29"/>
        <v>بیمه</v>
      </c>
      <c r="BO12" s="96" t="str">
        <f t="shared" si="30"/>
        <v>میلیون ریال</v>
      </c>
      <c r="BP12" s="99"/>
      <c r="BQ12" s="103">
        <v>17704</v>
      </c>
      <c r="BR12" s="104"/>
      <c r="BS12" s="105">
        <v>31685</v>
      </c>
      <c r="BT12" s="106"/>
      <c r="BU12" s="100" t="s">
        <v>24</v>
      </c>
      <c r="BV12" s="101">
        <v>31514</v>
      </c>
      <c r="BW12" s="102">
        <f t="shared" si="92"/>
        <v>99.460312450686445</v>
      </c>
      <c r="BX12" s="91"/>
      <c r="BY12" s="74">
        <f t="shared" si="68"/>
        <v>13810</v>
      </c>
      <c r="BZ12" s="91"/>
      <c r="CA12" s="102">
        <f>IFERROR((BV12-BQ12)*100/BQ12,"")</f>
        <v>78.004970628106648</v>
      </c>
      <c r="CB12" s="45"/>
      <c r="CC12" s="94"/>
      <c r="CD12" s="95" t="str">
        <f t="shared" si="34"/>
        <v>بیمه</v>
      </c>
      <c r="CE12" s="96" t="str">
        <f t="shared" si="35"/>
        <v>میلیون ریال</v>
      </c>
      <c r="CF12" s="99"/>
      <c r="CG12" s="103">
        <v>6556</v>
      </c>
      <c r="CH12" s="104"/>
      <c r="CI12" s="105">
        <v>9762</v>
      </c>
      <c r="CJ12" s="106"/>
      <c r="CK12" s="100" t="s">
        <v>24</v>
      </c>
      <c r="CL12" s="101">
        <v>24779</v>
      </c>
      <c r="CM12" s="102">
        <f t="shared" si="93"/>
        <v>253.83118213480844</v>
      </c>
      <c r="CN12" s="91"/>
      <c r="CO12" s="74">
        <f t="shared" si="69"/>
        <v>18223</v>
      </c>
      <c r="CP12" s="91"/>
      <c r="CQ12" s="102">
        <f>IFERROR((CL12-CG12)*100/CG12,"")</f>
        <v>277.95912141549724</v>
      </c>
      <c r="CR12" s="45"/>
      <c r="CS12" s="94"/>
      <c r="CT12" s="95" t="str">
        <f t="shared" si="39"/>
        <v>بیمه</v>
      </c>
      <c r="CU12" s="96" t="str">
        <f t="shared" si="40"/>
        <v>میلیون ریال</v>
      </c>
      <c r="CV12" s="99"/>
      <c r="CW12" s="103">
        <v>129</v>
      </c>
      <c r="CX12" s="104"/>
      <c r="CY12" s="105">
        <v>163</v>
      </c>
      <c r="CZ12" s="106"/>
      <c r="DA12" s="100" t="s">
        <v>24</v>
      </c>
      <c r="DB12" s="101">
        <v>4113</v>
      </c>
      <c r="DC12" s="102">
        <f t="shared" si="94"/>
        <v>2523.312883435583</v>
      </c>
      <c r="DD12" s="91"/>
      <c r="DE12" s="74">
        <f t="shared" si="70"/>
        <v>3984</v>
      </c>
      <c r="DF12" s="91"/>
      <c r="DG12" s="102">
        <f>IFERROR((DB12-CW12)*100/CW12,"")</f>
        <v>3088.3720930232557</v>
      </c>
      <c r="DH12" s="45"/>
      <c r="DI12" s="94"/>
      <c r="DJ12" s="95" t="str">
        <f t="shared" si="44"/>
        <v>بیمه</v>
      </c>
      <c r="DK12" s="96" t="str">
        <f t="shared" si="45"/>
        <v>میلیون ریال</v>
      </c>
      <c r="DL12" s="99"/>
      <c r="DM12" s="103">
        <v>15546</v>
      </c>
      <c r="DN12" s="104"/>
      <c r="DO12" s="105">
        <v>34765</v>
      </c>
      <c r="DP12" s="106"/>
      <c r="DQ12" s="100" t="s">
        <v>24</v>
      </c>
      <c r="DR12" s="101">
        <v>46034</v>
      </c>
      <c r="DS12" s="102">
        <f t="shared" si="95"/>
        <v>132.4147849848986</v>
      </c>
      <c r="DT12" s="91"/>
      <c r="DU12" s="74">
        <f t="shared" si="71"/>
        <v>30488</v>
      </c>
      <c r="DV12" s="91"/>
      <c r="DW12" s="102">
        <f>IFERROR((DR12-DM12)*100/DM12,"")</f>
        <v>196.11475620738454</v>
      </c>
      <c r="DX12" s="45"/>
      <c r="DY12" s="94"/>
      <c r="DZ12" s="95" t="str">
        <f t="shared" si="49"/>
        <v>بیمه</v>
      </c>
      <c r="EA12" s="96" t="str">
        <f t="shared" si="50"/>
        <v>میلیون ریال</v>
      </c>
      <c r="EB12" s="99"/>
      <c r="EC12" s="103">
        <v>939</v>
      </c>
      <c r="ED12" s="104"/>
      <c r="EE12" s="105">
        <v>1635</v>
      </c>
      <c r="EF12" s="106"/>
      <c r="EG12" s="100" t="s">
        <v>24</v>
      </c>
      <c r="EH12" s="101">
        <v>121</v>
      </c>
      <c r="EI12" s="102">
        <f t="shared" si="96"/>
        <v>7.4006116207951074</v>
      </c>
      <c r="EJ12" s="91"/>
      <c r="EK12" s="80">
        <f t="shared" si="72"/>
        <v>-818</v>
      </c>
      <c r="EL12" s="91"/>
      <c r="EM12" s="102">
        <f>IFERROR((EH12-EC12)*100/EC12,"")</f>
        <v>-87.11395101171459</v>
      </c>
      <c r="EN12" s="45"/>
      <c r="EO12" s="94"/>
      <c r="EP12" s="95" t="str">
        <f t="shared" si="54"/>
        <v>بیمه</v>
      </c>
      <c r="EQ12" s="96" t="str">
        <f t="shared" si="55"/>
        <v>میلیون ریال</v>
      </c>
      <c r="ER12" s="99"/>
      <c r="ES12" s="103">
        <v>302</v>
      </c>
      <c r="ET12" s="104"/>
      <c r="EU12" s="105">
        <v>415</v>
      </c>
      <c r="EV12" s="106"/>
      <c r="EW12" s="100" t="s">
        <v>24</v>
      </c>
      <c r="EX12" s="101">
        <v>5827</v>
      </c>
      <c r="EY12" s="102">
        <f t="shared" si="97"/>
        <v>1404.0963855421687</v>
      </c>
      <c r="EZ12" s="91"/>
      <c r="FA12" s="74">
        <f t="shared" si="73"/>
        <v>5525</v>
      </c>
      <c r="FB12" s="91"/>
      <c r="FC12" s="102">
        <f>IFERROR((EX12-ES12)*100/ES12,"")</f>
        <v>1829.4701986754967</v>
      </c>
      <c r="FD12" s="45"/>
      <c r="FE12" s="94"/>
      <c r="FF12" s="95" t="str">
        <f t="shared" si="59"/>
        <v>بیمه</v>
      </c>
      <c r="FG12" s="96" t="str">
        <f t="shared" si="60"/>
        <v>میلیون ریال</v>
      </c>
      <c r="FH12" s="99"/>
      <c r="FI12" s="103"/>
      <c r="FJ12" s="104"/>
      <c r="FK12" s="105"/>
      <c r="FL12" s="106"/>
      <c r="FM12" s="100" t="s">
        <v>24</v>
      </c>
      <c r="FN12" s="101"/>
      <c r="FO12" s="102" t="str">
        <f t="shared" si="98"/>
        <v/>
      </c>
      <c r="FP12" s="91"/>
      <c r="FQ12" s="74">
        <f t="shared" si="74"/>
        <v>0</v>
      </c>
      <c r="FR12" s="91"/>
      <c r="FS12" s="102" t="str">
        <f>IFERROR((FN12-FI12)*100/FI12,"")</f>
        <v/>
      </c>
      <c r="FT12" s="45"/>
    </row>
    <row r="13" spans="1:176" ht="30" customHeight="1" x14ac:dyDescent="0.6">
      <c r="A13" s="107" t="s">
        <v>26</v>
      </c>
      <c r="B13" s="108" t="s">
        <v>14</v>
      </c>
      <c r="C13" s="109" t="s">
        <v>15</v>
      </c>
      <c r="D13" s="28">
        <f>SUM(T13,AJ13,AZ13,BP13,CF13,CV13,DL13,EB13,ER13,FH13)</f>
        <v>26356</v>
      </c>
      <c r="E13" s="29">
        <f>SUM(U13,AK13,BA13,BQ13,CG13,CW13,DM13,EC13,ES13,FI13)</f>
        <v>29875</v>
      </c>
      <c r="F13" s="28">
        <f>SUM(V13,AL13,BB13,BR13,CH13,CX13,DN13,ED13,ET13,FJ13)</f>
        <v>36653.373932076101</v>
      </c>
      <c r="G13" s="29">
        <f>SUM(W13,AM13,BC13,BS13,CI13,CY13,DO13,EE13,EU13,FK13)</f>
        <v>46391</v>
      </c>
      <c r="H13" s="28">
        <f>SUM(X13,AN13,BD13,BT13,CJ13,CZ13,DP13,EF13,EV13,FL13)</f>
        <v>43469</v>
      </c>
      <c r="I13" s="110">
        <f t="shared" ref="I13:I18" si="99">IFERROR(H13*100/F13,"")</f>
        <v>118.59481225535805</v>
      </c>
      <c r="J13" s="111">
        <f>SUM(Z13,AP13,BF13,BV13,CL13,DB13,DR13,EH13,EX13,FN13)</f>
        <v>50631</v>
      </c>
      <c r="K13" s="33">
        <f>IFERROR(J13*100/G13,"")</f>
        <v>109.139703821862</v>
      </c>
      <c r="L13" s="34">
        <f>IFERROR(H13-D13,"")</f>
        <v>17113</v>
      </c>
      <c r="M13" s="35">
        <f>IFERROR(J13-E13,"")</f>
        <v>20756</v>
      </c>
      <c r="N13" s="112">
        <f t="shared" ref="N13:N18" si="100">IFERROR((H13-D13)*100/D13,"")</f>
        <v>64.930186674760961</v>
      </c>
      <c r="O13" s="37">
        <f>IFERROR((J13-E13)*100/E13,"")</f>
        <v>69.47615062761507</v>
      </c>
      <c r="P13" s="38">
        <v>1</v>
      </c>
      <c r="Q13" s="107" t="str">
        <f>$A$13</f>
        <v>صادرات</v>
      </c>
      <c r="R13" s="108" t="str">
        <f t="shared" si="13"/>
        <v>انبارداری</v>
      </c>
      <c r="S13" s="109" t="str">
        <f t="shared" si="14"/>
        <v>تن</v>
      </c>
      <c r="T13" s="39">
        <f>SUMIFS([1]صادرات!$D$42:$D$51,[1]صادرات!$AA$42:$AA$51,AF2)</f>
        <v>19</v>
      </c>
      <c r="U13" s="40">
        <v>62</v>
      </c>
      <c r="V13" s="39">
        <f>SUMIFS([1]صادرات!$H$42:$H$51,[1]صادرات!$AA$42:$AA$51,AF2)</f>
        <v>112.61888509670081</v>
      </c>
      <c r="W13" s="41">
        <v>553</v>
      </c>
      <c r="X13" s="39">
        <f>SUMIFS([1]صادرات!$L$42:$L$51,[1]صادرات!$AA$42:$AA$51,AF2)</f>
        <v>1</v>
      </c>
      <c r="Y13" s="42">
        <f>IFERROR(X13*100/V13,"")</f>
        <v>0.88795054145789554</v>
      </c>
      <c r="Z13" s="111">
        <v>227</v>
      </c>
      <c r="AA13" s="33">
        <f>IFERROR(Z13*100/W13,"")</f>
        <v>41.048824593128387</v>
      </c>
      <c r="AB13" s="113">
        <f t="shared" ref="AB13:AB18" si="101">X13-T13</f>
        <v>-18</v>
      </c>
      <c r="AC13" s="37">
        <f t="shared" si="65"/>
        <v>165</v>
      </c>
      <c r="AD13" s="112">
        <f t="shared" ref="AD13:AD18" si="102">IFERROR((X13-T13)*100/T13,"")</f>
        <v>-94.736842105263165</v>
      </c>
      <c r="AE13" s="37">
        <f>IFERROR((Z13-U13)*100/U13,"")</f>
        <v>266.12903225806451</v>
      </c>
      <c r="AF13" s="45"/>
      <c r="AG13" s="107" t="str">
        <f>$A$13</f>
        <v>صادرات</v>
      </c>
      <c r="AH13" s="108" t="str">
        <f t="shared" si="18"/>
        <v>انبارداری</v>
      </c>
      <c r="AI13" s="109" t="str">
        <f t="shared" si="19"/>
        <v>تن</v>
      </c>
      <c r="AJ13" s="39">
        <f>SUMIFS([1]صادرات!$D$42:$D$51,[1]صادرات!$AA$42:$AA$51,AV2)</f>
        <v>17690</v>
      </c>
      <c r="AK13" s="40">
        <v>16279</v>
      </c>
      <c r="AL13" s="39">
        <f>SUMIFS([1]صادرات!$H$42:$H$51,[1]صادرات!$AA$42:$AA$51,AV2)</f>
        <v>30771.37165329645</v>
      </c>
      <c r="AM13" s="41">
        <v>35062</v>
      </c>
      <c r="AN13" s="39">
        <f>SUMIFS([1]صادرات!$L$42:$L$51,[1]صادرات!$AA$42:$AA$51,AV2)</f>
        <v>29701</v>
      </c>
      <c r="AO13" s="42">
        <f>IFERROR(AN13*100/AL13,"")</f>
        <v>96.521534154029879</v>
      </c>
      <c r="AP13" s="111">
        <v>28471</v>
      </c>
      <c r="AQ13" s="33">
        <f>IFERROR(AP13*100/AM13,"")</f>
        <v>81.201870971422053</v>
      </c>
      <c r="AR13" s="114">
        <f t="shared" ref="AR13:AR18" si="103">AN13-AJ13</f>
        <v>12011</v>
      </c>
      <c r="AS13" s="37">
        <f t="shared" si="66"/>
        <v>12192</v>
      </c>
      <c r="AT13" s="112">
        <f t="shared" ref="AT13:AT18" si="104">IFERROR((AN13-AJ13)*100/AJ13,"")</f>
        <v>67.897117015262864</v>
      </c>
      <c r="AU13" s="37">
        <f>IFERROR((AP13-AK13)*100/AK13,"")</f>
        <v>74.894035260151114</v>
      </c>
      <c r="AV13" s="45"/>
      <c r="AW13" s="107" t="str">
        <f>$A$13</f>
        <v>صادرات</v>
      </c>
      <c r="AX13" s="108" t="str">
        <f t="shared" si="23"/>
        <v>انبارداری</v>
      </c>
      <c r="AY13" s="109" t="str">
        <f t="shared" si="24"/>
        <v>تن</v>
      </c>
      <c r="AZ13" s="39">
        <f>SUMIFS([1]صادرات!$D$42:$D$51,[1]صادرات!$AA$42:$AA$51,BL2)</f>
        <v>5146</v>
      </c>
      <c r="BA13" s="40">
        <v>1985</v>
      </c>
      <c r="BB13" s="39">
        <f>SUMIFS([1]صادرات!$H$42:$H$51,[1]صادرات!$AA$42:$AA$51,BL2)</f>
        <v>2959.1333333333341</v>
      </c>
      <c r="BC13" s="41">
        <v>1882</v>
      </c>
      <c r="BD13" s="39">
        <f>SUMIFS([1]صادرات!$L$42:$L$51,[1]صادرات!$AA$42:$AA$51,BL2)</f>
        <v>7010</v>
      </c>
      <c r="BE13" s="42">
        <f>IFERROR(BD13*100/BB13,"")</f>
        <v>236.89368508797614</v>
      </c>
      <c r="BF13" s="111">
        <v>6252</v>
      </c>
      <c r="BG13" s="33">
        <f>IFERROR(BF13*100/BC13,"")</f>
        <v>332.1997874601488</v>
      </c>
      <c r="BH13" s="114">
        <f t="shared" ref="BH13:BH18" si="105">BD13-AZ13</f>
        <v>1864</v>
      </c>
      <c r="BI13" s="37">
        <f t="shared" si="67"/>
        <v>4267</v>
      </c>
      <c r="BJ13" s="112">
        <f t="shared" ref="BJ13:BJ18" si="106">IFERROR((BD13-AZ13)*100/AZ13,"")</f>
        <v>36.222308589195492</v>
      </c>
      <c r="BK13" s="37">
        <f>IFERROR((BF13-BA13)*100/BA13,"")</f>
        <v>214.96221662468514</v>
      </c>
      <c r="BL13" s="45"/>
      <c r="BM13" s="107" t="str">
        <f>$A$13</f>
        <v>صادرات</v>
      </c>
      <c r="BN13" s="108" t="str">
        <f t="shared" si="29"/>
        <v>انبارداری</v>
      </c>
      <c r="BO13" s="109" t="str">
        <f t="shared" si="30"/>
        <v>تن</v>
      </c>
      <c r="BP13" s="39">
        <f>SUMIFS([1]صادرات!$D$42:$D$51,[1]صادرات!$AA$42:$AA$51,CB2)</f>
        <v>996</v>
      </c>
      <c r="BQ13" s="40">
        <v>2301</v>
      </c>
      <c r="BR13" s="39">
        <f>SUMIFS([1]صادرات!$H$42:$H$51,[1]صادرات!$AA$42:$AA$51,CB2)</f>
        <v>1708.8143120829191</v>
      </c>
      <c r="BS13" s="41">
        <v>3739</v>
      </c>
      <c r="BT13" s="39">
        <f>SUMIFS([1]صادرات!$L$42:$L$51,[1]صادرات!$AA$42:$AA$51,CB2)</f>
        <v>4561</v>
      </c>
      <c r="BU13" s="42">
        <f>IFERROR(BT13*100/BR13,"")</f>
        <v>266.9102176725379</v>
      </c>
      <c r="BV13" s="111">
        <v>8632</v>
      </c>
      <c r="BW13" s="33">
        <f>IFERROR(BV13*100/BS13,"")</f>
        <v>230.86386734420969</v>
      </c>
      <c r="BX13" s="114">
        <f t="shared" ref="BX13:BX18" si="107">BT13-BP13</f>
        <v>3565</v>
      </c>
      <c r="BY13" s="37">
        <f t="shared" si="68"/>
        <v>6331</v>
      </c>
      <c r="BZ13" s="112">
        <f t="shared" ref="BZ13:BZ18" si="108">IFERROR((BT13-BP13)*100/BP13,"")</f>
        <v>357.93172690763055</v>
      </c>
      <c r="CA13" s="37">
        <f>IFERROR((BV13-BQ13)*100/BQ13,"")</f>
        <v>275.14124293785312</v>
      </c>
      <c r="CB13" s="45"/>
      <c r="CC13" s="107" t="str">
        <f>$A$13</f>
        <v>صادرات</v>
      </c>
      <c r="CD13" s="108" t="str">
        <f t="shared" si="34"/>
        <v>انبارداری</v>
      </c>
      <c r="CE13" s="109" t="str">
        <f t="shared" si="35"/>
        <v>تن</v>
      </c>
      <c r="CF13" s="39">
        <f>SUMIFS([1]صادرات!$D$42:$D$51,[1]صادرات!$AA$42:$AA$51,CR2)</f>
        <v>0</v>
      </c>
      <c r="CG13" s="40"/>
      <c r="CH13" s="39">
        <f>SUMIFS([1]صادرات!$H$42:$H$51,[1]صادرات!$AA$42:$AA$51,CR2)</f>
        <v>0</v>
      </c>
      <c r="CI13" s="41"/>
      <c r="CJ13" s="39">
        <f>SUMIFS([1]صادرات!$L$42:$L$51,[1]صادرات!$AA$42:$AA$51,CR2)</f>
        <v>0</v>
      </c>
      <c r="CK13" s="42" t="str">
        <f>IFERROR(CJ13*100/CH13,"")</f>
        <v/>
      </c>
      <c r="CL13" s="111"/>
      <c r="CM13" s="33" t="str">
        <f>IFERROR(CL13*100/CI13,"")</f>
        <v/>
      </c>
      <c r="CN13" s="115">
        <f t="shared" ref="CN13:CN18" si="109">CJ13-CF13</f>
        <v>0</v>
      </c>
      <c r="CO13" s="37">
        <f t="shared" si="69"/>
        <v>0</v>
      </c>
      <c r="CP13" s="112" t="str">
        <f t="shared" ref="CP13:CP18" si="110">IFERROR((CJ13-CF13)*100/CF13,"")</f>
        <v/>
      </c>
      <c r="CQ13" s="37" t="str">
        <f>IFERROR((CL13-CG13)*100/CG13,"")</f>
        <v/>
      </c>
      <c r="CR13" s="45"/>
      <c r="CS13" s="107" t="str">
        <f>$A$13</f>
        <v>صادرات</v>
      </c>
      <c r="CT13" s="108" t="str">
        <f t="shared" si="39"/>
        <v>انبارداری</v>
      </c>
      <c r="CU13" s="109" t="str">
        <f t="shared" si="40"/>
        <v>تن</v>
      </c>
      <c r="CV13" s="39">
        <f>SUMIFS([1]صادرات!$D$42:$D$51,[1]صادرات!$AA$42:$AA$51,DH2)</f>
        <v>2086</v>
      </c>
      <c r="CW13" s="40">
        <v>7671</v>
      </c>
      <c r="CX13" s="39">
        <f>SUMIFS([1]صادرات!$H$42:$H$51,[1]صادرات!$AA$42:$AA$51,DH2)</f>
        <v>895.96023497514682</v>
      </c>
      <c r="CY13" s="41">
        <v>4090</v>
      </c>
      <c r="CZ13" s="39">
        <f>SUMIFS([1]صادرات!$L$42:$L$51,[1]صادرات!$AA$42:$AA$51,DH2)</f>
        <v>924</v>
      </c>
      <c r="DA13" s="42">
        <f>IFERROR(CZ13*100/CX13,"")</f>
        <v>103.12957695333778</v>
      </c>
      <c r="DB13" s="111">
        <v>3539</v>
      </c>
      <c r="DC13" s="33">
        <f>IFERROR(DB13*100/CY13,"")</f>
        <v>86.528117359413201</v>
      </c>
      <c r="DD13" s="113">
        <f t="shared" ref="DD13:DD18" si="111">CZ13-CV13</f>
        <v>-1162</v>
      </c>
      <c r="DE13" s="116">
        <f t="shared" si="70"/>
        <v>-4132</v>
      </c>
      <c r="DF13" s="112">
        <f t="shared" ref="DF13:DF18" si="112">IFERROR((CZ13-CV13)*100/CV13,"")</f>
        <v>-55.70469798657718</v>
      </c>
      <c r="DG13" s="37">
        <f>IFERROR((DB13-CW13)*100/CW13,"")</f>
        <v>-53.865206622343891</v>
      </c>
      <c r="DH13" s="45"/>
      <c r="DI13" s="107" t="str">
        <f>$A$13</f>
        <v>صادرات</v>
      </c>
      <c r="DJ13" s="108" t="str">
        <f t="shared" si="44"/>
        <v>انبارداری</v>
      </c>
      <c r="DK13" s="109" t="str">
        <f t="shared" si="45"/>
        <v>تن</v>
      </c>
      <c r="DL13" s="39">
        <f>SUMIFS([1]صادرات!$D$42:$D$51,[1]صادرات!$AA$42:$AA$51,DX2)</f>
        <v>419</v>
      </c>
      <c r="DM13" s="40">
        <v>1577</v>
      </c>
      <c r="DN13" s="39">
        <f>SUMIFS([1]صادرات!$H$42:$H$51,[1]صادرات!$AA$42:$AA$51,DX2)</f>
        <v>205.47551329154962</v>
      </c>
      <c r="DO13" s="41">
        <v>1065</v>
      </c>
      <c r="DP13" s="39">
        <f>SUMIFS([1]صادرات!$L$42:$L$51,[1]صادرات!$AA$42:$AA$51,DX2)</f>
        <v>311</v>
      </c>
      <c r="DQ13" s="42">
        <f>IFERROR(DP13*100/DN13,"")</f>
        <v>151.35623462768601</v>
      </c>
      <c r="DR13" s="111">
        <v>1514</v>
      </c>
      <c r="DS13" s="33">
        <f>IFERROR(DR13*100/DO13,"")</f>
        <v>142.15962441314554</v>
      </c>
      <c r="DT13" s="113">
        <f t="shared" ref="DT13:DT18" si="113">DP13-DL13</f>
        <v>-108</v>
      </c>
      <c r="DU13" s="116">
        <f t="shared" si="71"/>
        <v>-63</v>
      </c>
      <c r="DV13" s="112">
        <f t="shared" ref="DV13:DV18" si="114">IFERROR((DP13-DL13)*100/DL13,"")</f>
        <v>-25.775656324582339</v>
      </c>
      <c r="DW13" s="37">
        <f>IFERROR((DR13-DM13)*100/DM13,"")</f>
        <v>-3.9949270767279645</v>
      </c>
      <c r="DX13" s="45"/>
      <c r="DY13" s="107" t="str">
        <f>$A$13</f>
        <v>صادرات</v>
      </c>
      <c r="DZ13" s="108" t="str">
        <f t="shared" si="49"/>
        <v>انبارداری</v>
      </c>
      <c r="EA13" s="109" t="str">
        <f t="shared" si="50"/>
        <v>تن</v>
      </c>
      <c r="EB13" s="39">
        <f>SUMIFS([1]صادرات!$D$42:$D$51,[1]صادرات!$AA$42:$AA$51,EN2)</f>
        <v>0</v>
      </c>
      <c r="EC13" s="40"/>
      <c r="ED13" s="39">
        <f>SUMIFS([1]صادرات!$H$42:$H$51,[1]صادرات!$AA$42:$AA$51,EN2)</f>
        <v>0</v>
      </c>
      <c r="EE13" s="117"/>
      <c r="EF13" s="39">
        <f>SUMIFS([1]صادرات!$L$42:$L$51,[1]صادرات!$AA$42:$AA$51,EN2)</f>
        <v>0</v>
      </c>
      <c r="EG13" s="42" t="str">
        <f>IFERROR(EF13*100/ED13,"")</f>
        <v/>
      </c>
      <c r="EH13" s="111"/>
      <c r="EI13" s="33" t="str">
        <f>IFERROR(EH13*100/EE13,"")</f>
        <v/>
      </c>
      <c r="EJ13" s="115">
        <f t="shared" ref="EJ13:EJ18" si="115">EF13-EB13</f>
        <v>0</v>
      </c>
      <c r="EK13" s="37">
        <f t="shared" si="72"/>
        <v>0</v>
      </c>
      <c r="EL13" s="112" t="str">
        <f t="shared" ref="EL13:EL18" si="116">IFERROR((EF13-EB13)*100/EB13,"")</f>
        <v/>
      </c>
      <c r="EM13" s="37" t="str">
        <f>IFERROR((EH13-EC13)*100/EC13,"")</f>
        <v/>
      </c>
      <c r="EN13" s="45"/>
      <c r="EO13" s="107" t="str">
        <f>$A$13</f>
        <v>صادرات</v>
      </c>
      <c r="EP13" s="108" t="str">
        <f t="shared" si="54"/>
        <v>انبارداری</v>
      </c>
      <c r="EQ13" s="109" t="str">
        <f t="shared" si="55"/>
        <v>تن</v>
      </c>
      <c r="ER13" s="39">
        <f>SUMIFS([1]صادرات!$D$42:$D$51,[1]صادرات!$AA$42:$AA$51,FD2)</f>
        <v>0</v>
      </c>
      <c r="ES13" s="40"/>
      <c r="ET13" s="39">
        <f>SUMIFS([1]صادرات!$H$42:$H$51,[1]صادرات!$AA$42:$AA$51,FD2)</f>
        <v>0</v>
      </c>
      <c r="EU13" s="41"/>
      <c r="EV13" s="39">
        <f>SUMIFS([1]صادرات!$L$42:$L$51,[1]صادرات!$AA$42:$AA$51,FD2)</f>
        <v>8</v>
      </c>
      <c r="EW13" s="42" t="str">
        <f>IFERROR(EV13*100/ET13,"")</f>
        <v/>
      </c>
      <c r="EX13" s="111">
        <v>132</v>
      </c>
      <c r="EY13" s="33" t="str">
        <f>IFERROR(EX13*100/EU13,"")</f>
        <v/>
      </c>
      <c r="EZ13" s="115">
        <f t="shared" ref="EZ13:EZ18" si="117">EV13-ER13</f>
        <v>8</v>
      </c>
      <c r="FA13" s="37">
        <f t="shared" si="73"/>
        <v>132</v>
      </c>
      <c r="FB13" s="112" t="str">
        <f t="shared" ref="FB13:FB18" si="118">IFERROR((EV13-ER13)*100/ER13,"")</f>
        <v/>
      </c>
      <c r="FC13" s="37" t="str">
        <f>IFERROR((EX13-ES13)*100/ES13,"")</f>
        <v/>
      </c>
      <c r="FD13" s="45"/>
      <c r="FE13" s="107" t="str">
        <f>$A$13</f>
        <v>صادرات</v>
      </c>
      <c r="FF13" s="108" t="str">
        <f t="shared" si="59"/>
        <v>انبارداری</v>
      </c>
      <c r="FG13" s="109" t="str">
        <f t="shared" si="60"/>
        <v>تن</v>
      </c>
      <c r="FH13" s="39">
        <f>SUMIFS([1]صادرات!$D$42:$D$51,[1]صادرات!$AA$42:$AA$51,FT2)</f>
        <v>0</v>
      </c>
      <c r="FI13" s="40"/>
      <c r="FJ13" s="39">
        <f>SUMIFS([1]صادرات!$H$42:$H$51,[1]صادرات!$AA$42:$AA$51,FT2)</f>
        <v>0</v>
      </c>
      <c r="FK13" s="41"/>
      <c r="FL13" s="39">
        <f>SUMIFS([1]صادرات!$L$42:$L$51,[1]صادرات!$AA$42:$AA$51,FT2)</f>
        <v>953</v>
      </c>
      <c r="FM13" s="42" t="str">
        <f>IFERROR(FL13*100/FJ13,"")</f>
        <v/>
      </c>
      <c r="FN13" s="111">
        <v>1864</v>
      </c>
      <c r="FO13" s="33" t="str">
        <f>IFERROR(FN13*100/FK13,"")</f>
        <v/>
      </c>
      <c r="FP13" s="115">
        <f t="shared" ref="FP13:FP18" si="119">FL13-FH13</f>
        <v>953</v>
      </c>
      <c r="FQ13" s="37">
        <f t="shared" si="74"/>
        <v>1864</v>
      </c>
      <c r="FR13" s="112" t="str">
        <f t="shared" ref="FR13:FR18" si="120">IFERROR((FL13-FH13)*100/FH13,"")</f>
        <v/>
      </c>
      <c r="FS13" s="37" t="str">
        <f>IFERROR((FN13-FI13)*100/FI13,"")</f>
        <v/>
      </c>
      <c r="FT13" s="45"/>
    </row>
    <row r="14" spans="1:176" ht="39.75" customHeight="1" x14ac:dyDescent="0.6">
      <c r="A14" s="25"/>
      <c r="B14" s="47" t="s">
        <v>16</v>
      </c>
      <c r="C14" s="48" t="s">
        <v>17</v>
      </c>
      <c r="D14" s="49">
        <f>IFERROR(D15/D13,"")</f>
        <v>24.69130368796479</v>
      </c>
      <c r="E14" s="50"/>
      <c r="F14" s="49">
        <f>IFERROR(F15/F13,"")</f>
        <v>25.040061965338936</v>
      </c>
      <c r="G14" s="50"/>
      <c r="H14" s="51">
        <f>IFERROR(H15/H13,"")</f>
        <v>29.219190687616461</v>
      </c>
      <c r="I14" s="52">
        <f t="shared" si="99"/>
        <v>116.68976988979651</v>
      </c>
      <c r="J14" s="32"/>
      <c r="K14" s="33"/>
      <c r="L14" s="53">
        <f t="shared" ref="L14:L18" si="121">IFERROR(H14-D14,"")</f>
        <v>4.5278869996516704</v>
      </c>
      <c r="M14" s="33"/>
      <c r="N14" s="53">
        <f t="shared" si="100"/>
        <v>18.337982703840321</v>
      </c>
      <c r="O14" s="54" t="str">
        <f t="shared" si="12"/>
        <v>-</v>
      </c>
      <c r="P14" s="38">
        <v>1</v>
      </c>
      <c r="Q14" s="25"/>
      <c r="R14" s="47" t="str">
        <f t="shared" si="13"/>
        <v>میانگین مدت ماندگاری کالا</v>
      </c>
      <c r="S14" s="48" t="str">
        <f t="shared" si="14"/>
        <v>روز</v>
      </c>
      <c r="T14" s="51">
        <v>20</v>
      </c>
      <c r="U14" s="55"/>
      <c r="V14" s="56">
        <v>28</v>
      </c>
      <c r="W14" s="41"/>
      <c r="X14" s="51">
        <v>90</v>
      </c>
      <c r="Y14" s="52">
        <f t="shared" ref="Y14:Y18" si="122">IFERROR(X14*100/V14,"")</f>
        <v>321.42857142857144</v>
      </c>
      <c r="Z14" s="32"/>
      <c r="AA14" s="33"/>
      <c r="AB14" s="53">
        <f t="shared" si="101"/>
        <v>70</v>
      </c>
      <c r="AC14" s="54">
        <f t="shared" si="65"/>
        <v>0</v>
      </c>
      <c r="AD14" s="53">
        <f t="shared" si="102"/>
        <v>350</v>
      </c>
      <c r="AE14" s="54" t="str">
        <f t="shared" ref="AE14:AE15" si="123">IFERROR((Z14-U14)*100/U14,"-")</f>
        <v>-</v>
      </c>
      <c r="AF14" s="45"/>
      <c r="AG14" s="25"/>
      <c r="AH14" s="47" t="str">
        <f t="shared" si="18"/>
        <v>میانگین مدت ماندگاری کالا</v>
      </c>
      <c r="AI14" s="48" t="str">
        <f t="shared" si="19"/>
        <v>روز</v>
      </c>
      <c r="AJ14" s="51">
        <v>25</v>
      </c>
      <c r="AK14" s="55"/>
      <c r="AL14" s="56">
        <v>26</v>
      </c>
      <c r="AM14" s="41"/>
      <c r="AN14" s="51">
        <v>28</v>
      </c>
      <c r="AO14" s="52">
        <f t="shared" ref="AO14:AO16" si="124">IFERROR(AN14*100/AL14,"")</f>
        <v>107.69230769230769</v>
      </c>
      <c r="AP14" s="32"/>
      <c r="AQ14" s="33"/>
      <c r="AR14" s="53">
        <f t="shared" si="103"/>
        <v>3</v>
      </c>
      <c r="AS14" s="54">
        <f t="shared" si="66"/>
        <v>0</v>
      </c>
      <c r="AT14" s="53">
        <f t="shared" si="104"/>
        <v>12</v>
      </c>
      <c r="AU14" s="54" t="str">
        <f t="shared" ref="AU14:AU15" si="125">IFERROR((AP14-AK14)*100/AK14,"-")</f>
        <v>-</v>
      </c>
      <c r="AV14" s="45"/>
      <c r="AW14" s="25"/>
      <c r="AX14" s="47" t="str">
        <f t="shared" si="23"/>
        <v>میانگین مدت ماندگاری کالا</v>
      </c>
      <c r="AY14" s="48" t="str">
        <f t="shared" si="24"/>
        <v>روز</v>
      </c>
      <c r="AZ14" s="51">
        <v>13</v>
      </c>
      <c r="BA14" s="55"/>
      <c r="BB14" s="56">
        <v>8</v>
      </c>
      <c r="BC14" s="41"/>
      <c r="BD14" s="51">
        <v>19</v>
      </c>
      <c r="BE14" s="52">
        <f t="shared" ref="BE14:BE16" si="126">IFERROR(BD14*100/BB14,"")</f>
        <v>237.5</v>
      </c>
      <c r="BF14" s="32"/>
      <c r="BG14" s="33"/>
      <c r="BH14" s="53">
        <f t="shared" si="105"/>
        <v>6</v>
      </c>
      <c r="BI14" s="54">
        <f t="shared" si="67"/>
        <v>0</v>
      </c>
      <c r="BJ14" s="53">
        <f t="shared" si="106"/>
        <v>46.153846153846153</v>
      </c>
      <c r="BK14" s="54" t="str">
        <f t="shared" ref="BK14:BK15" si="127">IFERROR((BF14-BA14)*100/BA14,"-")</f>
        <v>-</v>
      </c>
      <c r="BL14" s="45"/>
      <c r="BM14" s="25"/>
      <c r="BN14" s="47" t="str">
        <f t="shared" si="29"/>
        <v>میانگین مدت ماندگاری کالا</v>
      </c>
      <c r="BO14" s="48" t="str">
        <f t="shared" si="30"/>
        <v>روز</v>
      </c>
      <c r="BP14" s="51">
        <v>32</v>
      </c>
      <c r="BQ14" s="55"/>
      <c r="BR14" s="56">
        <v>25</v>
      </c>
      <c r="BS14" s="41"/>
      <c r="BT14" s="51">
        <v>22</v>
      </c>
      <c r="BU14" s="52">
        <f t="shared" ref="BU14:BU16" si="128">IFERROR(BT14*100/BR14,"")</f>
        <v>88</v>
      </c>
      <c r="BV14" s="32"/>
      <c r="BW14" s="33"/>
      <c r="BX14" s="53">
        <f t="shared" si="107"/>
        <v>-10</v>
      </c>
      <c r="BY14" s="54">
        <f t="shared" si="68"/>
        <v>0</v>
      </c>
      <c r="BZ14" s="53">
        <f t="shared" si="108"/>
        <v>-31.25</v>
      </c>
      <c r="CA14" s="54" t="str">
        <f t="shared" ref="CA14:CA15" si="129">IFERROR((BV14-BQ14)*100/BQ14,"-")</f>
        <v>-</v>
      </c>
      <c r="CB14" s="45"/>
      <c r="CC14" s="25"/>
      <c r="CD14" s="47" t="str">
        <f t="shared" si="34"/>
        <v>میانگین مدت ماندگاری کالا</v>
      </c>
      <c r="CE14" s="48" t="str">
        <f t="shared" si="35"/>
        <v>روز</v>
      </c>
      <c r="CF14" s="51"/>
      <c r="CG14" s="55"/>
      <c r="CH14" s="56"/>
      <c r="CI14" s="41"/>
      <c r="CJ14" s="51"/>
      <c r="CK14" s="52" t="str">
        <f t="shared" ref="CK14:CK16" si="130">IFERROR(CJ14*100/CH14,"")</f>
        <v/>
      </c>
      <c r="CL14" s="32"/>
      <c r="CM14" s="33"/>
      <c r="CN14" s="53">
        <f t="shared" si="109"/>
        <v>0</v>
      </c>
      <c r="CO14" s="54">
        <f t="shared" si="69"/>
        <v>0</v>
      </c>
      <c r="CP14" s="53" t="str">
        <f t="shared" si="110"/>
        <v/>
      </c>
      <c r="CQ14" s="54" t="str">
        <f t="shared" ref="CQ14:CQ15" si="131">IFERROR((CL14-CG14)*100/CG14,"-")</f>
        <v>-</v>
      </c>
      <c r="CR14" s="45"/>
      <c r="CS14" s="25"/>
      <c r="CT14" s="47" t="str">
        <f t="shared" si="39"/>
        <v>میانگین مدت ماندگاری کالا</v>
      </c>
      <c r="CU14" s="48" t="str">
        <f t="shared" si="40"/>
        <v>روز</v>
      </c>
      <c r="CV14" s="51">
        <v>46</v>
      </c>
      <c r="CW14" s="55"/>
      <c r="CX14" s="56">
        <v>46</v>
      </c>
      <c r="CY14" s="41"/>
      <c r="CZ14" s="51">
        <v>182</v>
      </c>
      <c r="DA14" s="52">
        <f t="shared" ref="DA14:DA16" si="132">IFERROR(CZ14*100/CX14,"")</f>
        <v>395.6521739130435</v>
      </c>
      <c r="DB14" s="32"/>
      <c r="DC14" s="33"/>
      <c r="DD14" s="53">
        <f t="shared" si="111"/>
        <v>136</v>
      </c>
      <c r="DE14" s="118">
        <f t="shared" si="70"/>
        <v>0</v>
      </c>
      <c r="DF14" s="53">
        <f t="shared" si="112"/>
        <v>295.6521739130435</v>
      </c>
      <c r="DG14" s="54" t="str">
        <f t="shared" ref="DG14:DG15" si="133">IFERROR((DB14-CW14)*100/CW14,"-")</f>
        <v>-</v>
      </c>
      <c r="DH14" s="45"/>
      <c r="DI14" s="25"/>
      <c r="DJ14" s="47" t="str">
        <f t="shared" si="44"/>
        <v>میانگین مدت ماندگاری کالا</v>
      </c>
      <c r="DK14" s="48" t="str">
        <f t="shared" si="45"/>
        <v>روز</v>
      </c>
      <c r="DL14" s="51">
        <v>32</v>
      </c>
      <c r="DM14" s="55"/>
      <c r="DN14" s="56">
        <v>34</v>
      </c>
      <c r="DO14" s="41"/>
      <c r="DP14" s="51">
        <v>41</v>
      </c>
      <c r="DQ14" s="52">
        <f t="shared" ref="DQ14:DQ16" si="134">IFERROR(DP14*100/DN14,"")</f>
        <v>120.58823529411765</v>
      </c>
      <c r="DR14" s="32"/>
      <c r="DS14" s="33"/>
      <c r="DT14" s="53">
        <f t="shared" si="113"/>
        <v>9</v>
      </c>
      <c r="DU14" s="118">
        <f t="shared" si="71"/>
        <v>0</v>
      </c>
      <c r="DV14" s="53">
        <f t="shared" si="114"/>
        <v>28.125</v>
      </c>
      <c r="DW14" s="54" t="str">
        <f t="shared" ref="DW14:DW15" si="135">IFERROR((DR14-DM14)*100/DM14,"-")</f>
        <v>-</v>
      </c>
      <c r="DX14" s="45"/>
      <c r="DY14" s="25"/>
      <c r="DZ14" s="47" t="str">
        <f t="shared" si="49"/>
        <v>میانگین مدت ماندگاری کالا</v>
      </c>
      <c r="EA14" s="48" t="str">
        <f t="shared" si="50"/>
        <v>روز</v>
      </c>
      <c r="EB14" s="51"/>
      <c r="EC14" s="55"/>
      <c r="ED14" s="56"/>
      <c r="EE14" s="117"/>
      <c r="EF14" s="51"/>
      <c r="EG14" s="52" t="str">
        <f t="shared" ref="EG14:EG16" si="136">IFERROR(EF14*100/ED14,"")</f>
        <v/>
      </c>
      <c r="EH14" s="32"/>
      <c r="EI14" s="33"/>
      <c r="EJ14" s="53">
        <f t="shared" si="115"/>
        <v>0</v>
      </c>
      <c r="EK14" s="54">
        <f t="shared" si="72"/>
        <v>0</v>
      </c>
      <c r="EL14" s="53" t="str">
        <f t="shared" si="116"/>
        <v/>
      </c>
      <c r="EM14" s="54" t="str">
        <f t="shared" ref="EM14:EM15" si="137">IFERROR((EH14-EC14)*100/EC14,"-")</f>
        <v>-</v>
      </c>
      <c r="EN14" s="45"/>
      <c r="EO14" s="25"/>
      <c r="EP14" s="47" t="str">
        <f t="shared" si="54"/>
        <v>میانگین مدت ماندگاری کالا</v>
      </c>
      <c r="EQ14" s="48" t="str">
        <f t="shared" si="55"/>
        <v>روز</v>
      </c>
      <c r="ER14" s="51">
        <v>0</v>
      </c>
      <c r="ES14" s="55"/>
      <c r="ET14" s="56"/>
      <c r="EU14" s="41"/>
      <c r="EV14" s="51">
        <v>136</v>
      </c>
      <c r="EW14" s="52" t="str">
        <f t="shared" ref="EW14:EW16" si="138">IFERROR(EV14*100/ET14,"")</f>
        <v/>
      </c>
      <c r="EX14" s="32"/>
      <c r="EY14" s="33"/>
      <c r="EZ14" s="53">
        <f t="shared" si="117"/>
        <v>136</v>
      </c>
      <c r="FA14" s="54">
        <f t="shared" si="73"/>
        <v>0</v>
      </c>
      <c r="FB14" s="53" t="str">
        <f t="shared" si="118"/>
        <v/>
      </c>
      <c r="FC14" s="54" t="str">
        <f t="shared" ref="FC14:FC15" si="139">IFERROR((EX14-ES14)*100/ES14,"-")</f>
        <v>-</v>
      </c>
      <c r="FD14" s="45"/>
      <c r="FE14" s="25"/>
      <c r="FF14" s="47" t="str">
        <f t="shared" si="59"/>
        <v>میانگین مدت ماندگاری کالا</v>
      </c>
      <c r="FG14" s="48" t="str">
        <f t="shared" si="60"/>
        <v>روز</v>
      </c>
      <c r="FH14" s="51"/>
      <c r="FI14" s="55"/>
      <c r="FJ14" s="56"/>
      <c r="FK14" s="41"/>
      <c r="FL14" s="51">
        <v>24</v>
      </c>
      <c r="FM14" s="52" t="str">
        <f t="shared" ref="FM14:FM16" si="140">IFERROR(FL14*100/FJ14,"")</f>
        <v/>
      </c>
      <c r="FN14" s="32"/>
      <c r="FO14" s="33"/>
      <c r="FP14" s="53">
        <f t="shared" si="119"/>
        <v>24</v>
      </c>
      <c r="FQ14" s="54">
        <f t="shared" si="74"/>
        <v>0</v>
      </c>
      <c r="FR14" s="53" t="str">
        <f t="shared" si="120"/>
        <v/>
      </c>
      <c r="FS14" s="54" t="str">
        <f t="shared" ref="FS14:FS15" si="141">IFERROR((FN14-FI14)*100/FI14,"-")</f>
        <v>-</v>
      </c>
      <c r="FT14" s="45"/>
    </row>
    <row r="15" spans="1:176" ht="30" customHeight="1" x14ac:dyDescent="0.6">
      <c r="A15" s="25"/>
      <c r="B15" s="47" t="s">
        <v>14</v>
      </c>
      <c r="C15" s="119" t="s">
        <v>18</v>
      </c>
      <c r="D15" s="60">
        <f t="shared" ref="D15:J20" si="142">SUM(T15,AJ15,AZ15,BP15,CF15,CV15,DL15,EB15,ER15,FH15)</f>
        <v>650764</v>
      </c>
      <c r="E15" s="61"/>
      <c r="F15" s="60">
        <f t="shared" si="142"/>
        <v>917802.75449792435</v>
      </c>
      <c r="G15" s="61"/>
      <c r="H15" s="60">
        <f t="shared" si="142"/>
        <v>1270129</v>
      </c>
      <c r="I15" s="52">
        <f>IFERROR(H15*100/F15,"")</f>
        <v>138.38801352201349</v>
      </c>
      <c r="J15" s="62"/>
      <c r="K15" s="63"/>
      <c r="L15" s="64">
        <f t="shared" si="121"/>
        <v>619365</v>
      </c>
      <c r="M15" s="63"/>
      <c r="N15" s="120">
        <f t="shared" si="100"/>
        <v>95.175055780590199</v>
      </c>
      <c r="O15" s="54" t="str">
        <f t="shared" si="12"/>
        <v>-</v>
      </c>
      <c r="P15" s="38">
        <v>1</v>
      </c>
      <c r="Q15" s="25"/>
      <c r="R15" s="47" t="str">
        <f t="shared" si="13"/>
        <v>انبارداری</v>
      </c>
      <c r="S15" s="119" t="str">
        <f t="shared" si="14"/>
        <v>تن روز</v>
      </c>
      <c r="T15" s="60">
        <f>IFERROR(T13*T14,"")</f>
        <v>380</v>
      </c>
      <c r="U15" s="65"/>
      <c r="V15" s="60">
        <f>IFERROR(V13*V14,"")</f>
        <v>3153.3287827076228</v>
      </c>
      <c r="W15" s="66"/>
      <c r="X15" s="60">
        <f>IFERROR(X13*X14,"")</f>
        <v>90</v>
      </c>
      <c r="Y15" s="31">
        <f t="shared" si="122"/>
        <v>2.8541267404003783</v>
      </c>
      <c r="Z15" s="62"/>
      <c r="AA15" s="63"/>
      <c r="AB15" s="67">
        <f t="shared" si="101"/>
        <v>-290</v>
      </c>
      <c r="AC15" s="54">
        <f t="shared" si="65"/>
        <v>0</v>
      </c>
      <c r="AD15" s="120">
        <f t="shared" si="102"/>
        <v>-76.315789473684205</v>
      </c>
      <c r="AE15" s="54" t="str">
        <f t="shared" si="123"/>
        <v>-</v>
      </c>
      <c r="AF15" s="45"/>
      <c r="AG15" s="25"/>
      <c r="AH15" s="47" t="str">
        <f t="shared" si="18"/>
        <v>انبارداری</v>
      </c>
      <c r="AI15" s="119" t="str">
        <f t="shared" si="19"/>
        <v>تن روز</v>
      </c>
      <c r="AJ15" s="60">
        <f>IFERROR(AJ13*AJ14,"")</f>
        <v>442250</v>
      </c>
      <c r="AK15" s="65"/>
      <c r="AL15" s="60">
        <f>IFERROR(AL13*AL14,"")</f>
        <v>800055.66298570775</v>
      </c>
      <c r="AM15" s="66"/>
      <c r="AN15" s="60">
        <f>IFERROR(AN13*AN14,"")</f>
        <v>831628</v>
      </c>
      <c r="AO15" s="31">
        <f t="shared" si="124"/>
        <v>103.9462675504937</v>
      </c>
      <c r="AP15" s="62"/>
      <c r="AQ15" s="63"/>
      <c r="AR15" s="64">
        <f t="shared" si="103"/>
        <v>389378</v>
      </c>
      <c r="AS15" s="54">
        <f t="shared" si="66"/>
        <v>0</v>
      </c>
      <c r="AT15" s="120">
        <f t="shared" si="104"/>
        <v>88.044771057094408</v>
      </c>
      <c r="AU15" s="54" t="str">
        <f t="shared" si="125"/>
        <v>-</v>
      </c>
      <c r="AV15" s="45"/>
      <c r="AW15" s="25"/>
      <c r="AX15" s="47" t="str">
        <f t="shared" si="23"/>
        <v>انبارداری</v>
      </c>
      <c r="AY15" s="119" t="str">
        <f t="shared" si="24"/>
        <v>تن روز</v>
      </c>
      <c r="AZ15" s="60">
        <f>IFERROR(AZ13*AZ14,"")</f>
        <v>66898</v>
      </c>
      <c r="BA15" s="65"/>
      <c r="BB15" s="60">
        <f>IFERROR(BB13*BB14,"")</f>
        <v>23673.066666666673</v>
      </c>
      <c r="BC15" s="66"/>
      <c r="BD15" s="60">
        <f>IFERROR(BD13*BD14,"")</f>
        <v>133190</v>
      </c>
      <c r="BE15" s="31">
        <f t="shared" si="126"/>
        <v>562.62250208394335</v>
      </c>
      <c r="BF15" s="62"/>
      <c r="BG15" s="63"/>
      <c r="BH15" s="64">
        <f t="shared" si="105"/>
        <v>66292</v>
      </c>
      <c r="BI15" s="54">
        <f t="shared" si="67"/>
        <v>0</v>
      </c>
      <c r="BJ15" s="120">
        <f t="shared" si="106"/>
        <v>99.094143322670334</v>
      </c>
      <c r="BK15" s="54" t="str">
        <f t="shared" si="127"/>
        <v>-</v>
      </c>
      <c r="BL15" s="45"/>
      <c r="BM15" s="25"/>
      <c r="BN15" s="47" t="str">
        <f t="shared" si="29"/>
        <v>انبارداری</v>
      </c>
      <c r="BO15" s="119" t="str">
        <f t="shared" si="30"/>
        <v>تن روز</v>
      </c>
      <c r="BP15" s="60">
        <f>IFERROR(BP13*BP14,"")</f>
        <v>31872</v>
      </c>
      <c r="BQ15" s="65"/>
      <c r="BR15" s="60">
        <f>IFERROR(BR13*BR14,"")</f>
        <v>42720.357802072976</v>
      </c>
      <c r="BS15" s="66"/>
      <c r="BT15" s="60">
        <f>IFERROR(BT13*BT14,"")</f>
        <v>100342</v>
      </c>
      <c r="BU15" s="31">
        <f t="shared" si="128"/>
        <v>234.88099155183335</v>
      </c>
      <c r="BV15" s="62"/>
      <c r="BW15" s="63"/>
      <c r="BX15" s="64">
        <f t="shared" si="107"/>
        <v>68470</v>
      </c>
      <c r="BY15" s="54">
        <f t="shared" si="68"/>
        <v>0</v>
      </c>
      <c r="BZ15" s="120">
        <f t="shared" si="108"/>
        <v>214.82806224899599</v>
      </c>
      <c r="CA15" s="54" t="str">
        <f t="shared" si="129"/>
        <v>-</v>
      </c>
      <c r="CB15" s="45"/>
      <c r="CC15" s="25"/>
      <c r="CD15" s="47" t="str">
        <f t="shared" si="34"/>
        <v>انبارداری</v>
      </c>
      <c r="CE15" s="119" t="str">
        <f t="shared" si="35"/>
        <v>تن روز</v>
      </c>
      <c r="CF15" s="60">
        <f>IFERROR(CF13*CF14,"")</f>
        <v>0</v>
      </c>
      <c r="CG15" s="65"/>
      <c r="CH15" s="60">
        <f>IFERROR(CH13*CH14,"")</f>
        <v>0</v>
      </c>
      <c r="CI15" s="66"/>
      <c r="CJ15" s="60">
        <f>IFERROR(CJ13*CJ14,"")</f>
        <v>0</v>
      </c>
      <c r="CK15" s="31" t="str">
        <f t="shared" si="130"/>
        <v/>
      </c>
      <c r="CL15" s="62"/>
      <c r="CM15" s="63"/>
      <c r="CN15" s="64">
        <f t="shared" si="109"/>
        <v>0</v>
      </c>
      <c r="CO15" s="54">
        <f t="shared" si="69"/>
        <v>0</v>
      </c>
      <c r="CP15" s="120" t="str">
        <f t="shared" si="110"/>
        <v/>
      </c>
      <c r="CQ15" s="54" t="str">
        <f t="shared" si="131"/>
        <v>-</v>
      </c>
      <c r="CR15" s="45"/>
      <c r="CS15" s="25"/>
      <c r="CT15" s="47" t="str">
        <f t="shared" si="39"/>
        <v>انبارداری</v>
      </c>
      <c r="CU15" s="119" t="str">
        <f t="shared" si="40"/>
        <v>تن روز</v>
      </c>
      <c r="CV15" s="60">
        <f>IFERROR(CV13*CV14,"")</f>
        <v>95956</v>
      </c>
      <c r="CW15" s="65"/>
      <c r="CX15" s="60">
        <f>IFERROR(CX13*CX14,"")</f>
        <v>41214.170808856754</v>
      </c>
      <c r="CY15" s="66"/>
      <c r="CZ15" s="60">
        <f>IFERROR(CZ13*CZ14,"")</f>
        <v>168168</v>
      </c>
      <c r="DA15" s="31">
        <f t="shared" si="132"/>
        <v>408.03441316320595</v>
      </c>
      <c r="DB15" s="62"/>
      <c r="DC15" s="63"/>
      <c r="DD15" s="64">
        <f t="shared" si="111"/>
        <v>72212</v>
      </c>
      <c r="DE15" s="118">
        <f t="shared" si="70"/>
        <v>0</v>
      </c>
      <c r="DF15" s="120">
        <f t="shared" si="112"/>
        <v>75.255325357455504</v>
      </c>
      <c r="DG15" s="54" t="str">
        <f t="shared" si="133"/>
        <v>-</v>
      </c>
      <c r="DH15" s="45"/>
      <c r="DI15" s="25"/>
      <c r="DJ15" s="47" t="str">
        <f t="shared" si="44"/>
        <v>انبارداری</v>
      </c>
      <c r="DK15" s="119" t="str">
        <f t="shared" si="45"/>
        <v>تن روز</v>
      </c>
      <c r="DL15" s="60">
        <f>IFERROR(DL13*DL14,"")</f>
        <v>13408</v>
      </c>
      <c r="DM15" s="65"/>
      <c r="DN15" s="60">
        <f>IFERROR(DN13*DN14,"")</f>
        <v>6986.1674519126873</v>
      </c>
      <c r="DO15" s="66"/>
      <c r="DP15" s="60">
        <f>IFERROR(DP13*DP14,"")</f>
        <v>12751</v>
      </c>
      <c r="DQ15" s="31">
        <f t="shared" si="134"/>
        <v>182.51781234515079</v>
      </c>
      <c r="DR15" s="62"/>
      <c r="DS15" s="63"/>
      <c r="DT15" s="67">
        <f t="shared" si="113"/>
        <v>-657</v>
      </c>
      <c r="DU15" s="118">
        <f t="shared" si="71"/>
        <v>0</v>
      </c>
      <c r="DV15" s="120">
        <f t="shared" si="114"/>
        <v>-4.9000596658711215</v>
      </c>
      <c r="DW15" s="54" t="str">
        <f t="shared" si="135"/>
        <v>-</v>
      </c>
      <c r="DX15" s="45"/>
      <c r="DY15" s="25"/>
      <c r="DZ15" s="47" t="str">
        <f t="shared" si="49"/>
        <v>انبارداری</v>
      </c>
      <c r="EA15" s="119" t="str">
        <f t="shared" si="50"/>
        <v>تن روز</v>
      </c>
      <c r="EB15" s="60">
        <f>IFERROR(EB13*EB14,"")</f>
        <v>0</v>
      </c>
      <c r="EC15" s="65"/>
      <c r="ED15" s="60">
        <f>IFERROR(ED13*ED14,"")</f>
        <v>0</v>
      </c>
      <c r="EE15" s="121"/>
      <c r="EF15" s="60">
        <f>IFERROR(EF13*EF14,"")</f>
        <v>0</v>
      </c>
      <c r="EG15" s="31" t="str">
        <f t="shared" si="136"/>
        <v/>
      </c>
      <c r="EH15" s="62"/>
      <c r="EI15" s="63"/>
      <c r="EJ15" s="64">
        <f t="shared" si="115"/>
        <v>0</v>
      </c>
      <c r="EK15" s="54">
        <f t="shared" si="72"/>
        <v>0</v>
      </c>
      <c r="EL15" s="120" t="str">
        <f t="shared" si="116"/>
        <v/>
      </c>
      <c r="EM15" s="54" t="str">
        <f t="shared" si="137"/>
        <v>-</v>
      </c>
      <c r="EN15" s="45"/>
      <c r="EO15" s="25"/>
      <c r="EP15" s="47" t="str">
        <f t="shared" si="54"/>
        <v>انبارداری</v>
      </c>
      <c r="EQ15" s="119" t="str">
        <f t="shared" si="55"/>
        <v>تن روز</v>
      </c>
      <c r="ER15" s="60">
        <f>IFERROR(ER13*ER14,"")</f>
        <v>0</v>
      </c>
      <c r="ES15" s="65"/>
      <c r="ET15" s="60">
        <f>IFERROR(ET13*ET14,"")</f>
        <v>0</v>
      </c>
      <c r="EU15" s="66"/>
      <c r="EV15" s="60">
        <f>IFERROR(EV13*EV14,"")</f>
        <v>1088</v>
      </c>
      <c r="EW15" s="31" t="str">
        <f t="shared" si="138"/>
        <v/>
      </c>
      <c r="EX15" s="62"/>
      <c r="EY15" s="63"/>
      <c r="EZ15" s="64">
        <f t="shared" si="117"/>
        <v>1088</v>
      </c>
      <c r="FA15" s="54">
        <f t="shared" si="73"/>
        <v>0</v>
      </c>
      <c r="FB15" s="120" t="str">
        <f t="shared" si="118"/>
        <v/>
      </c>
      <c r="FC15" s="54" t="str">
        <f t="shared" si="139"/>
        <v>-</v>
      </c>
      <c r="FD15" s="45"/>
      <c r="FE15" s="25"/>
      <c r="FF15" s="47" t="str">
        <f t="shared" si="59"/>
        <v>انبارداری</v>
      </c>
      <c r="FG15" s="119" t="str">
        <f t="shared" si="60"/>
        <v>تن روز</v>
      </c>
      <c r="FH15" s="60">
        <f>IFERROR(FH13*FH14,"")</f>
        <v>0</v>
      </c>
      <c r="FI15" s="65"/>
      <c r="FJ15" s="60">
        <f>IFERROR(FJ13*FJ14,"")</f>
        <v>0</v>
      </c>
      <c r="FK15" s="66"/>
      <c r="FL15" s="60">
        <f>IFERROR(FL13*FL14,"")</f>
        <v>22872</v>
      </c>
      <c r="FM15" s="31" t="str">
        <f t="shared" si="140"/>
        <v/>
      </c>
      <c r="FN15" s="62"/>
      <c r="FO15" s="63"/>
      <c r="FP15" s="64">
        <f t="shared" si="119"/>
        <v>22872</v>
      </c>
      <c r="FQ15" s="54">
        <f t="shared" si="74"/>
        <v>0</v>
      </c>
      <c r="FR15" s="120" t="str">
        <f t="shared" si="120"/>
        <v/>
      </c>
      <c r="FS15" s="54" t="str">
        <f t="shared" si="141"/>
        <v>-</v>
      </c>
      <c r="FT15" s="45"/>
    </row>
    <row r="16" spans="1:176" ht="30" customHeight="1" x14ac:dyDescent="0.6">
      <c r="A16" s="25"/>
      <c r="B16" s="69" t="s">
        <v>19</v>
      </c>
      <c r="C16" s="70" t="s">
        <v>15</v>
      </c>
      <c r="D16" s="71">
        <f t="shared" si="142"/>
        <v>52712</v>
      </c>
      <c r="E16" s="72">
        <f>SUM(U16,AK16,BA16,BQ16,CG16,CW16,DM16,EC16,ES16,FI16)</f>
        <v>33448</v>
      </c>
      <c r="F16" s="71">
        <f t="shared" si="142"/>
        <v>73306.747864152203</v>
      </c>
      <c r="G16" s="72">
        <f>SUM(W16,AM16,BC16,BS16,CI16,CY16,DO16,EE16,EU16,FK16)</f>
        <v>56912</v>
      </c>
      <c r="H16" s="71">
        <f t="shared" si="142"/>
        <v>86938</v>
      </c>
      <c r="I16" s="52">
        <f t="shared" si="99"/>
        <v>118.59481225535805</v>
      </c>
      <c r="J16" s="73">
        <f>SUM(Z16,AP16,BF16,BV16,CL16,DB16,DR16,EH16,EX16,FN16)</f>
        <v>44261</v>
      </c>
      <c r="K16" s="74">
        <f>IFERROR(J16*100/G16,"")</f>
        <v>77.77094461624965</v>
      </c>
      <c r="L16" s="75">
        <f t="shared" si="121"/>
        <v>34226</v>
      </c>
      <c r="M16" s="74">
        <f>IFERROR(J16-E16,"")</f>
        <v>10813</v>
      </c>
      <c r="N16" s="76">
        <f t="shared" si="100"/>
        <v>64.930186674760961</v>
      </c>
      <c r="O16" s="74">
        <f>IFERROR((J16-E16)*100/E16,"")</f>
        <v>32.327792394164078</v>
      </c>
      <c r="P16" s="38">
        <v>1</v>
      </c>
      <c r="Q16" s="25"/>
      <c r="R16" s="69" t="str">
        <f t="shared" si="13"/>
        <v>باربری</v>
      </c>
      <c r="S16" s="70" t="str">
        <f t="shared" si="14"/>
        <v>تن</v>
      </c>
      <c r="T16" s="71">
        <f>IFERROR(2*T13,"")</f>
        <v>38</v>
      </c>
      <c r="U16" s="77">
        <v>44</v>
      </c>
      <c r="V16" s="71">
        <f>IFERROR(2*V13,"")</f>
        <v>225.23777019340162</v>
      </c>
      <c r="W16" s="78">
        <v>191</v>
      </c>
      <c r="X16" s="71">
        <f>IFERROR(2*X13,"")</f>
        <v>2</v>
      </c>
      <c r="Y16" s="42">
        <f t="shared" si="122"/>
        <v>0.88795054145789554</v>
      </c>
      <c r="Z16" s="73">
        <v>5</v>
      </c>
      <c r="AA16" s="74">
        <f>IFERROR(Z16*100/W16,"")</f>
        <v>2.6178010471204187</v>
      </c>
      <c r="AB16" s="79">
        <f t="shared" si="101"/>
        <v>-36</v>
      </c>
      <c r="AC16" s="80">
        <f t="shared" si="65"/>
        <v>-39</v>
      </c>
      <c r="AD16" s="76">
        <f t="shared" si="102"/>
        <v>-94.736842105263165</v>
      </c>
      <c r="AE16" s="74">
        <f>IFERROR((Z16-U16)*100/U16,"")</f>
        <v>-88.63636363636364</v>
      </c>
      <c r="AF16" s="45"/>
      <c r="AG16" s="25"/>
      <c r="AH16" s="69" t="str">
        <f t="shared" si="18"/>
        <v>باربری</v>
      </c>
      <c r="AI16" s="70" t="str">
        <f t="shared" si="19"/>
        <v>تن</v>
      </c>
      <c r="AJ16" s="71">
        <f>IFERROR(2*AJ13,"")</f>
        <v>35380</v>
      </c>
      <c r="AK16" s="77">
        <v>22687</v>
      </c>
      <c r="AL16" s="71">
        <f>IFERROR(2*AL13,"")</f>
        <v>61542.7433065929</v>
      </c>
      <c r="AM16" s="78">
        <v>45920</v>
      </c>
      <c r="AN16" s="71">
        <f>IFERROR(2*AN13,"")</f>
        <v>59402</v>
      </c>
      <c r="AO16" s="42">
        <f t="shared" si="124"/>
        <v>96.521534154029879</v>
      </c>
      <c r="AP16" s="73">
        <v>18524</v>
      </c>
      <c r="AQ16" s="74">
        <f>IFERROR(AP16*100/AM16,"")</f>
        <v>40.339721254355403</v>
      </c>
      <c r="AR16" s="81">
        <f t="shared" si="103"/>
        <v>24022</v>
      </c>
      <c r="AS16" s="80">
        <f t="shared" si="66"/>
        <v>-4163</v>
      </c>
      <c r="AT16" s="76">
        <f t="shared" si="104"/>
        <v>67.897117015262864</v>
      </c>
      <c r="AU16" s="74">
        <f>IFERROR((AP16-AK16)*100/AK16,"")</f>
        <v>-18.349715696213689</v>
      </c>
      <c r="AV16" s="45"/>
      <c r="AW16" s="25"/>
      <c r="AX16" s="69" t="str">
        <f t="shared" si="23"/>
        <v>باربری</v>
      </c>
      <c r="AY16" s="70" t="str">
        <f t="shared" si="24"/>
        <v>تن</v>
      </c>
      <c r="AZ16" s="71">
        <f>IFERROR(2*AZ13,"")</f>
        <v>10292</v>
      </c>
      <c r="BA16" s="77">
        <v>7581</v>
      </c>
      <c r="BB16" s="71">
        <f>IFERROR(2*BB13,"")</f>
        <v>5918.2666666666682</v>
      </c>
      <c r="BC16" s="78">
        <v>6003</v>
      </c>
      <c r="BD16" s="71">
        <f>IFERROR(2*BD13,"")</f>
        <v>14020</v>
      </c>
      <c r="BE16" s="42">
        <f t="shared" si="126"/>
        <v>236.89368508797614</v>
      </c>
      <c r="BF16" s="73">
        <v>13446</v>
      </c>
      <c r="BG16" s="74">
        <f>IFERROR(BF16*100/BC16,"")</f>
        <v>223.98800599700149</v>
      </c>
      <c r="BH16" s="81">
        <f t="shared" si="105"/>
        <v>3728</v>
      </c>
      <c r="BI16" s="74">
        <f t="shared" si="67"/>
        <v>5865</v>
      </c>
      <c r="BJ16" s="76">
        <f t="shared" si="106"/>
        <v>36.222308589195492</v>
      </c>
      <c r="BK16" s="74">
        <f>IFERROR((BF16-BA16)*100/BA16,"")</f>
        <v>77.364463791056593</v>
      </c>
      <c r="BL16" s="45"/>
      <c r="BM16" s="25"/>
      <c r="BN16" s="69" t="str">
        <f t="shared" si="29"/>
        <v>باربری</v>
      </c>
      <c r="BO16" s="70" t="str">
        <f t="shared" si="30"/>
        <v>تن</v>
      </c>
      <c r="BP16" s="71">
        <f>IFERROR(2*BP13,"")</f>
        <v>1992</v>
      </c>
      <c r="BQ16" s="77">
        <v>1500</v>
      </c>
      <c r="BR16" s="71">
        <f>IFERROR(2*BR13,"")</f>
        <v>3417.6286241658381</v>
      </c>
      <c r="BS16" s="78">
        <v>3746</v>
      </c>
      <c r="BT16" s="71">
        <f>IFERROR(2*BT13,"")</f>
        <v>9122</v>
      </c>
      <c r="BU16" s="42">
        <f t="shared" si="128"/>
        <v>266.9102176725379</v>
      </c>
      <c r="BV16" s="73">
        <v>9746</v>
      </c>
      <c r="BW16" s="74">
        <f>IFERROR(BV16*100/BS16,"")</f>
        <v>260.17084890549921</v>
      </c>
      <c r="BX16" s="81">
        <f t="shared" si="107"/>
        <v>7130</v>
      </c>
      <c r="BY16" s="74">
        <f t="shared" si="68"/>
        <v>8246</v>
      </c>
      <c r="BZ16" s="76">
        <f t="shared" si="108"/>
        <v>357.93172690763055</v>
      </c>
      <c r="CA16" s="74">
        <f>IFERROR((BV16-BQ16)*100/BQ16,"")</f>
        <v>549.73333333333335</v>
      </c>
      <c r="CB16" s="45"/>
      <c r="CC16" s="25"/>
      <c r="CD16" s="69" t="str">
        <f t="shared" si="34"/>
        <v>باربری</v>
      </c>
      <c r="CE16" s="70" t="str">
        <f t="shared" si="35"/>
        <v>تن</v>
      </c>
      <c r="CF16" s="71">
        <f>IFERROR(2*CF13,"")</f>
        <v>0</v>
      </c>
      <c r="CG16" s="77"/>
      <c r="CH16" s="71">
        <f>IFERROR(2*CH13,"")</f>
        <v>0</v>
      </c>
      <c r="CI16" s="78"/>
      <c r="CJ16" s="71">
        <f>IFERROR(2*CJ13,"")</f>
        <v>0</v>
      </c>
      <c r="CK16" s="42" t="str">
        <f t="shared" si="130"/>
        <v/>
      </c>
      <c r="CL16" s="73"/>
      <c r="CM16" s="74" t="str">
        <f>IFERROR(CL16*100/CI16,"")</f>
        <v/>
      </c>
      <c r="CN16" s="75">
        <f t="shared" si="109"/>
        <v>0</v>
      </c>
      <c r="CO16" s="74">
        <f t="shared" si="69"/>
        <v>0</v>
      </c>
      <c r="CP16" s="76" t="str">
        <f t="shared" si="110"/>
        <v/>
      </c>
      <c r="CQ16" s="74" t="str">
        <f>IFERROR((CL16-CG16)*100/CG16,"")</f>
        <v/>
      </c>
      <c r="CR16" s="45"/>
      <c r="CS16" s="25"/>
      <c r="CT16" s="69" t="str">
        <f t="shared" si="39"/>
        <v>باربری</v>
      </c>
      <c r="CU16" s="70" t="str">
        <f t="shared" si="40"/>
        <v>تن</v>
      </c>
      <c r="CV16" s="71">
        <f>IFERROR(2*CV13,"")</f>
        <v>4172</v>
      </c>
      <c r="CW16" s="77">
        <v>1162</v>
      </c>
      <c r="CX16" s="71">
        <f>IFERROR(2*CX13,"")</f>
        <v>1791.9204699502936</v>
      </c>
      <c r="CY16" s="78">
        <v>722</v>
      </c>
      <c r="CZ16" s="71">
        <f>IFERROR(2*CZ13,"")</f>
        <v>1848</v>
      </c>
      <c r="DA16" s="42">
        <f t="shared" si="132"/>
        <v>103.12957695333778</v>
      </c>
      <c r="DB16" s="73">
        <v>879</v>
      </c>
      <c r="DC16" s="74">
        <f>IFERROR(DB16*100/CY16,"")</f>
        <v>121.74515235457064</v>
      </c>
      <c r="DD16" s="79">
        <f t="shared" si="111"/>
        <v>-2324</v>
      </c>
      <c r="DE16" s="74">
        <f t="shared" si="70"/>
        <v>-283</v>
      </c>
      <c r="DF16" s="76">
        <f t="shared" si="112"/>
        <v>-55.70469798657718</v>
      </c>
      <c r="DG16" s="74">
        <f>IFERROR((DB16-CW16)*100/CW16,"")</f>
        <v>-24.354561101549052</v>
      </c>
      <c r="DH16" s="45"/>
      <c r="DI16" s="25"/>
      <c r="DJ16" s="69" t="str">
        <f t="shared" si="44"/>
        <v>باربری</v>
      </c>
      <c r="DK16" s="70" t="str">
        <f t="shared" si="45"/>
        <v>تن</v>
      </c>
      <c r="DL16" s="71">
        <f>IFERROR(2*DL13,"")</f>
        <v>838</v>
      </c>
      <c r="DM16" s="77">
        <v>474</v>
      </c>
      <c r="DN16" s="71">
        <f>IFERROR(2*DN13,"")</f>
        <v>410.95102658309924</v>
      </c>
      <c r="DO16" s="78">
        <v>330</v>
      </c>
      <c r="DP16" s="71">
        <f>IFERROR(2*DP13,"")</f>
        <v>622</v>
      </c>
      <c r="DQ16" s="42">
        <f t="shared" si="134"/>
        <v>151.35623462768601</v>
      </c>
      <c r="DR16" s="73">
        <v>627</v>
      </c>
      <c r="DS16" s="74">
        <f>IFERROR(DR16*100/DO16,"")</f>
        <v>190</v>
      </c>
      <c r="DT16" s="79">
        <f t="shared" si="113"/>
        <v>-216</v>
      </c>
      <c r="DU16" s="74">
        <f t="shared" si="71"/>
        <v>153</v>
      </c>
      <c r="DV16" s="76">
        <f t="shared" si="114"/>
        <v>-25.775656324582339</v>
      </c>
      <c r="DW16" s="74">
        <f>IFERROR((DR16-DM16)*100/DM16,"")</f>
        <v>32.278481012658226</v>
      </c>
      <c r="DX16" s="45"/>
      <c r="DY16" s="25"/>
      <c r="DZ16" s="69" t="str">
        <f t="shared" si="49"/>
        <v>باربری</v>
      </c>
      <c r="EA16" s="70" t="str">
        <f t="shared" si="50"/>
        <v>تن</v>
      </c>
      <c r="EB16" s="71">
        <f>IFERROR(2*EB13,"")</f>
        <v>0</v>
      </c>
      <c r="EC16" s="77"/>
      <c r="ED16" s="71">
        <f>IFERROR(2*ED13,"")</f>
        <v>0</v>
      </c>
      <c r="EE16" s="78"/>
      <c r="EF16" s="71">
        <f>IFERROR(2*EF13,"")</f>
        <v>0</v>
      </c>
      <c r="EG16" s="42" t="str">
        <f t="shared" si="136"/>
        <v/>
      </c>
      <c r="EH16" s="73"/>
      <c r="EI16" s="74" t="str">
        <f>IFERROR(EH16*100/EE16,"")</f>
        <v/>
      </c>
      <c r="EJ16" s="75">
        <f t="shared" si="115"/>
        <v>0</v>
      </c>
      <c r="EK16" s="74">
        <f t="shared" si="72"/>
        <v>0</v>
      </c>
      <c r="EL16" s="76" t="str">
        <f t="shared" si="116"/>
        <v/>
      </c>
      <c r="EM16" s="74" t="str">
        <f>IFERROR((EH16-EC16)*100/EC16,"")</f>
        <v/>
      </c>
      <c r="EN16" s="45"/>
      <c r="EO16" s="25"/>
      <c r="EP16" s="69" t="str">
        <f t="shared" si="54"/>
        <v>باربری</v>
      </c>
      <c r="EQ16" s="70" t="str">
        <f t="shared" si="55"/>
        <v>تن</v>
      </c>
      <c r="ER16" s="71">
        <f>IFERROR(2*ER13,"")</f>
        <v>0</v>
      </c>
      <c r="ES16" s="77"/>
      <c r="ET16" s="71">
        <f>IFERROR(2*ET13,"")</f>
        <v>0</v>
      </c>
      <c r="EU16" s="78"/>
      <c r="EV16" s="71">
        <f>IFERROR(2*EV13,"")</f>
        <v>16</v>
      </c>
      <c r="EW16" s="42" t="str">
        <f t="shared" si="138"/>
        <v/>
      </c>
      <c r="EX16" s="73">
        <v>8</v>
      </c>
      <c r="EY16" s="74" t="str">
        <f>IFERROR(EX16*100/EU16,"")</f>
        <v/>
      </c>
      <c r="EZ16" s="75">
        <f t="shared" si="117"/>
        <v>16</v>
      </c>
      <c r="FA16" s="74">
        <f t="shared" si="73"/>
        <v>8</v>
      </c>
      <c r="FB16" s="76" t="str">
        <f t="shared" si="118"/>
        <v/>
      </c>
      <c r="FC16" s="74" t="str">
        <f>IFERROR((EX16-ES16)*100/ES16,"")</f>
        <v/>
      </c>
      <c r="FD16" s="45"/>
      <c r="FE16" s="25"/>
      <c r="FF16" s="69" t="str">
        <f t="shared" si="59"/>
        <v>باربری</v>
      </c>
      <c r="FG16" s="70" t="str">
        <f t="shared" si="60"/>
        <v>تن</v>
      </c>
      <c r="FH16" s="71">
        <f>IFERROR(2*FH13,"")</f>
        <v>0</v>
      </c>
      <c r="FI16" s="77"/>
      <c r="FJ16" s="71">
        <f>IFERROR(2*FJ13,"")</f>
        <v>0</v>
      </c>
      <c r="FK16" s="78"/>
      <c r="FL16" s="71">
        <f>IFERROR(2*FL13,"")</f>
        <v>1906</v>
      </c>
      <c r="FM16" s="42" t="str">
        <f t="shared" si="140"/>
        <v/>
      </c>
      <c r="FN16" s="73">
        <v>1026</v>
      </c>
      <c r="FO16" s="74" t="str">
        <f>IFERROR(FN16*100/FK16,"")</f>
        <v/>
      </c>
      <c r="FP16" s="75">
        <f t="shared" si="119"/>
        <v>1906</v>
      </c>
      <c r="FQ16" s="74">
        <f t="shared" si="74"/>
        <v>1026</v>
      </c>
      <c r="FR16" s="76" t="str">
        <f t="shared" si="120"/>
        <v/>
      </c>
      <c r="FS16" s="74" t="str">
        <f>IFERROR((FN16-FI16)*100/FI16,"")</f>
        <v/>
      </c>
      <c r="FT16" s="45"/>
    </row>
    <row r="17" spans="1:176" ht="30" customHeight="1" x14ac:dyDescent="0.6">
      <c r="A17" s="25"/>
      <c r="B17" s="69" t="s">
        <v>20</v>
      </c>
      <c r="C17" s="70" t="s">
        <v>15</v>
      </c>
      <c r="D17" s="82">
        <f t="shared" si="142"/>
        <v>18</v>
      </c>
      <c r="E17" s="83">
        <f t="shared" si="142"/>
        <v>0</v>
      </c>
      <c r="F17" s="82">
        <f t="shared" si="142"/>
        <v>26.040173755656109</v>
      </c>
      <c r="G17" s="83">
        <f t="shared" si="142"/>
        <v>0</v>
      </c>
      <c r="H17" s="122">
        <f t="shared" si="142"/>
        <v>0</v>
      </c>
      <c r="I17" s="52">
        <f t="shared" si="99"/>
        <v>0</v>
      </c>
      <c r="J17" s="73">
        <f t="shared" si="142"/>
        <v>0</v>
      </c>
      <c r="K17" s="74" t="str">
        <f t="shared" ref="K17:K19" si="143">IFERROR(J17*100/G17,"")</f>
        <v/>
      </c>
      <c r="L17" s="75">
        <f t="shared" si="121"/>
        <v>-18</v>
      </c>
      <c r="M17" s="74">
        <f t="shared" ref="M17:M20" si="144">IFERROR(J17-E17,"")</f>
        <v>0</v>
      </c>
      <c r="N17" s="76">
        <f t="shared" si="100"/>
        <v>-100</v>
      </c>
      <c r="O17" s="74" t="str">
        <f t="shared" ref="O17:O19" si="145">IFERROR((J17-E17)*100/E17,"")</f>
        <v/>
      </c>
      <c r="P17" s="38">
        <v>1</v>
      </c>
      <c r="Q17" s="25"/>
      <c r="R17" s="69" t="str">
        <f t="shared" si="13"/>
        <v>حمل یکسره</v>
      </c>
      <c r="S17" s="70" t="str">
        <f t="shared" si="14"/>
        <v>تن</v>
      </c>
      <c r="T17" s="71">
        <f>SUMIFS([1]صادرات!$C$42:$C$51,[1]صادرات!$AA$42:$AA$51,AF2)</f>
        <v>18</v>
      </c>
      <c r="U17" s="77"/>
      <c r="V17" s="71">
        <f>SUMIFS([1]صادرات!$G$42:$G$51,[1]صادرات!$AA$42:$AA$51,AF2)</f>
        <v>26.040173755656109</v>
      </c>
      <c r="W17" s="78"/>
      <c r="X17" s="71">
        <f>SUMIFS([1]صادرات!$K$42:$K$51,[1]صادرات!$AA$42:$AA$51,AF2)</f>
        <v>0</v>
      </c>
      <c r="Y17" s="85">
        <f>IFERROR(X17*100/V17,"")</f>
        <v>0</v>
      </c>
      <c r="Z17" s="73"/>
      <c r="AA17" s="74" t="str">
        <f t="shared" ref="AA17:AA19" si="146">IFERROR(Z17*100/W17,"")</f>
        <v/>
      </c>
      <c r="AB17" s="79">
        <f t="shared" si="101"/>
        <v>-18</v>
      </c>
      <c r="AC17" s="74">
        <f t="shared" si="65"/>
        <v>0</v>
      </c>
      <c r="AD17" s="76">
        <f t="shared" si="102"/>
        <v>-100</v>
      </c>
      <c r="AE17" s="74" t="str">
        <f t="shared" ref="AE17:AE19" si="147">IFERROR((Z17-U17)*100/U17,"")</f>
        <v/>
      </c>
      <c r="AF17" s="45"/>
      <c r="AG17" s="25"/>
      <c r="AH17" s="69" t="str">
        <f t="shared" si="18"/>
        <v>حمل یکسره</v>
      </c>
      <c r="AI17" s="70" t="str">
        <f t="shared" si="19"/>
        <v>تن</v>
      </c>
      <c r="AJ17" s="71">
        <f>SUMIFS([1]صادرات!$C$42:$C$51,[1]صادرات!$AA$42:$AA$51,AV2)</f>
        <v>0</v>
      </c>
      <c r="AK17" s="77"/>
      <c r="AL17" s="71">
        <f>SUMIFS([1]صادرات!$G$42:$G$51,[1]صادرات!$AA$42:$AA$51,AV2)</f>
        <v>0</v>
      </c>
      <c r="AM17" s="78"/>
      <c r="AN17" s="71">
        <f>SUMIFS([1]صادرات!$K$42:$K$51,[1]صادرات!$AA$42:$AA$51,AV2)</f>
        <v>0</v>
      </c>
      <c r="AO17" s="85" t="str">
        <f>IFERROR(AN17*100/AL17,"")</f>
        <v/>
      </c>
      <c r="AP17" s="73"/>
      <c r="AQ17" s="74" t="str">
        <f t="shared" ref="AQ17:AQ19" si="148">IFERROR(AP17*100/AM17,"")</f>
        <v/>
      </c>
      <c r="AR17" s="75">
        <f t="shared" si="103"/>
        <v>0</v>
      </c>
      <c r="AS17" s="74">
        <f t="shared" si="66"/>
        <v>0</v>
      </c>
      <c r="AT17" s="76" t="str">
        <f t="shared" si="104"/>
        <v/>
      </c>
      <c r="AU17" s="74" t="str">
        <f t="shared" ref="AU17:AU19" si="149">IFERROR((AP17-AK17)*100/AK17,"")</f>
        <v/>
      </c>
      <c r="AV17" s="45"/>
      <c r="AW17" s="25"/>
      <c r="AX17" s="69" t="str">
        <f t="shared" si="23"/>
        <v>حمل یکسره</v>
      </c>
      <c r="AY17" s="70" t="str">
        <f t="shared" si="24"/>
        <v>تن</v>
      </c>
      <c r="AZ17" s="71">
        <f>SUMIFS([1]صادرات!$C$42:$C$51,[1]صادرات!$AA$42:$AA$51,BL2)</f>
        <v>0</v>
      </c>
      <c r="BA17" s="77"/>
      <c r="BB17" s="71">
        <f>SUMIFS([1]صادرات!$G$42:$G$51,[1]صادرات!$AA$42:$AA$51,BL2)</f>
        <v>0</v>
      </c>
      <c r="BC17" s="78"/>
      <c r="BD17" s="71">
        <f>SUMIFS([1]صادرات!$K$42:$K$51,[1]صادرات!$AA$42:$AA$51,BL2)</f>
        <v>0</v>
      </c>
      <c r="BE17" s="85" t="str">
        <f>IFERROR(BD17*100/BB17,"")</f>
        <v/>
      </c>
      <c r="BF17" s="73"/>
      <c r="BG17" s="74" t="str">
        <f t="shared" ref="BG17:BG19" si="150">IFERROR(BF17*100/BC17,"")</f>
        <v/>
      </c>
      <c r="BH17" s="75">
        <f t="shared" si="105"/>
        <v>0</v>
      </c>
      <c r="BI17" s="74">
        <f t="shared" si="67"/>
        <v>0</v>
      </c>
      <c r="BJ17" s="76" t="str">
        <f t="shared" si="106"/>
        <v/>
      </c>
      <c r="BK17" s="74" t="str">
        <f t="shared" ref="BK17:BK19" si="151">IFERROR((BF17-BA17)*100/BA17,"")</f>
        <v/>
      </c>
      <c r="BL17" s="45"/>
      <c r="BM17" s="25"/>
      <c r="BN17" s="69" t="str">
        <f t="shared" si="29"/>
        <v>حمل یکسره</v>
      </c>
      <c r="BO17" s="70" t="str">
        <f t="shared" si="30"/>
        <v>تن</v>
      </c>
      <c r="BP17" s="71">
        <f>SUMIFS([1]صادرات!$C$42:$C$51,[1]صادرات!$AA$42:$AA$51,CB2)</f>
        <v>0</v>
      </c>
      <c r="BQ17" s="77"/>
      <c r="BR17" s="71">
        <f>SUMIFS([1]صادرات!$G$42:$G$51,[1]صادرات!$AA$42:$AA$51,CB2)</f>
        <v>0</v>
      </c>
      <c r="BS17" s="78"/>
      <c r="BT17" s="71">
        <f>SUMIFS([1]صادرات!$K$42:$K$51,[1]صادرات!$AA$42:$AA$51,CB2)</f>
        <v>0</v>
      </c>
      <c r="BU17" s="85" t="str">
        <f>IFERROR(BT17*100/BR17,"")</f>
        <v/>
      </c>
      <c r="BV17" s="73"/>
      <c r="BW17" s="74" t="str">
        <f t="shared" ref="BW17:BW19" si="152">IFERROR(BV17*100/BS17,"")</f>
        <v/>
      </c>
      <c r="BX17" s="75">
        <f t="shared" si="107"/>
        <v>0</v>
      </c>
      <c r="BY17" s="74">
        <f t="shared" si="68"/>
        <v>0</v>
      </c>
      <c r="BZ17" s="76" t="str">
        <f t="shared" si="108"/>
        <v/>
      </c>
      <c r="CA17" s="74" t="str">
        <f t="shared" ref="CA17:CA19" si="153">IFERROR((BV17-BQ17)*100/BQ17,"")</f>
        <v/>
      </c>
      <c r="CB17" s="45"/>
      <c r="CC17" s="25"/>
      <c r="CD17" s="69" t="str">
        <f t="shared" si="34"/>
        <v>حمل یکسره</v>
      </c>
      <c r="CE17" s="70" t="str">
        <f t="shared" si="35"/>
        <v>تن</v>
      </c>
      <c r="CF17" s="71">
        <f>SUMIFS([1]صادرات!$C$42:$C$51,[1]صادرات!$AA$42:$AA$51,CR2)</f>
        <v>0</v>
      </c>
      <c r="CG17" s="77"/>
      <c r="CH17" s="71">
        <f>SUMIFS([1]صادرات!$G$42:$G$51,[1]صادرات!$AA$42:$AA$51,CR2)</f>
        <v>0</v>
      </c>
      <c r="CI17" s="78"/>
      <c r="CJ17" s="71">
        <f>SUMIFS([1]صادرات!$K$42:$K$51,[1]صادرات!$AA$42:$AA$51,CR2)</f>
        <v>0</v>
      </c>
      <c r="CK17" s="85" t="str">
        <f>IFERROR(CJ17*100/CH17,"")</f>
        <v/>
      </c>
      <c r="CL17" s="73"/>
      <c r="CM17" s="74" t="str">
        <f t="shared" ref="CM17:CM19" si="154">IFERROR(CL17*100/CI17,"")</f>
        <v/>
      </c>
      <c r="CN17" s="75">
        <f t="shared" si="109"/>
        <v>0</v>
      </c>
      <c r="CO17" s="74">
        <f t="shared" si="69"/>
        <v>0</v>
      </c>
      <c r="CP17" s="76" t="str">
        <f t="shared" si="110"/>
        <v/>
      </c>
      <c r="CQ17" s="74" t="str">
        <f t="shared" ref="CQ17:CQ19" si="155">IFERROR((CL17-CG17)*100/CG17,"")</f>
        <v/>
      </c>
      <c r="CR17" s="45"/>
      <c r="CS17" s="25"/>
      <c r="CT17" s="69" t="str">
        <f t="shared" si="39"/>
        <v>حمل یکسره</v>
      </c>
      <c r="CU17" s="70" t="str">
        <f t="shared" si="40"/>
        <v>تن</v>
      </c>
      <c r="CV17" s="71">
        <f>SUMIFS([1]صادرات!$C$42:$C$51,[1]صادرات!$AA$42:$AA$51,DH2)</f>
        <v>0</v>
      </c>
      <c r="CW17" s="77"/>
      <c r="CX17" s="71">
        <f>SUMIFS([1]صادرات!$G$42:$G$51,[1]صادرات!$AA$42:$AA$51,DH2)</f>
        <v>0</v>
      </c>
      <c r="CY17" s="78"/>
      <c r="CZ17" s="71">
        <f>SUMIFS([1]صادرات!$K$42:$K$51,[1]صادرات!$AA$42:$AA$51,DH2)</f>
        <v>0</v>
      </c>
      <c r="DA17" s="85" t="str">
        <f>IFERROR(CZ17*100/CX17,"")</f>
        <v/>
      </c>
      <c r="DB17" s="73"/>
      <c r="DC17" s="74" t="str">
        <f t="shared" ref="DC17:DC19" si="156">IFERROR(DB17*100/CY17,"")</f>
        <v/>
      </c>
      <c r="DD17" s="75">
        <f t="shared" si="111"/>
        <v>0</v>
      </c>
      <c r="DE17" s="74">
        <f t="shared" si="70"/>
        <v>0</v>
      </c>
      <c r="DF17" s="76" t="str">
        <f t="shared" si="112"/>
        <v/>
      </c>
      <c r="DG17" s="74" t="str">
        <f t="shared" ref="DG17:DG19" si="157">IFERROR((DB17-CW17)*100/CW17,"")</f>
        <v/>
      </c>
      <c r="DH17" s="45"/>
      <c r="DI17" s="25"/>
      <c r="DJ17" s="69" t="str">
        <f t="shared" si="44"/>
        <v>حمل یکسره</v>
      </c>
      <c r="DK17" s="70" t="str">
        <f t="shared" si="45"/>
        <v>تن</v>
      </c>
      <c r="DL17" s="71">
        <f>SUMIFS([1]صادرات!$C$42:$C$51,[1]صادرات!$AA$42:$AA$51,DX2)</f>
        <v>0</v>
      </c>
      <c r="DM17" s="77"/>
      <c r="DN17" s="71">
        <f>SUMIFS([1]صادرات!$G$42:$G$51,[1]صادرات!$AA$42:$AA$51,DX2)</f>
        <v>0</v>
      </c>
      <c r="DO17" s="78"/>
      <c r="DP17" s="71">
        <f>SUMIFS([1]صادرات!$K$42:$K$51,[1]صادرات!$AA$42:$AA$51,DX2)</f>
        <v>0</v>
      </c>
      <c r="DQ17" s="85" t="str">
        <f>IFERROR(DP17*100/DN17,"")</f>
        <v/>
      </c>
      <c r="DR17" s="73"/>
      <c r="DS17" s="74" t="str">
        <f t="shared" ref="DS17:DS19" si="158">IFERROR(DR17*100/DO17,"")</f>
        <v/>
      </c>
      <c r="DT17" s="75">
        <f t="shared" si="113"/>
        <v>0</v>
      </c>
      <c r="DU17" s="74">
        <f t="shared" si="71"/>
        <v>0</v>
      </c>
      <c r="DV17" s="76" t="str">
        <f t="shared" si="114"/>
        <v/>
      </c>
      <c r="DW17" s="74" t="str">
        <f t="shared" ref="DW17:DW19" si="159">IFERROR((DR17-DM17)*100/DM17,"")</f>
        <v/>
      </c>
      <c r="DX17" s="45"/>
      <c r="DY17" s="25"/>
      <c r="DZ17" s="69" t="str">
        <f t="shared" si="49"/>
        <v>حمل یکسره</v>
      </c>
      <c r="EA17" s="70" t="str">
        <f t="shared" si="50"/>
        <v>تن</v>
      </c>
      <c r="EB17" s="71">
        <f>SUMIFS([1]صادرات!$C$42:$C$51,[1]صادرات!$AA$42:$AA$51,EN2)</f>
        <v>0</v>
      </c>
      <c r="EC17" s="77"/>
      <c r="ED17" s="71">
        <f>SUMIFS([1]صادرات!$G$42:$G$51,[1]صادرات!$AA$42:$AA$51,EN2)</f>
        <v>0</v>
      </c>
      <c r="EE17" s="78"/>
      <c r="EF17" s="71">
        <f>SUMIFS([1]صادرات!$K$42:$K$51,[1]صادرات!$AA$42:$AA$51,EN2)</f>
        <v>0</v>
      </c>
      <c r="EG17" s="85" t="str">
        <f>IFERROR(EF17*100/ED17,"")</f>
        <v/>
      </c>
      <c r="EH17" s="73"/>
      <c r="EI17" s="74" t="str">
        <f t="shared" ref="EI17:EI19" si="160">IFERROR(EH17*100/EE17,"")</f>
        <v/>
      </c>
      <c r="EJ17" s="75">
        <f t="shared" si="115"/>
        <v>0</v>
      </c>
      <c r="EK17" s="74">
        <f t="shared" si="72"/>
        <v>0</v>
      </c>
      <c r="EL17" s="76" t="str">
        <f t="shared" si="116"/>
        <v/>
      </c>
      <c r="EM17" s="74" t="str">
        <f t="shared" ref="EM17:EM19" si="161">IFERROR((EH17-EC17)*100/EC17,"")</f>
        <v/>
      </c>
      <c r="EN17" s="45"/>
      <c r="EO17" s="25"/>
      <c r="EP17" s="69" t="str">
        <f t="shared" si="54"/>
        <v>حمل یکسره</v>
      </c>
      <c r="EQ17" s="70" t="str">
        <f t="shared" si="55"/>
        <v>تن</v>
      </c>
      <c r="ER17" s="71">
        <f>SUMIFS([1]صادرات!$C$42:$C$51,[1]صادرات!$AA$42:$AA$51,FD2)</f>
        <v>0</v>
      </c>
      <c r="ES17" s="77"/>
      <c r="ET17" s="71">
        <f>SUMIFS([1]صادرات!$G$42:$G$51,[1]صادرات!$AA$42:$AA$51,FD2)</f>
        <v>0</v>
      </c>
      <c r="EU17" s="78"/>
      <c r="EV17" s="71">
        <f>SUMIFS([1]صادرات!$K$42:$K$51,[1]صادرات!$AA$42:$AA$51,FD2)</f>
        <v>0</v>
      </c>
      <c r="EW17" s="85" t="str">
        <f>IFERROR(EV17*100/ET17,"")</f>
        <v/>
      </c>
      <c r="EX17" s="73"/>
      <c r="EY17" s="74" t="str">
        <f t="shared" ref="EY17:EY19" si="162">IFERROR(EX17*100/EU17,"")</f>
        <v/>
      </c>
      <c r="EZ17" s="75">
        <f t="shared" si="117"/>
        <v>0</v>
      </c>
      <c r="FA17" s="74">
        <f t="shared" si="73"/>
        <v>0</v>
      </c>
      <c r="FB17" s="76" t="str">
        <f t="shared" si="118"/>
        <v/>
      </c>
      <c r="FC17" s="74" t="str">
        <f t="shared" ref="FC17:FC19" si="163">IFERROR((EX17-ES17)*100/ES17,"")</f>
        <v/>
      </c>
      <c r="FD17" s="45"/>
      <c r="FE17" s="25"/>
      <c r="FF17" s="69" t="str">
        <f t="shared" si="59"/>
        <v>حمل یکسره</v>
      </c>
      <c r="FG17" s="70" t="str">
        <f t="shared" si="60"/>
        <v>تن</v>
      </c>
      <c r="FH17" s="71">
        <f>SUMIFS([1]صادرات!$C$42:$C$51,[1]صادرات!$AA$42:$AA$51,FT2)</f>
        <v>0</v>
      </c>
      <c r="FI17" s="77"/>
      <c r="FJ17" s="71">
        <f>SUMIFS([1]صادرات!$G$42:$G$51,[1]صادرات!$AA$42:$AA$51,FT2)</f>
        <v>0</v>
      </c>
      <c r="FK17" s="78"/>
      <c r="FL17" s="71">
        <f>SUMIFS([1]صادرات!$K$42:$K$51,[1]صادرات!$AA$42:$AA$51,FT2)</f>
        <v>0</v>
      </c>
      <c r="FM17" s="85" t="str">
        <f>IFERROR(FL17*100/FJ17,"")</f>
        <v/>
      </c>
      <c r="FN17" s="73"/>
      <c r="FO17" s="74" t="str">
        <f t="shared" ref="FO17:FO19" si="164">IFERROR(FN17*100/FK17,"")</f>
        <v/>
      </c>
      <c r="FP17" s="75">
        <f t="shared" si="119"/>
        <v>0</v>
      </c>
      <c r="FQ17" s="74">
        <f t="shared" si="74"/>
        <v>0</v>
      </c>
      <c r="FR17" s="76" t="str">
        <f t="shared" si="120"/>
        <v/>
      </c>
      <c r="FS17" s="74" t="str">
        <f t="shared" ref="FS17:FS19" si="165">IFERROR((FN17-FI17)*100/FI17,"")</f>
        <v/>
      </c>
      <c r="FT17" s="45"/>
    </row>
    <row r="18" spans="1:176" ht="30" customHeight="1" x14ac:dyDescent="0.6">
      <c r="A18" s="25"/>
      <c r="B18" s="69" t="s">
        <v>21</v>
      </c>
      <c r="C18" s="70" t="s">
        <v>15</v>
      </c>
      <c r="D18" s="86">
        <f t="shared" si="142"/>
        <v>378750</v>
      </c>
      <c r="E18" s="87">
        <f t="shared" si="142"/>
        <v>5622</v>
      </c>
      <c r="F18" s="86">
        <f t="shared" si="142"/>
        <v>513151.19436328375</v>
      </c>
      <c r="G18" s="87">
        <f t="shared" si="142"/>
        <v>8953</v>
      </c>
      <c r="H18" s="86">
        <f t="shared" si="142"/>
        <v>467553</v>
      </c>
      <c r="I18" s="52">
        <f t="shared" si="99"/>
        <v>91.114081996854395</v>
      </c>
      <c r="J18" s="73">
        <f t="shared" si="142"/>
        <v>949122</v>
      </c>
      <c r="K18" s="74">
        <f t="shared" si="143"/>
        <v>10601.161621802748</v>
      </c>
      <c r="L18" s="75">
        <f t="shared" si="121"/>
        <v>88803</v>
      </c>
      <c r="M18" s="74">
        <f t="shared" si="144"/>
        <v>943500</v>
      </c>
      <c r="N18" s="76">
        <f t="shared" si="100"/>
        <v>23.446336633663368</v>
      </c>
      <c r="O18" s="74">
        <f t="shared" si="145"/>
        <v>16782.283884738528</v>
      </c>
      <c r="P18" s="38">
        <v>1</v>
      </c>
      <c r="Q18" s="25"/>
      <c r="R18" s="69" t="str">
        <f t="shared" si="13"/>
        <v>ترانشیپ</v>
      </c>
      <c r="S18" s="70" t="str">
        <f t="shared" si="14"/>
        <v>تن</v>
      </c>
      <c r="T18" s="71">
        <f>SUMIFS([1]صادرات!$E$42:$E$51,[1]صادرات!$AA$42:$AA$51,AF2)</f>
        <v>0</v>
      </c>
      <c r="U18" s="77"/>
      <c r="V18" s="71">
        <f>SUMIFS([1]صادرات!$I$42:$I$51,[1]صادرات!$AA$42:$AA$51,AF2)</f>
        <v>0</v>
      </c>
      <c r="W18" s="78"/>
      <c r="X18" s="71">
        <f>SUMIFS([1]صادرات!$M$42:$M$51,[1]صادرات!$AA$42:$AA$51,AF2)</f>
        <v>0</v>
      </c>
      <c r="Y18" s="85" t="str">
        <f t="shared" si="122"/>
        <v/>
      </c>
      <c r="Z18" s="73"/>
      <c r="AA18" s="74" t="str">
        <f t="shared" si="146"/>
        <v/>
      </c>
      <c r="AB18" s="75">
        <f t="shared" si="101"/>
        <v>0</v>
      </c>
      <c r="AC18" s="74">
        <f t="shared" si="65"/>
        <v>0</v>
      </c>
      <c r="AD18" s="76" t="str">
        <f t="shared" si="102"/>
        <v/>
      </c>
      <c r="AE18" s="74" t="str">
        <f t="shared" si="147"/>
        <v/>
      </c>
      <c r="AF18" s="45"/>
      <c r="AG18" s="25"/>
      <c r="AH18" s="69" t="str">
        <f t="shared" si="18"/>
        <v>ترانشیپ</v>
      </c>
      <c r="AI18" s="70" t="str">
        <f t="shared" si="19"/>
        <v>تن</v>
      </c>
      <c r="AJ18" s="71">
        <f>SUMIFS([1]صادرات!$E$42:$E$51,[1]صادرات!$AA$42:$AA$51,AV2)</f>
        <v>351651</v>
      </c>
      <c r="AK18" s="77">
        <v>4847</v>
      </c>
      <c r="AL18" s="71">
        <f>SUMIFS([1]صادرات!$I$42:$I$51,[1]صادرات!$AA$42:$AA$51,AV2)</f>
        <v>481483.01708012598</v>
      </c>
      <c r="AM18" s="78">
        <v>8269</v>
      </c>
      <c r="AN18" s="71">
        <f>SUMIFS([1]صادرات!$M$42:$M$51,[1]صادرات!$AA$42:$AA$51,AV2)</f>
        <v>433194</v>
      </c>
      <c r="AO18" s="85">
        <f t="shared" ref="AO18" si="166">IFERROR(AN18*100/AL18,"")</f>
        <v>89.970774592847178</v>
      </c>
      <c r="AP18" s="73">
        <v>931556</v>
      </c>
      <c r="AQ18" s="74">
        <f t="shared" si="148"/>
        <v>11265.642762123594</v>
      </c>
      <c r="AR18" s="81">
        <f t="shared" si="103"/>
        <v>81543</v>
      </c>
      <c r="AS18" s="74">
        <f t="shared" si="66"/>
        <v>926709</v>
      </c>
      <c r="AT18" s="76">
        <f t="shared" si="104"/>
        <v>23.188615985735858</v>
      </c>
      <c r="AU18" s="74">
        <f t="shared" si="149"/>
        <v>19119.228388694039</v>
      </c>
      <c r="AV18" s="45"/>
      <c r="AW18" s="25"/>
      <c r="AX18" s="69" t="str">
        <f t="shared" si="23"/>
        <v>ترانشیپ</v>
      </c>
      <c r="AY18" s="70" t="str">
        <f t="shared" si="24"/>
        <v>تن</v>
      </c>
      <c r="AZ18" s="71">
        <f>SUMIFS([1]صادرات!$E$42:$E$51,[1]صادرات!$AA$42:$AA$51,BL2)</f>
        <v>27099</v>
      </c>
      <c r="BA18" s="77">
        <v>775</v>
      </c>
      <c r="BB18" s="71">
        <f>SUMIFS([1]صادرات!$I$42:$I$51,[1]صادرات!$AA$42:$AA$51,BL2)</f>
        <v>31668.177283157791</v>
      </c>
      <c r="BC18" s="78">
        <v>684</v>
      </c>
      <c r="BD18" s="71">
        <f>SUMIFS([1]صادرات!$M$42:$M$51,[1]صادرات!$AA$42:$AA$51,BL2)</f>
        <v>34359</v>
      </c>
      <c r="BE18" s="85">
        <f t="shared" ref="BE18" si="167">IFERROR(BD18*100/BB18,"")</f>
        <v>108.49692956049378</v>
      </c>
      <c r="BF18" s="73">
        <v>17566</v>
      </c>
      <c r="BG18" s="74">
        <f t="shared" si="150"/>
        <v>2568.1286549707602</v>
      </c>
      <c r="BH18" s="81">
        <f t="shared" si="105"/>
        <v>7260</v>
      </c>
      <c r="BI18" s="74">
        <f t="shared" si="67"/>
        <v>16791</v>
      </c>
      <c r="BJ18" s="76">
        <f t="shared" si="106"/>
        <v>26.790656481788997</v>
      </c>
      <c r="BK18" s="74">
        <f t="shared" si="151"/>
        <v>2166.5806451612902</v>
      </c>
      <c r="BL18" s="45"/>
      <c r="BM18" s="25"/>
      <c r="BN18" s="69" t="str">
        <f t="shared" si="29"/>
        <v>ترانشیپ</v>
      </c>
      <c r="BO18" s="70" t="str">
        <f t="shared" si="30"/>
        <v>تن</v>
      </c>
      <c r="BP18" s="71">
        <f>SUMIFS([1]صادرات!$E$42:$E$51,[1]صادرات!$AA$42:$AA$51,CB2)</f>
        <v>0</v>
      </c>
      <c r="BQ18" s="77"/>
      <c r="BR18" s="71">
        <f>SUMIFS([1]صادرات!$I$42:$I$51,[1]صادرات!$AA$42:$AA$51,CB2)</f>
        <v>0</v>
      </c>
      <c r="BS18" s="78"/>
      <c r="BT18" s="71">
        <f>SUMIFS([1]صادرات!$M$42:$M$51,[1]صادرات!$AA$42:$AA$51,CB2)</f>
        <v>0</v>
      </c>
      <c r="BU18" s="85" t="str">
        <f t="shared" ref="BU18" si="168">IFERROR(BT18*100/BR18,"")</f>
        <v/>
      </c>
      <c r="BV18" s="73"/>
      <c r="BW18" s="74" t="str">
        <f t="shared" si="152"/>
        <v/>
      </c>
      <c r="BX18" s="75">
        <f t="shared" si="107"/>
        <v>0</v>
      </c>
      <c r="BY18" s="74">
        <f t="shared" si="68"/>
        <v>0</v>
      </c>
      <c r="BZ18" s="76" t="str">
        <f t="shared" si="108"/>
        <v/>
      </c>
      <c r="CA18" s="74" t="str">
        <f t="shared" si="153"/>
        <v/>
      </c>
      <c r="CB18" s="45"/>
      <c r="CC18" s="25"/>
      <c r="CD18" s="69" t="str">
        <f t="shared" si="34"/>
        <v>ترانشیپ</v>
      </c>
      <c r="CE18" s="70" t="str">
        <f t="shared" si="35"/>
        <v>تن</v>
      </c>
      <c r="CF18" s="71">
        <f>SUMIFS([1]صادرات!$E$42:$E$51,[1]صادرات!$AA$42:$AA$51,CR2)</f>
        <v>0</v>
      </c>
      <c r="CG18" s="77"/>
      <c r="CH18" s="71">
        <f>SUMIFS([1]صادرات!$I$42:$I$51,[1]صادرات!$AA$42:$AA$51,CR2)</f>
        <v>0</v>
      </c>
      <c r="CI18" s="78"/>
      <c r="CJ18" s="71">
        <f>SUMIFS([1]صادرات!$M$42:$M$51,[1]صادرات!$AA$42:$AA$51,CR2)</f>
        <v>0</v>
      </c>
      <c r="CK18" s="85" t="str">
        <f t="shared" ref="CK18" si="169">IFERROR(CJ18*100/CH18,"")</f>
        <v/>
      </c>
      <c r="CL18" s="73"/>
      <c r="CM18" s="74" t="str">
        <f t="shared" si="154"/>
        <v/>
      </c>
      <c r="CN18" s="75">
        <f t="shared" si="109"/>
        <v>0</v>
      </c>
      <c r="CO18" s="74">
        <f t="shared" si="69"/>
        <v>0</v>
      </c>
      <c r="CP18" s="76" t="str">
        <f t="shared" si="110"/>
        <v/>
      </c>
      <c r="CQ18" s="74" t="str">
        <f t="shared" si="155"/>
        <v/>
      </c>
      <c r="CR18" s="45"/>
      <c r="CS18" s="25"/>
      <c r="CT18" s="69" t="str">
        <f t="shared" si="39"/>
        <v>ترانشیپ</v>
      </c>
      <c r="CU18" s="70" t="str">
        <f t="shared" si="40"/>
        <v>تن</v>
      </c>
      <c r="CV18" s="71">
        <f>SUMIFS([1]صادرات!$E$42:$E$51,[1]صادرات!$AA$42:$AA$51,DH2)</f>
        <v>0</v>
      </c>
      <c r="CW18" s="77"/>
      <c r="CX18" s="71">
        <f>SUMIFS([1]صادرات!$I$42:$I$51,[1]صادرات!$AA$42:$AA$51,DH2)</f>
        <v>0</v>
      </c>
      <c r="CY18" s="78"/>
      <c r="CZ18" s="71">
        <f>SUMIFS([1]صادرات!$M$42:$M$51,[1]صادرات!$AA$42:$AA$51,DH2)</f>
        <v>0</v>
      </c>
      <c r="DA18" s="85" t="str">
        <f t="shared" ref="DA18" si="170">IFERROR(CZ18*100/CX18,"")</f>
        <v/>
      </c>
      <c r="DB18" s="73"/>
      <c r="DC18" s="74" t="str">
        <f t="shared" si="156"/>
        <v/>
      </c>
      <c r="DD18" s="75">
        <f t="shared" si="111"/>
        <v>0</v>
      </c>
      <c r="DE18" s="74">
        <f t="shared" si="70"/>
        <v>0</v>
      </c>
      <c r="DF18" s="76" t="str">
        <f t="shared" si="112"/>
        <v/>
      </c>
      <c r="DG18" s="74" t="str">
        <f t="shared" si="157"/>
        <v/>
      </c>
      <c r="DH18" s="45"/>
      <c r="DI18" s="25"/>
      <c r="DJ18" s="69" t="str">
        <f t="shared" si="44"/>
        <v>ترانشیپ</v>
      </c>
      <c r="DK18" s="70" t="str">
        <f t="shared" si="45"/>
        <v>تن</v>
      </c>
      <c r="DL18" s="71">
        <f>SUMIFS([1]صادرات!$E$42:$E$51,[1]صادرات!$AA$42:$AA$51,DX2)</f>
        <v>0</v>
      </c>
      <c r="DM18" s="77"/>
      <c r="DN18" s="71">
        <f>SUMIFS([1]صادرات!$I$42:$I$51,[1]صادرات!$AA$42:$AA$51,DX2)</f>
        <v>0</v>
      </c>
      <c r="DO18" s="78"/>
      <c r="DP18" s="71">
        <f>SUMIFS([1]صادرات!$M$42:$M$51,[1]صادرات!$AA$42:$AA$51,DX2)</f>
        <v>0</v>
      </c>
      <c r="DQ18" s="85" t="str">
        <f t="shared" ref="DQ18" si="171">IFERROR(DP18*100/DN18,"")</f>
        <v/>
      </c>
      <c r="DR18" s="73"/>
      <c r="DS18" s="74" t="str">
        <f t="shared" si="158"/>
        <v/>
      </c>
      <c r="DT18" s="75">
        <f t="shared" si="113"/>
        <v>0</v>
      </c>
      <c r="DU18" s="74">
        <f t="shared" si="71"/>
        <v>0</v>
      </c>
      <c r="DV18" s="76" t="str">
        <f t="shared" si="114"/>
        <v/>
      </c>
      <c r="DW18" s="74" t="str">
        <f t="shared" si="159"/>
        <v/>
      </c>
      <c r="DX18" s="45"/>
      <c r="DY18" s="25"/>
      <c r="DZ18" s="69" t="str">
        <f t="shared" si="49"/>
        <v>ترانشیپ</v>
      </c>
      <c r="EA18" s="70" t="str">
        <f t="shared" si="50"/>
        <v>تن</v>
      </c>
      <c r="EB18" s="71">
        <f>SUMIFS([1]صادرات!$E$42:$E$51,[1]صادرات!$AA$42:$AA$51,EN2)</f>
        <v>0</v>
      </c>
      <c r="EC18" s="77"/>
      <c r="ED18" s="71">
        <f>SUMIFS([1]صادرات!$I$42:$I$51,[1]صادرات!$AA$42:$AA$51,EN2)</f>
        <v>0</v>
      </c>
      <c r="EE18" s="78"/>
      <c r="EF18" s="71">
        <f>SUMIFS([1]صادرات!$M$42:$M$51,[1]صادرات!$AA$42:$AA$51,EN2)</f>
        <v>0</v>
      </c>
      <c r="EG18" s="85" t="str">
        <f t="shared" ref="EG18" si="172">IFERROR(EF18*100/ED18,"")</f>
        <v/>
      </c>
      <c r="EH18" s="73"/>
      <c r="EI18" s="74" t="str">
        <f t="shared" si="160"/>
        <v/>
      </c>
      <c r="EJ18" s="75">
        <f t="shared" si="115"/>
        <v>0</v>
      </c>
      <c r="EK18" s="74">
        <f t="shared" si="72"/>
        <v>0</v>
      </c>
      <c r="EL18" s="76" t="str">
        <f t="shared" si="116"/>
        <v/>
      </c>
      <c r="EM18" s="74" t="str">
        <f t="shared" si="161"/>
        <v/>
      </c>
      <c r="EN18" s="45"/>
      <c r="EO18" s="25"/>
      <c r="EP18" s="69" t="str">
        <f t="shared" si="54"/>
        <v>ترانشیپ</v>
      </c>
      <c r="EQ18" s="70" t="str">
        <f t="shared" si="55"/>
        <v>تن</v>
      </c>
      <c r="ER18" s="71">
        <f>SUMIFS([1]صادرات!$E$42:$E$51,[1]صادرات!$AA$42:$AA$51,FD2)</f>
        <v>0</v>
      </c>
      <c r="ES18" s="77"/>
      <c r="ET18" s="71">
        <f>SUMIFS([1]صادرات!$I$42:$I$51,[1]صادرات!$AA$42:$AA$51,FD2)</f>
        <v>0</v>
      </c>
      <c r="EU18" s="78"/>
      <c r="EV18" s="71">
        <f>SUMIFS([1]صادرات!$M$42:$M$51,[1]صادرات!$AA$42:$AA$51,FD2)</f>
        <v>0</v>
      </c>
      <c r="EW18" s="85" t="str">
        <f t="shared" ref="EW18" si="173">IFERROR(EV18*100/ET18,"")</f>
        <v/>
      </c>
      <c r="EX18" s="73"/>
      <c r="EY18" s="74" t="str">
        <f t="shared" si="162"/>
        <v/>
      </c>
      <c r="EZ18" s="75">
        <f t="shared" si="117"/>
        <v>0</v>
      </c>
      <c r="FA18" s="74">
        <f t="shared" si="73"/>
        <v>0</v>
      </c>
      <c r="FB18" s="76" t="str">
        <f t="shared" si="118"/>
        <v/>
      </c>
      <c r="FC18" s="74" t="str">
        <f t="shared" si="163"/>
        <v/>
      </c>
      <c r="FD18" s="45"/>
      <c r="FE18" s="25"/>
      <c r="FF18" s="69" t="str">
        <f t="shared" si="59"/>
        <v>ترانشیپ</v>
      </c>
      <c r="FG18" s="70" t="str">
        <f t="shared" si="60"/>
        <v>تن</v>
      </c>
      <c r="FH18" s="71">
        <f>SUMIFS([1]صادرات!$E$42:$E$51,[1]صادرات!$AA$42:$AA$51,FT2)</f>
        <v>0</v>
      </c>
      <c r="FI18" s="77"/>
      <c r="FJ18" s="71">
        <f>SUMIFS([1]صادرات!$I$42:$I$51,[1]صادرات!$AA$42:$AA$51,FT2)</f>
        <v>0</v>
      </c>
      <c r="FK18" s="78"/>
      <c r="FL18" s="71">
        <f>SUMIFS([1]صادرات!$M$42:$M$51,[1]صادرات!$AA$42:$AA$51,FT2)</f>
        <v>0</v>
      </c>
      <c r="FM18" s="85" t="str">
        <f t="shared" ref="FM18" si="174">IFERROR(FL18*100/FJ18,"")</f>
        <v/>
      </c>
      <c r="FN18" s="73"/>
      <c r="FO18" s="74" t="str">
        <f t="shared" si="164"/>
        <v/>
      </c>
      <c r="FP18" s="75">
        <f t="shared" si="119"/>
        <v>0</v>
      </c>
      <c r="FQ18" s="74">
        <f t="shared" si="74"/>
        <v>0</v>
      </c>
      <c r="FR18" s="76" t="str">
        <f t="shared" si="120"/>
        <v/>
      </c>
      <c r="FS18" s="74" t="str">
        <f t="shared" si="165"/>
        <v/>
      </c>
      <c r="FT18" s="45"/>
    </row>
    <row r="19" spans="1:176" ht="30" customHeight="1" x14ac:dyDescent="0.6">
      <c r="A19" s="25"/>
      <c r="B19" s="69" t="s">
        <v>22</v>
      </c>
      <c r="C19" s="70" t="s">
        <v>23</v>
      </c>
      <c r="D19" s="123"/>
      <c r="E19" s="83">
        <f t="shared" si="142"/>
        <v>55252</v>
      </c>
      <c r="F19" s="124"/>
      <c r="G19" s="83">
        <f t="shared" si="142"/>
        <v>55246</v>
      </c>
      <c r="H19" s="123"/>
      <c r="I19" s="125"/>
      <c r="J19" s="73">
        <f t="shared" si="142"/>
        <v>34526</v>
      </c>
      <c r="K19" s="74">
        <f t="shared" si="143"/>
        <v>62.495022264055315</v>
      </c>
      <c r="L19" s="91"/>
      <c r="M19" s="80">
        <f t="shared" si="144"/>
        <v>-20726</v>
      </c>
      <c r="N19" s="126"/>
      <c r="O19" s="74">
        <f t="shared" si="145"/>
        <v>-37.511764280026064</v>
      </c>
      <c r="P19" s="38">
        <v>1</v>
      </c>
      <c r="Q19" s="25"/>
      <c r="R19" s="69" t="str">
        <f t="shared" si="13"/>
        <v>خدمات باربری</v>
      </c>
      <c r="S19" s="70" t="str">
        <f t="shared" si="14"/>
        <v>میلیون ریال</v>
      </c>
      <c r="T19" s="123"/>
      <c r="U19" s="77">
        <v>12</v>
      </c>
      <c r="V19" s="127"/>
      <c r="W19" s="78">
        <v>46</v>
      </c>
      <c r="X19" s="123"/>
      <c r="Y19" s="125"/>
      <c r="Z19" s="73">
        <v>7</v>
      </c>
      <c r="AA19" s="74">
        <f t="shared" si="146"/>
        <v>15.217391304347826</v>
      </c>
      <c r="AB19" s="91"/>
      <c r="AC19" s="80">
        <f t="shared" si="65"/>
        <v>-5</v>
      </c>
      <c r="AD19" s="126"/>
      <c r="AE19" s="74">
        <f t="shared" si="147"/>
        <v>-41.666666666666664</v>
      </c>
      <c r="AF19" s="45"/>
      <c r="AG19" s="25"/>
      <c r="AH19" s="69" t="str">
        <f t="shared" si="18"/>
        <v>خدمات باربری</v>
      </c>
      <c r="AI19" s="70" t="str">
        <f t="shared" si="19"/>
        <v>میلیون ریال</v>
      </c>
      <c r="AJ19" s="123"/>
      <c r="AK19" s="77">
        <v>10009</v>
      </c>
      <c r="AL19" s="127"/>
      <c r="AM19" s="78">
        <v>22293</v>
      </c>
      <c r="AN19" s="123"/>
      <c r="AO19" s="125"/>
      <c r="AP19" s="73">
        <v>9912</v>
      </c>
      <c r="AQ19" s="74">
        <f t="shared" si="148"/>
        <v>44.462387296460776</v>
      </c>
      <c r="AR19" s="91"/>
      <c r="AS19" s="80">
        <f t="shared" si="66"/>
        <v>-97</v>
      </c>
      <c r="AT19" s="126"/>
      <c r="AU19" s="74">
        <f t="shared" si="149"/>
        <v>-0.96912778499350583</v>
      </c>
      <c r="AV19" s="45"/>
      <c r="AW19" s="25"/>
      <c r="AX19" s="69" t="str">
        <f t="shared" si="23"/>
        <v>خدمات باربری</v>
      </c>
      <c r="AY19" s="70" t="str">
        <f t="shared" si="24"/>
        <v>میلیون ریال</v>
      </c>
      <c r="AZ19" s="123"/>
      <c r="BA19" s="77">
        <v>356</v>
      </c>
      <c r="BB19" s="127"/>
      <c r="BC19" s="78">
        <v>294</v>
      </c>
      <c r="BD19" s="123"/>
      <c r="BE19" s="125"/>
      <c r="BF19" s="73">
        <v>582</v>
      </c>
      <c r="BG19" s="74">
        <f t="shared" si="150"/>
        <v>197.9591836734694</v>
      </c>
      <c r="BH19" s="91"/>
      <c r="BI19" s="74">
        <f t="shared" si="67"/>
        <v>226</v>
      </c>
      <c r="BJ19" s="126"/>
      <c r="BK19" s="74">
        <f t="shared" si="151"/>
        <v>63.483146067415731</v>
      </c>
      <c r="BL19" s="45"/>
      <c r="BM19" s="25"/>
      <c r="BN19" s="69" t="str">
        <f t="shared" si="29"/>
        <v>خدمات باربری</v>
      </c>
      <c r="BO19" s="70" t="str">
        <f t="shared" si="30"/>
        <v>میلیون ریال</v>
      </c>
      <c r="BP19" s="123"/>
      <c r="BQ19" s="77">
        <v>119</v>
      </c>
      <c r="BR19" s="127"/>
      <c r="BS19" s="78">
        <v>241</v>
      </c>
      <c r="BT19" s="123"/>
      <c r="BU19" s="125"/>
      <c r="BV19" s="73">
        <v>411</v>
      </c>
      <c r="BW19" s="74">
        <f t="shared" si="152"/>
        <v>170.53941908713693</v>
      </c>
      <c r="BX19" s="91"/>
      <c r="BY19" s="74">
        <f t="shared" si="68"/>
        <v>292</v>
      </c>
      <c r="BZ19" s="126"/>
      <c r="CA19" s="74">
        <f t="shared" si="153"/>
        <v>245.37815126050421</v>
      </c>
      <c r="CB19" s="45"/>
      <c r="CC19" s="25"/>
      <c r="CD19" s="69" t="str">
        <f t="shared" si="34"/>
        <v>خدمات باربری</v>
      </c>
      <c r="CE19" s="70" t="str">
        <f t="shared" si="35"/>
        <v>میلیون ریال</v>
      </c>
      <c r="CF19" s="123"/>
      <c r="CG19" s="77"/>
      <c r="CH19" s="127"/>
      <c r="CI19" s="78"/>
      <c r="CJ19" s="123"/>
      <c r="CK19" s="125"/>
      <c r="CL19" s="73"/>
      <c r="CM19" s="74" t="str">
        <f t="shared" si="154"/>
        <v/>
      </c>
      <c r="CN19" s="91"/>
      <c r="CO19" s="74">
        <f t="shared" si="69"/>
        <v>0</v>
      </c>
      <c r="CP19" s="126"/>
      <c r="CQ19" s="74" t="str">
        <f t="shared" si="155"/>
        <v/>
      </c>
      <c r="CR19" s="45"/>
      <c r="CS19" s="25"/>
      <c r="CT19" s="69" t="str">
        <f t="shared" si="39"/>
        <v>خدمات باربری</v>
      </c>
      <c r="CU19" s="70" t="str">
        <f t="shared" si="40"/>
        <v>میلیون ریال</v>
      </c>
      <c r="CV19" s="123"/>
      <c r="CW19" s="77">
        <v>167</v>
      </c>
      <c r="CX19" s="127"/>
      <c r="CY19" s="78">
        <v>103</v>
      </c>
      <c r="CZ19" s="123"/>
      <c r="DA19" s="125"/>
      <c r="DB19" s="73">
        <v>51</v>
      </c>
      <c r="DC19" s="74">
        <f t="shared" si="156"/>
        <v>49.514563106796118</v>
      </c>
      <c r="DD19" s="91"/>
      <c r="DE19" s="74">
        <f t="shared" si="70"/>
        <v>-116</v>
      </c>
      <c r="DF19" s="126"/>
      <c r="DG19" s="74">
        <f t="shared" si="157"/>
        <v>-69.461077844311376</v>
      </c>
      <c r="DH19" s="45"/>
      <c r="DI19" s="25"/>
      <c r="DJ19" s="69" t="str">
        <f t="shared" si="44"/>
        <v>خدمات باربری</v>
      </c>
      <c r="DK19" s="70" t="str">
        <f t="shared" si="45"/>
        <v>میلیون ریال</v>
      </c>
      <c r="DL19" s="123"/>
      <c r="DM19" s="77">
        <v>44589</v>
      </c>
      <c r="DN19" s="127"/>
      <c r="DO19" s="78">
        <v>32269</v>
      </c>
      <c r="DP19" s="123"/>
      <c r="DQ19" s="125"/>
      <c r="DR19" s="73">
        <v>23201</v>
      </c>
      <c r="DS19" s="74">
        <f t="shared" si="158"/>
        <v>71.898726331773531</v>
      </c>
      <c r="DT19" s="91"/>
      <c r="DU19" s="80">
        <f t="shared" si="71"/>
        <v>-21388</v>
      </c>
      <c r="DV19" s="126"/>
      <c r="DW19" s="74">
        <f t="shared" si="159"/>
        <v>-47.96698737356747</v>
      </c>
      <c r="DX19" s="45"/>
      <c r="DY19" s="25"/>
      <c r="DZ19" s="69" t="str">
        <f t="shared" si="49"/>
        <v>خدمات باربری</v>
      </c>
      <c r="EA19" s="70" t="str">
        <f t="shared" si="50"/>
        <v>میلیون ریال</v>
      </c>
      <c r="EB19" s="123"/>
      <c r="EC19" s="77"/>
      <c r="ED19" s="127"/>
      <c r="EE19" s="78"/>
      <c r="EF19" s="123"/>
      <c r="EG19" s="125"/>
      <c r="EH19" s="73"/>
      <c r="EI19" s="74" t="str">
        <f t="shared" si="160"/>
        <v/>
      </c>
      <c r="EJ19" s="91"/>
      <c r="EK19" s="74">
        <f t="shared" si="72"/>
        <v>0</v>
      </c>
      <c r="EL19" s="126"/>
      <c r="EM19" s="74" t="str">
        <f t="shared" si="161"/>
        <v/>
      </c>
      <c r="EN19" s="45"/>
      <c r="EO19" s="25"/>
      <c r="EP19" s="69" t="str">
        <f t="shared" si="54"/>
        <v>خدمات باربری</v>
      </c>
      <c r="EQ19" s="70" t="str">
        <f t="shared" si="55"/>
        <v>میلیون ریال</v>
      </c>
      <c r="ER19" s="123"/>
      <c r="ES19" s="77"/>
      <c r="ET19" s="127"/>
      <c r="EU19" s="78"/>
      <c r="EV19" s="123"/>
      <c r="EW19" s="125"/>
      <c r="EX19" s="73">
        <v>3</v>
      </c>
      <c r="EY19" s="74" t="str">
        <f t="shared" si="162"/>
        <v/>
      </c>
      <c r="EZ19" s="91"/>
      <c r="FA19" s="74">
        <f t="shared" si="73"/>
        <v>3</v>
      </c>
      <c r="FB19" s="126"/>
      <c r="FC19" s="74" t="str">
        <f t="shared" si="163"/>
        <v/>
      </c>
      <c r="FD19" s="45"/>
      <c r="FE19" s="25"/>
      <c r="FF19" s="69" t="str">
        <f t="shared" si="59"/>
        <v>خدمات باربری</v>
      </c>
      <c r="FG19" s="70" t="str">
        <f t="shared" si="60"/>
        <v>میلیون ریال</v>
      </c>
      <c r="FH19" s="123"/>
      <c r="FI19" s="77"/>
      <c r="FJ19" s="127"/>
      <c r="FK19" s="78"/>
      <c r="FL19" s="123"/>
      <c r="FM19" s="125"/>
      <c r="FN19" s="73">
        <v>359</v>
      </c>
      <c r="FO19" s="74" t="str">
        <f t="shared" si="164"/>
        <v/>
      </c>
      <c r="FP19" s="91"/>
      <c r="FQ19" s="74">
        <f t="shared" si="74"/>
        <v>359</v>
      </c>
      <c r="FR19" s="126"/>
      <c r="FS19" s="74" t="str">
        <f t="shared" si="165"/>
        <v/>
      </c>
      <c r="FT19" s="45"/>
    </row>
    <row r="20" spans="1:176" ht="30" customHeight="1" thickBot="1" x14ac:dyDescent="0.65">
      <c r="A20" s="25"/>
      <c r="B20" s="128" t="s">
        <v>25</v>
      </c>
      <c r="C20" s="129" t="s">
        <v>23</v>
      </c>
      <c r="D20" s="130"/>
      <c r="E20" s="98">
        <f t="shared" si="142"/>
        <v>2515</v>
      </c>
      <c r="F20" s="131"/>
      <c r="G20" s="98">
        <f t="shared" si="142"/>
        <v>4653</v>
      </c>
      <c r="H20" s="106"/>
      <c r="I20" s="132"/>
      <c r="J20" s="133">
        <f t="shared" si="142"/>
        <v>10575</v>
      </c>
      <c r="K20" s="102">
        <f>IFERROR(J20*100/G20,"")</f>
        <v>227.27272727272728</v>
      </c>
      <c r="L20" s="91"/>
      <c r="M20" s="74">
        <f t="shared" si="144"/>
        <v>8060</v>
      </c>
      <c r="N20" s="134"/>
      <c r="O20" s="102">
        <f>IFERROR((J20-E20)*100/E20,"")</f>
        <v>320.47713717693836</v>
      </c>
      <c r="P20" s="38">
        <v>0</v>
      </c>
      <c r="Q20" s="25"/>
      <c r="R20" s="128" t="str">
        <f t="shared" si="13"/>
        <v>بیمه</v>
      </c>
      <c r="S20" s="129" t="str">
        <f t="shared" si="14"/>
        <v>میلیون ریال</v>
      </c>
      <c r="T20" s="135"/>
      <c r="U20" s="103">
        <v>71</v>
      </c>
      <c r="V20" s="136"/>
      <c r="W20" s="137">
        <v>131</v>
      </c>
      <c r="X20" s="138"/>
      <c r="Y20" s="132"/>
      <c r="Z20" s="133">
        <v>24</v>
      </c>
      <c r="AA20" s="102">
        <f>IFERROR(Z20*100/W20,"")</f>
        <v>18.320610687022899</v>
      </c>
      <c r="AB20" s="91"/>
      <c r="AC20" s="139">
        <f t="shared" si="65"/>
        <v>-47</v>
      </c>
      <c r="AD20" s="134"/>
      <c r="AE20" s="102">
        <f>IFERROR((Z20-U20)*100/U20,"")</f>
        <v>-66.197183098591552</v>
      </c>
      <c r="AF20" s="45"/>
      <c r="AG20" s="25"/>
      <c r="AH20" s="128" t="str">
        <f t="shared" si="18"/>
        <v>بیمه</v>
      </c>
      <c r="AI20" s="129" t="str">
        <f t="shared" si="19"/>
        <v>میلیون ریال</v>
      </c>
      <c r="AJ20" s="135"/>
      <c r="AK20" s="103">
        <v>687</v>
      </c>
      <c r="AL20" s="136"/>
      <c r="AM20" s="137">
        <v>1458</v>
      </c>
      <c r="AN20" s="138"/>
      <c r="AO20" s="132"/>
      <c r="AP20" s="133">
        <v>2180</v>
      </c>
      <c r="AQ20" s="102">
        <f>IFERROR(AP20*100/AM20,"")</f>
        <v>149.519890260631</v>
      </c>
      <c r="AR20" s="91"/>
      <c r="AS20" s="140">
        <f t="shared" si="66"/>
        <v>1493</v>
      </c>
      <c r="AT20" s="134"/>
      <c r="AU20" s="102">
        <f>IFERROR((AP20-AK20)*100/AK20,"")</f>
        <v>217.32168850072779</v>
      </c>
      <c r="AV20" s="45"/>
      <c r="AW20" s="25"/>
      <c r="AX20" s="128" t="str">
        <f t="shared" si="23"/>
        <v>بیمه</v>
      </c>
      <c r="AY20" s="129" t="str">
        <f t="shared" si="24"/>
        <v>میلیون ریال</v>
      </c>
      <c r="AZ20" s="135"/>
      <c r="BA20" s="103">
        <v>508</v>
      </c>
      <c r="BB20" s="136"/>
      <c r="BC20" s="137">
        <v>607</v>
      </c>
      <c r="BD20" s="138"/>
      <c r="BE20" s="132"/>
      <c r="BF20" s="133">
        <v>2121</v>
      </c>
      <c r="BG20" s="102">
        <f>IFERROR(BF20*100/BC20,"")</f>
        <v>349.42339373970344</v>
      </c>
      <c r="BH20" s="91"/>
      <c r="BI20" s="140">
        <f t="shared" si="67"/>
        <v>1613</v>
      </c>
      <c r="BJ20" s="134"/>
      <c r="BK20" s="102">
        <f>IFERROR((BF20-BA20)*100/BA20,"")</f>
        <v>317.51968503937007</v>
      </c>
      <c r="BL20" s="45"/>
      <c r="BM20" s="25"/>
      <c r="BN20" s="128" t="str">
        <f t="shared" si="29"/>
        <v>بیمه</v>
      </c>
      <c r="BO20" s="129" t="str">
        <f t="shared" si="30"/>
        <v>میلیون ریال</v>
      </c>
      <c r="BP20" s="135"/>
      <c r="BQ20" s="103">
        <v>651</v>
      </c>
      <c r="BR20" s="136"/>
      <c r="BS20" s="137">
        <v>1695</v>
      </c>
      <c r="BT20" s="138"/>
      <c r="BU20" s="132"/>
      <c r="BV20" s="133">
        <v>3239</v>
      </c>
      <c r="BW20" s="102">
        <f>IFERROR(BV20*100/BS20,"")</f>
        <v>191.09144542772862</v>
      </c>
      <c r="BX20" s="91"/>
      <c r="BY20" s="140">
        <f t="shared" si="68"/>
        <v>2588</v>
      </c>
      <c r="BZ20" s="134"/>
      <c r="CA20" s="102">
        <f>IFERROR((BV20-BQ20)*100/BQ20,"")</f>
        <v>397.54224270353302</v>
      </c>
      <c r="CB20" s="45"/>
      <c r="CC20" s="25"/>
      <c r="CD20" s="128" t="str">
        <f t="shared" si="34"/>
        <v>بیمه</v>
      </c>
      <c r="CE20" s="129" t="str">
        <f t="shared" si="35"/>
        <v>میلیون ریال</v>
      </c>
      <c r="CF20" s="135"/>
      <c r="CG20" s="103"/>
      <c r="CH20" s="136"/>
      <c r="CI20" s="137"/>
      <c r="CJ20" s="138"/>
      <c r="CK20" s="132"/>
      <c r="CL20" s="133"/>
      <c r="CM20" s="102" t="str">
        <f>IFERROR(CL20*100/CI20,"")</f>
        <v/>
      </c>
      <c r="CN20" s="91"/>
      <c r="CO20" s="140">
        <f t="shared" si="69"/>
        <v>0</v>
      </c>
      <c r="CP20" s="134"/>
      <c r="CQ20" s="102" t="str">
        <f>IFERROR((CL20-CG20)*100/CG20,"")</f>
        <v/>
      </c>
      <c r="CR20" s="45"/>
      <c r="CS20" s="25"/>
      <c r="CT20" s="128" t="str">
        <f t="shared" si="39"/>
        <v>بیمه</v>
      </c>
      <c r="CU20" s="129" t="str">
        <f t="shared" si="40"/>
        <v>میلیون ریال</v>
      </c>
      <c r="CV20" s="135"/>
      <c r="CW20" s="103">
        <v>431</v>
      </c>
      <c r="CX20" s="136"/>
      <c r="CY20" s="137">
        <v>607</v>
      </c>
      <c r="CZ20" s="138"/>
      <c r="DA20" s="132"/>
      <c r="DB20" s="133">
        <v>1291</v>
      </c>
      <c r="DC20" s="102">
        <f>IFERROR(DB20*100/CY20,"")</f>
        <v>212.6853377265239</v>
      </c>
      <c r="DD20" s="91"/>
      <c r="DE20" s="140">
        <f t="shared" si="70"/>
        <v>860</v>
      </c>
      <c r="DF20" s="134"/>
      <c r="DG20" s="102">
        <f>IFERROR((DB20-CW20)*100/CW20,"")</f>
        <v>199.53596287703016</v>
      </c>
      <c r="DH20" s="45"/>
      <c r="DI20" s="25"/>
      <c r="DJ20" s="128" t="str">
        <f t="shared" si="44"/>
        <v>بیمه</v>
      </c>
      <c r="DK20" s="129" t="str">
        <f t="shared" si="45"/>
        <v>میلیون ریال</v>
      </c>
      <c r="DL20" s="135"/>
      <c r="DM20" s="103">
        <v>167</v>
      </c>
      <c r="DN20" s="136"/>
      <c r="DO20" s="137">
        <v>155</v>
      </c>
      <c r="DP20" s="138"/>
      <c r="DQ20" s="132"/>
      <c r="DR20" s="133">
        <v>169</v>
      </c>
      <c r="DS20" s="102">
        <f>IFERROR(DR20*100/DO20,"")</f>
        <v>109.03225806451613</v>
      </c>
      <c r="DT20" s="91"/>
      <c r="DU20" s="140">
        <f t="shared" si="71"/>
        <v>2</v>
      </c>
      <c r="DV20" s="134"/>
      <c r="DW20" s="102">
        <f>IFERROR((DR20-DM20)*100/DM20,"")</f>
        <v>1.1976047904191616</v>
      </c>
      <c r="DX20" s="45"/>
      <c r="DY20" s="25"/>
      <c r="DZ20" s="128" t="str">
        <f t="shared" si="49"/>
        <v>بیمه</v>
      </c>
      <c r="EA20" s="129" t="str">
        <f t="shared" si="50"/>
        <v>میلیون ریال</v>
      </c>
      <c r="EB20" s="135"/>
      <c r="EC20" s="103"/>
      <c r="ED20" s="136"/>
      <c r="EE20" s="137"/>
      <c r="EF20" s="138"/>
      <c r="EG20" s="132"/>
      <c r="EH20" s="133"/>
      <c r="EI20" s="102" t="str">
        <f>IFERROR(EH20*100/EE20,"")</f>
        <v/>
      </c>
      <c r="EJ20" s="91"/>
      <c r="EK20" s="140">
        <f t="shared" si="72"/>
        <v>0</v>
      </c>
      <c r="EL20" s="134"/>
      <c r="EM20" s="102" t="str">
        <f>IFERROR((EH20-EC20)*100/EC20,"")</f>
        <v/>
      </c>
      <c r="EN20" s="45"/>
      <c r="EO20" s="25"/>
      <c r="EP20" s="128" t="str">
        <f t="shared" si="54"/>
        <v>بیمه</v>
      </c>
      <c r="EQ20" s="129" t="str">
        <f t="shared" si="55"/>
        <v>میلیون ریال</v>
      </c>
      <c r="ER20" s="135"/>
      <c r="ES20" s="103"/>
      <c r="ET20" s="136"/>
      <c r="EU20" s="137"/>
      <c r="EV20" s="138"/>
      <c r="EW20" s="132"/>
      <c r="EX20" s="133"/>
      <c r="EY20" s="102" t="str">
        <f>IFERROR(EX20*100/EU20,"")</f>
        <v/>
      </c>
      <c r="EZ20" s="91"/>
      <c r="FA20" s="140">
        <f t="shared" si="73"/>
        <v>0</v>
      </c>
      <c r="FB20" s="134"/>
      <c r="FC20" s="102" t="str">
        <f>IFERROR((EX20-ES20)*100/ES20,"")</f>
        <v/>
      </c>
      <c r="FD20" s="45"/>
      <c r="FE20" s="25"/>
      <c r="FF20" s="128" t="str">
        <f t="shared" si="59"/>
        <v>بیمه</v>
      </c>
      <c r="FG20" s="129" t="str">
        <f t="shared" si="60"/>
        <v>میلیون ریال</v>
      </c>
      <c r="FH20" s="135"/>
      <c r="FI20" s="103"/>
      <c r="FJ20" s="136"/>
      <c r="FK20" s="137"/>
      <c r="FL20" s="138"/>
      <c r="FM20" s="132"/>
      <c r="FN20" s="133">
        <v>1551</v>
      </c>
      <c r="FO20" s="102" t="str">
        <f>IFERROR(FN20*100/FK20,"")</f>
        <v/>
      </c>
      <c r="FP20" s="91"/>
      <c r="FQ20" s="140">
        <f t="shared" si="74"/>
        <v>1551</v>
      </c>
      <c r="FR20" s="134"/>
      <c r="FS20" s="102" t="str">
        <f>IFERROR((FN20-FI20)*100/FI20,"")</f>
        <v/>
      </c>
      <c r="FT20" s="45"/>
    </row>
    <row r="21" spans="1:176" ht="30" hidden="1" customHeight="1" x14ac:dyDescent="0.6">
      <c r="A21" s="141" t="s">
        <v>27</v>
      </c>
      <c r="B21" s="142" t="s">
        <v>28</v>
      </c>
      <c r="C21" s="109" t="s">
        <v>29</v>
      </c>
      <c r="D21" s="143"/>
      <c r="E21" s="144"/>
      <c r="F21" s="145"/>
      <c r="G21" s="146"/>
      <c r="H21" s="143"/>
      <c r="I21" s="147"/>
      <c r="J21" s="148"/>
      <c r="K21" s="149" t="str">
        <f t="shared" ref="K21:K24" si="175">IFERROR(J21*100/G21,"-")</f>
        <v>-</v>
      </c>
      <c r="L21" s="115">
        <f>H21-D21</f>
        <v>0</v>
      </c>
      <c r="M21" s="150">
        <f t="shared" ref="M21:M24" si="176">J21-E21</f>
        <v>0</v>
      </c>
      <c r="N21" s="151" t="str">
        <f>IFERROR((H21-D21)*100/D21,"-")</f>
        <v>-</v>
      </c>
      <c r="O21" s="149" t="str">
        <f t="shared" si="12"/>
        <v>-</v>
      </c>
      <c r="Q21" s="141" t="s">
        <v>27</v>
      </c>
      <c r="R21" s="142" t="s">
        <v>28</v>
      </c>
      <c r="S21" s="109" t="s">
        <v>29</v>
      </c>
      <c r="T21" s="152"/>
      <c r="U21" s="153"/>
      <c r="V21" s="154"/>
      <c r="W21" s="155"/>
      <c r="X21" s="152"/>
      <c r="Y21" s="110" t="str">
        <f>IFERROR(X21*100/V21,"-")</f>
        <v>-</v>
      </c>
      <c r="Z21" s="148"/>
      <c r="AA21" s="149" t="str">
        <f t="shared" ref="AA21:AA24" si="177">IFERROR(Z21*100/W21,"-")</f>
        <v>-</v>
      </c>
      <c r="AB21" s="115">
        <f>X21-T21</f>
        <v>0</v>
      </c>
      <c r="AC21" s="150">
        <f t="shared" si="65"/>
        <v>0</v>
      </c>
      <c r="AD21" s="151" t="str">
        <f>IFERROR((X21-T21)*100/T21,"-")</f>
        <v>-</v>
      </c>
      <c r="AE21" s="149" t="str">
        <f t="shared" ref="AE21:AE24" si="178">IFERROR((Z21-U21)*100/U21,"-")</f>
        <v>-</v>
      </c>
      <c r="AG21" s="141" t="s">
        <v>27</v>
      </c>
      <c r="AH21" s="142" t="s">
        <v>28</v>
      </c>
      <c r="AI21" s="109" t="s">
        <v>29</v>
      </c>
      <c r="AJ21" s="152"/>
      <c r="AK21" s="153"/>
      <c r="AL21" s="154"/>
      <c r="AM21" s="155"/>
      <c r="AN21" s="152"/>
      <c r="AO21" s="110" t="str">
        <f>IFERROR(AN21*100/AL21,"-")</f>
        <v>-</v>
      </c>
      <c r="AP21" s="148"/>
      <c r="AQ21" s="149" t="str">
        <f t="shared" ref="AQ21:AQ24" si="179">IFERROR(AP21*100/AM21,"-")</f>
        <v>-</v>
      </c>
      <c r="AR21" s="115">
        <f>AN21-AJ21</f>
        <v>0</v>
      </c>
      <c r="AS21" s="150">
        <f t="shared" si="66"/>
        <v>0</v>
      </c>
      <c r="AT21" s="151" t="str">
        <f>IFERROR((AN21-AJ21)*100/AJ21,"-")</f>
        <v>-</v>
      </c>
      <c r="AU21" s="149" t="str">
        <f t="shared" ref="AU21:AU24" si="180">IFERROR((AP21-AK21)*100/AK21,"-")</f>
        <v>-</v>
      </c>
      <c r="AW21" s="141" t="s">
        <v>27</v>
      </c>
      <c r="AX21" s="142" t="s">
        <v>28</v>
      </c>
      <c r="AY21" s="109" t="s">
        <v>29</v>
      </c>
      <c r="AZ21" s="152"/>
      <c r="BA21" s="153"/>
      <c r="BB21" s="154"/>
      <c r="BC21" s="155"/>
      <c r="BD21" s="152"/>
      <c r="BE21" s="110" t="str">
        <f>IFERROR(BD21*100/BB21,"-")</f>
        <v>-</v>
      </c>
      <c r="BF21" s="148"/>
      <c r="BG21" s="149" t="str">
        <f t="shared" ref="BG21:BG24" si="181">IFERROR(BF21*100/BC21,"-")</f>
        <v>-</v>
      </c>
      <c r="BH21" s="115">
        <f>BD21-AZ21</f>
        <v>0</v>
      </c>
      <c r="BI21" s="150">
        <f t="shared" si="67"/>
        <v>0</v>
      </c>
      <c r="BJ21" s="151" t="str">
        <f>IFERROR((BD21-AZ21)*100/AZ21,"-")</f>
        <v>-</v>
      </c>
      <c r="BK21" s="149" t="str">
        <f t="shared" ref="BK21:BK24" si="182">IFERROR((BF21-BA21)*100/BA21,"-")</f>
        <v>-</v>
      </c>
      <c r="BM21" s="141" t="s">
        <v>27</v>
      </c>
      <c r="BN21" s="142" t="s">
        <v>28</v>
      </c>
      <c r="BO21" s="109" t="s">
        <v>29</v>
      </c>
      <c r="BP21" s="152"/>
      <c r="BQ21" s="153"/>
      <c r="BR21" s="154"/>
      <c r="BS21" s="155"/>
      <c r="BT21" s="152"/>
      <c r="BU21" s="110" t="str">
        <f>IFERROR(BT21*100/BR21,"-")</f>
        <v>-</v>
      </c>
      <c r="BV21" s="148"/>
      <c r="BW21" s="149" t="str">
        <f t="shared" ref="BW21:BW24" si="183">IFERROR(BV21*100/BS21,"-")</f>
        <v>-</v>
      </c>
      <c r="BX21" s="115">
        <f>BT21-BP21</f>
        <v>0</v>
      </c>
      <c r="BY21" s="150">
        <f t="shared" si="68"/>
        <v>0</v>
      </c>
      <c r="BZ21" s="151" t="str">
        <f>IFERROR((BT21-BP21)*100/BP21,"-")</f>
        <v>-</v>
      </c>
      <c r="CA21" s="149" t="str">
        <f t="shared" ref="CA21:CA24" si="184">IFERROR((BV21-BQ21)*100/BQ21,"-")</f>
        <v>-</v>
      </c>
      <c r="CC21" s="141" t="s">
        <v>27</v>
      </c>
      <c r="CD21" s="142" t="s">
        <v>28</v>
      </c>
      <c r="CE21" s="109" t="s">
        <v>29</v>
      </c>
      <c r="CF21" s="152"/>
      <c r="CG21" s="153"/>
      <c r="CH21" s="154"/>
      <c r="CI21" s="155"/>
      <c r="CJ21" s="152"/>
      <c r="CK21" s="110" t="str">
        <f>IFERROR(CJ21*100/CH21,"-")</f>
        <v>-</v>
      </c>
      <c r="CL21" s="148"/>
      <c r="CM21" s="149" t="str">
        <f t="shared" ref="CM21:CM24" si="185">IFERROR(CL21*100/CI21,"-")</f>
        <v>-</v>
      </c>
      <c r="CN21" s="115">
        <f>CJ21-CF21</f>
        <v>0</v>
      </c>
      <c r="CO21" s="150">
        <f t="shared" si="69"/>
        <v>0</v>
      </c>
      <c r="CP21" s="151" t="str">
        <f>IFERROR((CJ21-CF21)*100/CF21,"-")</f>
        <v>-</v>
      </c>
      <c r="CQ21" s="149" t="str">
        <f t="shared" ref="CQ21:CQ24" si="186">IFERROR((CL21-CG21)*100/CG21,"-")</f>
        <v>-</v>
      </c>
      <c r="CS21" s="141" t="s">
        <v>27</v>
      </c>
      <c r="CT21" s="142" t="s">
        <v>28</v>
      </c>
      <c r="CU21" s="109" t="s">
        <v>29</v>
      </c>
      <c r="CV21" s="152"/>
      <c r="CW21" s="153"/>
      <c r="CX21" s="154"/>
      <c r="CY21" s="155"/>
      <c r="CZ21" s="152"/>
      <c r="DA21" s="110" t="str">
        <f>IFERROR(CZ21*100/CX21,"-")</f>
        <v>-</v>
      </c>
      <c r="DB21" s="148"/>
      <c r="DC21" s="149" t="str">
        <f t="shared" ref="DC21:DC24" si="187">IFERROR(DB21*100/CY21,"-")</f>
        <v>-</v>
      </c>
      <c r="DD21" s="115">
        <f>CZ21-CV21</f>
        <v>0</v>
      </c>
      <c r="DE21" s="150">
        <f t="shared" si="70"/>
        <v>0</v>
      </c>
      <c r="DF21" s="151" t="str">
        <f>IFERROR((CZ21-CV21)*100/CV21,"-")</f>
        <v>-</v>
      </c>
      <c r="DG21" s="149" t="str">
        <f t="shared" ref="DG21:DG24" si="188">IFERROR((DB21-CW21)*100/CW21,"-")</f>
        <v>-</v>
      </c>
      <c r="DI21" s="141" t="s">
        <v>27</v>
      </c>
      <c r="DJ21" s="142" t="s">
        <v>28</v>
      </c>
      <c r="DK21" s="109" t="s">
        <v>29</v>
      </c>
      <c r="DL21" s="152"/>
      <c r="DM21" s="153"/>
      <c r="DN21" s="154"/>
      <c r="DO21" s="155"/>
      <c r="DP21" s="152"/>
      <c r="DQ21" s="110" t="str">
        <f>IFERROR(DP21*100/DN21,"-")</f>
        <v>-</v>
      </c>
      <c r="DR21" s="148"/>
      <c r="DS21" s="149" t="str">
        <f t="shared" ref="DS21:DS24" si="189">IFERROR(DR21*100/DO21,"-")</f>
        <v>-</v>
      </c>
      <c r="DT21" s="115">
        <f>DP21-DL21</f>
        <v>0</v>
      </c>
      <c r="DU21" s="150">
        <f t="shared" si="71"/>
        <v>0</v>
      </c>
      <c r="DV21" s="151" t="str">
        <f>IFERROR((DP21-DL21)*100/DL21,"-")</f>
        <v>-</v>
      </c>
      <c r="DW21" s="149" t="str">
        <f t="shared" ref="DW21:DW24" si="190">IFERROR((DR21-DM21)*100/DM21,"-")</f>
        <v>-</v>
      </c>
      <c r="DY21" s="141" t="s">
        <v>27</v>
      </c>
      <c r="DZ21" s="142" t="s">
        <v>28</v>
      </c>
      <c r="EA21" s="109" t="s">
        <v>29</v>
      </c>
      <c r="EB21" s="152"/>
      <c r="EC21" s="153"/>
      <c r="ED21" s="154"/>
      <c r="EE21" s="155"/>
      <c r="EF21" s="152"/>
      <c r="EG21" s="110" t="str">
        <f>IFERROR(EF21*100/ED21,"-")</f>
        <v>-</v>
      </c>
      <c r="EH21" s="148"/>
      <c r="EI21" s="149" t="str">
        <f t="shared" ref="EI21:EI24" si="191">IFERROR(EH21*100/EE21,"-")</f>
        <v>-</v>
      </c>
      <c r="EJ21" s="115">
        <f>EF21-EB21</f>
        <v>0</v>
      </c>
      <c r="EK21" s="150">
        <f t="shared" si="72"/>
        <v>0</v>
      </c>
      <c r="EL21" s="151" t="str">
        <f>IFERROR((EF21-EB21)*100/EB21,"-")</f>
        <v>-</v>
      </c>
      <c r="EM21" s="149" t="str">
        <f t="shared" ref="EM21:EM24" si="192">IFERROR((EH21-EC21)*100/EC21,"-")</f>
        <v>-</v>
      </c>
      <c r="EO21" s="141" t="s">
        <v>27</v>
      </c>
      <c r="EP21" s="142" t="s">
        <v>28</v>
      </c>
      <c r="EQ21" s="109" t="s">
        <v>29</v>
      </c>
      <c r="ER21" s="152"/>
      <c r="ES21" s="153"/>
      <c r="ET21" s="154"/>
      <c r="EU21" s="155"/>
      <c r="EV21" s="152"/>
      <c r="EW21" s="110" t="str">
        <f>IFERROR(EV21*100/ET21,"-")</f>
        <v>-</v>
      </c>
      <c r="EX21" s="148"/>
      <c r="EY21" s="149" t="str">
        <f t="shared" ref="EY21:EY24" si="193">IFERROR(EX21*100/EU21,"-")</f>
        <v>-</v>
      </c>
      <c r="EZ21" s="115">
        <f>EV21-ER21</f>
        <v>0</v>
      </c>
      <c r="FA21" s="150">
        <f t="shared" si="73"/>
        <v>0</v>
      </c>
      <c r="FB21" s="151" t="str">
        <f>IFERROR((EV21-ER21)*100/ER21,"-")</f>
        <v>-</v>
      </c>
      <c r="FC21" s="149" t="str">
        <f t="shared" ref="FC21:FC24" si="194">IFERROR((EX21-ES21)*100/ES21,"-")</f>
        <v>-</v>
      </c>
      <c r="FE21" s="141" t="s">
        <v>27</v>
      </c>
      <c r="FF21" s="142" t="s">
        <v>28</v>
      </c>
      <c r="FG21" s="109" t="s">
        <v>29</v>
      </c>
      <c r="FH21" s="152"/>
      <c r="FI21" s="153"/>
      <c r="FJ21" s="154"/>
      <c r="FK21" s="155"/>
      <c r="FL21" s="152"/>
      <c r="FM21" s="110" t="str">
        <f>IFERROR(FL21*100/FJ21,"-")</f>
        <v>-</v>
      </c>
      <c r="FN21" s="148"/>
      <c r="FO21" s="149" t="str">
        <f t="shared" ref="FO21:FO24" si="195">IFERROR(FN21*100/FK21,"-")</f>
        <v>-</v>
      </c>
      <c r="FP21" s="115">
        <f>FL21-FH21</f>
        <v>0</v>
      </c>
      <c r="FQ21" s="150">
        <f t="shared" si="74"/>
        <v>0</v>
      </c>
      <c r="FR21" s="151" t="str">
        <f>IFERROR((FL21-FH21)*100/FH21,"-")</f>
        <v>-</v>
      </c>
      <c r="FS21" s="149" t="str">
        <f t="shared" ref="FS21:FS24" si="196">IFERROR((FN21-FI21)*100/FI21,"-")</f>
        <v>-</v>
      </c>
    </row>
    <row r="22" spans="1:176" ht="30" hidden="1" customHeight="1" x14ac:dyDescent="0.6">
      <c r="A22" s="25"/>
      <c r="B22" s="156"/>
      <c r="C22" s="70" t="s">
        <v>30</v>
      </c>
      <c r="D22" s="157"/>
      <c r="E22" s="158"/>
      <c r="F22" s="159"/>
      <c r="G22" s="160"/>
      <c r="H22" s="157"/>
      <c r="I22" s="85"/>
      <c r="J22" s="161"/>
      <c r="K22" s="74" t="str">
        <f t="shared" si="175"/>
        <v>-</v>
      </c>
      <c r="L22" s="53">
        <f>H22-D22</f>
        <v>0</v>
      </c>
      <c r="M22" s="84">
        <f t="shared" si="176"/>
        <v>0</v>
      </c>
      <c r="N22" s="75" t="str">
        <f>IFERROR((H22-D22)*100/D22,"-")</f>
        <v>-</v>
      </c>
      <c r="O22" s="74" t="str">
        <f t="shared" si="12"/>
        <v>-</v>
      </c>
      <c r="Q22" s="25"/>
      <c r="R22" s="156"/>
      <c r="S22" s="70" t="s">
        <v>30</v>
      </c>
      <c r="T22" s="51"/>
      <c r="U22" s="162"/>
      <c r="V22" s="163"/>
      <c r="W22" s="78"/>
      <c r="X22" s="51"/>
      <c r="Y22" s="52" t="str">
        <f>IFERROR(X22*100/V22,"-")</f>
        <v>-</v>
      </c>
      <c r="Z22" s="161"/>
      <c r="AA22" s="74" t="str">
        <f t="shared" si="177"/>
        <v>-</v>
      </c>
      <c r="AB22" s="53">
        <f>X22-T22</f>
        <v>0</v>
      </c>
      <c r="AC22" s="84">
        <f t="shared" si="65"/>
        <v>0</v>
      </c>
      <c r="AD22" s="75" t="str">
        <f>IFERROR((X22-T22)*100/T22,"-")</f>
        <v>-</v>
      </c>
      <c r="AE22" s="74" t="str">
        <f t="shared" si="178"/>
        <v>-</v>
      </c>
      <c r="AG22" s="25"/>
      <c r="AH22" s="156"/>
      <c r="AI22" s="70" t="s">
        <v>30</v>
      </c>
      <c r="AJ22" s="51"/>
      <c r="AK22" s="162"/>
      <c r="AL22" s="163"/>
      <c r="AM22" s="78"/>
      <c r="AN22" s="51"/>
      <c r="AO22" s="52" t="str">
        <f>IFERROR(AN22*100/AL22,"-")</f>
        <v>-</v>
      </c>
      <c r="AP22" s="161"/>
      <c r="AQ22" s="74" t="str">
        <f t="shared" si="179"/>
        <v>-</v>
      </c>
      <c r="AR22" s="53">
        <f>AN22-AJ22</f>
        <v>0</v>
      </c>
      <c r="AS22" s="84">
        <f t="shared" si="66"/>
        <v>0</v>
      </c>
      <c r="AT22" s="75" t="str">
        <f>IFERROR((AN22-AJ22)*100/AJ22,"-")</f>
        <v>-</v>
      </c>
      <c r="AU22" s="74" t="str">
        <f t="shared" si="180"/>
        <v>-</v>
      </c>
      <c r="AW22" s="25"/>
      <c r="AX22" s="156"/>
      <c r="AY22" s="70" t="s">
        <v>30</v>
      </c>
      <c r="AZ22" s="51"/>
      <c r="BA22" s="162"/>
      <c r="BB22" s="163"/>
      <c r="BC22" s="78"/>
      <c r="BD22" s="51"/>
      <c r="BE22" s="52" t="str">
        <f>IFERROR(BD22*100/BB22,"-")</f>
        <v>-</v>
      </c>
      <c r="BF22" s="161"/>
      <c r="BG22" s="74" t="str">
        <f t="shared" si="181"/>
        <v>-</v>
      </c>
      <c r="BH22" s="53">
        <f>BD22-AZ22</f>
        <v>0</v>
      </c>
      <c r="BI22" s="84">
        <f t="shared" si="67"/>
        <v>0</v>
      </c>
      <c r="BJ22" s="75" t="str">
        <f>IFERROR((BD22-AZ22)*100/AZ22,"-")</f>
        <v>-</v>
      </c>
      <c r="BK22" s="74" t="str">
        <f t="shared" si="182"/>
        <v>-</v>
      </c>
      <c r="BM22" s="25"/>
      <c r="BN22" s="156"/>
      <c r="BO22" s="70" t="s">
        <v>30</v>
      </c>
      <c r="BP22" s="51"/>
      <c r="BQ22" s="162"/>
      <c r="BR22" s="163"/>
      <c r="BS22" s="78"/>
      <c r="BT22" s="51"/>
      <c r="BU22" s="52" t="str">
        <f>IFERROR(BT22*100/BR22,"-")</f>
        <v>-</v>
      </c>
      <c r="BV22" s="161"/>
      <c r="BW22" s="74" t="str">
        <f t="shared" si="183"/>
        <v>-</v>
      </c>
      <c r="BX22" s="53">
        <f>BT22-BP22</f>
        <v>0</v>
      </c>
      <c r="BY22" s="84">
        <f t="shared" si="68"/>
        <v>0</v>
      </c>
      <c r="BZ22" s="75" t="str">
        <f>IFERROR((BT22-BP22)*100/BP22,"-")</f>
        <v>-</v>
      </c>
      <c r="CA22" s="74" t="str">
        <f t="shared" si="184"/>
        <v>-</v>
      </c>
      <c r="CC22" s="25"/>
      <c r="CD22" s="156"/>
      <c r="CE22" s="70" t="s">
        <v>30</v>
      </c>
      <c r="CF22" s="51"/>
      <c r="CG22" s="162"/>
      <c r="CH22" s="163"/>
      <c r="CI22" s="78"/>
      <c r="CJ22" s="51"/>
      <c r="CK22" s="52" t="str">
        <f>IFERROR(CJ22*100/CH22,"-")</f>
        <v>-</v>
      </c>
      <c r="CL22" s="161"/>
      <c r="CM22" s="74" t="str">
        <f t="shared" si="185"/>
        <v>-</v>
      </c>
      <c r="CN22" s="53">
        <f>CJ22-CF22</f>
        <v>0</v>
      </c>
      <c r="CO22" s="84">
        <f t="shared" si="69"/>
        <v>0</v>
      </c>
      <c r="CP22" s="75" t="str">
        <f>IFERROR((CJ22-CF22)*100/CF22,"-")</f>
        <v>-</v>
      </c>
      <c r="CQ22" s="74" t="str">
        <f t="shared" si="186"/>
        <v>-</v>
      </c>
      <c r="CS22" s="25"/>
      <c r="CT22" s="156"/>
      <c r="CU22" s="70" t="s">
        <v>30</v>
      </c>
      <c r="CV22" s="51"/>
      <c r="CW22" s="162"/>
      <c r="CX22" s="163"/>
      <c r="CY22" s="78"/>
      <c r="CZ22" s="51"/>
      <c r="DA22" s="52" t="str">
        <f>IFERROR(CZ22*100/CX22,"-")</f>
        <v>-</v>
      </c>
      <c r="DB22" s="161"/>
      <c r="DC22" s="74" t="str">
        <f t="shared" si="187"/>
        <v>-</v>
      </c>
      <c r="DD22" s="53">
        <f>CZ22-CV22</f>
        <v>0</v>
      </c>
      <c r="DE22" s="84">
        <f t="shared" si="70"/>
        <v>0</v>
      </c>
      <c r="DF22" s="75" t="str">
        <f>IFERROR((CZ22-CV22)*100/CV22,"-")</f>
        <v>-</v>
      </c>
      <c r="DG22" s="74" t="str">
        <f t="shared" si="188"/>
        <v>-</v>
      </c>
      <c r="DI22" s="25"/>
      <c r="DJ22" s="156"/>
      <c r="DK22" s="70" t="s">
        <v>30</v>
      </c>
      <c r="DL22" s="51"/>
      <c r="DM22" s="162"/>
      <c r="DN22" s="163"/>
      <c r="DO22" s="78"/>
      <c r="DP22" s="51"/>
      <c r="DQ22" s="52" t="str">
        <f>IFERROR(DP22*100/DN22,"-")</f>
        <v>-</v>
      </c>
      <c r="DR22" s="161"/>
      <c r="DS22" s="74" t="str">
        <f t="shared" si="189"/>
        <v>-</v>
      </c>
      <c r="DT22" s="53">
        <f>DP22-DL22</f>
        <v>0</v>
      </c>
      <c r="DU22" s="84">
        <f t="shared" si="71"/>
        <v>0</v>
      </c>
      <c r="DV22" s="75" t="str">
        <f>IFERROR((DP22-DL22)*100/DL22,"-")</f>
        <v>-</v>
      </c>
      <c r="DW22" s="74" t="str">
        <f t="shared" si="190"/>
        <v>-</v>
      </c>
      <c r="DY22" s="25"/>
      <c r="DZ22" s="156"/>
      <c r="EA22" s="70" t="s">
        <v>30</v>
      </c>
      <c r="EB22" s="51"/>
      <c r="EC22" s="162"/>
      <c r="ED22" s="163"/>
      <c r="EE22" s="78"/>
      <c r="EF22" s="51"/>
      <c r="EG22" s="52" t="str">
        <f>IFERROR(EF22*100/ED22,"-")</f>
        <v>-</v>
      </c>
      <c r="EH22" s="161"/>
      <c r="EI22" s="74" t="str">
        <f t="shared" si="191"/>
        <v>-</v>
      </c>
      <c r="EJ22" s="53">
        <f>EF22-EB22</f>
        <v>0</v>
      </c>
      <c r="EK22" s="84">
        <f t="shared" si="72"/>
        <v>0</v>
      </c>
      <c r="EL22" s="75" t="str">
        <f>IFERROR((EF22-EB22)*100/EB22,"-")</f>
        <v>-</v>
      </c>
      <c r="EM22" s="74" t="str">
        <f t="shared" si="192"/>
        <v>-</v>
      </c>
      <c r="EO22" s="25"/>
      <c r="EP22" s="156"/>
      <c r="EQ22" s="70" t="s">
        <v>30</v>
      </c>
      <c r="ER22" s="51"/>
      <c r="ES22" s="162"/>
      <c r="ET22" s="163"/>
      <c r="EU22" s="78"/>
      <c r="EV22" s="51"/>
      <c r="EW22" s="52" t="str">
        <f>IFERROR(EV22*100/ET22,"-")</f>
        <v>-</v>
      </c>
      <c r="EX22" s="161"/>
      <c r="EY22" s="74" t="str">
        <f t="shared" si="193"/>
        <v>-</v>
      </c>
      <c r="EZ22" s="53">
        <f>EV22-ER22</f>
        <v>0</v>
      </c>
      <c r="FA22" s="84">
        <f t="shared" si="73"/>
        <v>0</v>
      </c>
      <c r="FB22" s="75" t="str">
        <f>IFERROR((EV22-ER22)*100/ER22,"-")</f>
        <v>-</v>
      </c>
      <c r="FC22" s="74" t="str">
        <f t="shared" si="194"/>
        <v>-</v>
      </c>
      <c r="FE22" s="25"/>
      <c r="FF22" s="156"/>
      <c r="FG22" s="70" t="s">
        <v>30</v>
      </c>
      <c r="FH22" s="51"/>
      <c r="FI22" s="162"/>
      <c r="FJ22" s="163"/>
      <c r="FK22" s="78"/>
      <c r="FL22" s="51"/>
      <c r="FM22" s="52" t="str">
        <f>IFERROR(FL22*100/FJ22,"-")</f>
        <v>-</v>
      </c>
      <c r="FN22" s="161"/>
      <c r="FO22" s="74" t="str">
        <f t="shared" si="195"/>
        <v>-</v>
      </c>
      <c r="FP22" s="53">
        <f>FL22-FH22</f>
        <v>0</v>
      </c>
      <c r="FQ22" s="84">
        <f t="shared" si="74"/>
        <v>0</v>
      </c>
      <c r="FR22" s="75" t="str">
        <f>IFERROR((FL22-FH22)*100/FH22,"-")</f>
        <v>-</v>
      </c>
      <c r="FS22" s="74" t="str">
        <f t="shared" si="196"/>
        <v>-</v>
      </c>
    </row>
    <row r="23" spans="1:176" ht="30" hidden="1" customHeight="1" x14ac:dyDescent="0.6">
      <c r="A23" s="25"/>
      <c r="B23" s="164" t="s">
        <v>31</v>
      </c>
      <c r="C23" s="70" t="s">
        <v>29</v>
      </c>
      <c r="D23" s="157"/>
      <c r="E23" s="158"/>
      <c r="F23" s="159"/>
      <c r="G23" s="160"/>
      <c r="H23" s="157"/>
      <c r="I23" s="85" t="str">
        <f>IFERROR(H23*100/F23,"-")</f>
        <v>-</v>
      </c>
      <c r="J23" s="165"/>
      <c r="K23" s="74" t="str">
        <f t="shared" si="175"/>
        <v>-</v>
      </c>
      <c r="L23" s="53">
        <f>H23-D23</f>
        <v>0</v>
      </c>
      <c r="M23" s="84">
        <f t="shared" si="176"/>
        <v>0</v>
      </c>
      <c r="N23" s="75" t="str">
        <f>IFERROR((H23-D23)*100/D23,"-")</f>
        <v>-</v>
      </c>
      <c r="O23" s="74" t="str">
        <f t="shared" si="12"/>
        <v>-</v>
      </c>
      <c r="Q23" s="25"/>
      <c r="R23" s="164" t="s">
        <v>31</v>
      </c>
      <c r="S23" s="70" t="s">
        <v>29</v>
      </c>
      <c r="T23" s="157"/>
      <c r="U23" s="158"/>
      <c r="V23" s="159"/>
      <c r="W23" s="160"/>
      <c r="X23" s="157"/>
      <c r="Y23" s="85" t="str">
        <f>IFERROR(X23*100/V23,"-")</f>
        <v>-</v>
      </c>
      <c r="Z23" s="165"/>
      <c r="AA23" s="74" t="str">
        <f t="shared" si="177"/>
        <v>-</v>
      </c>
      <c r="AB23" s="53">
        <f>X23-T23</f>
        <v>0</v>
      </c>
      <c r="AC23" s="84">
        <f t="shared" si="65"/>
        <v>0</v>
      </c>
      <c r="AD23" s="75" t="str">
        <f>IFERROR((X23-T23)*100/T23,"-")</f>
        <v>-</v>
      </c>
      <c r="AE23" s="74" t="str">
        <f t="shared" si="178"/>
        <v>-</v>
      </c>
      <c r="AG23" s="25"/>
      <c r="AH23" s="164" t="s">
        <v>31</v>
      </c>
      <c r="AI23" s="70" t="s">
        <v>29</v>
      </c>
      <c r="AJ23" s="157"/>
      <c r="AK23" s="158"/>
      <c r="AL23" s="159"/>
      <c r="AM23" s="160"/>
      <c r="AN23" s="157"/>
      <c r="AO23" s="85" t="str">
        <f>IFERROR(AN23*100/AL23,"-")</f>
        <v>-</v>
      </c>
      <c r="AP23" s="165"/>
      <c r="AQ23" s="74" t="str">
        <f t="shared" si="179"/>
        <v>-</v>
      </c>
      <c r="AR23" s="53">
        <f>AN23-AJ23</f>
        <v>0</v>
      </c>
      <c r="AS23" s="84">
        <f t="shared" si="66"/>
        <v>0</v>
      </c>
      <c r="AT23" s="75" t="str">
        <f>IFERROR((AN23-AJ23)*100/AJ23,"-")</f>
        <v>-</v>
      </c>
      <c r="AU23" s="74" t="str">
        <f t="shared" si="180"/>
        <v>-</v>
      </c>
      <c r="AW23" s="25"/>
      <c r="AX23" s="164" t="s">
        <v>31</v>
      </c>
      <c r="AY23" s="70" t="s">
        <v>29</v>
      </c>
      <c r="AZ23" s="157"/>
      <c r="BA23" s="158"/>
      <c r="BB23" s="159"/>
      <c r="BC23" s="160"/>
      <c r="BD23" s="157"/>
      <c r="BE23" s="85" t="str">
        <f>IFERROR(BD23*100/BB23,"-")</f>
        <v>-</v>
      </c>
      <c r="BF23" s="165"/>
      <c r="BG23" s="74" t="str">
        <f t="shared" si="181"/>
        <v>-</v>
      </c>
      <c r="BH23" s="53">
        <f>BD23-AZ23</f>
        <v>0</v>
      </c>
      <c r="BI23" s="84">
        <f t="shared" si="67"/>
        <v>0</v>
      </c>
      <c r="BJ23" s="75" t="str">
        <f>IFERROR((BD23-AZ23)*100/AZ23,"-")</f>
        <v>-</v>
      </c>
      <c r="BK23" s="74" t="str">
        <f t="shared" si="182"/>
        <v>-</v>
      </c>
      <c r="BM23" s="25"/>
      <c r="BN23" s="164" t="s">
        <v>31</v>
      </c>
      <c r="BO23" s="70" t="s">
        <v>29</v>
      </c>
      <c r="BP23" s="157"/>
      <c r="BQ23" s="158"/>
      <c r="BR23" s="159"/>
      <c r="BS23" s="160"/>
      <c r="BT23" s="157"/>
      <c r="BU23" s="85" t="str">
        <f>IFERROR(BT23*100/BR23,"-")</f>
        <v>-</v>
      </c>
      <c r="BV23" s="165"/>
      <c r="BW23" s="74" t="str">
        <f t="shared" si="183"/>
        <v>-</v>
      </c>
      <c r="BX23" s="53">
        <f>BT23-BP23</f>
        <v>0</v>
      </c>
      <c r="BY23" s="84">
        <f t="shared" si="68"/>
        <v>0</v>
      </c>
      <c r="BZ23" s="75" t="str">
        <f>IFERROR((BT23-BP23)*100/BP23,"-")</f>
        <v>-</v>
      </c>
      <c r="CA23" s="74" t="str">
        <f t="shared" si="184"/>
        <v>-</v>
      </c>
      <c r="CC23" s="25"/>
      <c r="CD23" s="164" t="s">
        <v>31</v>
      </c>
      <c r="CE23" s="70" t="s">
        <v>29</v>
      </c>
      <c r="CF23" s="157"/>
      <c r="CG23" s="158"/>
      <c r="CH23" s="159"/>
      <c r="CI23" s="160"/>
      <c r="CJ23" s="157"/>
      <c r="CK23" s="85" t="str">
        <f>IFERROR(CJ23*100/CH23,"-")</f>
        <v>-</v>
      </c>
      <c r="CL23" s="165"/>
      <c r="CM23" s="74" t="str">
        <f t="shared" si="185"/>
        <v>-</v>
      </c>
      <c r="CN23" s="53">
        <f>CJ23-CF23</f>
        <v>0</v>
      </c>
      <c r="CO23" s="84">
        <f t="shared" si="69"/>
        <v>0</v>
      </c>
      <c r="CP23" s="75" t="str">
        <f>IFERROR((CJ23-CF23)*100/CF23,"-")</f>
        <v>-</v>
      </c>
      <c r="CQ23" s="74" t="str">
        <f t="shared" si="186"/>
        <v>-</v>
      </c>
      <c r="CS23" s="25"/>
      <c r="CT23" s="164" t="s">
        <v>31</v>
      </c>
      <c r="CU23" s="70" t="s">
        <v>29</v>
      </c>
      <c r="CV23" s="157"/>
      <c r="CW23" s="158"/>
      <c r="CX23" s="159"/>
      <c r="CY23" s="160"/>
      <c r="CZ23" s="157"/>
      <c r="DA23" s="85" t="str">
        <f>IFERROR(CZ23*100/CX23,"-")</f>
        <v>-</v>
      </c>
      <c r="DB23" s="165"/>
      <c r="DC23" s="74" t="str">
        <f t="shared" si="187"/>
        <v>-</v>
      </c>
      <c r="DD23" s="53">
        <f>CZ23-CV23</f>
        <v>0</v>
      </c>
      <c r="DE23" s="84">
        <f t="shared" si="70"/>
        <v>0</v>
      </c>
      <c r="DF23" s="75" t="str">
        <f>IFERROR((CZ23-CV23)*100/CV23,"-")</f>
        <v>-</v>
      </c>
      <c r="DG23" s="74" t="str">
        <f t="shared" si="188"/>
        <v>-</v>
      </c>
      <c r="DI23" s="25"/>
      <c r="DJ23" s="164" t="s">
        <v>31</v>
      </c>
      <c r="DK23" s="70" t="s">
        <v>29</v>
      </c>
      <c r="DL23" s="157"/>
      <c r="DM23" s="158"/>
      <c r="DN23" s="159"/>
      <c r="DO23" s="160"/>
      <c r="DP23" s="157"/>
      <c r="DQ23" s="85" t="str">
        <f>IFERROR(DP23*100/DN23,"-")</f>
        <v>-</v>
      </c>
      <c r="DR23" s="165"/>
      <c r="DS23" s="74" t="str">
        <f t="shared" si="189"/>
        <v>-</v>
      </c>
      <c r="DT23" s="53">
        <f>DP23-DL23</f>
        <v>0</v>
      </c>
      <c r="DU23" s="84">
        <f t="shared" si="71"/>
        <v>0</v>
      </c>
      <c r="DV23" s="75" t="str">
        <f>IFERROR((DP23-DL23)*100/DL23,"-")</f>
        <v>-</v>
      </c>
      <c r="DW23" s="74" t="str">
        <f t="shared" si="190"/>
        <v>-</v>
      </c>
      <c r="DY23" s="25"/>
      <c r="DZ23" s="164" t="s">
        <v>31</v>
      </c>
      <c r="EA23" s="70" t="s">
        <v>29</v>
      </c>
      <c r="EB23" s="157"/>
      <c r="EC23" s="158"/>
      <c r="ED23" s="159"/>
      <c r="EE23" s="160"/>
      <c r="EF23" s="157"/>
      <c r="EG23" s="85" t="str">
        <f>IFERROR(EF23*100/ED23,"-")</f>
        <v>-</v>
      </c>
      <c r="EH23" s="165"/>
      <c r="EI23" s="74" t="str">
        <f t="shared" si="191"/>
        <v>-</v>
      </c>
      <c r="EJ23" s="53">
        <f>EF23-EB23</f>
        <v>0</v>
      </c>
      <c r="EK23" s="84">
        <f t="shared" si="72"/>
        <v>0</v>
      </c>
      <c r="EL23" s="75" t="str">
        <f>IFERROR((EF23-EB23)*100/EB23,"-")</f>
        <v>-</v>
      </c>
      <c r="EM23" s="74" t="str">
        <f t="shared" si="192"/>
        <v>-</v>
      </c>
      <c r="EO23" s="25"/>
      <c r="EP23" s="164" t="s">
        <v>31</v>
      </c>
      <c r="EQ23" s="70" t="s">
        <v>29</v>
      </c>
      <c r="ER23" s="157"/>
      <c r="ES23" s="158"/>
      <c r="ET23" s="159"/>
      <c r="EU23" s="160"/>
      <c r="EV23" s="157"/>
      <c r="EW23" s="85" t="str">
        <f>IFERROR(EV23*100/ET23,"-")</f>
        <v>-</v>
      </c>
      <c r="EX23" s="165"/>
      <c r="EY23" s="74" t="str">
        <f t="shared" si="193"/>
        <v>-</v>
      </c>
      <c r="EZ23" s="53">
        <f>EV23-ER23</f>
        <v>0</v>
      </c>
      <c r="FA23" s="84">
        <f t="shared" si="73"/>
        <v>0</v>
      </c>
      <c r="FB23" s="75" t="str">
        <f>IFERROR((EV23-ER23)*100/ER23,"-")</f>
        <v>-</v>
      </c>
      <c r="FC23" s="74" t="str">
        <f t="shared" si="194"/>
        <v>-</v>
      </c>
      <c r="FE23" s="25"/>
      <c r="FF23" s="164" t="s">
        <v>31</v>
      </c>
      <c r="FG23" s="70" t="s">
        <v>29</v>
      </c>
      <c r="FH23" s="157"/>
      <c r="FI23" s="158"/>
      <c r="FJ23" s="159"/>
      <c r="FK23" s="160"/>
      <c r="FL23" s="157"/>
      <c r="FM23" s="85" t="str">
        <f>IFERROR(FL23*100/FJ23,"-")</f>
        <v>-</v>
      </c>
      <c r="FN23" s="165"/>
      <c r="FO23" s="74" t="str">
        <f t="shared" si="195"/>
        <v>-</v>
      </c>
      <c r="FP23" s="53">
        <f>FL23-FH23</f>
        <v>0</v>
      </c>
      <c r="FQ23" s="84">
        <f t="shared" si="74"/>
        <v>0</v>
      </c>
      <c r="FR23" s="75" t="str">
        <f>IFERROR((FL23-FH23)*100/FH23,"-")</f>
        <v>-</v>
      </c>
      <c r="FS23" s="74" t="str">
        <f t="shared" si="196"/>
        <v>-</v>
      </c>
    </row>
    <row r="24" spans="1:176" ht="30" hidden="1" customHeight="1" thickBot="1" x14ac:dyDescent="0.65">
      <c r="A24" s="166"/>
      <c r="B24" s="164"/>
      <c r="C24" s="129" t="s">
        <v>30</v>
      </c>
      <c r="D24" s="167"/>
      <c r="E24" s="168"/>
      <c r="F24" s="169"/>
      <c r="G24" s="170"/>
      <c r="H24" s="167"/>
      <c r="I24" s="171" t="str">
        <f>IFERROR(H24*100/F24,"-")</f>
        <v>-</v>
      </c>
      <c r="J24" s="172"/>
      <c r="K24" s="140" t="str">
        <f t="shared" si="175"/>
        <v>-</v>
      </c>
      <c r="L24" s="173">
        <f>H24-D24</f>
        <v>0</v>
      </c>
      <c r="M24" s="174">
        <f t="shared" si="176"/>
        <v>0</v>
      </c>
      <c r="N24" s="175" t="str">
        <f>IFERROR((H24-D24)*100/D24,"-")</f>
        <v>-</v>
      </c>
      <c r="O24" s="140" t="str">
        <f t="shared" si="12"/>
        <v>-</v>
      </c>
      <c r="Q24" s="166"/>
      <c r="R24" s="164"/>
      <c r="S24" s="129" t="s">
        <v>30</v>
      </c>
      <c r="T24" s="167"/>
      <c r="U24" s="168"/>
      <c r="V24" s="169"/>
      <c r="W24" s="170"/>
      <c r="X24" s="167"/>
      <c r="Y24" s="171" t="str">
        <f>IFERROR(X24*100/V24,"-")</f>
        <v>-</v>
      </c>
      <c r="Z24" s="172"/>
      <c r="AA24" s="140" t="str">
        <f t="shared" si="177"/>
        <v>-</v>
      </c>
      <c r="AB24" s="173">
        <f>X24-T24</f>
        <v>0</v>
      </c>
      <c r="AC24" s="174">
        <f t="shared" si="65"/>
        <v>0</v>
      </c>
      <c r="AD24" s="175" t="str">
        <f>IFERROR((X24-T24)*100/T24,"-")</f>
        <v>-</v>
      </c>
      <c r="AE24" s="140" t="str">
        <f t="shared" si="178"/>
        <v>-</v>
      </c>
      <c r="AG24" s="166"/>
      <c r="AH24" s="164"/>
      <c r="AI24" s="129" t="s">
        <v>30</v>
      </c>
      <c r="AJ24" s="167"/>
      <c r="AK24" s="168"/>
      <c r="AL24" s="169"/>
      <c r="AM24" s="170"/>
      <c r="AN24" s="167"/>
      <c r="AO24" s="171" t="str">
        <f>IFERROR(AN24*100/AL24,"-")</f>
        <v>-</v>
      </c>
      <c r="AP24" s="172"/>
      <c r="AQ24" s="140" t="str">
        <f t="shared" si="179"/>
        <v>-</v>
      </c>
      <c r="AR24" s="173">
        <f>AN24-AJ24</f>
        <v>0</v>
      </c>
      <c r="AS24" s="174">
        <f t="shared" si="66"/>
        <v>0</v>
      </c>
      <c r="AT24" s="175" t="str">
        <f>IFERROR((AN24-AJ24)*100/AJ24,"-")</f>
        <v>-</v>
      </c>
      <c r="AU24" s="140" t="str">
        <f t="shared" si="180"/>
        <v>-</v>
      </c>
      <c r="AW24" s="166"/>
      <c r="AX24" s="164"/>
      <c r="AY24" s="129" t="s">
        <v>30</v>
      </c>
      <c r="AZ24" s="167"/>
      <c r="BA24" s="168"/>
      <c r="BB24" s="169"/>
      <c r="BC24" s="170"/>
      <c r="BD24" s="167"/>
      <c r="BE24" s="171" t="str">
        <f>IFERROR(BD24*100/BB24,"-")</f>
        <v>-</v>
      </c>
      <c r="BF24" s="172"/>
      <c r="BG24" s="140" t="str">
        <f t="shared" si="181"/>
        <v>-</v>
      </c>
      <c r="BH24" s="173">
        <f>BD24-AZ24</f>
        <v>0</v>
      </c>
      <c r="BI24" s="174">
        <f t="shared" si="67"/>
        <v>0</v>
      </c>
      <c r="BJ24" s="175" t="str">
        <f>IFERROR((BD24-AZ24)*100/AZ24,"-")</f>
        <v>-</v>
      </c>
      <c r="BK24" s="140" t="str">
        <f t="shared" si="182"/>
        <v>-</v>
      </c>
      <c r="BM24" s="166"/>
      <c r="BN24" s="164"/>
      <c r="BO24" s="129" t="s">
        <v>30</v>
      </c>
      <c r="BP24" s="167"/>
      <c r="BQ24" s="168"/>
      <c r="BR24" s="169"/>
      <c r="BS24" s="170"/>
      <c r="BT24" s="167"/>
      <c r="BU24" s="171" t="str">
        <f>IFERROR(BT24*100/BR24,"-")</f>
        <v>-</v>
      </c>
      <c r="BV24" s="172"/>
      <c r="BW24" s="140" t="str">
        <f t="shared" si="183"/>
        <v>-</v>
      </c>
      <c r="BX24" s="173">
        <f>BT24-BP24</f>
        <v>0</v>
      </c>
      <c r="BY24" s="174">
        <f t="shared" si="68"/>
        <v>0</v>
      </c>
      <c r="BZ24" s="175" t="str">
        <f>IFERROR((BT24-BP24)*100/BP24,"-")</f>
        <v>-</v>
      </c>
      <c r="CA24" s="140" t="str">
        <f t="shared" si="184"/>
        <v>-</v>
      </c>
      <c r="CC24" s="166"/>
      <c r="CD24" s="164"/>
      <c r="CE24" s="129" t="s">
        <v>30</v>
      </c>
      <c r="CF24" s="167"/>
      <c r="CG24" s="168"/>
      <c r="CH24" s="169"/>
      <c r="CI24" s="170"/>
      <c r="CJ24" s="167"/>
      <c r="CK24" s="171" t="str">
        <f>IFERROR(CJ24*100/CH24,"-")</f>
        <v>-</v>
      </c>
      <c r="CL24" s="172"/>
      <c r="CM24" s="140" t="str">
        <f t="shared" si="185"/>
        <v>-</v>
      </c>
      <c r="CN24" s="173">
        <f>CJ24-CF24</f>
        <v>0</v>
      </c>
      <c r="CO24" s="174">
        <f t="shared" si="69"/>
        <v>0</v>
      </c>
      <c r="CP24" s="175" t="str">
        <f>IFERROR((CJ24-CF24)*100/CF24,"-")</f>
        <v>-</v>
      </c>
      <c r="CQ24" s="140" t="str">
        <f t="shared" si="186"/>
        <v>-</v>
      </c>
      <c r="CS24" s="166"/>
      <c r="CT24" s="164"/>
      <c r="CU24" s="129" t="s">
        <v>30</v>
      </c>
      <c r="CV24" s="167"/>
      <c r="CW24" s="168"/>
      <c r="CX24" s="169"/>
      <c r="CY24" s="170"/>
      <c r="CZ24" s="167"/>
      <c r="DA24" s="171" t="str">
        <f>IFERROR(CZ24*100/CX24,"-")</f>
        <v>-</v>
      </c>
      <c r="DB24" s="172"/>
      <c r="DC24" s="140" t="str">
        <f t="shared" si="187"/>
        <v>-</v>
      </c>
      <c r="DD24" s="173">
        <f>CZ24-CV24</f>
        <v>0</v>
      </c>
      <c r="DE24" s="174">
        <f t="shared" si="70"/>
        <v>0</v>
      </c>
      <c r="DF24" s="175" t="str">
        <f>IFERROR((CZ24-CV24)*100/CV24,"-")</f>
        <v>-</v>
      </c>
      <c r="DG24" s="140" t="str">
        <f t="shared" si="188"/>
        <v>-</v>
      </c>
      <c r="DI24" s="166"/>
      <c r="DJ24" s="164"/>
      <c r="DK24" s="129" t="s">
        <v>30</v>
      </c>
      <c r="DL24" s="167"/>
      <c r="DM24" s="168"/>
      <c r="DN24" s="169"/>
      <c r="DO24" s="170"/>
      <c r="DP24" s="167"/>
      <c r="DQ24" s="171" t="str">
        <f>IFERROR(DP24*100/DN24,"-")</f>
        <v>-</v>
      </c>
      <c r="DR24" s="172"/>
      <c r="DS24" s="140" t="str">
        <f t="shared" si="189"/>
        <v>-</v>
      </c>
      <c r="DT24" s="173">
        <f>DP24-DL24</f>
        <v>0</v>
      </c>
      <c r="DU24" s="174">
        <f t="shared" si="71"/>
        <v>0</v>
      </c>
      <c r="DV24" s="175" t="str">
        <f>IFERROR((DP24-DL24)*100/DL24,"-")</f>
        <v>-</v>
      </c>
      <c r="DW24" s="140" t="str">
        <f t="shared" si="190"/>
        <v>-</v>
      </c>
      <c r="DY24" s="166"/>
      <c r="DZ24" s="164"/>
      <c r="EA24" s="129" t="s">
        <v>30</v>
      </c>
      <c r="EB24" s="167"/>
      <c r="EC24" s="168"/>
      <c r="ED24" s="169"/>
      <c r="EE24" s="170"/>
      <c r="EF24" s="167"/>
      <c r="EG24" s="171" t="str">
        <f>IFERROR(EF24*100/ED24,"-")</f>
        <v>-</v>
      </c>
      <c r="EH24" s="172"/>
      <c r="EI24" s="140" t="str">
        <f t="shared" si="191"/>
        <v>-</v>
      </c>
      <c r="EJ24" s="173">
        <f>EF24-EB24</f>
        <v>0</v>
      </c>
      <c r="EK24" s="174">
        <f t="shared" si="72"/>
        <v>0</v>
      </c>
      <c r="EL24" s="175" t="str">
        <f>IFERROR((EF24-EB24)*100/EB24,"-")</f>
        <v>-</v>
      </c>
      <c r="EM24" s="140" t="str">
        <f t="shared" si="192"/>
        <v>-</v>
      </c>
      <c r="EO24" s="166"/>
      <c r="EP24" s="164"/>
      <c r="EQ24" s="129" t="s">
        <v>30</v>
      </c>
      <c r="ER24" s="167"/>
      <c r="ES24" s="168"/>
      <c r="ET24" s="169"/>
      <c r="EU24" s="170"/>
      <c r="EV24" s="167"/>
      <c r="EW24" s="171" t="str">
        <f>IFERROR(EV24*100/ET24,"-")</f>
        <v>-</v>
      </c>
      <c r="EX24" s="172"/>
      <c r="EY24" s="140" t="str">
        <f t="shared" si="193"/>
        <v>-</v>
      </c>
      <c r="EZ24" s="173">
        <f>EV24-ER24</f>
        <v>0</v>
      </c>
      <c r="FA24" s="174">
        <f t="shared" si="73"/>
        <v>0</v>
      </c>
      <c r="FB24" s="175" t="str">
        <f>IFERROR((EV24-ER24)*100/ER24,"-")</f>
        <v>-</v>
      </c>
      <c r="FC24" s="140" t="str">
        <f t="shared" si="194"/>
        <v>-</v>
      </c>
      <c r="FE24" s="166"/>
      <c r="FF24" s="164"/>
      <c r="FG24" s="129" t="s">
        <v>30</v>
      </c>
      <c r="FH24" s="167"/>
      <c r="FI24" s="168"/>
      <c r="FJ24" s="169"/>
      <c r="FK24" s="170"/>
      <c r="FL24" s="167"/>
      <c r="FM24" s="171" t="str">
        <f>IFERROR(FL24*100/FJ24,"-")</f>
        <v>-</v>
      </c>
      <c r="FN24" s="172"/>
      <c r="FO24" s="140" t="str">
        <f t="shared" si="195"/>
        <v>-</v>
      </c>
      <c r="FP24" s="173">
        <f>FL24-FH24</f>
        <v>0</v>
      </c>
      <c r="FQ24" s="174">
        <f t="shared" si="74"/>
        <v>0</v>
      </c>
      <c r="FR24" s="175" t="str">
        <f>IFERROR((FL24-FH24)*100/FH24,"-")</f>
        <v>-</v>
      </c>
      <c r="FS24" s="140" t="str">
        <f t="shared" si="196"/>
        <v>-</v>
      </c>
    </row>
    <row r="25" spans="1:176" ht="35.1" customHeight="1" thickBot="1" x14ac:dyDescent="0.65">
      <c r="A25" s="176" t="str">
        <f>IF(SUM(P12,P20)=2,"جمع کل (درآمد عملیاتی)",IF(SUM(P12,P20)=0,"جمع کل (درآمد عملیاتی بدون بیمه)",""))</f>
        <v>جمع کل (درآمد عملیاتی بدون بیمه)</v>
      </c>
      <c r="B25" s="177"/>
      <c r="C25" s="178"/>
      <c r="D25" s="179"/>
      <c r="E25" s="180">
        <f>IFERROR(SUMPRODUCT(E$5:E$20,$P$5:$P$20),"")</f>
        <v>1091418</v>
      </c>
      <c r="F25" s="179"/>
      <c r="G25" s="180">
        <f>IFERROR(SUMPRODUCT(G$5:G$20,$P$5:$P$20),"")</f>
        <v>1753136</v>
      </c>
      <c r="H25" s="179"/>
      <c r="I25" s="181"/>
      <c r="J25" s="182">
        <f>IFERROR(SUMPRODUCT(J$5:J$20,$P$5:$P$20),"")</f>
        <v>2698410</v>
      </c>
      <c r="K25" s="183">
        <f>IFERROR(J25*100/G25,"")</f>
        <v>153.9190342335107</v>
      </c>
      <c r="L25" s="184"/>
      <c r="M25" s="185">
        <f t="shared" ref="M25" si="197">IFERROR(J25-E25,"")</f>
        <v>1606992</v>
      </c>
      <c r="N25" s="184"/>
      <c r="O25" s="180">
        <f>IFERROR((J25-E25)*100/E25,"")</f>
        <v>147.23891304706353</v>
      </c>
      <c r="Q25" s="176" t="str">
        <f>$A$25</f>
        <v>جمع کل (درآمد عملیاتی بدون بیمه)</v>
      </c>
      <c r="R25" s="177"/>
      <c r="S25" s="178"/>
      <c r="T25" s="179"/>
      <c r="U25" s="180">
        <f>IFERROR(SUMPRODUCT(U$5:U$20,$P$5:$P$20),"")</f>
        <v>107877</v>
      </c>
      <c r="V25" s="179"/>
      <c r="W25" s="180">
        <f>IFERROR(SUMPRODUCT(W$5:W$20,$P$5:$P$20),"")</f>
        <v>388812</v>
      </c>
      <c r="X25" s="179"/>
      <c r="Y25" s="181"/>
      <c r="Z25" s="182">
        <f>IFERROR(SUMPRODUCT(Z$5:Z$20,$P$5:$P$20),"")</f>
        <v>52103</v>
      </c>
      <c r="AA25" s="183">
        <f>IFERROR(Z25*100/W25,"")</f>
        <v>13.400563768607965</v>
      </c>
      <c r="AB25" s="184"/>
      <c r="AC25" s="186">
        <f t="shared" si="65"/>
        <v>-55774</v>
      </c>
      <c r="AD25" s="184"/>
      <c r="AE25" s="180">
        <f>IFERROR((Z25-U25)*100/U25,"")</f>
        <v>-51.701474827813158</v>
      </c>
      <c r="AG25" s="176" t="str">
        <f>$A$25</f>
        <v>جمع کل (درآمد عملیاتی بدون بیمه)</v>
      </c>
      <c r="AH25" s="177"/>
      <c r="AI25" s="178"/>
      <c r="AJ25" s="179"/>
      <c r="AK25" s="180">
        <f>IFERROR(SUMPRODUCT(AK$5:AK$20,$P$5:$P$20),"")</f>
        <v>97432</v>
      </c>
      <c r="AL25" s="179"/>
      <c r="AM25" s="180">
        <f>IFERROR(SUMPRODUCT(AM$5:AM$20,$P$5:$P$20),"")</f>
        <v>190176</v>
      </c>
      <c r="AN25" s="179"/>
      <c r="AO25" s="181"/>
      <c r="AP25" s="182">
        <f>IFERROR(SUMPRODUCT(AP$5:AP$20,$P$5:$P$20),"")</f>
        <v>1056293</v>
      </c>
      <c r="AQ25" s="183">
        <f>IFERROR(AP25*100/AM25,"")</f>
        <v>555.42918138987045</v>
      </c>
      <c r="AR25" s="184"/>
      <c r="AS25" s="185">
        <f t="shared" si="66"/>
        <v>958861</v>
      </c>
      <c r="AT25" s="184"/>
      <c r="AU25" s="180">
        <f>IFERROR((AP25-AK25)*100/AK25,"")</f>
        <v>984.13354955250838</v>
      </c>
      <c r="AW25" s="176" t="str">
        <f>$A$25</f>
        <v>جمع کل (درآمد عملیاتی بدون بیمه)</v>
      </c>
      <c r="AX25" s="177"/>
      <c r="AY25" s="178"/>
      <c r="AZ25" s="179"/>
      <c r="BA25" s="180">
        <f>IFERROR(SUMPRODUCT(BA$5:BA$20,$P$5:$P$20),"")</f>
        <v>84888</v>
      </c>
      <c r="BB25" s="179"/>
      <c r="BC25" s="180">
        <f>IFERROR(SUMPRODUCT(BC$5:BC$20,$P$5:$P$20),"")</f>
        <v>139616</v>
      </c>
      <c r="BD25" s="179"/>
      <c r="BE25" s="181"/>
      <c r="BF25" s="182">
        <f>IFERROR(SUMPRODUCT(BF$5:BF$20,$P$5:$P$20),"")</f>
        <v>122672</v>
      </c>
      <c r="BG25" s="183">
        <f>IFERROR(BF25*100/BC25,"")</f>
        <v>87.863855145542061</v>
      </c>
      <c r="BH25" s="184"/>
      <c r="BI25" s="185">
        <f t="shared" si="67"/>
        <v>37784</v>
      </c>
      <c r="BJ25" s="184"/>
      <c r="BK25" s="180">
        <f>IFERROR((BF25-BA25)*100/BA25,"")</f>
        <v>44.510413721609652</v>
      </c>
      <c r="BM25" s="176" t="str">
        <f>$A$25</f>
        <v>جمع کل (درآمد عملیاتی بدون بیمه)</v>
      </c>
      <c r="BN25" s="177"/>
      <c r="BO25" s="178"/>
      <c r="BP25" s="179"/>
      <c r="BQ25" s="180">
        <f>IFERROR(SUMPRODUCT(BQ$5:BQ$20,$P$5:$P$20),"")</f>
        <v>463426</v>
      </c>
      <c r="BR25" s="179"/>
      <c r="BS25" s="180">
        <f>IFERROR(SUMPRODUCT(BS$5:BS$20,$P$5:$P$20),"")</f>
        <v>615028</v>
      </c>
      <c r="BT25" s="179"/>
      <c r="BU25" s="181"/>
      <c r="BV25" s="182">
        <f>IFERROR(SUMPRODUCT(BV$5:BV$20,$P$5:$P$20),"")</f>
        <v>839456</v>
      </c>
      <c r="BW25" s="183">
        <f>IFERROR(BV25*100/BS25,"")</f>
        <v>136.49069635853976</v>
      </c>
      <c r="BX25" s="184"/>
      <c r="BY25" s="185">
        <f t="shared" si="68"/>
        <v>376030</v>
      </c>
      <c r="BZ25" s="184"/>
      <c r="CA25" s="180">
        <f>IFERROR((BV25-BQ25)*100/BQ25,"")</f>
        <v>81.141325691696196</v>
      </c>
      <c r="CC25" s="176" t="str">
        <f>$A$25</f>
        <v>جمع کل (درآمد عملیاتی بدون بیمه)</v>
      </c>
      <c r="CD25" s="177"/>
      <c r="CE25" s="178"/>
      <c r="CF25" s="179"/>
      <c r="CG25" s="180">
        <f>IFERROR(SUMPRODUCT(CG$5:CG$20,$P$5:$P$20),"")</f>
        <v>115959</v>
      </c>
      <c r="CH25" s="179"/>
      <c r="CI25" s="180">
        <f>IFERROR(SUMPRODUCT(CI$5:CI$20,$P$5:$P$20),"")</f>
        <v>98232</v>
      </c>
      <c r="CJ25" s="179"/>
      <c r="CK25" s="181"/>
      <c r="CL25" s="182">
        <f>IFERROR(SUMPRODUCT(CL$5:CL$20,$P$5:$P$20),"")</f>
        <v>170890</v>
      </c>
      <c r="CM25" s="183">
        <f>IFERROR(CL25*100/CI25,"")</f>
        <v>173.96571382034367</v>
      </c>
      <c r="CN25" s="184"/>
      <c r="CO25" s="185">
        <f t="shared" si="69"/>
        <v>54931</v>
      </c>
      <c r="CP25" s="184"/>
      <c r="CQ25" s="180">
        <f>IFERROR((CL25-CG25)*100/CG25,"")</f>
        <v>47.371053562034859</v>
      </c>
      <c r="CS25" s="176" t="str">
        <f>$A$25</f>
        <v>جمع کل (درآمد عملیاتی بدون بیمه)</v>
      </c>
      <c r="CT25" s="177"/>
      <c r="CU25" s="178"/>
      <c r="CV25" s="179"/>
      <c r="CW25" s="180">
        <f>IFERROR(SUMPRODUCT(CW$5:CW$20,$P$5:$P$20),"")</f>
        <v>9367</v>
      </c>
      <c r="CX25" s="179"/>
      <c r="CY25" s="180">
        <f>IFERROR(SUMPRODUCT(CY$5:CY$20,$P$5:$P$20),"")</f>
        <v>5444</v>
      </c>
      <c r="CZ25" s="179"/>
      <c r="DA25" s="181"/>
      <c r="DB25" s="182">
        <f>IFERROR(SUMPRODUCT(DB$5:DB$20,$P$5:$P$20),"")</f>
        <v>26005</v>
      </c>
      <c r="DC25" s="183">
        <f>IFERROR(DB25*100/CY25,"")</f>
        <v>477.68185157972079</v>
      </c>
      <c r="DD25" s="184"/>
      <c r="DE25" s="185">
        <f t="shared" si="70"/>
        <v>16638</v>
      </c>
      <c r="DF25" s="184"/>
      <c r="DG25" s="180">
        <f>IFERROR((DB25-CW25)*100/CW25,"")</f>
        <v>177.62357211487137</v>
      </c>
      <c r="DI25" s="176" t="str">
        <f>$A$25</f>
        <v>جمع کل (درآمد عملیاتی بدون بیمه)</v>
      </c>
      <c r="DJ25" s="177"/>
      <c r="DK25" s="178"/>
      <c r="DL25" s="179"/>
      <c r="DM25" s="180">
        <f>IFERROR(SUMPRODUCT(DM$5:DM$20,$P$5:$P$20),"")</f>
        <v>204072</v>
      </c>
      <c r="DN25" s="179"/>
      <c r="DO25" s="180">
        <f>IFERROR(SUMPRODUCT(DO$5:DO$20,$P$5:$P$20),"")</f>
        <v>274150</v>
      </c>
      <c r="DP25" s="179"/>
      <c r="DQ25" s="181"/>
      <c r="DR25" s="182">
        <f>IFERROR(SUMPRODUCT(DR$5:DR$20,$P$5:$P$20),"")</f>
        <v>389082</v>
      </c>
      <c r="DS25" s="183">
        <f>IFERROR(DR25*100/DO25,"")</f>
        <v>141.92303483494436</v>
      </c>
      <c r="DT25" s="184"/>
      <c r="DU25" s="185">
        <f t="shared" si="71"/>
        <v>185010</v>
      </c>
      <c r="DV25" s="184"/>
      <c r="DW25" s="180">
        <f>IFERROR((DR25-DM25)*100/DM25,"")</f>
        <v>90.65917911325414</v>
      </c>
      <c r="DY25" s="176" t="str">
        <f>$A$25</f>
        <v>جمع کل (درآمد عملیاتی بدون بیمه)</v>
      </c>
      <c r="DZ25" s="177"/>
      <c r="EA25" s="178"/>
      <c r="EB25" s="179"/>
      <c r="EC25" s="180">
        <f>IFERROR(SUMPRODUCT(EC$5:EC$20,$P$5:$P$20),"")</f>
        <v>5472</v>
      </c>
      <c r="ED25" s="179"/>
      <c r="EE25" s="180">
        <f>IFERROR(SUMPRODUCT(EE$5:EE$20,$P$5:$P$20),"")</f>
        <v>28968</v>
      </c>
      <c r="EF25" s="179"/>
      <c r="EG25" s="181"/>
      <c r="EH25" s="182">
        <f>IFERROR(SUMPRODUCT(EH$5:EH$20,$P$5:$P$20),"")</f>
        <v>812</v>
      </c>
      <c r="EI25" s="183">
        <f>IFERROR(EH25*100/EE25,"")</f>
        <v>2.8030930682132009</v>
      </c>
      <c r="EJ25" s="184"/>
      <c r="EK25" s="185">
        <f t="shared" si="72"/>
        <v>-4660</v>
      </c>
      <c r="EL25" s="184"/>
      <c r="EM25" s="180">
        <f>IFERROR((EH25-EC25)*100/EC25,"")</f>
        <v>-85.160818713450297</v>
      </c>
      <c r="EO25" s="176" t="str">
        <f>$A$25</f>
        <v>جمع کل (درآمد عملیاتی بدون بیمه)</v>
      </c>
      <c r="EP25" s="177"/>
      <c r="EQ25" s="178"/>
      <c r="ER25" s="179"/>
      <c r="ES25" s="180">
        <f>IFERROR(SUMPRODUCT(ES$5:ES$20,$P$5:$P$20),"")</f>
        <v>2925</v>
      </c>
      <c r="ET25" s="179"/>
      <c r="EU25" s="180">
        <f>IFERROR(SUMPRODUCT(EU$5:EU$20,$P$5:$P$20),"")</f>
        <v>12710</v>
      </c>
      <c r="EV25" s="179"/>
      <c r="EW25" s="181"/>
      <c r="EX25" s="182">
        <f>IFERROR(SUMPRODUCT(EX$5:EX$20,$P$5:$P$20),"")</f>
        <v>37848</v>
      </c>
      <c r="EY25" s="183">
        <f>IFERROR(EX25*100/EU25,"")</f>
        <v>297.78127458693945</v>
      </c>
      <c r="EZ25" s="184"/>
      <c r="FA25" s="185">
        <f t="shared" si="73"/>
        <v>34923</v>
      </c>
      <c r="FB25" s="184"/>
      <c r="FC25" s="180">
        <f>IFERROR((EX25-ES25)*100/ES25,"")</f>
        <v>1193.948717948718</v>
      </c>
      <c r="FE25" s="176" t="str">
        <f>$A$25</f>
        <v>جمع کل (درآمد عملیاتی بدون بیمه)</v>
      </c>
      <c r="FF25" s="177"/>
      <c r="FG25" s="178"/>
      <c r="FH25" s="179"/>
      <c r="FI25" s="180">
        <f>IFERROR(SUMPRODUCT(FI$5:FI$20,$P$5:$P$20),"")</f>
        <v>0</v>
      </c>
      <c r="FJ25" s="179"/>
      <c r="FK25" s="180">
        <f>IFERROR(SUMPRODUCT(FK$5:FK$20,$P$5:$P$20),"")</f>
        <v>0</v>
      </c>
      <c r="FL25" s="179"/>
      <c r="FM25" s="181"/>
      <c r="FN25" s="182">
        <f>IFERROR(SUMPRODUCT(FN$5:FN$20,$P$5:$P$20),"")</f>
        <v>3249</v>
      </c>
      <c r="FO25" s="183" t="str">
        <f>IFERROR(FN25*100/FK25,"")</f>
        <v/>
      </c>
      <c r="FP25" s="184"/>
      <c r="FQ25" s="185">
        <f t="shared" si="74"/>
        <v>3249</v>
      </c>
      <c r="FR25" s="184"/>
      <c r="FS25" s="180" t="str">
        <f>IFERROR((FN25-FI25)*100/FI25,"")</f>
        <v/>
      </c>
    </row>
    <row r="26" spans="1:176" s="192" customFormat="1" ht="28.5" customHeight="1" x14ac:dyDescent="0.6">
      <c r="A26" s="187"/>
      <c r="B26" s="187"/>
      <c r="C26" s="188"/>
      <c r="D26" s="189"/>
      <c r="E26" s="190"/>
      <c r="F26" s="189"/>
      <c r="G26" s="190"/>
      <c r="H26" s="189"/>
      <c r="I26" s="189"/>
      <c r="J26" s="189"/>
      <c r="K26" s="191"/>
      <c r="L26" s="189"/>
      <c r="M26" s="191"/>
      <c r="N26" s="189"/>
      <c r="O26" s="187"/>
      <c r="U26" s="193">
        <v>1</v>
      </c>
      <c r="V26" s="193"/>
      <c r="W26" s="193">
        <v>2</v>
      </c>
      <c r="X26" s="193"/>
      <c r="Y26" s="193"/>
      <c r="Z26" s="193">
        <v>3</v>
      </c>
      <c r="AK26" s="193">
        <f>$U$26</f>
        <v>1</v>
      </c>
      <c r="AL26" s="193"/>
      <c r="AM26" s="193">
        <f>$W$26</f>
        <v>2</v>
      </c>
      <c r="AN26" s="193"/>
      <c r="AO26" s="193"/>
      <c r="AP26" s="193">
        <f>$Z$26</f>
        <v>3</v>
      </c>
      <c r="BA26" s="193">
        <f>$U$26</f>
        <v>1</v>
      </c>
      <c r="BB26" s="193"/>
      <c r="BC26" s="193">
        <f>$W$26</f>
        <v>2</v>
      </c>
      <c r="BD26" s="193"/>
      <c r="BE26" s="193"/>
      <c r="BF26" s="193">
        <f>$Z$26</f>
        <v>3</v>
      </c>
      <c r="BQ26" s="193">
        <f>$U$26</f>
        <v>1</v>
      </c>
      <c r="BR26" s="193"/>
      <c r="BS26" s="193">
        <f>$W$26</f>
        <v>2</v>
      </c>
      <c r="BT26" s="193"/>
      <c r="BU26" s="193"/>
      <c r="BV26" s="193">
        <f>$Z$26</f>
        <v>3</v>
      </c>
      <c r="CG26" s="193">
        <f>$U$26</f>
        <v>1</v>
      </c>
      <c r="CH26" s="193"/>
      <c r="CI26" s="193">
        <f>$W$26</f>
        <v>2</v>
      </c>
      <c r="CJ26" s="193"/>
      <c r="CK26" s="193"/>
      <c r="CL26" s="193">
        <f>$Z$26</f>
        <v>3</v>
      </c>
      <c r="CW26" s="193">
        <f>$U$26</f>
        <v>1</v>
      </c>
      <c r="CX26" s="193"/>
      <c r="CY26" s="193">
        <f>$W$26</f>
        <v>2</v>
      </c>
      <c r="CZ26" s="193"/>
      <c r="DA26" s="193"/>
      <c r="DB26" s="193">
        <f>$Z$26</f>
        <v>3</v>
      </c>
      <c r="DM26" s="193">
        <f>$U$26</f>
        <v>1</v>
      </c>
      <c r="DN26" s="193"/>
      <c r="DO26" s="193">
        <f>$W$26</f>
        <v>2</v>
      </c>
      <c r="DP26" s="193"/>
      <c r="DQ26" s="193"/>
      <c r="DR26" s="193">
        <f>$Z$26</f>
        <v>3</v>
      </c>
      <c r="EC26" s="193">
        <f>$U$26</f>
        <v>1</v>
      </c>
      <c r="ED26" s="193"/>
      <c r="EE26" s="193">
        <f>$W$26</f>
        <v>2</v>
      </c>
      <c r="EF26" s="193"/>
      <c r="EG26" s="193"/>
      <c r="EH26" s="193">
        <f>$Z$26</f>
        <v>3</v>
      </c>
      <c r="ES26" s="193">
        <f>$U$26</f>
        <v>1</v>
      </c>
      <c r="ET26" s="193"/>
      <c r="EU26" s="193">
        <f>$W$26</f>
        <v>2</v>
      </c>
      <c r="EV26" s="193"/>
      <c r="EW26" s="193"/>
      <c r="EX26" s="193">
        <f>$Z$26</f>
        <v>3</v>
      </c>
      <c r="FI26" s="193">
        <f>$U$26</f>
        <v>1</v>
      </c>
      <c r="FJ26" s="193"/>
      <c r="FK26" s="193">
        <f>$W$26</f>
        <v>2</v>
      </c>
      <c r="FL26" s="193"/>
      <c r="FM26" s="193"/>
      <c r="FN26" s="193">
        <f>$Z$26</f>
        <v>3</v>
      </c>
    </row>
    <row r="27" spans="1:176" s="198" customFormat="1" ht="31.5" customHeight="1" thickBot="1" x14ac:dyDescent="1.3">
      <c r="A27" s="194"/>
      <c r="B27" s="195"/>
      <c r="C27" s="195"/>
      <c r="D27" s="195"/>
      <c r="E27" s="195"/>
      <c r="F27" s="195"/>
      <c r="G27" s="195"/>
      <c r="H27" s="196"/>
      <c r="I27" s="196"/>
      <c r="J27" s="196"/>
      <c r="K27" s="196"/>
      <c r="L27" s="197"/>
      <c r="M27" s="197"/>
      <c r="N27" s="197"/>
      <c r="O27" s="197"/>
    </row>
    <row r="28" spans="1:176" s="192" customFormat="1" ht="287.25" customHeight="1" thickTop="1" thickBot="1" x14ac:dyDescent="0.65">
      <c r="A28" s="199" t="s">
        <v>32</v>
      </c>
      <c r="B28" s="200"/>
      <c r="C28" s="200"/>
      <c r="D28" s="200"/>
      <c r="E28" s="200"/>
      <c r="F28" s="200"/>
      <c r="G28" s="200"/>
      <c r="H28" s="200"/>
      <c r="I28" s="200"/>
      <c r="J28" s="200"/>
      <c r="K28" s="200"/>
      <c r="L28" s="200"/>
      <c r="M28" s="200"/>
      <c r="N28" s="200"/>
      <c r="O28" s="201"/>
      <c r="P28" s="202"/>
      <c r="Q28" s="199" t="s">
        <v>33</v>
      </c>
      <c r="R28" s="200"/>
      <c r="S28" s="200"/>
      <c r="T28" s="200"/>
      <c r="U28" s="200"/>
      <c r="V28" s="200"/>
      <c r="W28" s="200"/>
      <c r="X28" s="200"/>
      <c r="Y28" s="200"/>
      <c r="Z28" s="200"/>
      <c r="AA28" s="200"/>
      <c r="AB28" s="200"/>
      <c r="AC28" s="200"/>
      <c r="AD28" s="200"/>
      <c r="AE28" s="201"/>
      <c r="AG28" s="199" t="s">
        <v>34</v>
      </c>
      <c r="AH28" s="200"/>
      <c r="AI28" s="200"/>
      <c r="AJ28" s="200"/>
      <c r="AK28" s="200"/>
      <c r="AL28" s="200"/>
      <c r="AM28" s="200"/>
      <c r="AN28" s="200"/>
      <c r="AO28" s="200"/>
      <c r="AP28" s="200"/>
      <c r="AQ28" s="200"/>
      <c r="AR28" s="200"/>
      <c r="AS28" s="200"/>
      <c r="AT28" s="200"/>
      <c r="AU28" s="201"/>
      <c r="AW28" s="199" t="s">
        <v>35</v>
      </c>
      <c r="AX28" s="200"/>
      <c r="AY28" s="200"/>
      <c r="AZ28" s="200"/>
      <c r="BA28" s="200"/>
      <c r="BB28" s="200"/>
      <c r="BC28" s="200"/>
      <c r="BD28" s="200"/>
      <c r="BE28" s="200"/>
      <c r="BF28" s="200"/>
      <c r="BG28" s="200"/>
      <c r="BH28" s="200"/>
      <c r="BI28" s="200"/>
      <c r="BJ28" s="200"/>
      <c r="BK28" s="201"/>
      <c r="BM28" s="199" t="s">
        <v>36</v>
      </c>
      <c r="BN28" s="200"/>
      <c r="BO28" s="200"/>
      <c r="BP28" s="200"/>
      <c r="BQ28" s="200"/>
      <c r="BR28" s="200"/>
      <c r="BS28" s="200"/>
      <c r="BT28" s="200"/>
      <c r="BU28" s="200"/>
      <c r="BV28" s="200"/>
      <c r="BW28" s="200"/>
      <c r="BX28" s="200"/>
      <c r="BY28" s="200"/>
      <c r="BZ28" s="200"/>
      <c r="CA28" s="201"/>
      <c r="CC28" s="199" t="s">
        <v>37</v>
      </c>
      <c r="CD28" s="200"/>
      <c r="CE28" s="200"/>
      <c r="CF28" s="200"/>
      <c r="CG28" s="200"/>
      <c r="CH28" s="200"/>
      <c r="CI28" s="200"/>
      <c r="CJ28" s="200"/>
      <c r="CK28" s="200"/>
      <c r="CL28" s="200"/>
      <c r="CM28" s="200"/>
      <c r="CN28" s="200"/>
      <c r="CO28" s="200"/>
      <c r="CP28" s="200"/>
      <c r="CQ28" s="201"/>
      <c r="CS28" s="199" t="s">
        <v>38</v>
      </c>
      <c r="CT28" s="200"/>
      <c r="CU28" s="200"/>
      <c r="CV28" s="200"/>
      <c r="CW28" s="200"/>
      <c r="CX28" s="200"/>
      <c r="CY28" s="200"/>
      <c r="CZ28" s="200"/>
      <c r="DA28" s="200"/>
      <c r="DB28" s="200"/>
      <c r="DC28" s="200"/>
      <c r="DD28" s="200"/>
      <c r="DE28" s="200"/>
      <c r="DF28" s="200"/>
      <c r="DG28" s="201"/>
      <c r="DI28" s="199" t="s">
        <v>39</v>
      </c>
      <c r="DJ28" s="200"/>
      <c r="DK28" s="200"/>
      <c r="DL28" s="200"/>
      <c r="DM28" s="200"/>
      <c r="DN28" s="200"/>
      <c r="DO28" s="200"/>
      <c r="DP28" s="200"/>
      <c r="DQ28" s="200"/>
      <c r="DR28" s="200"/>
      <c r="DS28" s="200"/>
      <c r="DT28" s="200"/>
      <c r="DU28" s="200"/>
      <c r="DV28" s="200"/>
      <c r="DW28" s="201"/>
      <c r="DY28" s="199" t="s">
        <v>40</v>
      </c>
      <c r="DZ28" s="200"/>
      <c r="EA28" s="200"/>
      <c r="EB28" s="200"/>
      <c r="EC28" s="200"/>
      <c r="ED28" s="200"/>
      <c r="EE28" s="200"/>
      <c r="EF28" s="200"/>
      <c r="EG28" s="200"/>
      <c r="EH28" s="200"/>
      <c r="EI28" s="200"/>
      <c r="EJ28" s="200"/>
      <c r="EK28" s="200"/>
      <c r="EL28" s="200"/>
      <c r="EM28" s="201"/>
      <c r="EO28" s="199" t="s">
        <v>41</v>
      </c>
      <c r="EP28" s="200"/>
      <c r="EQ28" s="200"/>
      <c r="ER28" s="200"/>
      <c r="ES28" s="200"/>
      <c r="ET28" s="200"/>
      <c r="EU28" s="200"/>
      <c r="EV28" s="200"/>
      <c r="EW28" s="200"/>
      <c r="EX28" s="200"/>
      <c r="EY28" s="200"/>
      <c r="EZ28" s="200"/>
      <c r="FA28" s="200"/>
      <c r="FB28" s="200"/>
      <c r="FC28" s="201"/>
      <c r="FE28" s="199" t="s">
        <v>32</v>
      </c>
      <c r="FF28" s="200"/>
      <c r="FG28" s="200"/>
      <c r="FH28" s="200"/>
      <c r="FI28" s="200"/>
      <c r="FJ28" s="200"/>
      <c r="FK28" s="200"/>
      <c r="FL28" s="200"/>
      <c r="FM28" s="200"/>
      <c r="FN28" s="200"/>
      <c r="FO28" s="200"/>
      <c r="FP28" s="200"/>
      <c r="FQ28" s="200"/>
      <c r="FR28" s="200"/>
      <c r="FS28" s="201"/>
    </row>
    <row r="29" spans="1:176" s="192" customFormat="1" ht="15" customHeight="1" thickTop="1" x14ac:dyDescent="0.6">
      <c r="A29" s="203"/>
      <c r="B29" s="203"/>
      <c r="C29" s="203"/>
      <c r="D29" s="203"/>
      <c r="E29" s="203"/>
      <c r="F29" s="203"/>
      <c r="G29" s="203"/>
      <c r="H29" s="203"/>
      <c r="I29" s="203"/>
      <c r="J29" s="203"/>
      <c r="K29" s="203"/>
      <c r="L29" s="203"/>
      <c r="M29" s="203"/>
      <c r="N29" s="203"/>
      <c r="O29" s="203"/>
    </row>
    <row r="30" spans="1:176" ht="233.25" customHeight="1" x14ac:dyDescent="0.6">
      <c r="A30" s="204" t="s">
        <v>42</v>
      </c>
      <c r="B30" s="205"/>
      <c r="C30" s="205"/>
      <c r="D30" s="205"/>
      <c r="E30" s="205"/>
      <c r="F30" s="205"/>
      <c r="G30" s="205"/>
      <c r="H30" s="205"/>
      <c r="I30" s="205"/>
      <c r="J30" s="205"/>
      <c r="K30" s="205"/>
      <c r="L30" s="205"/>
      <c r="M30" s="205"/>
      <c r="N30" s="205"/>
      <c r="O30" s="205"/>
    </row>
    <row r="31" spans="1:176" ht="27" x14ac:dyDescent="0.75">
      <c r="A31" s="206"/>
      <c r="B31" s="206"/>
      <c r="C31" s="206"/>
      <c r="D31" s="206"/>
      <c r="E31" s="206"/>
      <c r="F31" s="206"/>
      <c r="G31" s="206"/>
      <c r="H31" s="206"/>
      <c r="I31" s="206"/>
      <c r="J31" s="206"/>
      <c r="K31" s="206"/>
      <c r="L31" s="206"/>
      <c r="M31" s="206"/>
      <c r="N31" s="206"/>
      <c r="O31" s="206"/>
    </row>
  </sheetData>
  <mergeCells count="254">
    <mergeCell ref="DI28:DW28"/>
    <mergeCell ref="DY28:EM28"/>
    <mergeCell ref="EO28:FC28"/>
    <mergeCell ref="FE28:FS28"/>
    <mergeCell ref="A30:O30"/>
    <mergeCell ref="DY25:EA25"/>
    <mergeCell ref="EO25:EQ25"/>
    <mergeCell ref="FE25:FG25"/>
    <mergeCell ref="A28:O28"/>
    <mergeCell ref="Q28:AE28"/>
    <mergeCell ref="AG28:AU28"/>
    <mergeCell ref="AW28:BK28"/>
    <mergeCell ref="BM28:CA28"/>
    <mergeCell ref="CC28:CQ28"/>
    <mergeCell ref="CS28:DG28"/>
    <mergeCell ref="EP23:EP24"/>
    <mergeCell ref="FF23:FF24"/>
    <mergeCell ref="A25:C25"/>
    <mergeCell ref="Q25:S25"/>
    <mergeCell ref="AG25:AI25"/>
    <mergeCell ref="AW25:AY25"/>
    <mergeCell ref="BM25:BO25"/>
    <mergeCell ref="CC25:CE25"/>
    <mergeCell ref="CS25:CU25"/>
    <mergeCell ref="DI25:DK25"/>
    <mergeCell ref="EO21:EO24"/>
    <mergeCell ref="EP21:EP22"/>
    <mergeCell ref="FE21:FE24"/>
    <mergeCell ref="FF21:FF22"/>
    <mergeCell ref="B23:B24"/>
    <mergeCell ref="R23:R24"/>
    <mergeCell ref="AH23:AH24"/>
    <mergeCell ref="AX23:AX24"/>
    <mergeCell ref="BN23:BN24"/>
    <mergeCell ref="CD23:CD24"/>
    <mergeCell ref="CS21:CS24"/>
    <mergeCell ref="CT21:CT22"/>
    <mergeCell ref="DI21:DI24"/>
    <mergeCell ref="DJ21:DJ22"/>
    <mergeCell ref="DY21:DY24"/>
    <mergeCell ref="DZ21:DZ22"/>
    <mergeCell ref="CT23:CT24"/>
    <mergeCell ref="DJ23:DJ24"/>
    <mergeCell ref="DZ23:DZ24"/>
    <mergeCell ref="AW21:AW24"/>
    <mergeCell ref="AX21:AX22"/>
    <mergeCell ref="BM21:BM24"/>
    <mergeCell ref="BN21:BN22"/>
    <mergeCell ref="CC21:CC24"/>
    <mergeCell ref="CD21:CD22"/>
    <mergeCell ref="A21:A24"/>
    <mergeCell ref="B21:B22"/>
    <mergeCell ref="Q21:Q24"/>
    <mergeCell ref="R21:R22"/>
    <mergeCell ref="AG21:AG24"/>
    <mergeCell ref="AH21:AH22"/>
    <mergeCell ref="FI13:FI15"/>
    <mergeCell ref="FK13:FK15"/>
    <mergeCell ref="FN13:FN15"/>
    <mergeCell ref="FO13:FO15"/>
    <mergeCell ref="FQ13:FQ15"/>
    <mergeCell ref="FS13:FS15"/>
    <mergeCell ref="EU13:EU15"/>
    <mergeCell ref="EX13:EX15"/>
    <mergeCell ref="EY13:EY15"/>
    <mergeCell ref="FA13:FA15"/>
    <mergeCell ref="FC13:FC15"/>
    <mergeCell ref="FE13:FE20"/>
    <mergeCell ref="EH13:EH15"/>
    <mergeCell ref="EI13:EI15"/>
    <mergeCell ref="EK13:EK15"/>
    <mergeCell ref="EM13:EM15"/>
    <mergeCell ref="EO13:EO20"/>
    <mergeCell ref="ES13:ES15"/>
    <mergeCell ref="DS13:DS15"/>
    <mergeCell ref="DU13:DU15"/>
    <mergeCell ref="DW13:DW15"/>
    <mergeCell ref="DY13:DY20"/>
    <mergeCell ref="EC13:EC15"/>
    <mergeCell ref="EE13:EE15"/>
    <mergeCell ref="DE13:DE15"/>
    <mergeCell ref="DG13:DG15"/>
    <mergeCell ref="DI13:DI20"/>
    <mergeCell ref="DM13:DM15"/>
    <mergeCell ref="DO13:DO15"/>
    <mergeCell ref="DR13:DR15"/>
    <mergeCell ref="CQ13:CQ15"/>
    <mergeCell ref="CS13:CS20"/>
    <mergeCell ref="CW13:CW15"/>
    <mergeCell ref="CY13:CY15"/>
    <mergeCell ref="DB13:DB15"/>
    <mergeCell ref="DC13:DC15"/>
    <mergeCell ref="CC13:CC20"/>
    <mergeCell ref="CG13:CG15"/>
    <mergeCell ref="CI13:CI15"/>
    <mergeCell ref="CL13:CL15"/>
    <mergeCell ref="CM13:CM15"/>
    <mergeCell ref="CO13:CO15"/>
    <mergeCell ref="BQ13:BQ15"/>
    <mergeCell ref="BS13:BS15"/>
    <mergeCell ref="BV13:BV15"/>
    <mergeCell ref="BW13:BW15"/>
    <mergeCell ref="BY13:BY15"/>
    <mergeCell ref="CA13:CA15"/>
    <mergeCell ref="BC13:BC15"/>
    <mergeCell ref="BF13:BF15"/>
    <mergeCell ref="BG13:BG15"/>
    <mergeCell ref="BI13:BI15"/>
    <mergeCell ref="BK13:BK15"/>
    <mergeCell ref="BM13:BM20"/>
    <mergeCell ref="AP13:AP15"/>
    <mergeCell ref="AQ13:AQ15"/>
    <mergeCell ref="AS13:AS15"/>
    <mergeCell ref="AU13:AU15"/>
    <mergeCell ref="AW13:AW20"/>
    <mergeCell ref="BA13:BA15"/>
    <mergeCell ref="AA13:AA15"/>
    <mergeCell ref="AC13:AC15"/>
    <mergeCell ref="AE13:AE15"/>
    <mergeCell ref="AG13:AG20"/>
    <mergeCell ref="AK13:AK15"/>
    <mergeCell ref="AM13:AM15"/>
    <mergeCell ref="M13:M15"/>
    <mergeCell ref="O13:O15"/>
    <mergeCell ref="Q13:Q20"/>
    <mergeCell ref="U13:U15"/>
    <mergeCell ref="W13:W15"/>
    <mergeCell ref="Z13:Z15"/>
    <mergeCell ref="FK5:FK7"/>
    <mergeCell ref="FN5:FN7"/>
    <mergeCell ref="FO5:FO7"/>
    <mergeCell ref="FQ5:FQ7"/>
    <mergeCell ref="FS5:FS7"/>
    <mergeCell ref="A13:A20"/>
    <mergeCell ref="E13:E15"/>
    <mergeCell ref="G13:G15"/>
    <mergeCell ref="J13:J15"/>
    <mergeCell ref="K13:K15"/>
    <mergeCell ref="EX5:EX7"/>
    <mergeCell ref="EY5:EY7"/>
    <mergeCell ref="FA5:FA7"/>
    <mergeCell ref="FC5:FC7"/>
    <mergeCell ref="FE5:FE12"/>
    <mergeCell ref="FI5:FI7"/>
    <mergeCell ref="EI5:EI7"/>
    <mergeCell ref="EK5:EK7"/>
    <mergeCell ref="EM5:EM7"/>
    <mergeCell ref="EO5:EO12"/>
    <mergeCell ref="ES5:ES7"/>
    <mergeCell ref="EU5:EU7"/>
    <mergeCell ref="DU5:DU7"/>
    <mergeCell ref="DW5:DW7"/>
    <mergeCell ref="DY5:DY12"/>
    <mergeCell ref="EC5:EC7"/>
    <mergeCell ref="EE5:EE7"/>
    <mergeCell ref="EH5:EH7"/>
    <mergeCell ref="DG5:DG7"/>
    <mergeCell ref="DI5:DI12"/>
    <mergeCell ref="DM5:DM7"/>
    <mergeCell ref="DO5:DO7"/>
    <mergeCell ref="DR5:DR7"/>
    <mergeCell ref="DS5:DS7"/>
    <mergeCell ref="CS5:CS12"/>
    <mergeCell ref="CW5:CW7"/>
    <mergeCell ref="CY5:CY7"/>
    <mergeCell ref="DB5:DB7"/>
    <mergeCell ref="DC5:DC7"/>
    <mergeCell ref="DE5:DE7"/>
    <mergeCell ref="CG5:CG7"/>
    <mergeCell ref="CI5:CI7"/>
    <mergeCell ref="CL5:CL7"/>
    <mergeCell ref="CM5:CM7"/>
    <mergeCell ref="CO5:CO7"/>
    <mergeCell ref="CQ5:CQ7"/>
    <mergeCell ref="BS5:BS7"/>
    <mergeCell ref="BV5:BV7"/>
    <mergeCell ref="BW5:BW7"/>
    <mergeCell ref="BY5:BY7"/>
    <mergeCell ref="CA5:CA7"/>
    <mergeCell ref="CC5:CC12"/>
    <mergeCell ref="BF5:BF7"/>
    <mergeCell ref="BG5:BG7"/>
    <mergeCell ref="BI5:BI7"/>
    <mergeCell ref="BK5:BK7"/>
    <mergeCell ref="BM5:BM12"/>
    <mergeCell ref="BQ5:BQ7"/>
    <mergeCell ref="AQ5:AQ7"/>
    <mergeCell ref="AS5:AS7"/>
    <mergeCell ref="AU5:AU7"/>
    <mergeCell ref="AW5:AW12"/>
    <mergeCell ref="BA5:BA7"/>
    <mergeCell ref="BC5:BC7"/>
    <mergeCell ref="AC5:AC7"/>
    <mergeCell ref="AE5:AE7"/>
    <mergeCell ref="AG5:AG12"/>
    <mergeCell ref="AK5:AK7"/>
    <mergeCell ref="AM5:AM7"/>
    <mergeCell ref="AP5:AP7"/>
    <mergeCell ref="O5:O7"/>
    <mergeCell ref="Q5:Q12"/>
    <mergeCell ref="U5:U7"/>
    <mergeCell ref="W5:W7"/>
    <mergeCell ref="Z5:Z7"/>
    <mergeCell ref="AA5:AA7"/>
    <mergeCell ref="EQ3:EQ4"/>
    <mergeCell ref="FE3:FE4"/>
    <mergeCell ref="FF3:FF4"/>
    <mergeCell ref="FG3:FG4"/>
    <mergeCell ref="A5:A12"/>
    <mergeCell ref="E5:E7"/>
    <mergeCell ref="G5:G7"/>
    <mergeCell ref="J5:J7"/>
    <mergeCell ref="K5:K7"/>
    <mergeCell ref="M5:M7"/>
    <mergeCell ref="DK3:DK4"/>
    <mergeCell ref="DY3:DY4"/>
    <mergeCell ref="DZ3:DZ4"/>
    <mergeCell ref="EA3:EA4"/>
    <mergeCell ref="EO3:EO4"/>
    <mergeCell ref="EP3:EP4"/>
    <mergeCell ref="CE3:CE4"/>
    <mergeCell ref="CS3:CS4"/>
    <mergeCell ref="CT3:CT4"/>
    <mergeCell ref="CU3:CU4"/>
    <mergeCell ref="DI3:DI4"/>
    <mergeCell ref="DJ3:DJ4"/>
    <mergeCell ref="AY3:AY4"/>
    <mergeCell ref="BM3:BM4"/>
    <mergeCell ref="BN3:BN4"/>
    <mergeCell ref="BO3:BO4"/>
    <mergeCell ref="CC3:CC4"/>
    <mergeCell ref="CD3:CD4"/>
    <mergeCell ref="S3:S4"/>
    <mergeCell ref="AG3:AG4"/>
    <mergeCell ref="AH3:AH4"/>
    <mergeCell ref="AI3:AI4"/>
    <mergeCell ref="AW3:AW4"/>
    <mergeCell ref="AX3:AX4"/>
    <mergeCell ref="CS2:DG2"/>
    <mergeCell ref="DI2:DW2"/>
    <mergeCell ref="DY2:EM2"/>
    <mergeCell ref="EO2:FC2"/>
    <mergeCell ref="FE2:FS2"/>
    <mergeCell ref="A3:A4"/>
    <mergeCell ref="B3:B4"/>
    <mergeCell ref="C3:C4"/>
    <mergeCell ref="Q3:Q4"/>
    <mergeCell ref="R3:R4"/>
    <mergeCell ref="A1:O1"/>
    <mergeCell ref="Q2:AE2"/>
    <mergeCell ref="AG2:AU2"/>
    <mergeCell ref="AW2:BK2"/>
    <mergeCell ref="BM2:CA2"/>
    <mergeCell ref="CC2:CQ2"/>
  </mergeCells>
  <conditionalFormatting sqref="D8:D10">
    <cfRule type="expression" dxfId="352" priority="153">
      <formula>AND(D8=0,OR($D8&lt;&gt;0,$J8&lt;&gt;0))</formula>
    </cfRule>
  </conditionalFormatting>
  <conditionalFormatting sqref="F8:F10">
    <cfRule type="expression" dxfId="351" priority="152">
      <formula>AND(F8=0,OR($D8&lt;&gt;0,$J8&lt;&gt;0))</formula>
    </cfRule>
  </conditionalFormatting>
  <conditionalFormatting sqref="H8:H10">
    <cfRule type="expression" dxfId="350" priority="151">
      <formula>AND(H8=0,OR($D8&lt;&gt;0,$J8&lt;&gt;0))</formula>
    </cfRule>
  </conditionalFormatting>
  <conditionalFormatting sqref="D16:D18">
    <cfRule type="expression" dxfId="349" priority="150">
      <formula>AND(D16=0,OR($D16&lt;&gt;0,$J16&lt;&gt;0))</formula>
    </cfRule>
  </conditionalFormatting>
  <conditionalFormatting sqref="F16:F18">
    <cfRule type="expression" dxfId="348" priority="149">
      <formula>AND(F16=0,OR($D16&lt;&gt;0,$J16&lt;&gt;0))</formula>
    </cfRule>
  </conditionalFormatting>
  <conditionalFormatting sqref="H16:H18">
    <cfRule type="expression" dxfId="347" priority="148">
      <formula>AND(H16=0,OR($D16&lt;&gt;0,$J16&lt;&gt;0))</formula>
    </cfRule>
  </conditionalFormatting>
  <conditionalFormatting sqref="D5">
    <cfRule type="expression" dxfId="346" priority="147">
      <formula>AND(D5=0,OR($D5&lt;&gt;0,$J5&lt;&gt;0))</formula>
    </cfRule>
  </conditionalFormatting>
  <conditionalFormatting sqref="F5">
    <cfRule type="expression" dxfId="345" priority="146">
      <formula>AND(F5=0,OR($D5&lt;&gt;0,$J5&lt;&gt;0))</formula>
    </cfRule>
  </conditionalFormatting>
  <conditionalFormatting sqref="H5">
    <cfRule type="expression" dxfId="344" priority="145">
      <formula>AND(H5=0,OR($D5&lt;&gt;0,$J5&lt;&gt;0))</formula>
    </cfRule>
  </conditionalFormatting>
  <conditionalFormatting sqref="D13">
    <cfRule type="expression" dxfId="343" priority="144">
      <formula>AND(D13=0,OR($D13&lt;&gt;0,$J13&lt;&gt;0))</formula>
    </cfRule>
  </conditionalFormatting>
  <conditionalFormatting sqref="F13">
    <cfRule type="expression" dxfId="342" priority="143">
      <formula>AND(F13=0,OR($D13&lt;&gt;0,$J13&lt;&gt;0))</formula>
    </cfRule>
  </conditionalFormatting>
  <conditionalFormatting sqref="H13">
    <cfRule type="expression" dxfId="341" priority="142">
      <formula>AND(H13=0,OR($D13&lt;&gt;0,$J13&lt;&gt;0))</formula>
    </cfRule>
  </conditionalFormatting>
  <conditionalFormatting sqref="D7">
    <cfRule type="expression" dxfId="340" priority="141">
      <formula>AND(D7=0,OR($D7&lt;&gt;0,$J7&lt;&gt;0))</formula>
    </cfRule>
  </conditionalFormatting>
  <conditionalFormatting sqref="F7">
    <cfRule type="expression" dxfId="339" priority="140">
      <formula>AND(F7=0,OR($D7&lt;&gt;0,$J7&lt;&gt;0))</formula>
    </cfRule>
  </conditionalFormatting>
  <conditionalFormatting sqref="H7">
    <cfRule type="expression" dxfId="338" priority="139">
      <formula>AND(H7=0,OR($D7&lt;&gt;0,$J7&lt;&gt;0))</formula>
    </cfRule>
  </conditionalFormatting>
  <conditionalFormatting sqref="D15">
    <cfRule type="expression" dxfId="337" priority="138">
      <formula>AND(D15=0,OR($D15&lt;&gt;0,$J15&lt;&gt;0))</formula>
    </cfRule>
  </conditionalFormatting>
  <conditionalFormatting sqref="F15">
    <cfRule type="expression" dxfId="336" priority="137">
      <formula>AND(F15=0,OR($D15&lt;&gt;0,$J15&lt;&gt;0))</formula>
    </cfRule>
  </conditionalFormatting>
  <conditionalFormatting sqref="H15">
    <cfRule type="expression" dxfId="335" priority="136">
      <formula>AND(H15=0,OR($D15&lt;&gt;0,$J15&lt;&gt;0))</formula>
    </cfRule>
  </conditionalFormatting>
  <conditionalFormatting sqref="A1:AF1 A2:Q2 AF2 FU1:XFD1048576 A3:AF4 A8:F12 A6:D7 F6:F7 A21:AF1048576 A13:D20 F13:F20 A5:F5 H5:AF20">
    <cfRule type="cellIs" dxfId="334" priority="135" operator="equal">
      <formula>0</formula>
    </cfRule>
  </conditionalFormatting>
  <conditionalFormatting sqref="I5:I25 K5:K25">
    <cfRule type="cellIs" dxfId="333" priority="133" operator="lessThan">
      <formula>90</formula>
    </cfRule>
    <cfRule type="cellIs" dxfId="332" priority="134" operator="greaterThan">
      <formula>110</formula>
    </cfRule>
  </conditionalFormatting>
  <conditionalFormatting sqref="N5:O25">
    <cfRule type="cellIs" dxfId="331" priority="131" operator="lessThan">
      <formula>0</formula>
    </cfRule>
    <cfRule type="cellIs" dxfId="330" priority="132" operator="greaterThan">
      <formula>20</formula>
    </cfRule>
  </conditionalFormatting>
  <conditionalFormatting sqref="AA5:AA25">
    <cfRule type="cellIs" dxfId="329" priority="129" operator="lessThan">
      <formula>90</formula>
    </cfRule>
    <cfRule type="cellIs" dxfId="328" priority="130" operator="greaterThan">
      <formula>110</formula>
    </cfRule>
  </conditionalFormatting>
  <conditionalFormatting sqref="Y5:Y18">
    <cfRule type="cellIs" dxfId="327" priority="127" operator="lessThan">
      <formula>90</formula>
    </cfRule>
    <cfRule type="cellIs" dxfId="326" priority="128" operator="greaterThan">
      <formula>110</formula>
    </cfRule>
  </conditionalFormatting>
  <conditionalFormatting sqref="AD5:AE25">
    <cfRule type="cellIs" dxfId="325" priority="125" operator="lessThan">
      <formula>0</formula>
    </cfRule>
    <cfRule type="cellIs" dxfId="324" priority="126" operator="greaterThan">
      <formula>20</formula>
    </cfRule>
  </conditionalFormatting>
  <conditionalFormatting sqref="Y5:Y18">
    <cfRule type="cellIs" dxfId="323" priority="123" operator="lessThan">
      <formula>90</formula>
    </cfRule>
    <cfRule type="cellIs" dxfId="322" priority="124" operator="greaterThan">
      <formula>110</formula>
    </cfRule>
  </conditionalFormatting>
  <conditionalFormatting sqref="AG2 AV1:AV2 AG3:AV1048576">
    <cfRule type="cellIs" dxfId="321" priority="122" operator="equal">
      <formula>0</formula>
    </cfRule>
  </conditionalFormatting>
  <conditionalFormatting sqref="AQ5:AQ25">
    <cfRule type="cellIs" dxfId="320" priority="120" operator="lessThan">
      <formula>90</formula>
    </cfRule>
    <cfRule type="cellIs" dxfId="319" priority="121" operator="greaterThan">
      <formula>110</formula>
    </cfRule>
  </conditionalFormatting>
  <conditionalFormatting sqref="AO5:AO18">
    <cfRule type="cellIs" dxfId="318" priority="118" operator="lessThan">
      <formula>90</formula>
    </cfRule>
    <cfRule type="cellIs" dxfId="317" priority="119" operator="greaterThan">
      <formula>110</formula>
    </cfRule>
  </conditionalFormatting>
  <conditionalFormatting sqref="AT5:AU25">
    <cfRule type="cellIs" dxfId="316" priority="116" operator="lessThan">
      <formula>0</formula>
    </cfRule>
    <cfRule type="cellIs" dxfId="315" priority="117" operator="greaterThan">
      <formula>20</formula>
    </cfRule>
  </conditionalFormatting>
  <conditionalFormatting sqref="AO5:AO18">
    <cfRule type="cellIs" dxfId="314" priority="114" operator="lessThan">
      <formula>90</formula>
    </cfRule>
    <cfRule type="cellIs" dxfId="313" priority="115" operator="greaterThan">
      <formula>110</formula>
    </cfRule>
  </conditionalFormatting>
  <conditionalFormatting sqref="AW2 BL1:BL2 AW3:BL25 AW27:BL1048576 AW26:AZ26 BG26:BL26">
    <cfRule type="cellIs" dxfId="312" priority="113" operator="equal">
      <formula>0</formula>
    </cfRule>
  </conditionalFormatting>
  <conditionalFormatting sqref="BG5:BG25">
    <cfRule type="cellIs" dxfId="311" priority="111" operator="lessThan">
      <formula>90</formula>
    </cfRule>
    <cfRule type="cellIs" dxfId="310" priority="112" operator="greaterThan">
      <formula>110</formula>
    </cfRule>
  </conditionalFormatting>
  <conditionalFormatting sqref="BE5:BE18">
    <cfRule type="cellIs" dxfId="309" priority="109" operator="lessThan">
      <formula>90</formula>
    </cfRule>
    <cfRule type="cellIs" dxfId="308" priority="110" operator="greaterThan">
      <formula>110</formula>
    </cfRule>
  </conditionalFormatting>
  <conditionalFormatting sqref="BJ5:BK25">
    <cfRule type="cellIs" dxfId="307" priority="107" operator="lessThan">
      <formula>0</formula>
    </cfRule>
    <cfRule type="cellIs" dxfId="306" priority="108" operator="greaterThan">
      <formula>20</formula>
    </cfRule>
  </conditionalFormatting>
  <conditionalFormatting sqref="BE5:BE18">
    <cfRule type="cellIs" dxfId="305" priority="105" operator="lessThan">
      <formula>90</formula>
    </cfRule>
    <cfRule type="cellIs" dxfId="304" priority="106" operator="greaterThan">
      <formula>110</formula>
    </cfRule>
  </conditionalFormatting>
  <conditionalFormatting sqref="BM2 CB1:CB2 BM3:CB25 BM27:CB1048576 BM26:BP26 BW26:CB26">
    <cfRule type="cellIs" dxfId="303" priority="104" operator="equal">
      <formula>0</formula>
    </cfRule>
  </conditionalFormatting>
  <conditionalFormatting sqref="BW5:BW25">
    <cfRule type="cellIs" dxfId="302" priority="102" operator="lessThan">
      <formula>90</formula>
    </cfRule>
    <cfRule type="cellIs" dxfId="301" priority="103" operator="greaterThan">
      <formula>110</formula>
    </cfRule>
  </conditionalFormatting>
  <conditionalFormatting sqref="BU5:BU18">
    <cfRule type="cellIs" dxfId="300" priority="100" operator="lessThan">
      <formula>90</formula>
    </cfRule>
    <cfRule type="cellIs" dxfId="299" priority="101" operator="greaterThan">
      <formula>110</formula>
    </cfRule>
  </conditionalFormatting>
  <conditionalFormatting sqref="BZ5:CA25">
    <cfRule type="cellIs" dxfId="298" priority="98" operator="lessThan">
      <formula>0</formula>
    </cfRule>
    <cfRule type="cellIs" dxfId="297" priority="99" operator="greaterThan">
      <formula>20</formula>
    </cfRule>
  </conditionalFormatting>
  <conditionalFormatting sqref="BU5:BU18">
    <cfRule type="cellIs" dxfId="296" priority="96" operator="lessThan">
      <formula>90</formula>
    </cfRule>
    <cfRule type="cellIs" dxfId="295" priority="97" operator="greaterThan">
      <formula>110</formula>
    </cfRule>
  </conditionalFormatting>
  <conditionalFormatting sqref="CC2 CR1:CR2 CC3:CR25 CC27:CR1048576 CC26:CF26 CM26:CR26">
    <cfRule type="cellIs" dxfId="294" priority="95" operator="equal">
      <formula>0</formula>
    </cfRule>
  </conditionalFormatting>
  <conditionalFormatting sqref="CM5:CM25">
    <cfRule type="cellIs" dxfId="293" priority="93" operator="lessThan">
      <formula>90</formula>
    </cfRule>
    <cfRule type="cellIs" dxfId="292" priority="94" operator="greaterThan">
      <formula>110</formula>
    </cfRule>
  </conditionalFormatting>
  <conditionalFormatting sqref="CK5:CK18">
    <cfRule type="cellIs" dxfId="291" priority="91" operator="lessThan">
      <formula>90</formula>
    </cfRule>
    <cfRule type="cellIs" dxfId="290" priority="92" operator="greaterThan">
      <formula>110</formula>
    </cfRule>
  </conditionalFormatting>
  <conditionalFormatting sqref="CP5:CQ25">
    <cfRule type="cellIs" dxfId="289" priority="89" operator="lessThan">
      <formula>0</formula>
    </cfRule>
    <cfRule type="cellIs" dxfId="288" priority="90" operator="greaterThan">
      <formula>20</formula>
    </cfRule>
  </conditionalFormatting>
  <conditionalFormatting sqref="CK5:CK18">
    <cfRule type="cellIs" dxfId="287" priority="87" operator="lessThan">
      <formula>90</formula>
    </cfRule>
    <cfRule type="cellIs" dxfId="286" priority="88" operator="greaterThan">
      <formula>110</formula>
    </cfRule>
  </conditionalFormatting>
  <conditionalFormatting sqref="CS2 DH1:DH2 CS3:DH25 CS27:DH1048576 CS26:CV26 DC26:DH26">
    <cfRule type="cellIs" dxfId="285" priority="86" operator="equal">
      <formula>0</formula>
    </cfRule>
  </conditionalFormatting>
  <conditionalFormatting sqref="DC5:DC25">
    <cfRule type="cellIs" dxfId="284" priority="84" operator="lessThan">
      <formula>90</formula>
    </cfRule>
    <cfRule type="cellIs" dxfId="283" priority="85" operator="greaterThan">
      <formula>110</formula>
    </cfRule>
  </conditionalFormatting>
  <conditionalFormatting sqref="DA5:DA18">
    <cfRule type="cellIs" dxfId="282" priority="82" operator="lessThan">
      <formula>90</formula>
    </cfRule>
    <cfRule type="cellIs" dxfId="281" priority="83" operator="greaterThan">
      <formula>110</formula>
    </cfRule>
  </conditionalFormatting>
  <conditionalFormatting sqref="DF5:DG25">
    <cfRule type="cellIs" dxfId="280" priority="80" operator="lessThan">
      <formula>0</formula>
    </cfRule>
    <cfRule type="cellIs" dxfId="279" priority="81" operator="greaterThan">
      <formula>20</formula>
    </cfRule>
  </conditionalFormatting>
  <conditionalFormatting sqref="DA5:DA18">
    <cfRule type="cellIs" dxfId="278" priority="78" operator="lessThan">
      <formula>90</formula>
    </cfRule>
    <cfRule type="cellIs" dxfId="277" priority="79" operator="greaterThan">
      <formula>110</formula>
    </cfRule>
  </conditionalFormatting>
  <conditionalFormatting sqref="DI2 DX1:DX2 DI3:DX25 DI27:DX1048576 DI26:DL26 DS26:DX26">
    <cfRule type="cellIs" dxfId="276" priority="77" operator="equal">
      <formula>0</formula>
    </cfRule>
  </conditionalFormatting>
  <conditionalFormatting sqref="DS5:DS25">
    <cfRule type="cellIs" dxfId="275" priority="75" operator="lessThan">
      <formula>90</formula>
    </cfRule>
    <cfRule type="cellIs" dxfId="274" priority="76" operator="greaterThan">
      <formula>110</formula>
    </cfRule>
  </conditionalFormatting>
  <conditionalFormatting sqref="DQ5:DQ18">
    <cfRule type="cellIs" dxfId="273" priority="73" operator="lessThan">
      <formula>90</formula>
    </cfRule>
    <cfRule type="cellIs" dxfId="272" priority="74" operator="greaterThan">
      <formula>110</formula>
    </cfRule>
  </conditionalFormatting>
  <conditionalFormatting sqref="DV5:DW25">
    <cfRule type="cellIs" dxfId="271" priority="71" operator="lessThan">
      <formula>0</formula>
    </cfRule>
    <cfRule type="cellIs" dxfId="270" priority="72" operator="greaterThan">
      <formula>20</formula>
    </cfRule>
  </conditionalFormatting>
  <conditionalFormatting sqref="DQ5:DQ18">
    <cfRule type="cellIs" dxfId="269" priority="69" operator="lessThan">
      <formula>90</formula>
    </cfRule>
    <cfRule type="cellIs" dxfId="268" priority="70" operator="greaterThan">
      <formula>110</formula>
    </cfRule>
  </conditionalFormatting>
  <conditionalFormatting sqref="DY2 EN1:EN2 DY3:EN25 DY27:EN1048576 DY26:EB26 EI26:EN26">
    <cfRule type="cellIs" dxfId="267" priority="68" operator="equal">
      <formula>0</formula>
    </cfRule>
  </conditionalFormatting>
  <conditionalFormatting sqref="EI5:EI25">
    <cfRule type="cellIs" dxfId="266" priority="66" operator="lessThan">
      <formula>90</formula>
    </cfRule>
    <cfRule type="cellIs" dxfId="265" priority="67" operator="greaterThan">
      <formula>110</formula>
    </cfRule>
  </conditionalFormatting>
  <conditionalFormatting sqref="EG5:EG18">
    <cfRule type="cellIs" dxfId="264" priority="64" operator="lessThan">
      <formula>90</formula>
    </cfRule>
    <cfRule type="cellIs" dxfId="263" priority="65" operator="greaterThan">
      <formula>110</formula>
    </cfRule>
  </conditionalFormatting>
  <conditionalFormatting sqref="EL5:EM25">
    <cfRule type="cellIs" dxfId="262" priority="62" operator="lessThan">
      <formula>0</formula>
    </cfRule>
    <cfRule type="cellIs" dxfId="261" priority="63" operator="greaterThan">
      <formula>20</formula>
    </cfRule>
  </conditionalFormatting>
  <conditionalFormatting sqref="EG5:EG18">
    <cfRule type="cellIs" dxfId="260" priority="60" operator="lessThan">
      <formula>90</formula>
    </cfRule>
    <cfRule type="cellIs" dxfId="259" priority="61" operator="greaterThan">
      <formula>110</formula>
    </cfRule>
  </conditionalFormatting>
  <conditionalFormatting sqref="EO2 FD1:FD2 EO3:FD25 EO27:FD1048576 EO26:ER26 EY26:FD26">
    <cfRule type="cellIs" dxfId="258" priority="59" operator="equal">
      <formula>0</formula>
    </cfRule>
  </conditionalFormatting>
  <conditionalFormatting sqref="EY5:EY25">
    <cfRule type="cellIs" dxfId="257" priority="57" operator="lessThan">
      <formula>90</formula>
    </cfRule>
    <cfRule type="cellIs" dxfId="256" priority="58" operator="greaterThan">
      <formula>110</formula>
    </cfRule>
  </conditionalFormatting>
  <conditionalFormatting sqref="EW5:EW18">
    <cfRule type="cellIs" dxfId="255" priority="55" operator="lessThan">
      <formula>90</formula>
    </cfRule>
    <cfRule type="cellIs" dxfId="254" priority="56" operator="greaterThan">
      <formula>110</formula>
    </cfRule>
  </conditionalFormatting>
  <conditionalFormatting sqref="FB5:FC25">
    <cfRule type="cellIs" dxfId="253" priority="53" operator="lessThan">
      <formula>0</formula>
    </cfRule>
    <cfRule type="cellIs" dxfId="252" priority="54" operator="greaterThan">
      <formula>20</formula>
    </cfRule>
  </conditionalFormatting>
  <conditionalFormatting sqref="EW5:EW18">
    <cfRule type="cellIs" dxfId="251" priority="51" operator="lessThan">
      <formula>90</formula>
    </cfRule>
    <cfRule type="cellIs" dxfId="250" priority="52" operator="greaterThan">
      <formula>110</formula>
    </cfRule>
  </conditionalFormatting>
  <conditionalFormatting sqref="FE2 FT1:FT2 FE3:FT25 FE27:FT1048576 FE26:FH26 FO26:FT26">
    <cfRule type="cellIs" dxfId="249" priority="50" operator="equal">
      <formula>0</formula>
    </cfRule>
  </conditionalFormatting>
  <conditionalFormatting sqref="FO5:FO25">
    <cfRule type="cellIs" dxfId="248" priority="48" operator="lessThan">
      <formula>90</formula>
    </cfRule>
    <cfRule type="cellIs" dxfId="247" priority="49" operator="greaterThan">
      <formula>110</formula>
    </cfRule>
  </conditionalFormatting>
  <conditionalFormatting sqref="FM5:FM18">
    <cfRule type="cellIs" dxfId="246" priority="46" operator="lessThan">
      <formula>90</formula>
    </cfRule>
    <cfRule type="cellIs" dxfId="245" priority="47" operator="greaterThan">
      <formula>110</formula>
    </cfRule>
  </conditionalFormatting>
  <conditionalFormatting sqref="FR5:FS25">
    <cfRule type="cellIs" dxfId="244" priority="44" operator="lessThan">
      <formula>0</formula>
    </cfRule>
    <cfRule type="cellIs" dxfId="243" priority="45" operator="greaterThan">
      <formula>20</formula>
    </cfRule>
  </conditionalFormatting>
  <conditionalFormatting sqref="FM5:FM18">
    <cfRule type="cellIs" dxfId="242" priority="42" operator="lessThan">
      <formula>90</formula>
    </cfRule>
    <cfRule type="cellIs" dxfId="241" priority="43" operator="greaterThan">
      <formula>110</formula>
    </cfRule>
  </conditionalFormatting>
  <conditionalFormatting sqref="D16:D18">
    <cfRule type="expression" dxfId="240" priority="41">
      <formula>AND(D16=0,OR($D16&lt;&gt;0,$J16&lt;&gt;0))</formula>
    </cfRule>
  </conditionalFormatting>
  <conditionalFormatting sqref="D13">
    <cfRule type="expression" dxfId="239" priority="40">
      <formula>AND(D13=0,OR($D13&lt;&gt;0,$J13&lt;&gt;0))</formula>
    </cfRule>
  </conditionalFormatting>
  <conditionalFormatting sqref="D15">
    <cfRule type="expression" dxfId="238" priority="39">
      <formula>AND(D15=0,OR($D15&lt;&gt;0,$J15&lt;&gt;0))</formula>
    </cfRule>
  </conditionalFormatting>
  <conditionalFormatting sqref="F8:F10">
    <cfRule type="expression" dxfId="237" priority="38">
      <formula>AND(F8=0,OR($D8&lt;&gt;0,$J8&lt;&gt;0))</formula>
    </cfRule>
  </conditionalFormatting>
  <conditionalFormatting sqref="F16:F18">
    <cfRule type="expression" dxfId="236" priority="37">
      <formula>AND(F16=0,OR($D16&lt;&gt;0,$J16&lt;&gt;0))</formula>
    </cfRule>
  </conditionalFormatting>
  <conditionalFormatting sqref="F5">
    <cfRule type="expression" dxfId="235" priority="36">
      <formula>AND(F5=0,OR($D5&lt;&gt;0,$J5&lt;&gt;0))</formula>
    </cfRule>
  </conditionalFormatting>
  <conditionalFormatting sqref="F13">
    <cfRule type="expression" dxfId="234" priority="35">
      <formula>AND(F13=0,OR($D13&lt;&gt;0,$J13&lt;&gt;0))</formula>
    </cfRule>
  </conditionalFormatting>
  <conditionalFormatting sqref="F7">
    <cfRule type="expression" dxfId="233" priority="34">
      <formula>AND(F7=0,OR($D7&lt;&gt;0,$J7&lt;&gt;0))</formula>
    </cfRule>
  </conditionalFormatting>
  <conditionalFormatting sqref="F15">
    <cfRule type="expression" dxfId="232" priority="33">
      <formula>AND(F15=0,OR($D15&lt;&gt;0,$J15&lt;&gt;0))</formula>
    </cfRule>
  </conditionalFormatting>
  <conditionalFormatting sqref="F16:F18">
    <cfRule type="expression" dxfId="231" priority="32">
      <formula>AND(F16=0,OR($D16&lt;&gt;0,$J16&lt;&gt;0))</formula>
    </cfRule>
  </conditionalFormatting>
  <conditionalFormatting sqref="F13">
    <cfRule type="expression" dxfId="230" priority="31">
      <formula>AND(F13=0,OR($D13&lt;&gt;0,$J13&lt;&gt;0))</formula>
    </cfRule>
  </conditionalFormatting>
  <conditionalFormatting sqref="F15">
    <cfRule type="expression" dxfId="229" priority="30">
      <formula>AND(F15=0,OR($D15&lt;&gt;0,$J15&lt;&gt;0))</formula>
    </cfRule>
  </conditionalFormatting>
  <conditionalFormatting sqref="H8:H10">
    <cfRule type="expression" dxfId="228" priority="29">
      <formula>AND(H8=0,OR($D8&lt;&gt;0,$J8&lt;&gt;0))</formula>
    </cfRule>
  </conditionalFormatting>
  <conditionalFormatting sqref="H16:H18">
    <cfRule type="expression" dxfId="227" priority="28">
      <formula>AND(H16=0,OR($D16&lt;&gt;0,$J16&lt;&gt;0))</formula>
    </cfRule>
  </conditionalFormatting>
  <conditionalFormatting sqref="H5">
    <cfRule type="expression" dxfId="226" priority="27">
      <formula>AND(H5=0,OR($D5&lt;&gt;0,$J5&lt;&gt;0))</formula>
    </cfRule>
  </conditionalFormatting>
  <conditionalFormatting sqref="H13">
    <cfRule type="expression" dxfId="225" priority="26">
      <formula>AND(H13=0,OR($D13&lt;&gt;0,$J13&lt;&gt;0))</formula>
    </cfRule>
  </conditionalFormatting>
  <conditionalFormatting sqref="H7">
    <cfRule type="expression" dxfId="224" priority="25">
      <formula>AND(H7=0,OR($D7&lt;&gt;0,$J7&lt;&gt;0))</formula>
    </cfRule>
  </conditionalFormatting>
  <conditionalFormatting sqref="H15">
    <cfRule type="expression" dxfId="223" priority="24">
      <formula>AND(H15=0,OR($D15&lt;&gt;0,$J15&lt;&gt;0))</formula>
    </cfRule>
  </conditionalFormatting>
  <conditionalFormatting sqref="H16:H18">
    <cfRule type="expression" dxfId="222" priority="23">
      <formula>AND(H16=0,OR($D16&lt;&gt;0,$J16&lt;&gt;0))</formula>
    </cfRule>
  </conditionalFormatting>
  <conditionalFormatting sqref="H13">
    <cfRule type="expression" dxfId="221" priority="22">
      <formula>AND(H13=0,OR($D13&lt;&gt;0,$J13&lt;&gt;0))</formula>
    </cfRule>
  </conditionalFormatting>
  <conditionalFormatting sqref="H15">
    <cfRule type="expression" dxfId="220" priority="21">
      <formula>AND(H15=0,OR($D15&lt;&gt;0,$J15&lt;&gt;0))</formula>
    </cfRule>
  </conditionalFormatting>
  <conditionalFormatting sqref="E13 E16:E20">
    <cfRule type="cellIs" dxfId="219" priority="20" operator="equal">
      <formula>0</formula>
    </cfRule>
  </conditionalFormatting>
  <conditionalFormatting sqref="G8:G12 G5">
    <cfRule type="cellIs" dxfId="218" priority="19" operator="equal">
      <formula>0</formula>
    </cfRule>
  </conditionalFormatting>
  <conditionalFormatting sqref="G13 G16:G20">
    <cfRule type="cellIs" dxfId="217" priority="18" operator="equal">
      <formula>0</formula>
    </cfRule>
  </conditionalFormatting>
  <conditionalFormatting sqref="AG1:AU1">
    <cfRule type="cellIs" dxfId="216" priority="17" operator="equal">
      <formula>0</formula>
    </cfRule>
  </conditionalFormatting>
  <conditionalFormatting sqref="AW1:BK1">
    <cfRule type="cellIs" dxfId="215" priority="16" operator="equal">
      <formula>0</formula>
    </cfRule>
  </conditionalFormatting>
  <conditionalFormatting sqref="BM1:CA1">
    <cfRule type="cellIs" dxfId="214" priority="15" operator="equal">
      <formula>0</formula>
    </cfRule>
  </conditionalFormatting>
  <conditionalFormatting sqref="CC1:CQ1">
    <cfRule type="cellIs" dxfId="213" priority="14" operator="equal">
      <formula>0</formula>
    </cfRule>
  </conditionalFormatting>
  <conditionalFormatting sqref="CS1:DG1">
    <cfRule type="cellIs" dxfId="212" priority="13" operator="equal">
      <formula>0</formula>
    </cfRule>
  </conditionalFormatting>
  <conditionalFormatting sqref="DI1:DW1">
    <cfRule type="cellIs" dxfId="211" priority="12" operator="equal">
      <formula>0</formula>
    </cfRule>
  </conditionalFormatting>
  <conditionalFormatting sqref="DY1:EM1">
    <cfRule type="cellIs" dxfId="210" priority="11" operator="equal">
      <formula>0</formula>
    </cfRule>
  </conditionalFormatting>
  <conditionalFormatting sqref="EO1:FC1">
    <cfRule type="cellIs" dxfId="209" priority="10" operator="equal">
      <formula>0</formula>
    </cfRule>
  </conditionalFormatting>
  <conditionalFormatting sqref="FE1:FS1">
    <cfRule type="cellIs" dxfId="208" priority="9" operator="equal">
      <formula>0</formula>
    </cfRule>
  </conditionalFormatting>
  <conditionalFormatting sqref="BA26:BF26">
    <cfRule type="cellIs" dxfId="207" priority="8" operator="equal">
      <formula>0</formula>
    </cfRule>
  </conditionalFormatting>
  <conditionalFormatting sqref="BQ26:BV26">
    <cfRule type="cellIs" dxfId="206" priority="7" operator="equal">
      <formula>0</formula>
    </cfRule>
  </conditionalFormatting>
  <conditionalFormatting sqref="CG26:CL26">
    <cfRule type="cellIs" dxfId="205" priority="6" operator="equal">
      <formula>0</formula>
    </cfRule>
  </conditionalFormatting>
  <conditionalFormatting sqref="CW26:DB26">
    <cfRule type="cellIs" dxfId="204" priority="5" operator="equal">
      <formula>0</formula>
    </cfRule>
  </conditionalFormatting>
  <conditionalFormatting sqref="DM26:DR26">
    <cfRule type="cellIs" dxfId="203" priority="4" operator="equal">
      <formula>0</formula>
    </cfRule>
  </conditionalFormatting>
  <conditionalFormatting sqref="EC26:EH26">
    <cfRule type="cellIs" dxfId="202" priority="3" operator="equal">
      <formula>0</formula>
    </cfRule>
  </conditionalFormatting>
  <conditionalFormatting sqref="ES26:EX26">
    <cfRule type="cellIs" dxfId="201" priority="2" operator="equal">
      <formula>0</formula>
    </cfRule>
  </conditionalFormatting>
  <conditionalFormatting sqref="FI26:FN26">
    <cfRule type="cellIs" dxfId="200" priority="1" operator="equal">
      <formula>0</formula>
    </cfRule>
  </conditionalFormatting>
  <dataValidations count="1">
    <dataValidation type="whole" allowBlank="1" showInputMessage="1" showErrorMessage="1" error="یا عدد یک را وارد کنید یا صفر" sqref="P5:P20" xr:uid="{CE3602BD-D344-4A82-B7E5-5F10DC76FAF4}">
      <formula1>0</formula1>
      <formula2>1</formula2>
    </dataValidation>
  </dataValidations>
  <printOptions horizontalCentered="1"/>
  <pageMargins left="0.19685039370078741" right="0.19685039370078741" top="0.59055118110236227" bottom="0.78740157480314965" header="0.19685039370078741" footer="0.19685039370078741"/>
  <pageSetup paperSize="9" scale="52" fitToHeight="0" orientation="landscape" r:id="rId1"/>
  <headerFooter>
    <oddFooter>&amp;L&amp;"B Nazanin,Regular"نام و امضاء مدیرعامل                  &amp;"-,Regular"  &amp;C&amp;"B Nazanin,Regular"&amp;P&amp;R&amp;"B Nazanin,Regular"          نام و امضاء معاون / مدیر مالی
          نام و امضاء مدیر / مسئول بودجه</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BDBFC-CCD4-4D80-81D1-70C9F1D211E5}">
  <sheetPr codeName="Sheet34">
    <tabColor rgb="FF32CD32"/>
    <pageSetUpPr fitToPage="1"/>
  </sheetPr>
  <dimension ref="A1:AH197"/>
  <sheetViews>
    <sheetView showGridLines="0" rightToLeft="1" topLeftCell="A105" zoomScale="90" zoomScaleNormal="90" zoomScaleSheetLayoutView="80" workbookViewId="0">
      <selection activeCell="T5" sqref="T5"/>
    </sheetView>
  </sheetViews>
  <sheetFormatPr defaultColWidth="7.875" defaultRowHeight="21" x14ac:dyDescent="0.2"/>
  <cols>
    <col min="1" max="1" width="32.5" style="215" customWidth="1"/>
    <col min="2" max="20" width="7.125" style="215" customWidth="1"/>
    <col min="21" max="21" width="3.25" style="215" customWidth="1"/>
    <col min="22" max="22" width="7.125" style="215" customWidth="1"/>
    <col min="23" max="23" width="3.25" style="215" customWidth="1"/>
    <col min="24" max="24" width="7.125" style="215" customWidth="1"/>
    <col min="25" max="25" width="3.25" style="215" customWidth="1"/>
    <col min="26" max="27" width="7.125" style="215" customWidth="1"/>
    <col min="28" max="28" width="3.25" style="215" customWidth="1"/>
    <col min="29" max="29" width="7.125" style="215" customWidth="1"/>
    <col min="30" max="30" width="3.25" style="215" customWidth="1"/>
    <col min="31" max="32" width="7.875" style="215"/>
    <col min="33" max="33" width="7.875" style="215" customWidth="1"/>
    <col min="34" max="34" width="7.875" style="215" hidden="1" customWidth="1"/>
    <col min="35" max="35" width="7.875" style="215" customWidth="1"/>
    <col min="36" max="16384" width="7.875" style="215"/>
  </cols>
  <sheetData>
    <row r="1" spans="1:34" s="209" customFormat="1" ht="24" x14ac:dyDescent="0.2">
      <c r="A1" s="207" t="str">
        <f>[1]روکش!D4</f>
        <v>انبارهای عمومی و خدمات گمرکی ایران</v>
      </c>
      <c r="B1" s="207"/>
      <c r="C1" s="207"/>
      <c r="D1" s="207"/>
      <c r="E1" s="207"/>
      <c r="F1" s="207"/>
      <c r="G1" s="207"/>
      <c r="H1" s="207"/>
      <c r="I1" s="207"/>
      <c r="J1" s="207"/>
      <c r="K1" s="207"/>
      <c r="L1" s="207"/>
      <c r="M1" s="207"/>
      <c r="N1" s="207"/>
      <c r="O1" s="207"/>
      <c r="P1" s="207"/>
      <c r="Q1" s="207"/>
      <c r="R1" s="207"/>
      <c r="S1" s="207"/>
      <c r="T1" s="207"/>
      <c r="U1" s="207"/>
      <c r="V1" s="207"/>
      <c r="W1" s="207"/>
      <c r="X1" s="207"/>
      <c r="Y1" s="207"/>
      <c r="Z1" s="207"/>
      <c r="AA1" s="207"/>
      <c r="AB1" s="207"/>
      <c r="AC1" s="207"/>
      <c r="AD1" s="208"/>
    </row>
    <row r="2" spans="1:34" s="209" customFormat="1" ht="28.5" customHeight="1" thickBot="1" x14ac:dyDescent="0.25">
      <c r="A2" s="210" t="str">
        <f>"گزارش تعداد پرسنل و سرانه هزینه پرسنلی به تفکیک نوع قرارداد در دوره " &amp; [1]روکش!$F$9 &amp; " سال " &amp; [1]روکش!$D$9&amp;"- مجتمع خراسان"</f>
        <v>گزارش تعداد پرسنل و سرانه هزینه پرسنلی به تفکیک نوع قرارداد در دوره شش ماهه سال 1405- مجتمع خراسان</v>
      </c>
      <c r="B2" s="210"/>
      <c r="C2" s="210"/>
      <c r="D2" s="210"/>
      <c r="E2" s="210"/>
      <c r="F2" s="210"/>
      <c r="G2" s="210"/>
      <c r="H2" s="210"/>
      <c r="I2" s="210"/>
      <c r="J2" s="210"/>
      <c r="K2" s="210"/>
      <c r="L2" s="210"/>
      <c r="M2" s="210"/>
      <c r="N2" s="210"/>
      <c r="O2" s="210"/>
      <c r="P2" s="210"/>
      <c r="Q2" s="210"/>
      <c r="R2" s="210"/>
      <c r="S2" s="210"/>
      <c r="T2" s="210"/>
      <c r="U2" s="210"/>
      <c r="V2" s="210"/>
      <c r="W2" s="210"/>
      <c r="X2" s="210"/>
      <c r="Y2" s="210"/>
      <c r="Z2" s="210"/>
      <c r="AA2" s="210"/>
      <c r="AB2" s="210"/>
      <c r="AC2" s="210"/>
      <c r="AD2" s="210"/>
    </row>
    <row r="3" spans="1:34" ht="24" customHeight="1" thickBot="1" x14ac:dyDescent="0.25">
      <c r="A3" s="211" t="s">
        <v>43</v>
      </c>
      <c r="B3" s="212" t="s">
        <v>44</v>
      </c>
      <c r="C3" s="213"/>
      <c r="D3" s="213"/>
      <c r="E3" s="213"/>
      <c r="F3" s="213"/>
      <c r="G3" s="214"/>
      <c r="H3" s="212" t="s">
        <v>45</v>
      </c>
      <c r="I3" s="213"/>
      <c r="J3" s="213"/>
      <c r="K3" s="213"/>
      <c r="L3" s="213"/>
      <c r="M3" s="214"/>
      <c r="N3" s="212" t="s">
        <v>46</v>
      </c>
      <c r="O3" s="213"/>
      <c r="P3" s="213"/>
      <c r="Q3" s="213"/>
      <c r="R3" s="213"/>
      <c r="S3" s="214"/>
      <c r="T3" s="212" t="s">
        <v>47</v>
      </c>
      <c r="U3" s="213"/>
      <c r="V3" s="213"/>
      <c r="W3" s="213"/>
      <c r="X3" s="213"/>
      <c r="Y3" s="213"/>
      <c r="Z3" s="213"/>
      <c r="AA3" s="213"/>
      <c r="AB3" s="213"/>
      <c r="AC3" s="213"/>
      <c r="AD3" s="214"/>
    </row>
    <row r="4" spans="1:34" ht="64.5" customHeight="1" thickBot="1" x14ac:dyDescent="0.25">
      <c r="A4" s="216"/>
      <c r="B4" s="217" t="s">
        <v>48</v>
      </c>
      <c r="C4" s="218" t="s">
        <v>49</v>
      </c>
      <c r="D4" s="219" t="s">
        <v>50</v>
      </c>
      <c r="E4" s="220" t="s">
        <v>51</v>
      </c>
      <c r="F4" s="217" t="s">
        <v>52</v>
      </c>
      <c r="G4" s="219" t="s">
        <v>53</v>
      </c>
      <c r="H4" s="217" t="s">
        <v>48</v>
      </c>
      <c r="I4" s="218" t="s">
        <v>49</v>
      </c>
      <c r="J4" s="219" t="s">
        <v>50</v>
      </c>
      <c r="K4" s="221" t="s">
        <v>51</v>
      </c>
      <c r="L4" s="217" t="s">
        <v>52</v>
      </c>
      <c r="M4" s="219" t="s">
        <v>53</v>
      </c>
      <c r="N4" s="217" t="s">
        <v>48</v>
      </c>
      <c r="O4" s="218" t="s">
        <v>49</v>
      </c>
      <c r="P4" s="219" t="s">
        <v>50</v>
      </c>
      <c r="Q4" s="221" t="s">
        <v>51</v>
      </c>
      <c r="R4" s="217" t="s">
        <v>52</v>
      </c>
      <c r="S4" s="219" t="s">
        <v>53</v>
      </c>
      <c r="T4" s="222" t="s">
        <v>48</v>
      </c>
      <c r="U4" s="223"/>
      <c r="V4" s="224" t="s">
        <v>49</v>
      </c>
      <c r="W4" s="223"/>
      <c r="X4" s="224" t="s">
        <v>50</v>
      </c>
      <c r="Y4" s="225"/>
      <c r="Z4" s="221" t="s">
        <v>51</v>
      </c>
      <c r="AA4" s="222" t="s">
        <v>52</v>
      </c>
      <c r="AB4" s="223"/>
      <c r="AC4" s="224" t="s">
        <v>53</v>
      </c>
      <c r="AD4" s="225"/>
    </row>
    <row r="5" spans="1:34" ht="42.75" hidden="1" customHeight="1" x14ac:dyDescent="0.2">
      <c r="A5" s="226" t="s">
        <v>54</v>
      </c>
      <c r="B5" s="227"/>
      <c r="C5" s="228"/>
      <c r="D5" s="229"/>
      <c r="E5" s="230">
        <f>SUM(B5:D5)</f>
        <v>0</v>
      </c>
      <c r="F5" s="231">
        <f>IF($A$1="صنایع شیر ایران",IFERROR(('[1]هزینه پرسنلی مستقیم تولید'!$B$31/(C5+B5+D5))/$AH$5,0),IFERROR(('[1]هزینه پرسنلی مستقیم تولید'!$B$31/(C5+B5))/$AH$5,0))</f>
        <v>0</v>
      </c>
      <c r="G5" s="232">
        <f ca="1">IFERROR((VLOOKUP($AH$6,'[1]هزینه سربار تولید'!$A:$F,2,FALSE)/(D5+D6))/$AH$5,0)</f>
        <v>0</v>
      </c>
      <c r="H5" s="233" t="e" cm="1">
        <f t="array" aca="1" ref="H5" ca="1">IF(ROW()-ROW($A$5)&lt;'[1]الف-ب-ج'!$L$9,IF([1]روکش!$F$9="سه ماهه",INDIRECT("BudgetDB!FY"&amp;('[1]الف-ب-ج'!$M$9+ROW()-ROW($A$5))),INDIRECT("BudgetDB!GB"&amp;('[1]الف-ب-ج'!$M$9+ROW()-ROW($A$5)))),"")</f>
        <v>#REF!</v>
      </c>
      <c r="I5" s="234" t="e" cm="1">
        <f t="array" aca="1" ref="I5" ca="1">IF(ROW()-ROW($A$5)&lt;'[1]الف-ب-ج'!$L$9,IF([1]روکش!$F$9="سه ماهه",INDIRECT("BudgetDB!FZ"&amp;('[1]الف-ب-ج'!$M$9+ROW()-ROW($A$5))),INDIRECT("BudgetDB!GC"&amp;('[1]الف-ب-ج'!$M$9+ROW()-ROW($A$5)))),"")</f>
        <v>#REF!</v>
      </c>
      <c r="J5" s="235" t="e" cm="1">
        <f t="array" aca="1" ref="J5" ca="1">IF(ROW()-ROW($A$5)&lt;'[1]الف-ب-ج'!$L$9,IF([1]روکش!$F$9="سه ماهه",INDIRECT("BudgetDB!GA"&amp;('[1]الف-ب-ج'!$M$9+ROW()-ROW($A$5))),INDIRECT("BudgetDB!GD"&amp;('[1]الف-ب-ج'!$M$9+ROW()-ROW($A$5)))),"")</f>
        <v>#REF!</v>
      </c>
      <c r="K5" s="230" t="e">
        <f ca="1">SUM(H5:J5)</f>
        <v>#REF!</v>
      </c>
      <c r="L5" s="231">
        <f ca="1">IF($A$1="صنایع شیر ایران",IFERROR(('[1]هزینه پرسنلی مستقیم تولید'!$C$31/(I5+H5+J5))/$AH$5,0),IFERROR(('[1]هزینه پرسنلی مستقیم تولید'!$C$31/(I5+H5))/$AH$5,0))</f>
        <v>0</v>
      </c>
      <c r="M5" s="232">
        <f ca="1">IFERROR((VLOOKUP($AH$6,'[1]هزینه سربار تولید'!$A:$F,3,FALSE)/(J5+J6))/$AH$5,0)</f>
        <v>0</v>
      </c>
      <c r="N5" s="227"/>
      <c r="O5" s="228"/>
      <c r="P5" s="229"/>
      <c r="Q5" s="230">
        <f>SUM(N5:P5)</f>
        <v>0</v>
      </c>
      <c r="R5" s="231">
        <f>IF($A$1="صنایع شیر ایران",IFERROR(('[1]هزینه پرسنلی مستقیم تولید'!$D$31/(O5+N5+P5))/$AH$5,0),IFERROR(('[1]هزینه پرسنلی مستقیم تولید'!$D$31/(O5+N5))/$AH$5,0))</f>
        <v>0</v>
      </c>
      <c r="S5" s="232">
        <f ca="1">IFERROR((VLOOKUP($AH$6,'[1]هزینه سربار تولید'!$A:$F,4,FALSE)/(P5+P6))/$AH$5,0)</f>
        <v>0</v>
      </c>
      <c r="T5" s="236" t="str">
        <f t="shared" ref="T5:T11" ca="1" si="0">IFERROR(N5*100/H5,"-")</f>
        <v>-</v>
      </c>
      <c r="U5" s="237">
        <f t="shared" ref="U5:U11" ca="1" si="1">IFERROR(ABS(T5-100),500)</f>
        <v>500</v>
      </c>
      <c r="V5" s="238" t="str">
        <f t="shared" ref="V5:V11" ca="1" si="2">IFERROR(O5*100/I5,"-")</f>
        <v>-</v>
      </c>
      <c r="W5" s="237">
        <f t="shared" ref="W5:W11" ca="1" si="3">IFERROR(ABS(V5-100),500)</f>
        <v>500</v>
      </c>
      <c r="X5" s="238" t="str">
        <f t="shared" ref="X5:X11" ca="1" si="4">IFERROR(P5*100/J5,"-")</f>
        <v>-</v>
      </c>
      <c r="Y5" s="239">
        <f t="shared" ref="Y5:Y11" ca="1" si="5">IFERROR(ABS(X5-100),500)</f>
        <v>500</v>
      </c>
      <c r="Z5" s="237" t="str">
        <f t="shared" ref="Z5:AA11" ca="1" si="6">IFERROR(Q5*100/K5,"-")</f>
        <v>-</v>
      </c>
      <c r="AA5" s="236" t="str">
        <f t="shared" ca="1" si="6"/>
        <v>-</v>
      </c>
      <c r="AB5" s="237">
        <f t="shared" ref="AB5:AB11" ca="1" si="7">IFERROR(ABS(AA5-100),500)</f>
        <v>500</v>
      </c>
      <c r="AC5" s="240" t="str">
        <f ca="1">IFERROR(S5*100/M5,"-")</f>
        <v>-</v>
      </c>
      <c r="AD5" s="241">
        <f ca="1">IFERROR(ABS(AC5-100),500)</f>
        <v>500</v>
      </c>
      <c r="AH5" s="242">
        <f>IF([1]روکش!$F$9="سه ماهه", 3,6)</f>
        <v>6</v>
      </c>
    </row>
    <row r="6" spans="1:34" ht="42.75" hidden="1" customHeight="1" x14ac:dyDescent="0.2">
      <c r="A6" s="243" t="s">
        <v>55</v>
      </c>
      <c r="B6" s="244"/>
      <c r="C6" s="245"/>
      <c r="D6" s="246"/>
      <c r="E6" s="247">
        <f>SUM(B6:D6)</f>
        <v>0</v>
      </c>
      <c r="F6" s="248">
        <f>IF($A$1="صنایع شیر ایران",IFERROR(('[1]هزینه پرسنلی غیرمستقیم تولید'!$B$31/(C6+B6+D6))/$AH$5,0),IFERROR(('[1]هزینه پرسنلی غیرمستقیم تولید'!$B$31/(C6+B6))/$AH$5,0))</f>
        <v>0</v>
      </c>
      <c r="G6" s="249"/>
      <c r="H6" s="250" t="e" cm="1">
        <f t="array" aca="1" ref="H6" ca="1">IF(ROW()-ROW($A$5)&lt;'[1]الف-ب-ج'!$L$9,IF([1]روکش!$F$9="سه ماهه",INDIRECT("BudgetDB!FY"&amp;('[1]الف-ب-ج'!$M$9+ROW()-ROW($A$5))),INDIRECT("BudgetDB!GB"&amp;('[1]الف-ب-ج'!$M$9+ROW()-ROW($A$5)))),"")</f>
        <v>#REF!</v>
      </c>
      <c r="I6" s="251" t="e" cm="1">
        <f t="array" aca="1" ref="I6" ca="1">IF(ROW()-ROW($A$5)&lt;'[1]الف-ب-ج'!$L$9,IF([1]روکش!$F$9="سه ماهه",INDIRECT("BudgetDB!FZ"&amp;('[1]الف-ب-ج'!$M$9+ROW()-ROW($A$5))),INDIRECT("BudgetDB!GC"&amp;('[1]الف-ب-ج'!$M$9+ROW()-ROW($A$5)))),"")</f>
        <v>#REF!</v>
      </c>
      <c r="J6" s="252" t="e" cm="1">
        <f t="array" aca="1" ref="J6" ca="1">IF(ROW()-ROW($A$5)&lt;'[1]الف-ب-ج'!$L$9,IF([1]روکش!$F$9="سه ماهه",INDIRECT("BudgetDB!GA"&amp;('[1]الف-ب-ج'!$M$9+ROW()-ROW($A$5))),INDIRECT("BudgetDB!GD"&amp;('[1]الف-ب-ج'!$M$9+ROW()-ROW($A$5)))),"")</f>
        <v>#REF!</v>
      </c>
      <c r="K6" s="247" t="e">
        <f ca="1">SUM(H6:J6)</f>
        <v>#REF!</v>
      </c>
      <c r="L6" s="248">
        <f ca="1">IF($A$1="صنایع شیر ایران",IFERROR(('[1]هزینه پرسنلی غیرمستقیم تولید'!$C$31/(I6+H6+J6))/$AH$5,0),IFERROR(('[1]هزینه پرسنلی غیرمستقیم تولید'!$C$31/(I6+H6))/$AH$5,0))</f>
        <v>0</v>
      </c>
      <c r="M6" s="249"/>
      <c r="N6" s="244"/>
      <c r="O6" s="245"/>
      <c r="P6" s="246"/>
      <c r="Q6" s="247">
        <f>SUM(N6:P6)</f>
        <v>0</v>
      </c>
      <c r="R6" s="248">
        <f>IF($A$1="صنایع شیر ایران",IFERROR(('[1]هزینه پرسنلی غیرمستقیم تولید'!$D$31/(O6+N6+P6))/$AH$5,0),IFERROR(('[1]هزینه پرسنلی غیرمستقیم تولید'!$D$31/(O6+N6))/$AH$5,0))</f>
        <v>0</v>
      </c>
      <c r="S6" s="249"/>
      <c r="T6" s="253" t="str">
        <f t="shared" ca="1" si="0"/>
        <v>-</v>
      </c>
      <c r="U6" s="254">
        <f t="shared" ca="1" si="1"/>
        <v>500</v>
      </c>
      <c r="V6" s="255" t="str">
        <f t="shared" ca="1" si="2"/>
        <v>-</v>
      </c>
      <c r="W6" s="254">
        <f t="shared" ca="1" si="3"/>
        <v>500</v>
      </c>
      <c r="X6" s="255" t="str">
        <f t="shared" ca="1" si="4"/>
        <v>-</v>
      </c>
      <c r="Y6" s="256">
        <f t="shared" ca="1" si="5"/>
        <v>500</v>
      </c>
      <c r="Z6" s="254" t="str">
        <f t="shared" ca="1" si="6"/>
        <v>-</v>
      </c>
      <c r="AA6" s="253" t="str">
        <f t="shared" ca="1" si="6"/>
        <v>-</v>
      </c>
      <c r="AB6" s="254">
        <f t="shared" ca="1" si="7"/>
        <v>500</v>
      </c>
      <c r="AC6" s="257"/>
      <c r="AD6" s="258"/>
      <c r="AH6" s="242" t="s">
        <v>56</v>
      </c>
    </row>
    <row r="7" spans="1:34" ht="35.1" customHeight="1" x14ac:dyDescent="0.2">
      <c r="A7" s="243" t="s">
        <v>57</v>
      </c>
      <c r="B7" s="244">
        <f>SUM(B24,B42,B60,B78,B96,B114,B132,B150,B168,B186)</f>
        <v>0</v>
      </c>
      <c r="C7" s="215">
        <f t="shared" ref="C7:D7" si="8">SUM(C24,C42,C60,C78,C96,C114,C132,C150,C168,C186)</f>
        <v>166</v>
      </c>
      <c r="D7" s="246">
        <f t="shared" si="8"/>
        <v>23</v>
      </c>
      <c r="E7" s="247">
        <f>SUM(B7:D7)</f>
        <v>189</v>
      </c>
      <c r="F7" s="248">
        <f>IFERROR(('هزینه پرسنلی مستقیم خدمات'!$B$31/(C8+B7))/$AH$5,0)</f>
        <v>0</v>
      </c>
      <c r="G7" s="259">
        <f ca="1">IFERROR((VLOOKUP($AH$6,'[1]هزینه سربار خدمات'!$A:$F,2,FALSE)/(D7+D8))/$AH$5,0)</f>
        <v>279.02173913043481</v>
      </c>
      <c r="H7" s="244">
        <f>SUM(H24,H42,H60,H78,H96,H114,H132,H150,H168,H186)</f>
        <v>0</v>
      </c>
      <c r="I7" s="215">
        <f t="shared" ref="I7:J7" si="9">SUM(I24,I42,I60,I78,I96,I114,I132,I150,I168,I186)</f>
        <v>166</v>
      </c>
      <c r="J7" s="246">
        <f t="shared" si="9"/>
        <v>95</v>
      </c>
      <c r="K7" s="247">
        <f>SUM(H7:J7)</f>
        <v>261</v>
      </c>
      <c r="L7" s="248">
        <f ca="1">IFERROR(('هزینه پرسنلی مستقیم خدمات'!$C$31/(I7+H7))/$AH$5,0)</f>
        <v>0</v>
      </c>
      <c r="M7" s="259">
        <f ca="1">IFERROR((VLOOKUP($AH$6,'[1]هزینه سربار خدمات'!$A:$F,3,FALSE)/(J7+J8))/$AH$5,0)</f>
        <v>217.15087719298245</v>
      </c>
      <c r="N7" s="244">
        <f>SUM(N24,N42,N60,N78,N96,N114,N132,N150,N168,N186)</f>
        <v>0</v>
      </c>
      <c r="O7" s="215">
        <f t="shared" ref="O7:P7" si="10">SUM(O24,O42,O60,O78,O96,O114,O132,O150,O168,O186)</f>
        <v>163</v>
      </c>
      <c r="P7" s="246">
        <f t="shared" si="10"/>
        <v>40</v>
      </c>
      <c r="Q7" s="247">
        <f>SUM(N7:P7)</f>
        <v>203</v>
      </c>
      <c r="R7" s="248">
        <f>IFERROR(('هزینه پرسنلی مستقیم خدمات'!$D$31/(O7+N7))/$AH$5,0)</f>
        <v>1269.984662576687</v>
      </c>
      <c r="S7" s="259">
        <f ca="1">IFERROR((VLOOKUP($AH$6,'[1]هزینه سربار خدمات'!$A:$F,4,FALSE)/(P7+P8))/$AH$5,0)</f>
        <v>1181.05</v>
      </c>
      <c r="T7" s="260" t="str">
        <f t="shared" si="0"/>
        <v>-</v>
      </c>
      <c r="U7" s="261">
        <f t="shared" si="1"/>
        <v>500</v>
      </c>
      <c r="V7" s="262">
        <f t="shared" si="2"/>
        <v>98.192771084337352</v>
      </c>
      <c r="W7" s="261">
        <f t="shared" si="3"/>
        <v>1.8072289156626482</v>
      </c>
      <c r="X7" s="262">
        <f t="shared" si="4"/>
        <v>42.10526315789474</v>
      </c>
      <c r="Y7" s="263">
        <f t="shared" si="5"/>
        <v>57.89473684210526</v>
      </c>
      <c r="Z7" s="263">
        <f t="shared" si="6"/>
        <v>77.777777777777771</v>
      </c>
      <c r="AA7" s="260" t="str">
        <f t="shared" ca="1" si="6"/>
        <v>-</v>
      </c>
      <c r="AB7" s="261">
        <f t="shared" ca="1" si="7"/>
        <v>500</v>
      </c>
      <c r="AC7" s="264">
        <f ca="1">IFERROR(S7*100/M7,"-")</f>
        <v>543.88451719234752</v>
      </c>
      <c r="AD7" s="265">
        <f ca="1">IFERROR(ABS(AC7-100),500)</f>
        <v>443.88451719234752</v>
      </c>
      <c r="AH7" s="242"/>
    </row>
    <row r="8" spans="1:34" ht="35.1" customHeight="1" x14ac:dyDescent="0.2">
      <c r="A8" s="243" t="s">
        <v>58</v>
      </c>
      <c r="B8" s="244">
        <f t="shared" ref="B8:D9" si="11">SUM(B25,B43,B61,B79,B97,B115,B133,B151,B169,B187)</f>
        <v>0</v>
      </c>
      <c r="C8" s="245">
        <f t="shared" si="11"/>
        <v>0</v>
      </c>
      <c r="D8" s="246">
        <f t="shared" si="11"/>
        <v>0</v>
      </c>
      <c r="E8" s="247">
        <f>SUM(B8:D8)</f>
        <v>0</v>
      </c>
      <c r="F8" s="248">
        <f>IFERROR(('[1]هزینه پرسنلی غیرمستقیم خدمات'!$B$31/(#REF!+B8))/$AH$5,0)</f>
        <v>0</v>
      </c>
      <c r="G8" s="249"/>
      <c r="H8" s="244">
        <f t="shared" ref="H8:J9" si="12">SUM(H25,H43,H61,H79,H97,H115,H133,H151,H169,H187)</f>
        <v>0</v>
      </c>
      <c r="I8" s="245">
        <f t="shared" si="12"/>
        <v>0</v>
      </c>
      <c r="J8" s="246">
        <f t="shared" si="12"/>
        <v>0</v>
      </c>
      <c r="K8" s="247">
        <f>SUM(H8:J8)</f>
        <v>0</v>
      </c>
      <c r="L8" s="248">
        <f ca="1">IFERROR(('[1]هزینه پرسنلی غیرمستقیم خدمات'!$C$31/(I8+H8))/$AH$5,0)</f>
        <v>0</v>
      </c>
      <c r="M8" s="249"/>
      <c r="N8" s="244">
        <f t="shared" ref="N8:P9" si="13">SUM(N25,N43,N61,N79,N97,N115,N133,N151,N169,N187)</f>
        <v>0</v>
      </c>
      <c r="O8" s="245">
        <f t="shared" si="13"/>
        <v>0</v>
      </c>
      <c r="P8" s="246">
        <f t="shared" si="13"/>
        <v>0</v>
      </c>
      <c r="Q8" s="247">
        <f>SUM(N8:P8)</f>
        <v>0</v>
      </c>
      <c r="R8" s="248">
        <f>IFERROR(('[1]هزینه پرسنلی غیرمستقیم خدمات'!$D$31/(O8+N8))/$AH$5,0)</f>
        <v>0</v>
      </c>
      <c r="S8" s="249"/>
      <c r="T8" s="260" t="str">
        <f t="shared" si="0"/>
        <v>-</v>
      </c>
      <c r="U8" s="261">
        <f t="shared" si="1"/>
        <v>500</v>
      </c>
      <c r="V8" s="262" t="str">
        <f t="shared" si="2"/>
        <v>-</v>
      </c>
      <c r="W8" s="261">
        <f t="shared" si="3"/>
        <v>500</v>
      </c>
      <c r="X8" s="262" t="str">
        <f t="shared" si="4"/>
        <v>-</v>
      </c>
      <c r="Y8" s="263">
        <f t="shared" si="5"/>
        <v>500</v>
      </c>
      <c r="Z8" s="263" t="str">
        <f t="shared" si="6"/>
        <v>-</v>
      </c>
      <c r="AA8" s="260" t="str">
        <f t="shared" ca="1" si="6"/>
        <v>-</v>
      </c>
      <c r="AB8" s="261">
        <f t="shared" ca="1" si="7"/>
        <v>500</v>
      </c>
      <c r="AC8" s="257"/>
      <c r="AD8" s="266"/>
    </row>
    <row r="9" spans="1:34" ht="35.1" customHeight="1" thickBot="1" x14ac:dyDescent="0.25">
      <c r="A9" s="267" t="s">
        <v>59</v>
      </c>
      <c r="B9" s="268">
        <f t="shared" si="11"/>
        <v>0</v>
      </c>
      <c r="C9" s="269">
        <f t="shared" si="11"/>
        <v>31</v>
      </c>
      <c r="D9" s="270">
        <f t="shared" si="11"/>
        <v>9</v>
      </c>
      <c r="E9" s="271">
        <f>SUM(B9:D9)</f>
        <v>40</v>
      </c>
      <c r="F9" s="248">
        <f>IF($A$1="صنایع شیر ایران",IFERROR(('[1]هزینه اداری عمومی'!$B$26/(C9+B9+D9))/$AH$5,0),IFERROR(('[1]هزینه اداری عمومی'!$B$26/(C9+B9))/$AH$5,0))</f>
        <v>760.0645161290322</v>
      </c>
      <c r="G9" s="272">
        <f ca="1">IFERROR((VLOOKUP($AH$6,'[1]هزینه اداری عمومی'!$A:$F,2,FALSE)/D9)/$AH$5,0)</f>
        <v>0</v>
      </c>
      <c r="H9" s="268">
        <f t="shared" si="12"/>
        <v>0</v>
      </c>
      <c r="I9" s="269">
        <f t="shared" si="12"/>
        <v>31</v>
      </c>
      <c r="J9" s="270">
        <f t="shared" si="12"/>
        <v>15</v>
      </c>
      <c r="K9" s="271">
        <f>SUM(H9:J9)</f>
        <v>46</v>
      </c>
      <c r="L9" s="248">
        <f>IF($A$1="صنایع شیر ایران",IFERROR(('[1]هزینه اداری عمومی'!$C$26/(I9+H9+J9))/$AH$5,0),IFERROR(('[1]هزینه اداری عمومی'!$C$26/(I9+H9))/$AH$5,0))</f>
        <v>1021.1290322580645</v>
      </c>
      <c r="M9" s="272">
        <f ca="1">IFERROR((VLOOKUP($AH$6,'[1]هزینه اداری عمومی'!$A:$F,3,FALSE)/J9)/$AH$5,0)</f>
        <v>319.23333333333335</v>
      </c>
      <c r="N9" s="268">
        <f t="shared" si="13"/>
        <v>0</v>
      </c>
      <c r="O9" s="269">
        <f t="shared" si="13"/>
        <v>30</v>
      </c>
      <c r="P9" s="270">
        <f t="shared" si="13"/>
        <v>9</v>
      </c>
      <c r="Q9" s="271">
        <f>SUM(N9:P9)</f>
        <v>39</v>
      </c>
      <c r="R9" s="248">
        <f>IF($A$1="صنایع شیر ایران",IFERROR(('[1]هزینه اداری عمومی'!$D$26/(O9+N9+P9))/$AH$5,0),IFERROR(('[1]هزینه اداری عمومی'!$D$26/(O9+N9))/$AH$5,0))</f>
        <v>1246.8555555555556</v>
      </c>
      <c r="S9" s="272">
        <f ca="1">IFERROR((VLOOKUP($AH$6,'[1]هزینه اداری عمومی'!$A:$F,4,FALSE)/P9)/$AH$5,0)</f>
        <v>0</v>
      </c>
      <c r="T9" s="273" t="str">
        <f t="shared" si="0"/>
        <v>-</v>
      </c>
      <c r="U9" s="274">
        <f t="shared" si="1"/>
        <v>500</v>
      </c>
      <c r="V9" s="275">
        <f t="shared" si="2"/>
        <v>96.774193548387103</v>
      </c>
      <c r="W9" s="274">
        <f t="shared" si="3"/>
        <v>3.2258064516128968</v>
      </c>
      <c r="X9" s="275">
        <f t="shared" si="4"/>
        <v>60</v>
      </c>
      <c r="Y9" s="276">
        <f t="shared" si="5"/>
        <v>40</v>
      </c>
      <c r="Z9" s="276">
        <f t="shared" si="6"/>
        <v>84.782608695652172</v>
      </c>
      <c r="AA9" s="260">
        <f t="shared" si="6"/>
        <v>122.10558275856017</v>
      </c>
      <c r="AB9" s="274">
        <f t="shared" si="7"/>
        <v>22.105582758560175</v>
      </c>
      <c r="AC9" s="262">
        <f ca="1">IFERROR(S9*100/M9,"-")</f>
        <v>0</v>
      </c>
      <c r="AD9" s="276">
        <f ca="1">IFERROR(ABS(AC9-100),500)</f>
        <v>100</v>
      </c>
    </row>
    <row r="10" spans="1:34" ht="35.1" customHeight="1" thickBot="1" x14ac:dyDescent="0.25">
      <c r="A10" s="277" t="s">
        <v>60</v>
      </c>
      <c r="B10" s="278">
        <f>SUM(B5:B9)</f>
        <v>0</v>
      </c>
      <c r="C10" s="279">
        <f>SUM(C5:C9)</f>
        <v>197</v>
      </c>
      <c r="D10" s="280">
        <f>SUM(D5:D9)</f>
        <v>32</v>
      </c>
      <c r="E10" s="281">
        <f>SUM(E5:E9)</f>
        <v>229</v>
      </c>
      <c r="F10" s="282">
        <f>IF($A$1="صنایع شیر ایران",IFERROR(((SUM(F6*(C6+B6+D6),F9*(C9+B9+D9),F5*(C5+B5+D5)))/(C10+B10+D10)),0),IFERROR(((SUM(F6*(C6+B6),F7*(C8+B7),F8*(#REF!+B8),F9*(C9+B9),F5*(C5+B5)))/(C10+B10)),0))</f>
        <v>0</v>
      </c>
      <c r="G10" s="283">
        <f ca="1">IFERROR((G5*(D6+D5)+G7*(D8+D7)+G9*D9)/(D10),0)</f>
        <v>200.54687500000003</v>
      </c>
      <c r="H10" s="278" t="e">
        <f ca="1">SUM(H5:H9)</f>
        <v>#REF!</v>
      </c>
      <c r="I10" s="279" t="e">
        <f ca="1">SUM(I5:I9)</f>
        <v>#REF!</v>
      </c>
      <c r="J10" s="280" t="e">
        <f ca="1">SUM(J5:J9)</f>
        <v>#REF!</v>
      </c>
      <c r="K10" s="281" t="e">
        <f ca="1">SUM(K5:K9)</f>
        <v>#REF!</v>
      </c>
      <c r="L10" s="282">
        <f ca="1">IF($A$1="صنایع شیر ایران",IFERROR(((SUM(L6*(I6+H6+J6),L9*(I9+H9+J9),L5*(I5+H5+J5)))/(I10+H10+J10)),0),IFERROR(((SUM(L6*(I6+H6),L7*(I7+H7),L8*(I8+H8),L9*(I9+H9),L5*(I5+H5)))/(I10+H10)),0))</f>
        <v>0</v>
      </c>
      <c r="M10" s="283">
        <f ca="1">IFERROR((M5*(J6+J5)+M7*(J8+J7)+M9*J9)/(J10),0)</f>
        <v>0</v>
      </c>
      <c r="N10" s="278">
        <f>SUM(N5:N9)</f>
        <v>0</v>
      </c>
      <c r="O10" s="279">
        <f>SUM(O5:O9)</f>
        <v>193</v>
      </c>
      <c r="P10" s="280">
        <f>SUM(P5:P9)</f>
        <v>49</v>
      </c>
      <c r="Q10" s="281">
        <f>SUM(Q5:Q9)</f>
        <v>242</v>
      </c>
      <c r="R10" s="282">
        <f>IF($A$1="صنایع شیر ایران",IFERROR(((SUM(R6*(O6+N6+P6),R9*(O9+N9+P9),R5*(O5+N5+P5)))/(O10+N10+P10)),0),IFERROR(((SUM(R6*(O6+N6),R7*(O7+N7),R8*(O8+N8),R9*(O9+N9),R5*(O5+N5)))/(O10+N10)),0))</f>
        <v>1266.3894645941275</v>
      </c>
      <c r="S10" s="283">
        <f ca="1">IFERROR((S5*(P6+P5)+S7*(P8+P7)+S9*P9)/(P10),0)</f>
        <v>964.12244897959181</v>
      </c>
      <c r="T10" s="284" t="str">
        <f t="shared" ca="1" si="0"/>
        <v>-</v>
      </c>
      <c r="U10" s="285">
        <f t="shared" ca="1" si="1"/>
        <v>500</v>
      </c>
      <c r="V10" s="286" t="str">
        <f t="shared" ca="1" si="2"/>
        <v>-</v>
      </c>
      <c r="W10" s="285">
        <f t="shared" ca="1" si="3"/>
        <v>500</v>
      </c>
      <c r="X10" s="286" t="str">
        <f t="shared" ca="1" si="4"/>
        <v>-</v>
      </c>
      <c r="Y10" s="287">
        <f t="shared" ca="1" si="5"/>
        <v>500</v>
      </c>
      <c r="Z10" s="287" t="str">
        <f t="shared" ca="1" si="6"/>
        <v>-</v>
      </c>
      <c r="AA10" s="284" t="str">
        <f t="shared" ca="1" si="6"/>
        <v>-</v>
      </c>
      <c r="AB10" s="285">
        <f t="shared" ca="1" si="7"/>
        <v>500</v>
      </c>
      <c r="AC10" s="286" t="str">
        <f ca="1">IFERROR(S10*100/M10,"-")</f>
        <v>-</v>
      </c>
      <c r="AD10" s="287">
        <f ca="1">IFERROR(ABS(AC10-100),500)</f>
        <v>500</v>
      </c>
    </row>
    <row r="11" spans="1:34" ht="35.1" customHeight="1" thickTop="1" thickBot="1" x14ac:dyDescent="0.25">
      <c r="A11" s="288" t="s">
        <v>61</v>
      </c>
      <c r="B11" s="289"/>
      <c r="C11" s="290"/>
      <c r="D11" s="291"/>
      <c r="E11" s="292">
        <f>SUM(B11:D11)</f>
        <v>0</v>
      </c>
      <c r="F11" s="293"/>
      <c r="G11" s="294"/>
      <c r="H11" s="289"/>
      <c r="I11" s="290"/>
      <c r="J11" s="291"/>
      <c r="K11" s="292">
        <f>SUM(H11:J11)</f>
        <v>0</v>
      </c>
      <c r="L11" s="293"/>
      <c r="M11" s="294"/>
      <c r="N11" s="289"/>
      <c r="O11" s="290"/>
      <c r="P11" s="291"/>
      <c r="Q11" s="292">
        <f>SUM(N11:P11)</f>
        <v>0</v>
      </c>
      <c r="R11" s="293"/>
      <c r="S11" s="294"/>
      <c r="T11" s="295" t="str">
        <f t="shared" si="0"/>
        <v>-</v>
      </c>
      <c r="U11" s="296">
        <f t="shared" si="1"/>
        <v>500</v>
      </c>
      <c r="V11" s="297" t="str">
        <f t="shared" si="2"/>
        <v>-</v>
      </c>
      <c r="W11" s="296">
        <f t="shared" si="3"/>
        <v>500</v>
      </c>
      <c r="X11" s="297" t="str">
        <f t="shared" si="4"/>
        <v>-</v>
      </c>
      <c r="Y11" s="298">
        <f t="shared" si="5"/>
        <v>500</v>
      </c>
      <c r="Z11" s="298" t="str">
        <f t="shared" si="6"/>
        <v>-</v>
      </c>
      <c r="AA11" s="295" t="str">
        <f t="shared" si="6"/>
        <v>-</v>
      </c>
      <c r="AB11" s="296">
        <f t="shared" si="7"/>
        <v>500</v>
      </c>
      <c r="AC11" s="297" t="str">
        <f>IFERROR(S11*100/M11,"-")</f>
        <v>-</v>
      </c>
      <c r="AD11" s="298">
        <f>IFERROR(ABS(AC11-100),500)</f>
        <v>500</v>
      </c>
    </row>
    <row r="12" spans="1:34" ht="16.5" customHeight="1" x14ac:dyDescent="0.2">
      <c r="A12" s="299"/>
      <c r="B12" s="299"/>
      <c r="C12" s="299"/>
      <c r="D12" s="299"/>
      <c r="E12" s="299"/>
      <c r="F12" s="299"/>
      <c r="G12" s="299"/>
      <c r="H12" s="299"/>
      <c r="I12" s="299"/>
      <c r="J12" s="299"/>
      <c r="K12" s="299"/>
      <c r="L12" s="299"/>
      <c r="M12" s="299"/>
      <c r="N12" s="299"/>
      <c r="O12" s="299"/>
      <c r="P12" s="299"/>
      <c r="Q12" s="299"/>
      <c r="R12" s="299"/>
      <c r="S12" s="299"/>
      <c r="T12" s="299"/>
      <c r="U12" s="299"/>
      <c r="V12" s="299"/>
      <c r="W12" s="299"/>
      <c r="X12" s="299"/>
      <c r="Y12" s="299"/>
      <c r="Z12" s="299"/>
    </row>
    <row r="13" spans="1:34" ht="8.25" customHeight="1" x14ac:dyDescent="0.2">
      <c r="A13" s="299"/>
      <c r="B13" s="299"/>
      <c r="C13" s="299"/>
      <c r="D13" s="299"/>
      <c r="E13" s="299"/>
      <c r="F13" s="299"/>
      <c r="G13" s="299"/>
      <c r="H13" s="299"/>
      <c r="I13" s="299"/>
      <c r="J13" s="299"/>
      <c r="K13" s="299"/>
      <c r="L13" s="299"/>
      <c r="M13" s="299"/>
      <c r="N13" s="299"/>
      <c r="O13" s="299"/>
      <c r="P13" s="299"/>
      <c r="Q13" s="299"/>
      <c r="R13" s="299"/>
      <c r="S13" s="299"/>
      <c r="T13" s="299"/>
      <c r="U13" s="299"/>
      <c r="V13" s="299"/>
      <c r="W13" s="299"/>
      <c r="X13" s="299"/>
      <c r="Y13" s="299"/>
      <c r="Z13" s="299"/>
    </row>
    <row r="19" spans="1:31" ht="29.25" thickBot="1" x14ac:dyDescent="0.25">
      <c r="A19" s="300" t="str">
        <f>"گزارش تعداد پرسنل و سرانه هزینه پرسنلی به تفکیک نوع قرارداد در دوره " &amp; [1]روکش!$F$9 &amp; " سال " &amp; [1]روکش!$D$9&amp;"- مجتمع خراسان/ شعبه "&amp;AE19</f>
        <v>گزارش تعداد پرسنل و سرانه هزینه پرسنلی به تفکیک نوع قرارداد در دوره شش ماهه سال 1405- مجتمع خراسان/ شعبه شهید کاوه</v>
      </c>
      <c r="B19" s="300"/>
      <c r="C19" s="300"/>
      <c r="D19" s="300"/>
      <c r="E19" s="300"/>
      <c r="F19" s="300"/>
      <c r="G19" s="300"/>
      <c r="H19" s="300"/>
      <c r="I19" s="300"/>
      <c r="J19" s="300"/>
      <c r="K19" s="300"/>
      <c r="L19" s="300"/>
      <c r="M19" s="300"/>
      <c r="N19" s="300"/>
      <c r="O19" s="300"/>
      <c r="P19" s="300"/>
      <c r="Q19" s="300"/>
      <c r="R19" s="300"/>
      <c r="S19" s="300"/>
      <c r="T19" s="300"/>
      <c r="U19" s="300"/>
      <c r="V19" s="300"/>
      <c r="W19" s="300"/>
      <c r="X19" s="300"/>
      <c r="Y19" s="300"/>
      <c r="Z19" s="300"/>
      <c r="AA19" s="300"/>
      <c r="AB19" s="300"/>
      <c r="AC19" s="300"/>
      <c r="AD19" s="300"/>
      <c r="AE19" s="301" t="str">
        <f>[1]واردات!$AA$42</f>
        <v>شهید کاوه</v>
      </c>
    </row>
    <row r="20" spans="1:31" ht="24.75" thickBot="1" x14ac:dyDescent="0.25">
      <c r="A20" s="302" t="s">
        <v>43</v>
      </c>
      <c r="B20" s="303" t="s">
        <v>44</v>
      </c>
      <c r="C20" s="304"/>
      <c r="D20" s="304"/>
      <c r="E20" s="304"/>
      <c r="F20" s="304"/>
      <c r="G20" s="305"/>
      <c r="H20" s="303" t="s">
        <v>45</v>
      </c>
      <c r="I20" s="304"/>
      <c r="J20" s="304"/>
      <c r="K20" s="304"/>
      <c r="L20" s="304"/>
      <c r="M20" s="305"/>
      <c r="N20" s="303" t="s">
        <v>46</v>
      </c>
      <c r="O20" s="304"/>
      <c r="P20" s="304"/>
      <c r="Q20" s="304"/>
      <c r="R20" s="304"/>
      <c r="S20" s="305"/>
      <c r="T20" s="303" t="s">
        <v>47</v>
      </c>
      <c r="U20" s="304"/>
      <c r="V20" s="304"/>
      <c r="W20" s="304"/>
      <c r="X20" s="304"/>
      <c r="Y20" s="304"/>
      <c r="Z20" s="304"/>
      <c r="AA20" s="304"/>
      <c r="AB20" s="304"/>
      <c r="AC20" s="304"/>
      <c r="AD20" s="305"/>
    </row>
    <row r="21" spans="1:31" ht="63.75" thickBot="1" x14ac:dyDescent="0.25">
      <c r="A21" s="306"/>
      <c r="B21" s="307" t="s">
        <v>48</v>
      </c>
      <c r="C21" s="308" t="s">
        <v>49</v>
      </c>
      <c r="D21" s="309" t="s">
        <v>50</v>
      </c>
      <c r="E21" s="310" t="s">
        <v>51</v>
      </c>
      <c r="F21" s="307" t="s">
        <v>52</v>
      </c>
      <c r="G21" s="309" t="s">
        <v>53</v>
      </c>
      <c r="H21" s="307" t="s">
        <v>48</v>
      </c>
      <c r="I21" s="308" t="s">
        <v>49</v>
      </c>
      <c r="J21" s="309" t="s">
        <v>50</v>
      </c>
      <c r="K21" s="311" t="s">
        <v>51</v>
      </c>
      <c r="L21" s="307" t="s">
        <v>52</v>
      </c>
      <c r="M21" s="309" t="s">
        <v>53</v>
      </c>
      <c r="N21" s="307" t="s">
        <v>48</v>
      </c>
      <c r="O21" s="308" t="s">
        <v>49</v>
      </c>
      <c r="P21" s="309" t="s">
        <v>50</v>
      </c>
      <c r="Q21" s="311" t="s">
        <v>51</v>
      </c>
      <c r="R21" s="307" t="s">
        <v>52</v>
      </c>
      <c r="S21" s="309" t="s">
        <v>53</v>
      </c>
      <c r="T21" s="312" t="s">
        <v>48</v>
      </c>
      <c r="U21" s="313"/>
      <c r="V21" s="314" t="s">
        <v>49</v>
      </c>
      <c r="W21" s="313"/>
      <c r="X21" s="314" t="s">
        <v>50</v>
      </c>
      <c r="Y21" s="315"/>
      <c r="Z21" s="311" t="s">
        <v>51</v>
      </c>
      <c r="AA21" s="312" t="s">
        <v>52</v>
      </c>
      <c r="AB21" s="313"/>
      <c r="AC21" s="314" t="s">
        <v>53</v>
      </c>
      <c r="AD21" s="315"/>
    </row>
    <row r="22" spans="1:31" hidden="1" x14ac:dyDescent="0.2">
      <c r="A22" s="316" t="s">
        <v>54</v>
      </c>
      <c r="B22" s="227"/>
      <c r="C22" s="228"/>
      <c r="D22" s="229"/>
      <c r="E22" s="317">
        <f>SUM(B22:D22)</f>
        <v>0</v>
      </c>
      <c r="F22" s="318">
        <f>IF($A$1="صنایع شیر ایران",IFERROR(('[1]هزینه پرسنلی مستقیم تولید'!$B$31/(C22+B22+D22))/$AH$5,0),IFERROR(('[1]هزینه پرسنلی مستقیم تولید'!$B$31/(C22+B22))/$AH$5,0))</f>
        <v>0</v>
      </c>
      <c r="G22" s="319">
        <f ca="1">IFERROR((VLOOKUP($AH$6,'[1]هزینه سربار تولید'!$A:$F,2,FALSE)/(D22+D23))/$AH$5,0)</f>
        <v>0</v>
      </c>
      <c r="H22" s="320">
        <v>0</v>
      </c>
      <c r="I22" s="321">
        <v>0</v>
      </c>
      <c r="J22" s="322">
        <v>0</v>
      </c>
      <c r="K22" s="317">
        <f>SUM(H22:J22)</f>
        <v>0</v>
      </c>
      <c r="L22" s="318">
        <f ca="1">IF($A$1="صنایع شیر ایران",IFERROR(('[1]هزینه پرسنلی مستقیم تولید'!$C$31/(I22+H22+J22))/$AH$5,0),IFERROR(('[1]هزینه پرسنلی مستقیم تولید'!$C$31/(I22+H22))/$AH$5,0))</f>
        <v>0</v>
      </c>
      <c r="M22" s="319">
        <f ca="1">IFERROR((VLOOKUP($AH$6,'[1]هزینه سربار تولید'!$A:$F,3,FALSE)/(J22+J23))/$AH$5,0)</f>
        <v>0</v>
      </c>
      <c r="N22" s="227"/>
      <c r="O22" s="228"/>
      <c r="P22" s="229"/>
      <c r="Q22" s="317">
        <f>SUM(N22:P22)</f>
        <v>0</v>
      </c>
      <c r="R22" s="318">
        <f>IF($A$1="صنایع شیر ایران",IFERROR(('[1]هزینه پرسنلی مستقیم تولید'!$D$31/(O22+N22+P22))/$AH$5,0),IFERROR(('[1]هزینه پرسنلی مستقیم تولید'!$D$31/(O22+N22))/$AH$5,0))</f>
        <v>0</v>
      </c>
      <c r="S22" s="319">
        <f ca="1">IFERROR((VLOOKUP($AH$6,'[1]هزینه سربار تولید'!$A:$F,4,FALSE)/(P22+P23))/$AH$5,0)</f>
        <v>0</v>
      </c>
      <c r="T22" s="323" t="str">
        <f t="shared" ref="T22:T28" si="14">IFERROR(N22*100/H22,"-")</f>
        <v>-</v>
      </c>
      <c r="U22" s="324">
        <f t="shared" ref="U22:U28" si="15">IFERROR(ABS(T22-100),500)</f>
        <v>500</v>
      </c>
      <c r="V22" s="325" t="str">
        <f t="shared" ref="V22:V28" si="16">IFERROR(O22*100/I22,"-")</f>
        <v>-</v>
      </c>
      <c r="W22" s="324">
        <f t="shared" ref="W22:W28" si="17">IFERROR(ABS(V22-100),500)</f>
        <v>500</v>
      </c>
      <c r="X22" s="325" t="str">
        <f t="shared" ref="X22:X28" si="18">IFERROR(P22*100/J22,"-")</f>
        <v>-</v>
      </c>
      <c r="Y22" s="326">
        <f t="shared" ref="Y22:Y28" si="19">IFERROR(ABS(X22-100),500)</f>
        <v>500</v>
      </c>
      <c r="Z22" s="324" t="str">
        <f t="shared" ref="Z22:AA28" si="20">IFERROR(Q22*100/K22,"-")</f>
        <v>-</v>
      </c>
      <c r="AA22" s="323" t="str">
        <f t="shared" ca="1" si="20"/>
        <v>-</v>
      </c>
      <c r="AB22" s="324">
        <f t="shared" ref="AB22:AB28" ca="1" si="21">IFERROR(ABS(AA22-100),500)</f>
        <v>500</v>
      </c>
      <c r="AC22" s="327" t="str">
        <f ca="1">IFERROR(S22*100/M22,"-")</f>
        <v>-</v>
      </c>
      <c r="AD22" s="328">
        <f ca="1">IFERROR(ABS(AC22-100),500)</f>
        <v>500</v>
      </c>
    </row>
    <row r="23" spans="1:31" hidden="1" x14ac:dyDescent="0.2">
      <c r="A23" s="329" t="s">
        <v>55</v>
      </c>
      <c r="B23" s="244"/>
      <c r="C23" s="245"/>
      <c r="D23" s="246"/>
      <c r="E23" s="330">
        <f>SUM(B23:D23)</f>
        <v>0</v>
      </c>
      <c r="F23" s="331">
        <f>IF($A$1="صنایع شیر ایران",IFERROR(('[1]هزینه پرسنلی غیرمستقیم تولید'!$B$31/(C23+B23+D23))/$AH$5,0),IFERROR(('[1]هزینه پرسنلی غیرمستقیم تولید'!$B$31/(C23+B23))/$AH$5,0))</f>
        <v>0</v>
      </c>
      <c r="G23" s="332"/>
      <c r="H23" s="333">
        <v>0</v>
      </c>
      <c r="I23" s="334">
        <v>0</v>
      </c>
      <c r="J23" s="335">
        <v>0</v>
      </c>
      <c r="K23" s="330">
        <f>SUM(H23:J23)</f>
        <v>0</v>
      </c>
      <c r="L23" s="331">
        <f ca="1">IF($A$1="صنایع شیر ایران",IFERROR(('[1]هزینه پرسنلی غیرمستقیم تولید'!$C$31/(I23+H23+J23))/$AH$5,0),IFERROR(('[1]هزینه پرسنلی غیرمستقیم تولید'!$C$31/(I23+H23))/$AH$5,0))</f>
        <v>0</v>
      </c>
      <c r="M23" s="332"/>
      <c r="N23" s="244"/>
      <c r="O23" s="245"/>
      <c r="P23" s="246"/>
      <c r="Q23" s="330">
        <f>SUM(N23:P23)</f>
        <v>0</v>
      </c>
      <c r="R23" s="331">
        <f>IF($A$1="صنایع شیر ایران",IFERROR(('[1]هزینه پرسنلی غیرمستقیم تولید'!$D$31/(O23+N23+P23))/$AH$5,0),IFERROR(('[1]هزینه پرسنلی غیرمستقیم تولید'!$D$31/(O23+N23))/$AH$5,0))</f>
        <v>0</v>
      </c>
      <c r="S23" s="332"/>
      <c r="T23" s="336" t="str">
        <f t="shared" si="14"/>
        <v>-</v>
      </c>
      <c r="U23" s="337">
        <f t="shared" si="15"/>
        <v>500</v>
      </c>
      <c r="V23" s="338" t="str">
        <f t="shared" si="16"/>
        <v>-</v>
      </c>
      <c r="W23" s="337">
        <f t="shared" si="17"/>
        <v>500</v>
      </c>
      <c r="X23" s="338" t="str">
        <f t="shared" si="18"/>
        <v>-</v>
      </c>
      <c r="Y23" s="339">
        <f t="shared" si="19"/>
        <v>500</v>
      </c>
      <c r="Z23" s="337" t="str">
        <f t="shared" si="20"/>
        <v>-</v>
      </c>
      <c r="AA23" s="336" t="str">
        <f t="shared" ca="1" si="20"/>
        <v>-</v>
      </c>
      <c r="AB23" s="337">
        <f t="shared" ca="1" si="21"/>
        <v>500</v>
      </c>
      <c r="AC23" s="340"/>
      <c r="AD23" s="341"/>
    </row>
    <row r="24" spans="1:31" ht="35.1" customHeight="1" x14ac:dyDescent="0.2">
      <c r="A24" s="329" t="s">
        <v>57</v>
      </c>
      <c r="B24" s="244"/>
      <c r="C24" s="245">
        <v>21</v>
      </c>
      <c r="D24" s="246">
        <v>1</v>
      </c>
      <c r="E24" s="330">
        <f>SUM(B24:D24)</f>
        <v>22</v>
      </c>
      <c r="F24" s="331">
        <f>IFERROR(('هزینه پرسنلی مستقیم خدمات'!$B$31/(C24+B24))/$AH$5,0)</f>
        <v>6023.8888888888896</v>
      </c>
      <c r="G24" s="342">
        <f ca="1">IFERROR((VLOOKUP($AH$6,'[1]هزینه سربار خدمات'!$A:$F,2,FALSE)/(D24+D25))/$AH$5,0)</f>
        <v>6417.5</v>
      </c>
      <c r="H24" s="244"/>
      <c r="I24" s="245">
        <v>21</v>
      </c>
      <c r="J24" s="246">
        <v>7</v>
      </c>
      <c r="K24" s="330">
        <f>SUM(H24:J24)</f>
        <v>28</v>
      </c>
      <c r="L24" s="331">
        <f ca="1">IFERROR(('هزینه پرسنلی مستقیم خدمات'!$C$31/(I24+H24))/$AH$5,0)</f>
        <v>0</v>
      </c>
      <c r="M24" s="342">
        <f ca="1">IFERROR((VLOOKUP($AH$6,'[1]هزینه سربار خدمات'!$A:$F,3,FALSE)/(J24+J25))/$AH$5,0)</f>
        <v>2947.0476190476188</v>
      </c>
      <c r="N24" s="244"/>
      <c r="O24" s="245">
        <v>22</v>
      </c>
      <c r="P24" s="246">
        <v>1</v>
      </c>
      <c r="Q24" s="330">
        <f>SUM(N24:P24)</f>
        <v>23</v>
      </c>
      <c r="R24" s="331">
        <f>IFERROR(('هزینه پرسنلی مستقیم خدمات'!$D$31/(O24+N24))/$AH$5,0)</f>
        <v>9409.431818181818</v>
      </c>
      <c r="S24" s="342">
        <f ca="1">IFERROR((VLOOKUP($AH$6,'[1]هزینه سربار خدمات'!$A:$F,4,FALSE)/(P24+P25))/$AH$5,0)</f>
        <v>47242</v>
      </c>
      <c r="T24" s="343" t="str">
        <f t="shared" si="14"/>
        <v>-</v>
      </c>
      <c r="U24" s="344">
        <f t="shared" si="15"/>
        <v>500</v>
      </c>
      <c r="V24" s="345">
        <f t="shared" si="16"/>
        <v>104.76190476190476</v>
      </c>
      <c r="W24" s="344">
        <f t="shared" si="17"/>
        <v>4.7619047619047592</v>
      </c>
      <c r="X24" s="345">
        <f t="shared" si="18"/>
        <v>14.285714285714286</v>
      </c>
      <c r="Y24" s="346">
        <f t="shared" si="19"/>
        <v>85.714285714285708</v>
      </c>
      <c r="Z24" s="346">
        <f t="shared" si="20"/>
        <v>82.142857142857139</v>
      </c>
      <c r="AA24" s="343" t="str">
        <f t="shared" ca="1" si="20"/>
        <v>-</v>
      </c>
      <c r="AB24" s="344">
        <f t="shared" ca="1" si="21"/>
        <v>500</v>
      </c>
      <c r="AC24" s="347">
        <f ca="1">IFERROR(S24*100/M24,"-")</f>
        <v>1603.0280506721822</v>
      </c>
      <c r="AD24" s="348">
        <f ca="1">IFERROR(ABS(AC24-100),500)</f>
        <v>1503.0280506721822</v>
      </c>
    </row>
    <row r="25" spans="1:31" ht="35.1" customHeight="1" x14ac:dyDescent="0.2">
      <c r="A25" s="329" t="s">
        <v>58</v>
      </c>
      <c r="B25" s="244"/>
      <c r="C25" s="245"/>
      <c r="D25" s="246"/>
      <c r="E25" s="330">
        <f>SUM(B25:D25)</f>
        <v>0</v>
      </c>
      <c r="F25" s="331">
        <f>IFERROR(('[1]هزینه پرسنلی غیرمستقیم خدمات'!$B$31/(C25+B25))/$AH$5,0)</f>
        <v>0</v>
      </c>
      <c r="G25" s="332"/>
      <c r="H25" s="244"/>
      <c r="I25" s="245"/>
      <c r="J25" s="246"/>
      <c r="K25" s="330">
        <f>SUM(H25:J25)</f>
        <v>0</v>
      </c>
      <c r="L25" s="331">
        <f ca="1">IFERROR(('[1]هزینه پرسنلی غیرمستقیم خدمات'!$C$31/(I25+H25))/$AH$5,0)</f>
        <v>0</v>
      </c>
      <c r="M25" s="332"/>
      <c r="N25" s="244"/>
      <c r="O25" s="245"/>
      <c r="P25" s="246"/>
      <c r="Q25" s="330">
        <f>SUM(N25:P25)</f>
        <v>0</v>
      </c>
      <c r="R25" s="331">
        <f>IFERROR(('[1]هزینه پرسنلی غیرمستقیم خدمات'!$D$31/(O25+N25))/$AH$5,0)</f>
        <v>0</v>
      </c>
      <c r="S25" s="332"/>
      <c r="T25" s="343" t="str">
        <f t="shared" si="14"/>
        <v>-</v>
      </c>
      <c r="U25" s="344">
        <f t="shared" si="15"/>
        <v>500</v>
      </c>
      <c r="V25" s="345" t="str">
        <f t="shared" si="16"/>
        <v>-</v>
      </c>
      <c r="W25" s="344">
        <f t="shared" si="17"/>
        <v>500</v>
      </c>
      <c r="X25" s="345" t="str">
        <f t="shared" si="18"/>
        <v>-</v>
      </c>
      <c r="Y25" s="346">
        <f t="shared" si="19"/>
        <v>500</v>
      </c>
      <c r="Z25" s="346" t="str">
        <f t="shared" si="20"/>
        <v>-</v>
      </c>
      <c r="AA25" s="343" t="str">
        <f t="shared" ca="1" si="20"/>
        <v>-</v>
      </c>
      <c r="AB25" s="344">
        <f t="shared" ca="1" si="21"/>
        <v>500</v>
      </c>
      <c r="AC25" s="340"/>
      <c r="AD25" s="349"/>
    </row>
    <row r="26" spans="1:31" ht="35.1" customHeight="1" thickBot="1" x14ac:dyDescent="0.25">
      <c r="A26" s="350" t="s">
        <v>59</v>
      </c>
      <c r="B26" s="268"/>
      <c r="C26" s="269">
        <v>20</v>
      </c>
      <c r="D26" s="270">
        <v>5</v>
      </c>
      <c r="E26" s="351">
        <f>SUM(B26:D26)</f>
        <v>25</v>
      </c>
      <c r="F26" s="331">
        <f>IF($A$1="صنایع شیر ایران",IFERROR(('[1]هزینه اداری عمومی'!$B$26/(C26+B26+D26))/$AH$5,0),IFERROR(('[1]هزینه اداری عمومی'!$B$26/(C26+B26))/$AH$5,0))</f>
        <v>1178.1000000000001</v>
      </c>
      <c r="G26" s="352">
        <f ca="1">IFERROR((VLOOKUP($AH$6,'[1]هزینه اداری عمومی'!$A:$F,2,FALSE)/D26)/$AH$5,0)</f>
        <v>0</v>
      </c>
      <c r="H26" s="268"/>
      <c r="I26" s="269">
        <v>20</v>
      </c>
      <c r="J26" s="270">
        <v>7</v>
      </c>
      <c r="K26" s="351">
        <f>SUM(H26:J26)</f>
        <v>27</v>
      </c>
      <c r="L26" s="331">
        <f>IF($A$1="صنایع شیر ایران",IFERROR(('[1]هزینه اداری عمومی'!$C$26/(I26+H26+J26))/$AH$5,0),IFERROR(('[1]هزینه اداری عمومی'!$C$26/(I26+H26))/$AH$5,0))</f>
        <v>1582.75</v>
      </c>
      <c r="M26" s="352">
        <f ca="1">IFERROR((VLOOKUP($AH$6,'[1]هزینه اداری عمومی'!$A:$F,3,FALSE)/J26)/$AH$5,0)</f>
        <v>684.07142857142856</v>
      </c>
      <c r="N26" s="268"/>
      <c r="O26" s="269">
        <v>18</v>
      </c>
      <c r="P26" s="270">
        <v>6</v>
      </c>
      <c r="Q26" s="351">
        <f>SUM(N26:P26)</f>
        <v>24</v>
      </c>
      <c r="R26" s="331">
        <f>IF($A$1="صنایع شیر ایران",IFERROR(('[1]هزینه اداری عمومی'!$D$26/(O26+N26+P26))/$AH$5,0),IFERROR(('[1]هزینه اداری عمومی'!$D$26/(O26+N26))/$AH$5,0))</f>
        <v>2078.0925925925926</v>
      </c>
      <c r="S26" s="352">
        <f ca="1">IFERROR((VLOOKUP($AH$6,'[1]هزینه اداری عمومی'!$A:$F,4,FALSE)/P26)/$AH$5,0)</f>
        <v>0</v>
      </c>
      <c r="T26" s="353" t="str">
        <f t="shared" si="14"/>
        <v>-</v>
      </c>
      <c r="U26" s="354">
        <f t="shared" si="15"/>
        <v>500</v>
      </c>
      <c r="V26" s="355">
        <f t="shared" si="16"/>
        <v>90</v>
      </c>
      <c r="W26" s="354">
        <f t="shared" si="17"/>
        <v>10</v>
      </c>
      <c r="X26" s="355">
        <f t="shared" si="18"/>
        <v>85.714285714285708</v>
      </c>
      <c r="Y26" s="356">
        <f t="shared" si="19"/>
        <v>14.285714285714292</v>
      </c>
      <c r="Z26" s="356">
        <f t="shared" si="20"/>
        <v>88.888888888888886</v>
      </c>
      <c r="AA26" s="343">
        <f t="shared" si="20"/>
        <v>131.29632554683889</v>
      </c>
      <c r="AB26" s="354">
        <f t="shared" si="21"/>
        <v>31.296325546838887</v>
      </c>
      <c r="AC26" s="345">
        <f ca="1">IFERROR(S26*100/M26,"-")</f>
        <v>0</v>
      </c>
      <c r="AD26" s="356">
        <f ca="1">IFERROR(ABS(AC26-100),500)</f>
        <v>100</v>
      </c>
    </row>
    <row r="27" spans="1:31" ht="35.1" customHeight="1" thickBot="1" x14ac:dyDescent="0.25">
      <c r="A27" s="357" t="s">
        <v>60</v>
      </c>
      <c r="B27" s="358">
        <f>SUM(B22:B26)</f>
        <v>0</v>
      </c>
      <c r="C27" s="359">
        <f>SUM(C22:C26)</f>
        <v>41</v>
      </c>
      <c r="D27" s="360">
        <f>SUM(D22:D26)</f>
        <v>6</v>
      </c>
      <c r="E27" s="361">
        <f>SUM(E22:E26)</f>
        <v>47</v>
      </c>
      <c r="F27" s="362">
        <f>IF($A$1="صنایع شیر ایران",IFERROR(((SUM(F23*(C23+B23+D23),F26*(C26+B26+D26),F22*(C22+B22+D22)))/(C27+B27+D27)),0),IFERROR(((SUM(F23*(C23+B23),F24*(C24+B24),F25*(C25+B25),F26*(C26+B26),F22*(C22+B22)))/(C27+B27)),0))</f>
        <v>3660.0894308943093</v>
      </c>
      <c r="G27" s="363">
        <f ca="1">IFERROR((G22*(D23+D22)+G24*(D25+D24)+G26*D26)/(D27),0)</f>
        <v>1069.5833333333333</v>
      </c>
      <c r="H27" s="358">
        <f>SUM(H22:H26)</f>
        <v>0</v>
      </c>
      <c r="I27" s="359">
        <f>SUM(I22:I26)</f>
        <v>41</v>
      </c>
      <c r="J27" s="360">
        <f>SUM(J22:J26)</f>
        <v>14</v>
      </c>
      <c r="K27" s="361">
        <f>SUM(K22:K26)</f>
        <v>55</v>
      </c>
      <c r="L27" s="362">
        <f ca="1">IF($A$1="صنایع شیر ایران",IFERROR(((SUM(L23*(I23+H23+J23),L26*(I26+H26+J26),L22*(I22+H22+J22)))/(I27+H27+J27)),0),IFERROR(((SUM(L23*(I23+H23),L24*(I24+H24),L25*(I25+H25),L26*(I26+H26),L22*(I22+H22)))/(I27+H27)),0))</f>
        <v>772.07317073170736</v>
      </c>
      <c r="M27" s="363">
        <f ca="1">IFERROR((M22*(J23+J22)+M24*(J25+J24)+M26*J26)/(J27),0)</f>
        <v>1815.5595238095236</v>
      </c>
      <c r="N27" s="358">
        <f>SUM(N22:N26)</f>
        <v>0</v>
      </c>
      <c r="O27" s="359">
        <f>SUM(O22:O26)</f>
        <v>40</v>
      </c>
      <c r="P27" s="360">
        <f>SUM(P22:P26)</f>
        <v>7</v>
      </c>
      <c r="Q27" s="361">
        <f>SUM(Q22:Q26)</f>
        <v>47</v>
      </c>
      <c r="R27" s="362">
        <f>IF($A$1="صنایع شیر ایران",IFERROR(((SUM(R23*(O23+N23+P23),R26*(O26+N26+P26),R22*(O22+N22+P22)))/(O27+N27+P27)),0),IFERROR(((SUM(R23*(O23+N23),R24*(O24+N24),R25*(O25+N25),R26*(O26+N26),R22*(O22+N22)))/(O27+N27)),0))</f>
        <v>6110.3291666666664</v>
      </c>
      <c r="S27" s="363">
        <f ca="1">IFERROR((S22*(P23+P22)+S24*(P25+P24)+S26*P26)/(P27),0)</f>
        <v>6748.8571428571431</v>
      </c>
      <c r="T27" s="364" t="str">
        <f t="shared" si="14"/>
        <v>-</v>
      </c>
      <c r="U27" s="365">
        <f t="shared" si="15"/>
        <v>500</v>
      </c>
      <c r="V27" s="366">
        <f t="shared" si="16"/>
        <v>97.560975609756099</v>
      </c>
      <c r="W27" s="365">
        <f t="shared" si="17"/>
        <v>2.4390243902439011</v>
      </c>
      <c r="X27" s="366">
        <f t="shared" si="18"/>
        <v>50</v>
      </c>
      <c r="Y27" s="367">
        <f t="shared" si="19"/>
        <v>50</v>
      </c>
      <c r="Z27" s="367">
        <f t="shared" si="20"/>
        <v>85.454545454545453</v>
      </c>
      <c r="AA27" s="364">
        <f t="shared" ca="1" si="20"/>
        <v>791.41840414889691</v>
      </c>
      <c r="AB27" s="365">
        <f t="shared" ca="1" si="21"/>
        <v>691.41840414889691</v>
      </c>
      <c r="AC27" s="366">
        <f ca="1">IFERROR(S27*100/M27,"-")</f>
        <v>371.72326516159922</v>
      </c>
      <c r="AD27" s="367">
        <f ca="1">IFERROR(ABS(AC27-100),500)</f>
        <v>271.72326516159922</v>
      </c>
    </row>
    <row r="28" spans="1:31" ht="35.1" customHeight="1" thickTop="1" thickBot="1" x14ac:dyDescent="0.25">
      <c r="A28" s="368" t="s">
        <v>61</v>
      </c>
      <c r="B28" s="289"/>
      <c r="C28" s="290"/>
      <c r="D28" s="291"/>
      <c r="E28" s="369">
        <f>SUM(B28:D28)</f>
        <v>0</v>
      </c>
      <c r="F28" s="293"/>
      <c r="G28" s="294"/>
      <c r="H28" s="289"/>
      <c r="I28" s="290"/>
      <c r="J28" s="291"/>
      <c r="K28" s="369">
        <f>SUM(H28:J28)</f>
        <v>0</v>
      </c>
      <c r="L28" s="293"/>
      <c r="M28" s="294"/>
      <c r="N28" s="289"/>
      <c r="O28" s="290"/>
      <c r="P28" s="291"/>
      <c r="Q28" s="369">
        <f>SUM(N28:P28)</f>
        <v>0</v>
      </c>
      <c r="R28" s="293"/>
      <c r="S28" s="294"/>
      <c r="T28" s="370" t="str">
        <f t="shared" si="14"/>
        <v>-</v>
      </c>
      <c r="U28" s="371">
        <f t="shared" si="15"/>
        <v>500</v>
      </c>
      <c r="V28" s="372" t="str">
        <f t="shared" si="16"/>
        <v>-</v>
      </c>
      <c r="W28" s="371">
        <f t="shared" si="17"/>
        <v>500</v>
      </c>
      <c r="X28" s="372" t="str">
        <f t="shared" si="18"/>
        <v>-</v>
      </c>
      <c r="Y28" s="373">
        <f t="shared" si="19"/>
        <v>500</v>
      </c>
      <c r="Z28" s="373" t="str">
        <f t="shared" si="20"/>
        <v>-</v>
      </c>
      <c r="AA28" s="370" t="str">
        <f t="shared" si="20"/>
        <v>-</v>
      </c>
      <c r="AB28" s="371">
        <f t="shared" si="21"/>
        <v>500</v>
      </c>
      <c r="AC28" s="372" t="str">
        <f>IFERROR(S28*100/M28,"-")</f>
        <v>-</v>
      </c>
      <c r="AD28" s="373">
        <f>IFERROR(ABS(AC28-100),500)</f>
        <v>500</v>
      </c>
    </row>
    <row r="29" spans="1:31" ht="21.75" thickBot="1" x14ac:dyDescent="0.25"/>
    <row r="30" spans="1:31" ht="25.5" x14ac:dyDescent="0.2">
      <c r="A30" s="374" t="s">
        <v>62</v>
      </c>
      <c r="B30" s="375"/>
      <c r="C30" s="375"/>
      <c r="D30" s="375"/>
      <c r="E30" s="375"/>
      <c r="F30" s="375"/>
      <c r="G30" s="375"/>
      <c r="H30" s="375"/>
      <c r="I30" s="375"/>
      <c r="J30" s="375"/>
      <c r="K30" s="375"/>
      <c r="L30" s="375"/>
      <c r="M30" s="375"/>
      <c r="N30" s="375"/>
      <c r="O30" s="375"/>
      <c r="P30" s="375"/>
      <c r="Q30" s="375"/>
      <c r="R30" s="375"/>
      <c r="S30" s="376"/>
    </row>
    <row r="31" spans="1:31" x14ac:dyDescent="0.2">
      <c r="A31" s="377"/>
      <c r="B31" s="378"/>
      <c r="C31" s="378"/>
      <c r="D31" s="378"/>
      <c r="E31" s="378"/>
      <c r="F31" s="378"/>
      <c r="G31" s="378"/>
      <c r="H31" s="378"/>
      <c r="I31" s="378"/>
      <c r="J31" s="378"/>
      <c r="K31" s="378"/>
      <c r="L31" s="378"/>
      <c r="M31" s="378"/>
      <c r="N31" s="378"/>
      <c r="O31" s="378"/>
      <c r="P31" s="378"/>
      <c r="Q31" s="378"/>
      <c r="R31" s="378"/>
      <c r="S31" s="379"/>
    </row>
    <row r="32" spans="1:31" x14ac:dyDescent="0.2">
      <c r="A32" s="377"/>
      <c r="B32" s="378"/>
      <c r="C32" s="378"/>
      <c r="D32" s="378"/>
      <c r="E32" s="378"/>
      <c r="F32" s="378"/>
      <c r="G32" s="378"/>
      <c r="H32" s="378"/>
      <c r="I32" s="378"/>
      <c r="J32" s="378"/>
      <c r="K32" s="378"/>
      <c r="L32" s="378"/>
      <c r="M32" s="378"/>
      <c r="N32" s="378"/>
      <c r="O32" s="378"/>
      <c r="P32" s="378"/>
      <c r="Q32" s="378"/>
      <c r="R32" s="378"/>
      <c r="S32" s="379"/>
    </row>
    <row r="33" spans="1:31" x14ac:dyDescent="0.2">
      <c r="A33" s="377"/>
      <c r="B33" s="378"/>
      <c r="C33" s="378"/>
      <c r="D33" s="378"/>
      <c r="E33" s="378"/>
      <c r="F33" s="378"/>
      <c r="G33" s="378"/>
      <c r="H33" s="378"/>
      <c r="I33" s="378"/>
      <c r="J33" s="378"/>
      <c r="K33" s="378"/>
      <c r="L33" s="378"/>
      <c r="M33" s="378"/>
      <c r="N33" s="378"/>
      <c r="O33" s="378"/>
      <c r="P33" s="378"/>
      <c r="Q33" s="378"/>
      <c r="R33" s="378"/>
      <c r="S33" s="379"/>
    </row>
    <row r="34" spans="1:31" x14ac:dyDescent="0.2">
      <c r="A34" s="377"/>
      <c r="B34" s="378"/>
      <c r="C34" s="378"/>
      <c r="D34" s="378"/>
      <c r="E34" s="378"/>
      <c r="F34" s="378"/>
      <c r="G34" s="378"/>
      <c r="H34" s="378"/>
      <c r="I34" s="378"/>
      <c r="J34" s="378"/>
      <c r="K34" s="378"/>
      <c r="L34" s="378"/>
      <c r="M34" s="378"/>
      <c r="N34" s="378"/>
      <c r="O34" s="378"/>
      <c r="P34" s="378"/>
      <c r="Q34" s="378"/>
      <c r="R34" s="378"/>
      <c r="S34" s="379"/>
    </row>
    <row r="35" spans="1:31" ht="21.75" thickBot="1" x14ac:dyDescent="0.25">
      <c r="A35" s="380"/>
      <c r="B35" s="381"/>
      <c r="C35" s="381"/>
      <c r="D35" s="381"/>
      <c r="E35" s="381"/>
      <c r="F35" s="381"/>
      <c r="G35" s="381"/>
      <c r="H35" s="381"/>
      <c r="I35" s="381"/>
      <c r="J35" s="381"/>
      <c r="K35" s="381"/>
      <c r="L35" s="381"/>
      <c r="M35" s="381"/>
      <c r="N35" s="381"/>
      <c r="O35" s="381"/>
      <c r="P35" s="381"/>
      <c r="Q35" s="381"/>
      <c r="R35" s="381"/>
      <c r="S35" s="382"/>
    </row>
    <row r="37" spans="1:31" ht="29.25" thickBot="1" x14ac:dyDescent="0.25">
      <c r="A37" s="300" t="str">
        <f>"گزارش تعداد پرسنل و سرانه هزینه پرسنلی به تفکیک نوع قرارداد در دوره " &amp; [1]روکش!$F$9 &amp; " سال " &amp; [1]روکش!$D$9&amp;"- مجتمع خراسان/ شعبه "&amp;AE37</f>
        <v>گزارش تعداد پرسنل و سرانه هزینه پرسنلی به تفکیک نوع قرارداد در دوره شش ماهه سال 1405- مجتمع خراسان/ شعبه مطهری</v>
      </c>
      <c r="B37" s="300"/>
      <c r="C37" s="300"/>
      <c r="D37" s="300"/>
      <c r="E37" s="300"/>
      <c r="F37" s="300"/>
      <c r="G37" s="300"/>
      <c r="H37" s="300"/>
      <c r="I37" s="300"/>
      <c r="J37" s="300"/>
      <c r="K37" s="300"/>
      <c r="L37" s="300"/>
      <c r="M37" s="300"/>
      <c r="N37" s="300"/>
      <c r="O37" s="300"/>
      <c r="P37" s="300"/>
      <c r="Q37" s="300"/>
      <c r="R37" s="300"/>
      <c r="S37" s="300"/>
      <c r="T37" s="300"/>
      <c r="U37" s="300"/>
      <c r="V37" s="300"/>
      <c r="W37" s="300"/>
      <c r="X37" s="300"/>
      <c r="Y37" s="300"/>
      <c r="Z37" s="300"/>
      <c r="AA37" s="300"/>
      <c r="AB37" s="300"/>
      <c r="AC37" s="300"/>
      <c r="AD37" s="300"/>
      <c r="AE37" s="301" t="str">
        <f>[1]واردات!$AA$43</f>
        <v>مطهری</v>
      </c>
    </row>
    <row r="38" spans="1:31" ht="24.75" thickBot="1" x14ac:dyDescent="0.25">
      <c r="A38" s="302" t="s">
        <v>43</v>
      </c>
      <c r="B38" s="303" t="s">
        <v>44</v>
      </c>
      <c r="C38" s="304"/>
      <c r="D38" s="304"/>
      <c r="E38" s="304"/>
      <c r="F38" s="304"/>
      <c r="G38" s="305"/>
      <c r="H38" s="303" t="s">
        <v>45</v>
      </c>
      <c r="I38" s="304"/>
      <c r="J38" s="304"/>
      <c r="K38" s="304"/>
      <c r="L38" s="304"/>
      <c r="M38" s="305"/>
      <c r="N38" s="303" t="s">
        <v>46</v>
      </c>
      <c r="O38" s="304"/>
      <c r="P38" s="304"/>
      <c r="Q38" s="304"/>
      <c r="R38" s="304"/>
      <c r="S38" s="305"/>
      <c r="T38" s="303" t="s">
        <v>47</v>
      </c>
      <c r="U38" s="304"/>
      <c r="V38" s="304"/>
      <c r="W38" s="304"/>
      <c r="X38" s="304"/>
      <c r="Y38" s="304"/>
      <c r="Z38" s="304"/>
      <c r="AA38" s="304"/>
      <c r="AB38" s="304"/>
      <c r="AC38" s="304"/>
      <c r="AD38" s="305"/>
    </row>
    <row r="39" spans="1:31" ht="63.75" thickBot="1" x14ac:dyDescent="0.25">
      <c r="A39" s="306"/>
      <c r="B39" s="307" t="s">
        <v>48</v>
      </c>
      <c r="C39" s="308" t="s">
        <v>49</v>
      </c>
      <c r="D39" s="309" t="s">
        <v>50</v>
      </c>
      <c r="E39" s="310" t="s">
        <v>51</v>
      </c>
      <c r="F39" s="307" t="s">
        <v>52</v>
      </c>
      <c r="G39" s="309" t="s">
        <v>53</v>
      </c>
      <c r="H39" s="307" t="s">
        <v>48</v>
      </c>
      <c r="I39" s="308" t="s">
        <v>49</v>
      </c>
      <c r="J39" s="309" t="s">
        <v>50</v>
      </c>
      <c r="K39" s="311" t="s">
        <v>51</v>
      </c>
      <c r="L39" s="307" t="s">
        <v>52</v>
      </c>
      <c r="M39" s="309" t="s">
        <v>53</v>
      </c>
      <c r="N39" s="307" t="s">
        <v>48</v>
      </c>
      <c r="O39" s="308" t="s">
        <v>49</v>
      </c>
      <c r="P39" s="309" t="s">
        <v>50</v>
      </c>
      <c r="Q39" s="311" t="s">
        <v>51</v>
      </c>
      <c r="R39" s="307" t="s">
        <v>52</v>
      </c>
      <c r="S39" s="309" t="s">
        <v>53</v>
      </c>
      <c r="T39" s="312" t="s">
        <v>48</v>
      </c>
      <c r="U39" s="313"/>
      <c r="V39" s="314" t="s">
        <v>49</v>
      </c>
      <c r="W39" s="313"/>
      <c r="X39" s="314" t="s">
        <v>50</v>
      </c>
      <c r="Y39" s="315"/>
      <c r="Z39" s="311" t="s">
        <v>51</v>
      </c>
      <c r="AA39" s="312" t="s">
        <v>52</v>
      </c>
      <c r="AB39" s="313"/>
      <c r="AC39" s="314" t="s">
        <v>53</v>
      </c>
      <c r="AD39" s="315"/>
    </row>
    <row r="40" spans="1:31" hidden="1" x14ac:dyDescent="0.2">
      <c r="A40" s="316" t="s">
        <v>54</v>
      </c>
      <c r="B40" s="227"/>
      <c r="C40" s="228"/>
      <c r="D40" s="229"/>
      <c r="E40" s="317">
        <f>SUM(B40:D40)</f>
        <v>0</v>
      </c>
      <c r="F40" s="318">
        <f>IF($A$1="صنایع شیر ایران",IFERROR(('[1]هزینه پرسنلی مستقیم تولید'!$B$31/(C40+B40+D40))/$AH$5,0),IFERROR(('[1]هزینه پرسنلی مستقیم تولید'!$B$31/(C40+B40))/$AH$5,0))</f>
        <v>0</v>
      </c>
      <c r="G40" s="319">
        <f ca="1">IFERROR((VLOOKUP($AH$6,'[1]هزینه سربار تولید'!$A:$F,2,FALSE)/(D40+D41))/$AH$5,0)</f>
        <v>0</v>
      </c>
      <c r="H40" s="320">
        <v>0</v>
      </c>
      <c r="I40" s="321">
        <v>0</v>
      </c>
      <c r="J40" s="322">
        <v>0</v>
      </c>
      <c r="K40" s="317">
        <f>SUM(H40:J40)</f>
        <v>0</v>
      </c>
      <c r="L40" s="318">
        <f ca="1">IF($A$1="صنایع شیر ایران",IFERROR(('[1]هزینه پرسنلی مستقیم تولید'!$C$31/(I40+H40+J40))/$AH$5,0),IFERROR(('[1]هزینه پرسنلی مستقیم تولید'!$C$31/(I40+H40))/$AH$5,0))</f>
        <v>0</v>
      </c>
      <c r="M40" s="319">
        <f ca="1">IFERROR((VLOOKUP($AH$6,'[1]هزینه سربار تولید'!$A:$F,3,FALSE)/(J40+J41))/$AH$5,0)</f>
        <v>0</v>
      </c>
      <c r="N40" s="227"/>
      <c r="O40" s="228"/>
      <c r="P40" s="229"/>
      <c r="Q40" s="317">
        <f>SUM(N40:P40)</f>
        <v>0</v>
      </c>
      <c r="R40" s="318">
        <f>IF($A$1="صنایع شیر ایران",IFERROR(('[1]هزینه پرسنلی مستقیم تولید'!$D$31/(O40+N40+P40))/$AH$5,0),IFERROR(('[1]هزینه پرسنلی مستقیم تولید'!$D$31/(O40+N40))/$AH$5,0))</f>
        <v>0</v>
      </c>
      <c r="S40" s="319">
        <f ca="1">IFERROR((VLOOKUP($AH$6,'[1]هزینه سربار تولید'!$A:$F,4,FALSE)/(P40+P41))/$AH$5,0)</f>
        <v>0</v>
      </c>
      <c r="T40" s="323" t="str">
        <f t="shared" ref="T40:T46" si="22">IFERROR(N40*100/H40,"-")</f>
        <v>-</v>
      </c>
      <c r="U40" s="324">
        <f t="shared" ref="U40:U46" si="23">IFERROR(ABS(T40-100),500)</f>
        <v>500</v>
      </c>
      <c r="V40" s="325" t="str">
        <f t="shared" ref="V40:V46" si="24">IFERROR(O40*100/I40,"-")</f>
        <v>-</v>
      </c>
      <c r="W40" s="324">
        <f t="shared" ref="W40:W46" si="25">IFERROR(ABS(V40-100),500)</f>
        <v>500</v>
      </c>
      <c r="X40" s="325" t="str">
        <f t="shared" ref="X40:X46" si="26">IFERROR(P40*100/J40,"-")</f>
        <v>-</v>
      </c>
      <c r="Y40" s="326">
        <f t="shared" ref="Y40:Y46" si="27">IFERROR(ABS(X40-100),500)</f>
        <v>500</v>
      </c>
      <c r="Z40" s="324" t="str">
        <f t="shared" ref="Z40:AA46" si="28">IFERROR(Q40*100/K40,"-")</f>
        <v>-</v>
      </c>
      <c r="AA40" s="323" t="str">
        <f t="shared" ca="1" si="28"/>
        <v>-</v>
      </c>
      <c r="AB40" s="324">
        <f t="shared" ref="AB40:AB46" ca="1" si="29">IFERROR(ABS(AA40-100),500)</f>
        <v>500</v>
      </c>
      <c r="AC40" s="327" t="str">
        <f ca="1">IFERROR(S40*100/M40,"-")</f>
        <v>-</v>
      </c>
      <c r="AD40" s="328">
        <f ca="1">IFERROR(ABS(AC40-100),500)</f>
        <v>500</v>
      </c>
    </row>
    <row r="41" spans="1:31" hidden="1" x14ac:dyDescent="0.2">
      <c r="A41" s="329" t="s">
        <v>55</v>
      </c>
      <c r="B41" s="244"/>
      <c r="C41" s="245"/>
      <c r="D41" s="246"/>
      <c r="E41" s="330">
        <f>SUM(B41:D41)</f>
        <v>0</v>
      </c>
      <c r="F41" s="331">
        <f>IF($A$1="صنایع شیر ایران",IFERROR(('[1]هزینه پرسنلی غیرمستقیم تولید'!$B$31/(C41+B41+D41))/$AH$5,0),IFERROR(('[1]هزینه پرسنلی غیرمستقیم تولید'!$B$31/(C41+B41))/$AH$5,0))</f>
        <v>0</v>
      </c>
      <c r="G41" s="332"/>
      <c r="H41" s="333">
        <v>0</v>
      </c>
      <c r="I41" s="334">
        <v>0</v>
      </c>
      <c r="J41" s="335">
        <v>0</v>
      </c>
      <c r="K41" s="330">
        <f>SUM(H41:J41)</f>
        <v>0</v>
      </c>
      <c r="L41" s="331">
        <f ca="1">IF($A$1="صنایع شیر ایران",IFERROR(('[1]هزینه پرسنلی غیرمستقیم تولید'!$C$31/(I41+H41+J41))/$AH$5,0),IFERROR(('[1]هزینه پرسنلی غیرمستقیم تولید'!$C$31/(I41+H41))/$AH$5,0))</f>
        <v>0</v>
      </c>
      <c r="M41" s="332"/>
      <c r="N41" s="244"/>
      <c r="O41" s="245"/>
      <c r="P41" s="246"/>
      <c r="Q41" s="330">
        <f>SUM(N41:P41)</f>
        <v>0</v>
      </c>
      <c r="R41" s="331">
        <f>IF($A$1="صنایع شیر ایران",IFERROR(('[1]هزینه پرسنلی غیرمستقیم تولید'!$D$31/(O41+N41+P41))/$AH$5,0),IFERROR(('[1]هزینه پرسنلی غیرمستقیم تولید'!$D$31/(O41+N41))/$AH$5,0))</f>
        <v>0</v>
      </c>
      <c r="S41" s="332"/>
      <c r="T41" s="336" t="str">
        <f t="shared" si="22"/>
        <v>-</v>
      </c>
      <c r="U41" s="337">
        <f t="shared" si="23"/>
        <v>500</v>
      </c>
      <c r="V41" s="338" t="str">
        <f t="shared" si="24"/>
        <v>-</v>
      </c>
      <c r="W41" s="337">
        <f t="shared" si="25"/>
        <v>500</v>
      </c>
      <c r="X41" s="338" t="str">
        <f t="shared" si="26"/>
        <v>-</v>
      </c>
      <c r="Y41" s="339">
        <f t="shared" si="27"/>
        <v>500</v>
      </c>
      <c r="Z41" s="337" t="str">
        <f t="shared" si="28"/>
        <v>-</v>
      </c>
      <c r="AA41" s="336" t="str">
        <f t="shared" ca="1" si="28"/>
        <v>-</v>
      </c>
      <c r="AB41" s="337">
        <f t="shared" ca="1" si="29"/>
        <v>500</v>
      </c>
      <c r="AC41" s="340"/>
      <c r="AD41" s="341"/>
    </row>
    <row r="42" spans="1:31" ht="35.1" customHeight="1" x14ac:dyDescent="0.2">
      <c r="A42" s="329" t="s">
        <v>57</v>
      </c>
      <c r="B42" s="244"/>
      <c r="C42" s="245">
        <v>27</v>
      </c>
      <c r="D42" s="246">
        <v>7</v>
      </c>
      <c r="E42" s="330">
        <f>SUM(B42:D42)</f>
        <v>34</v>
      </c>
      <c r="F42" s="331">
        <f>IFERROR(('هزینه پرسنلی مستقیم خدمات'!$B$31/(C42+B42))/$AH$5,0)</f>
        <v>4685.2469135802467</v>
      </c>
      <c r="G42" s="342">
        <f ca="1">IFERROR((VLOOKUP($AH$6,'[1]هزینه سربار خدمات'!$A:$F,2,FALSE)/(D42+D43))/$AH$5,0)</f>
        <v>916.78571428571422</v>
      </c>
      <c r="H42" s="244"/>
      <c r="I42" s="245">
        <v>27</v>
      </c>
      <c r="J42" s="246">
        <v>11</v>
      </c>
      <c r="K42" s="330">
        <f>SUM(H42:J42)</f>
        <v>38</v>
      </c>
      <c r="L42" s="331">
        <f ca="1">IFERROR(('هزینه پرسنلی مستقیم خدمات'!$C$31/(I42+H42))/$AH$5,0)</f>
        <v>0</v>
      </c>
      <c r="M42" s="342">
        <f ca="1">IFERROR((VLOOKUP($AH$6,'[1]هزینه سربار خدمات'!$A:$F,3,FALSE)/(J42+J43))/$AH$5,0)</f>
        <v>1875.3939393939393</v>
      </c>
      <c r="N42" s="244"/>
      <c r="O42" s="245">
        <v>27</v>
      </c>
      <c r="P42" s="246">
        <v>10</v>
      </c>
      <c r="Q42" s="330">
        <f>SUM(N42:P42)</f>
        <v>37</v>
      </c>
      <c r="R42" s="331">
        <f>IFERROR(('هزینه پرسنلی مستقیم خدمات'!$D$31/(O42+N42))/$AH$5,0)</f>
        <v>7666.9444444444443</v>
      </c>
      <c r="S42" s="342">
        <f ca="1">IFERROR((VLOOKUP($AH$6,'[1]هزینه سربار خدمات'!$A:$F,4,FALSE)/(P42+P43))/$AH$5,0)</f>
        <v>4724.2</v>
      </c>
      <c r="T42" s="343" t="str">
        <f t="shared" si="22"/>
        <v>-</v>
      </c>
      <c r="U42" s="344">
        <f t="shared" si="23"/>
        <v>500</v>
      </c>
      <c r="V42" s="345">
        <f t="shared" si="24"/>
        <v>100</v>
      </c>
      <c r="W42" s="344">
        <f t="shared" si="25"/>
        <v>0</v>
      </c>
      <c r="X42" s="345">
        <f t="shared" si="26"/>
        <v>90.909090909090907</v>
      </c>
      <c r="Y42" s="346">
        <f t="shared" si="27"/>
        <v>9.0909090909090935</v>
      </c>
      <c r="Z42" s="346">
        <f t="shared" si="28"/>
        <v>97.368421052631575</v>
      </c>
      <c r="AA42" s="343" t="str">
        <f t="shared" ca="1" si="28"/>
        <v>-</v>
      </c>
      <c r="AB42" s="344">
        <f t="shared" ca="1" si="29"/>
        <v>500</v>
      </c>
      <c r="AC42" s="347">
        <f ca="1">IFERROR(S42*100/M42,"-")</f>
        <v>251.90440796277147</v>
      </c>
      <c r="AD42" s="348">
        <f ca="1">IFERROR(ABS(AC42-100),500)</f>
        <v>151.90440796277147</v>
      </c>
    </row>
    <row r="43" spans="1:31" ht="35.1" customHeight="1" x14ac:dyDescent="0.2">
      <c r="A43" s="329" t="s">
        <v>58</v>
      </c>
      <c r="B43" s="244"/>
      <c r="C43" s="245"/>
      <c r="D43" s="246"/>
      <c r="E43" s="330">
        <f>SUM(B43:D43)</f>
        <v>0</v>
      </c>
      <c r="F43" s="331">
        <f>IFERROR(('[1]هزینه پرسنلی غیرمستقیم خدمات'!$B$31/(C43+B43))/$AH$5,0)</f>
        <v>0</v>
      </c>
      <c r="G43" s="332"/>
      <c r="H43" s="244"/>
      <c r="I43" s="245"/>
      <c r="J43" s="246"/>
      <c r="K43" s="330">
        <f>SUM(H43:J43)</f>
        <v>0</v>
      </c>
      <c r="L43" s="331">
        <f ca="1">IFERROR(('[1]هزینه پرسنلی غیرمستقیم خدمات'!$C$31/(I43+H43))/$AH$5,0)</f>
        <v>0</v>
      </c>
      <c r="M43" s="332"/>
      <c r="N43" s="244"/>
      <c r="O43" s="245"/>
      <c r="P43" s="246"/>
      <c r="Q43" s="330">
        <f>SUM(N43:P43)</f>
        <v>0</v>
      </c>
      <c r="R43" s="331">
        <f>IFERROR(('[1]هزینه پرسنلی غیرمستقیم خدمات'!$D$31/(O43+N43))/$AH$5,0)</f>
        <v>0</v>
      </c>
      <c r="S43" s="332"/>
      <c r="T43" s="343" t="str">
        <f t="shared" si="22"/>
        <v>-</v>
      </c>
      <c r="U43" s="344">
        <f t="shared" si="23"/>
        <v>500</v>
      </c>
      <c r="V43" s="345" t="str">
        <f t="shared" si="24"/>
        <v>-</v>
      </c>
      <c r="W43" s="344">
        <f t="shared" si="25"/>
        <v>500</v>
      </c>
      <c r="X43" s="345" t="str">
        <f t="shared" si="26"/>
        <v>-</v>
      </c>
      <c r="Y43" s="346">
        <f t="shared" si="27"/>
        <v>500</v>
      </c>
      <c r="Z43" s="346" t="str">
        <f t="shared" si="28"/>
        <v>-</v>
      </c>
      <c r="AA43" s="343" t="str">
        <f t="shared" ca="1" si="28"/>
        <v>-</v>
      </c>
      <c r="AB43" s="344">
        <f t="shared" ca="1" si="29"/>
        <v>500</v>
      </c>
      <c r="AC43" s="340"/>
      <c r="AD43" s="349"/>
    </row>
    <row r="44" spans="1:31" ht="35.1" customHeight="1" thickBot="1" x14ac:dyDescent="0.25">
      <c r="A44" s="350" t="s">
        <v>59</v>
      </c>
      <c r="B44" s="268"/>
      <c r="C44" s="269">
        <v>1</v>
      </c>
      <c r="D44" s="270">
        <v>2</v>
      </c>
      <c r="E44" s="351">
        <f>SUM(B44:D44)</f>
        <v>3</v>
      </c>
      <c r="F44" s="331">
        <f>IF($A$1="صنایع شیر ایران",IFERROR(('[1]هزینه اداری عمومی'!$B$26/(C44+B44+D44))/$AH$5,0),IFERROR(('[1]هزینه اداری عمومی'!$B$26/(C44+B44))/$AH$5,0))</f>
        <v>23562</v>
      </c>
      <c r="G44" s="352">
        <f ca="1">IFERROR((VLOOKUP($AH$6,'[1]هزینه اداری عمومی'!$A:$F,2,FALSE)/D44)/$AH$5,0)</f>
        <v>0</v>
      </c>
      <c r="H44" s="268"/>
      <c r="I44" s="269">
        <v>1</v>
      </c>
      <c r="J44" s="270">
        <v>2</v>
      </c>
      <c r="K44" s="351">
        <f>SUM(H44:J44)</f>
        <v>3</v>
      </c>
      <c r="L44" s="331">
        <f>IF($A$1="صنایع شیر ایران",IFERROR(('[1]هزینه اداری عمومی'!$C$26/(I44+H44+J44))/$AH$5,0),IFERROR(('[1]هزینه اداری عمومی'!$C$26/(I44+H44))/$AH$5,0))</f>
        <v>31655</v>
      </c>
      <c r="M44" s="352">
        <f ca="1">IFERROR((VLOOKUP($AH$6,'[1]هزینه اداری عمومی'!$A:$F,3,FALSE)/J44)/$AH$5,0)</f>
        <v>2394.25</v>
      </c>
      <c r="N44" s="268"/>
      <c r="O44" s="269">
        <v>1</v>
      </c>
      <c r="P44" s="270">
        <v>2</v>
      </c>
      <c r="Q44" s="351">
        <f>SUM(N44:P44)</f>
        <v>3</v>
      </c>
      <c r="R44" s="331">
        <f>IF($A$1="صنایع شیر ایران",IFERROR(('[1]هزینه اداری عمومی'!$D$26/(O44+N44+P44))/$AH$5,0),IFERROR(('[1]هزینه اداری عمومی'!$D$26/(O44+N44))/$AH$5,0))</f>
        <v>37405.666666666664</v>
      </c>
      <c r="S44" s="352">
        <f ca="1">IFERROR((VLOOKUP($AH$6,'[1]هزینه اداری عمومی'!$A:$F,4,FALSE)/P44)/$AH$5,0)</f>
        <v>0</v>
      </c>
      <c r="T44" s="353" t="str">
        <f t="shared" si="22"/>
        <v>-</v>
      </c>
      <c r="U44" s="354">
        <f t="shared" si="23"/>
        <v>500</v>
      </c>
      <c r="V44" s="355">
        <f t="shared" si="24"/>
        <v>100</v>
      </c>
      <c r="W44" s="354">
        <f t="shared" si="25"/>
        <v>0</v>
      </c>
      <c r="X44" s="355">
        <f t="shared" si="26"/>
        <v>100</v>
      </c>
      <c r="Y44" s="356">
        <f t="shared" si="27"/>
        <v>0</v>
      </c>
      <c r="Z44" s="356">
        <f t="shared" si="28"/>
        <v>100</v>
      </c>
      <c r="AA44" s="343">
        <f t="shared" si="28"/>
        <v>118.16669299215501</v>
      </c>
      <c r="AB44" s="354">
        <f t="shared" si="29"/>
        <v>18.166692992155006</v>
      </c>
      <c r="AC44" s="345">
        <f ca="1">IFERROR(S44*100/M44,"-")</f>
        <v>0</v>
      </c>
      <c r="AD44" s="356">
        <f ca="1">IFERROR(ABS(AC44-100),500)</f>
        <v>100</v>
      </c>
    </row>
    <row r="45" spans="1:31" ht="35.1" customHeight="1" thickBot="1" x14ac:dyDescent="0.25">
      <c r="A45" s="357" t="s">
        <v>60</v>
      </c>
      <c r="B45" s="358">
        <f>SUM(B40:B44)</f>
        <v>0</v>
      </c>
      <c r="C45" s="359">
        <f>SUM(C40:C44)</f>
        <v>28</v>
      </c>
      <c r="D45" s="360">
        <f>SUM(D40:D44)</f>
        <v>9</v>
      </c>
      <c r="E45" s="361">
        <f>SUM(E40:E44)</f>
        <v>37</v>
      </c>
      <c r="F45" s="362">
        <f>IF($A$1="صنایع شیر ایران",IFERROR(((SUM(F41*(C41+B41+D41),F44*(C44+B44+D44),F40*(C40+B40+D40)))/(C45+B45+D45)),0),IFERROR(((SUM(F41*(C41+B41),F42*(C42+B42),F43*(C43+B43),F44*(C44+B44),F40*(C40+B40)))/(C45+B45)),0))</f>
        <v>5359.4166666666661</v>
      </c>
      <c r="G45" s="363">
        <f ca="1">IFERROR((G40*(D41+D40)+G42*(D43+D42)+G44*D44)/(D45),0)</f>
        <v>713.05555555555554</v>
      </c>
      <c r="H45" s="358">
        <f>SUM(H40:H44)</f>
        <v>0</v>
      </c>
      <c r="I45" s="359">
        <f>SUM(I40:I44)</f>
        <v>28</v>
      </c>
      <c r="J45" s="360">
        <f>SUM(J40:J44)</f>
        <v>13</v>
      </c>
      <c r="K45" s="361">
        <f>SUM(K40:K44)</f>
        <v>41</v>
      </c>
      <c r="L45" s="362">
        <f ca="1">IF($A$1="صنایع شیر ایران",IFERROR(((SUM(L41*(I41+H41+J41),L44*(I44+H44+J44),L40*(I40+H40+J40)))/(I45+H45+J45)),0),IFERROR(((SUM(L41*(I41+H41),L42*(I42+H42),L43*(I43+H43),L44*(I44+H44),L40*(I40+H40)))/(I45+H45)),0))</f>
        <v>1130.5357142857142</v>
      </c>
      <c r="M45" s="363">
        <f ca="1">IFERROR((M40*(J41+J40)+M42*(J43+J42)+M44*J44)/(J45),0)</f>
        <v>1955.2179487179487</v>
      </c>
      <c r="N45" s="358">
        <f>SUM(N40:N44)</f>
        <v>0</v>
      </c>
      <c r="O45" s="359">
        <f>SUM(O40:O44)</f>
        <v>28</v>
      </c>
      <c r="P45" s="360">
        <f>SUM(P40:P44)</f>
        <v>12</v>
      </c>
      <c r="Q45" s="361">
        <f>SUM(Q40:Q44)</f>
        <v>40</v>
      </c>
      <c r="R45" s="362">
        <f>IF($A$1="صنایع شیر ایران",IFERROR(((SUM(R41*(O41+N41+P41),R44*(O44+N44+P44),R40*(O40+N40+P40)))/(O45+N45+P45)),0),IFERROR(((SUM(R41*(O41+N41),R42*(O42+N42),R43*(O43+N43),R44*(O44+N44),R40*(O40+N40)))/(O45+N45)),0))</f>
        <v>8729.0416666666661</v>
      </c>
      <c r="S45" s="363">
        <f ca="1">IFERROR((S40*(P41+P40)+S42*(P43+P42)+S44*P44)/(P45),0)</f>
        <v>3936.8333333333335</v>
      </c>
      <c r="T45" s="364" t="str">
        <f t="shared" si="22"/>
        <v>-</v>
      </c>
      <c r="U45" s="365">
        <f t="shared" si="23"/>
        <v>500</v>
      </c>
      <c r="V45" s="366">
        <f t="shared" si="24"/>
        <v>100</v>
      </c>
      <c r="W45" s="365">
        <f t="shared" si="25"/>
        <v>0</v>
      </c>
      <c r="X45" s="366">
        <f t="shared" si="26"/>
        <v>92.307692307692307</v>
      </c>
      <c r="Y45" s="367">
        <f t="shared" si="27"/>
        <v>7.6923076923076934</v>
      </c>
      <c r="Z45" s="367">
        <f t="shared" si="28"/>
        <v>97.560975609756099</v>
      </c>
      <c r="AA45" s="364">
        <f t="shared" ca="1" si="28"/>
        <v>772.11551624282629</v>
      </c>
      <c r="AB45" s="365">
        <f t="shared" ca="1" si="29"/>
        <v>672.11551624282629</v>
      </c>
      <c r="AC45" s="366">
        <f ca="1">IFERROR(S45*100/M45,"-")</f>
        <v>201.35010196253288</v>
      </c>
      <c r="AD45" s="367">
        <f ca="1">IFERROR(ABS(AC45-100),500)</f>
        <v>101.35010196253288</v>
      </c>
    </row>
    <row r="46" spans="1:31" ht="35.1" customHeight="1" thickTop="1" thickBot="1" x14ac:dyDescent="0.25">
      <c r="A46" s="368" t="s">
        <v>61</v>
      </c>
      <c r="B46" s="289"/>
      <c r="C46" s="290"/>
      <c r="D46" s="291"/>
      <c r="E46" s="369">
        <f>SUM(B46:D46)</f>
        <v>0</v>
      </c>
      <c r="F46" s="293"/>
      <c r="G46" s="294"/>
      <c r="H46" s="289"/>
      <c r="I46" s="290"/>
      <c r="J46" s="291"/>
      <c r="K46" s="369">
        <f>SUM(H46:J46)</f>
        <v>0</v>
      </c>
      <c r="L46" s="293"/>
      <c r="M46" s="294"/>
      <c r="N46" s="289"/>
      <c r="O46" s="290"/>
      <c r="P46" s="291"/>
      <c r="Q46" s="369">
        <f>SUM(N46:P46)</f>
        <v>0</v>
      </c>
      <c r="R46" s="293"/>
      <c r="S46" s="294"/>
      <c r="T46" s="370" t="str">
        <f t="shared" si="22"/>
        <v>-</v>
      </c>
      <c r="U46" s="371">
        <f t="shared" si="23"/>
        <v>500</v>
      </c>
      <c r="V46" s="372" t="str">
        <f t="shared" si="24"/>
        <v>-</v>
      </c>
      <c r="W46" s="371">
        <f t="shared" si="25"/>
        <v>500</v>
      </c>
      <c r="X46" s="372" t="str">
        <f t="shared" si="26"/>
        <v>-</v>
      </c>
      <c r="Y46" s="373">
        <f t="shared" si="27"/>
        <v>500</v>
      </c>
      <c r="Z46" s="373" t="str">
        <f t="shared" si="28"/>
        <v>-</v>
      </c>
      <c r="AA46" s="370" t="str">
        <f t="shared" si="28"/>
        <v>-</v>
      </c>
      <c r="AB46" s="371">
        <f t="shared" si="29"/>
        <v>500</v>
      </c>
      <c r="AC46" s="372" t="str">
        <f>IFERROR(S46*100/M46,"-")</f>
        <v>-</v>
      </c>
      <c r="AD46" s="373">
        <f>IFERROR(ABS(AC46-100),500)</f>
        <v>500</v>
      </c>
    </row>
    <row r="47" spans="1:31" ht="21.75" thickBot="1" x14ac:dyDescent="0.25"/>
    <row r="48" spans="1:31" ht="25.5" x14ac:dyDescent="0.2">
      <c r="A48" s="374" t="s">
        <v>62</v>
      </c>
      <c r="B48" s="375"/>
      <c r="C48" s="375"/>
      <c r="D48" s="375"/>
      <c r="E48" s="375"/>
      <c r="F48" s="375"/>
      <c r="G48" s="375"/>
      <c r="H48" s="375"/>
      <c r="I48" s="375"/>
      <c r="J48" s="375"/>
      <c r="K48" s="375"/>
      <c r="L48" s="375"/>
      <c r="M48" s="375"/>
      <c r="N48" s="375"/>
      <c r="O48" s="375"/>
      <c r="P48" s="375"/>
      <c r="Q48" s="375"/>
      <c r="R48" s="375"/>
      <c r="S48" s="376"/>
    </row>
    <row r="49" spans="1:31" x14ac:dyDescent="0.2">
      <c r="A49" s="377"/>
      <c r="B49" s="378"/>
      <c r="C49" s="378"/>
      <c r="D49" s="378"/>
      <c r="E49" s="378"/>
      <c r="F49" s="378"/>
      <c r="G49" s="378"/>
      <c r="H49" s="378"/>
      <c r="I49" s="378"/>
      <c r="J49" s="378"/>
      <c r="K49" s="378"/>
      <c r="L49" s="378"/>
      <c r="M49" s="378"/>
      <c r="N49" s="378"/>
      <c r="O49" s="378"/>
      <c r="P49" s="378"/>
      <c r="Q49" s="378"/>
      <c r="R49" s="378"/>
      <c r="S49" s="379"/>
    </row>
    <row r="50" spans="1:31" x14ac:dyDescent="0.2">
      <c r="A50" s="377"/>
      <c r="B50" s="378"/>
      <c r="C50" s="378"/>
      <c r="D50" s="378"/>
      <c r="E50" s="378"/>
      <c r="F50" s="378"/>
      <c r="G50" s="378"/>
      <c r="H50" s="378"/>
      <c r="I50" s="378"/>
      <c r="J50" s="378"/>
      <c r="K50" s="378"/>
      <c r="L50" s="378"/>
      <c r="M50" s="378"/>
      <c r="N50" s="378"/>
      <c r="O50" s="378"/>
      <c r="P50" s="378"/>
      <c r="Q50" s="378"/>
      <c r="R50" s="378"/>
      <c r="S50" s="379"/>
    </row>
    <row r="51" spans="1:31" x14ac:dyDescent="0.2">
      <c r="A51" s="377"/>
      <c r="B51" s="378"/>
      <c r="C51" s="378"/>
      <c r="D51" s="378"/>
      <c r="E51" s="378"/>
      <c r="F51" s="378"/>
      <c r="G51" s="378"/>
      <c r="H51" s="378"/>
      <c r="I51" s="378"/>
      <c r="J51" s="378"/>
      <c r="K51" s="378"/>
      <c r="L51" s="378"/>
      <c r="M51" s="378"/>
      <c r="N51" s="378"/>
      <c r="O51" s="378"/>
      <c r="P51" s="378"/>
      <c r="Q51" s="378"/>
      <c r="R51" s="378"/>
      <c r="S51" s="379"/>
    </row>
    <row r="52" spans="1:31" x14ac:dyDescent="0.2">
      <c r="A52" s="377"/>
      <c r="B52" s="378"/>
      <c r="C52" s="378"/>
      <c r="D52" s="378"/>
      <c r="E52" s="378"/>
      <c r="F52" s="378"/>
      <c r="G52" s="378"/>
      <c r="H52" s="378"/>
      <c r="I52" s="378"/>
      <c r="J52" s="378"/>
      <c r="K52" s="378"/>
      <c r="L52" s="378"/>
      <c r="M52" s="378"/>
      <c r="N52" s="378"/>
      <c r="O52" s="378"/>
      <c r="P52" s="378"/>
      <c r="Q52" s="378"/>
      <c r="R52" s="378"/>
      <c r="S52" s="379"/>
    </row>
    <row r="53" spans="1:31" ht="21.75" thickBot="1" x14ac:dyDescent="0.25">
      <c r="A53" s="380"/>
      <c r="B53" s="381"/>
      <c r="C53" s="381"/>
      <c r="D53" s="381"/>
      <c r="E53" s="381"/>
      <c r="F53" s="381"/>
      <c r="G53" s="381"/>
      <c r="H53" s="381"/>
      <c r="I53" s="381"/>
      <c r="J53" s="381"/>
      <c r="K53" s="381"/>
      <c r="L53" s="381"/>
      <c r="M53" s="381"/>
      <c r="N53" s="381"/>
      <c r="O53" s="381"/>
      <c r="P53" s="381"/>
      <c r="Q53" s="381"/>
      <c r="R53" s="381"/>
      <c r="S53" s="382"/>
    </row>
    <row r="55" spans="1:31" ht="29.25" thickBot="1" x14ac:dyDescent="0.25">
      <c r="A55" s="300" t="str">
        <f>"گزارش تعداد پرسنل و سرانه هزینه پرسنلی به تفکیک نوع قرارداد در دوره " &amp; [1]روکش!$F$9 &amp; " سال " &amp; [1]روکش!$D$9&amp;"- مجتمع خراسان/ شعبه "&amp;AE55</f>
        <v>گزارش تعداد پرسنل و سرانه هزینه پرسنلی به تفکیک نوع قرارداد در دوره شش ماهه سال 1405- مجتمع خراسان/ شعبه سرخس</v>
      </c>
      <c r="B55" s="300"/>
      <c r="C55" s="300"/>
      <c r="D55" s="300"/>
      <c r="E55" s="300"/>
      <c r="F55" s="300"/>
      <c r="G55" s="300"/>
      <c r="H55" s="300"/>
      <c r="I55" s="300"/>
      <c r="J55" s="300"/>
      <c r="K55" s="300"/>
      <c r="L55" s="300"/>
      <c r="M55" s="300"/>
      <c r="N55" s="300"/>
      <c r="O55" s="300"/>
      <c r="P55" s="300"/>
      <c r="Q55" s="300"/>
      <c r="R55" s="300"/>
      <c r="S55" s="300"/>
      <c r="T55" s="300"/>
      <c r="U55" s="300"/>
      <c r="V55" s="300"/>
      <c r="W55" s="300"/>
      <c r="X55" s="300"/>
      <c r="Y55" s="300"/>
      <c r="Z55" s="300"/>
      <c r="AA55" s="300"/>
      <c r="AB55" s="300"/>
      <c r="AC55" s="300"/>
      <c r="AD55" s="300"/>
      <c r="AE55" s="301" t="str">
        <f>[1]واردات!$AA$44</f>
        <v>سرخس</v>
      </c>
    </row>
    <row r="56" spans="1:31" ht="24.75" thickBot="1" x14ac:dyDescent="0.25">
      <c r="A56" s="302" t="s">
        <v>43</v>
      </c>
      <c r="B56" s="303" t="s">
        <v>44</v>
      </c>
      <c r="C56" s="304"/>
      <c r="D56" s="304"/>
      <c r="E56" s="304"/>
      <c r="F56" s="304"/>
      <c r="G56" s="305"/>
      <c r="H56" s="303" t="s">
        <v>45</v>
      </c>
      <c r="I56" s="304"/>
      <c r="J56" s="304"/>
      <c r="K56" s="304"/>
      <c r="L56" s="304"/>
      <c r="M56" s="305"/>
      <c r="N56" s="303" t="s">
        <v>46</v>
      </c>
      <c r="O56" s="304"/>
      <c r="P56" s="304"/>
      <c r="Q56" s="304"/>
      <c r="R56" s="304"/>
      <c r="S56" s="305"/>
      <c r="T56" s="303" t="s">
        <v>47</v>
      </c>
      <c r="U56" s="304"/>
      <c r="V56" s="304"/>
      <c r="W56" s="304"/>
      <c r="X56" s="304"/>
      <c r="Y56" s="304"/>
      <c r="Z56" s="304"/>
      <c r="AA56" s="304"/>
      <c r="AB56" s="304"/>
      <c r="AC56" s="304"/>
      <c r="AD56" s="305"/>
    </row>
    <row r="57" spans="1:31" ht="63.75" thickBot="1" x14ac:dyDescent="0.25">
      <c r="A57" s="306"/>
      <c r="B57" s="307" t="s">
        <v>48</v>
      </c>
      <c r="C57" s="308" t="s">
        <v>49</v>
      </c>
      <c r="D57" s="309" t="s">
        <v>50</v>
      </c>
      <c r="E57" s="310" t="s">
        <v>51</v>
      </c>
      <c r="F57" s="307" t="s">
        <v>52</v>
      </c>
      <c r="G57" s="309" t="s">
        <v>53</v>
      </c>
      <c r="H57" s="307" t="s">
        <v>48</v>
      </c>
      <c r="I57" s="308" t="s">
        <v>49</v>
      </c>
      <c r="J57" s="309" t="s">
        <v>50</v>
      </c>
      <c r="K57" s="311" t="s">
        <v>51</v>
      </c>
      <c r="L57" s="307" t="s">
        <v>52</v>
      </c>
      <c r="M57" s="309" t="s">
        <v>53</v>
      </c>
      <c r="N57" s="307" t="s">
        <v>48</v>
      </c>
      <c r="O57" s="308" t="s">
        <v>49</v>
      </c>
      <c r="P57" s="309" t="s">
        <v>50</v>
      </c>
      <c r="Q57" s="311" t="s">
        <v>51</v>
      </c>
      <c r="R57" s="307" t="s">
        <v>52</v>
      </c>
      <c r="S57" s="309" t="s">
        <v>53</v>
      </c>
      <c r="T57" s="312" t="s">
        <v>48</v>
      </c>
      <c r="U57" s="313"/>
      <c r="V57" s="314" t="s">
        <v>49</v>
      </c>
      <c r="W57" s="313"/>
      <c r="X57" s="314" t="s">
        <v>50</v>
      </c>
      <c r="Y57" s="315"/>
      <c r="Z57" s="311" t="s">
        <v>51</v>
      </c>
      <c r="AA57" s="312" t="s">
        <v>52</v>
      </c>
      <c r="AB57" s="313"/>
      <c r="AC57" s="314" t="s">
        <v>53</v>
      </c>
      <c r="AD57" s="315"/>
    </row>
    <row r="58" spans="1:31" hidden="1" x14ac:dyDescent="0.2">
      <c r="A58" s="316" t="s">
        <v>54</v>
      </c>
      <c r="B58" s="227"/>
      <c r="C58" s="228"/>
      <c r="D58" s="229"/>
      <c r="E58" s="317">
        <f>SUM(B58:D58)</f>
        <v>0</v>
      </c>
      <c r="F58" s="318">
        <f>IF($A$1="صنایع شیر ایران",IFERROR(('[1]هزینه پرسنلی مستقیم تولید'!$B$31/(C58+B58+D58))/$AH$5,0),IFERROR(('[1]هزینه پرسنلی مستقیم تولید'!$B$31/(C58+B58))/$AH$5,0))</f>
        <v>0</v>
      </c>
      <c r="G58" s="319">
        <f ca="1">IFERROR((VLOOKUP($AH$6,'[1]هزینه سربار تولید'!$A:$F,2,FALSE)/(D58+D59))/$AH$5,0)</f>
        <v>0</v>
      </c>
      <c r="H58" s="320">
        <v>0</v>
      </c>
      <c r="I58" s="321">
        <v>0</v>
      </c>
      <c r="J58" s="322">
        <v>0</v>
      </c>
      <c r="K58" s="317">
        <f>SUM(H58:J58)</f>
        <v>0</v>
      </c>
      <c r="L58" s="318">
        <f ca="1">IF($A$1="صنایع شیر ایران",IFERROR(('[1]هزینه پرسنلی مستقیم تولید'!$C$31/(I58+H58+J58))/$AH$5,0),IFERROR(('[1]هزینه پرسنلی مستقیم تولید'!$C$31/(I58+H58))/$AH$5,0))</f>
        <v>0</v>
      </c>
      <c r="M58" s="319">
        <f ca="1">IFERROR((VLOOKUP($AH$6,'[1]هزینه سربار تولید'!$A:$F,3,FALSE)/(J58+J59))/$AH$5,0)</f>
        <v>0</v>
      </c>
      <c r="N58" s="227"/>
      <c r="O58" s="228"/>
      <c r="P58" s="229"/>
      <c r="Q58" s="317">
        <f>SUM(N58:P58)</f>
        <v>0</v>
      </c>
      <c r="R58" s="318">
        <f>IF($A$1="صنایع شیر ایران",IFERROR(('[1]هزینه پرسنلی مستقیم تولید'!$D$31/(O58+N58+P58))/$AH$5,0),IFERROR(('[1]هزینه پرسنلی مستقیم تولید'!$D$31/(O58+N58))/$AH$5,0))</f>
        <v>0</v>
      </c>
      <c r="S58" s="319">
        <f ca="1">IFERROR((VLOOKUP($AH$6,'[1]هزینه سربار تولید'!$A:$F,4,FALSE)/(P58+P59))/$AH$5,0)</f>
        <v>0</v>
      </c>
      <c r="T58" s="323" t="str">
        <f t="shared" ref="T58:T64" si="30">IFERROR(N58*100/H58,"-")</f>
        <v>-</v>
      </c>
      <c r="U58" s="324">
        <f t="shared" ref="U58:U64" si="31">IFERROR(ABS(T58-100),500)</f>
        <v>500</v>
      </c>
      <c r="V58" s="325" t="str">
        <f t="shared" ref="V58:V64" si="32">IFERROR(O58*100/I58,"-")</f>
        <v>-</v>
      </c>
      <c r="W58" s="324">
        <f t="shared" ref="W58:W64" si="33">IFERROR(ABS(V58-100),500)</f>
        <v>500</v>
      </c>
      <c r="X58" s="325" t="str">
        <f t="shared" ref="X58:X64" si="34">IFERROR(P58*100/J58,"-")</f>
        <v>-</v>
      </c>
      <c r="Y58" s="326">
        <f t="shared" ref="Y58:Y64" si="35">IFERROR(ABS(X58-100),500)</f>
        <v>500</v>
      </c>
      <c r="Z58" s="324" t="str">
        <f t="shared" ref="Z58:AA64" si="36">IFERROR(Q58*100/K58,"-")</f>
        <v>-</v>
      </c>
      <c r="AA58" s="323" t="str">
        <f t="shared" ca="1" si="36"/>
        <v>-</v>
      </c>
      <c r="AB58" s="324">
        <f t="shared" ref="AB58:AB64" ca="1" si="37">IFERROR(ABS(AA58-100),500)</f>
        <v>500</v>
      </c>
      <c r="AC58" s="327" t="str">
        <f ca="1">IFERROR(S58*100/M58,"-")</f>
        <v>-</v>
      </c>
      <c r="AD58" s="328">
        <f ca="1">IFERROR(ABS(AC58-100),500)</f>
        <v>500</v>
      </c>
    </row>
    <row r="59" spans="1:31" hidden="1" x14ac:dyDescent="0.2">
      <c r="A59" s="329" t="s">
        <v>55</v>
      </c>
      <c r="B59" s="244"/>
      <c r="C59" s="245"/>
      <c r="D59" s="246"/>
      <c r="E59" s="330">
        <f>SUM(B59:D59)</f>
        <v>0</v>
      </c>
      <c r="F59" s="331">
        <f>IF($A$1="صنایع شیر ایران",IFERROR(('[1]هزینه پرسنلی غیرمستقیم تولید'!$B$31/(C59+B59+D59))/$AH$5,0),IFERROR(('[1]هزینه پرسنلی غیرمستقیم تولید'!$B$31/(C59+B59))/$AH$5,0))</f>
        <v>0</v>
      </c>
      <c r="G59" s="332"/>
      <c r="H59" s="333">
        <v>0</v>
      </c>
      <c r="I59" s="334">
        <v>0</v>
      </c>
      <c r="J59" s="335">
        <v>0</v>
      </c>
      <c r="K59" s="330">
        <f>SUM(H59:J59)</f>
        <v>0</v>
      </c>
      <c r="L59" s="331">
        <f ca="1">IF($A$1="صنایع شیر ایران",IFERROR(('[1]هزینه پرسنلی غیرمستقیم تولید'!$C$31/(I59+H59+J59))/$AH$5,0),IFERROR(('[1]هزینه پرسنلی غیرمستقیم تولید'!$C$31/(I59+H59))/$AH$5,0))</f>
        <v>0</v>
      </c>
      <c r="M59" s="332"/>
      <c r="N59" s="244"/>
      <c r="O59" s="245"/>
      <c r="P59" s="246"/>
      <c r="Q59" s="330">
        <f>SUM(N59:P59)</f>
        <v>0</v>
      </c>
      <c r="R59" s="331">
        <f>IF($A$1="صنایع شیر ایران",IFERROR(('[1]هزینه پرسنلی غیرمستقیم تولید'!$D$31/(O59+N59+P59))/$AH$5,0),IFERROR(('[1]هزینه پرسنلی غیرمستقیم تولید'!$D$31/(O59+N59))/$AH$5,0))</f>
        <v>0</v>
      </c>
      <c r="S59" s="332"/>
      <c r="T59" s="336" t="str">
        <f t="shared" si="30"/>
        <v>-</v>
      </c>
      <c r="U59" s="337">
        <f t="shared" si="31"/>
        <v>500</v>
      </c>
      <c r="V59" s="338" t="str">
        <f t="shared" si="32"/>
        <v>-</v>
      </c>
      <c r="W59" s="337">
        <f t="shared" si="33"/>
        <v>500</v>
      </c>
      <c r="X59" s="338" t="str">
        <f t="shared" si="34"/>
        <v>-</v>
      </c>
      <c r="Y59" s="339">
        <f t="shared" si="35"/>
        <v>500</v>
      </c>
      <c r="Z59" s="337" t="str">
        <f t="shared" si="36"/>
        <v>-</v>
      </c>
      <c r="AA59" s="336" t="str">
        <f t="shared" ca="1" si="36"/>
        <v>-</v>
      </c>
      <c r="AB59" s="337">
        <f t="shared" ca="1" si="37"/>
        <v>500</v>
      </c>
      <c r="AC59" s="340"/>
      <c r="AD59" s="341"/>
    </row>
    <row r="60" spans="1:31" ht="35.1" customHeight="1" x14ac:dyDescent="0.2">
      <c r="A60" s="329" t="s">
        <v>57</v>
      </c>
      <c r="B60" s="244"/>
      <c r="C60" s="245">
        <v>19</v>
      </c>
      <c r="D60" s="246">
        <v>0</v>
      </c>
      <c r="E60" s="330">
        <f>SUM(B60:D60)</f>
        <v>19</v>
      </c>
      <c r="F60" s="331">
        <f>IFERROR(('هزینه پرسنلی مستقیم خدمات'!$B$31/(C60+B60))/$AH$5,0)</f>
        <v>6657.9824561403511</v>
      </c>
      <c r="G60" s="342">
        <f ca="1">IFERROR((VLOOKUP($AH$6,'[1]هزینه سربار خدمات'!$A:$F,2,FALSE)/(D60+D61))/$AH$5,0)</f>
        <v>0</v>
      </c>
      <c r="H60" s="244"/>
      <c r="I60" s="245">
        <v>19</v>
      </c>
      <c r="J60" s="246">
        <v>3</v>
      </c>
      <c r="K60" s="330">
        <f>SUM(H60:J60)</f>
        <v>22</v>
      </c>
      <c r="L60" s="331">
        <f ca="1">IFERROR(('هزینه پرسنلی مستقیم خدمات'!$C$31/(I60+H60))/$AH$5,0)</f>
        <v>0</v>
      </c>
      <c r="M60" s="342">
        <f ca="1">IFERROR((VLOOKUP($AH$6,'[1]هزینه سربار خدمات'!$A:$F,3,FALSE)/(J60+J61))/$AH$5,0)</f>
        <v>6876.4444444444443</v>
      </c>
      <c r="N60" s="244"/>
      <c r="O60" s="245">
        <v>19</v>
      </c>
      <c r="P60" s="246">
        <v>1</v>
      </c>
      <c r="Q60" s="330">
        <f>SUM(N60:P60)</f>
        <v>20</v>
      </c>
      <c r="R60" s="331">
        <f>IFERROR(('هزینه پرسنلی مستقیم خدمات'!$D$31/(O60+N60))/$AH$5,0)</f>
        <v>10895.131578947368</v>
      </c>
      <c r="S60" s="342">
        <f ca="1">IFERROR((VLOOKUP($AH$6,'[1]هزینه سربار خدمات'!$A:$F,4,FALSE)/(P60+P61))/$AH$5,0)</f>
        <v>47242</v>
      </c>
      <c r="T60" s="343" t="str">
        <f t="shared" si="30"/>
        <v>-</v>
      </c>
      <c r="U60" s="344">
        <f t="shared" si="31"/>
        <v>500</v>
      </c>
      <c r="V60" s="345">
        <f t="shared" si="32"/>
        <v>100</v>
      </c>
      <c r="W60" s="344">
        <f t="shared" si="33"/>
        <v>0</v>
      </c>
      <c r="X60" s="345">
        <f t="shared" si="34"/>
        <v>33.333333333333336</v>
      </c>
      <c r="Y60" s="346">
        <f t="shared" si="35"/>
        <v>66.666666666666657</v>
      </c>
      <c r="Z60" s="346">
        <f t="shared" si="36"/>
        <v>90.909090909090907</v>
      </c>
      <c r="AA60" s="343" t="str">
        <f t="shared" ca="1" si="36"/>
        <v>-</v>
      </c>
      <c r="AB60" s="344">
        <f t="shared" ca="1" si="37"/>
        <v>500</v>
      </c>
      <c r="AC60" s="347">
        <f ca="1">IFERROR(S60*100/M60,"-")</f>
        <v>687.01202171664943</v>
      </c>
      <c r="AD60" s="348">
        <f ca="1">IFERROR(ABS(AC60-100),500)</f>
        <v>587.01202171664943</v>
      </c>
    </row>
    <row r="61" spans="1:31" ht="35.1" customHeight="1" x14ac:dyDescent="0.2">
      <c r="A61" s="329" t="s">
        <v>58</v>
      </c>
      <c r="B61" s="244"/>
      <c r="C61" s="245"/>
      <c r="D61" s="246"/>
      <c r="E61" s="330">
        <f>SUM(B61:D61)</f>
        <v>0</v>
      </c>
      <c r="F61" s="331">
        <f>IFERROR(('[1]هزینه پرسنلی غیرمستقیم خدمات'!$B$31/(C61+B61))/$AH$5,0)</f>
        <v>0</v>
      </c>
      <c r="G61" s="332"/>
      <c r="H61" s="244"/>
      <c r="I61" s="245"/>
      <c r="J61" s="246"/>
      <c r="K61" s="330">
        <f>SUM(H61:J61)</f>
        <v>0</v>
      </c>
      <c r="L61" s="331">
        <f ca="1">IFERROR(('[1]هزینه پرسنلی غیرمستقیم خدمات'!$C$31/(I61+H61))/$AH$5,0)</f>
        <v>0</v>
      </c>
      <c r="M61" s="332"/>
      <c r="N61" s="244"/>
      <c r="O61" s="245"/>
      <c r="P61" s="246"/>
      <c r="Q61" s="330">
        <f>SUM(N61:P61)</f>
        <v>0</v>
      </c>
      <c r="R61" s="331">
        <f>IFERROR(('[1]هزینه پرسنلی غیرمستقیم خدمات'!$D$31/(O61+N61))/$AH$5,0)</f>
        <v>0</v>
      </c>
      <c r="S61" s="332"/>
      <c r="T61" s="343" t="str">
        <f t="shared" si="30"/>
        <v>-</v>
      </c>
      <c r="U61" s="344">
        <f t="shared" si="31"/>
        <v>500</v>
      </c>
      <c r="V61" s="345" t="str">
        <f t="shared" si="32"/>
        <v>-</v>
      </c>
      <c r="W61" s="344">
        <f t="shared" si="33"/>
        <v>500</v>
      </c>
      <c r="X61" s="345" t="str">
        <f t="shared" si="34"/>
        <v>-</v>
      </c>
      <c r="Y61" s="346">
        <f t="shared" si="35"/>
        <v>500</v>
      </c>
      <c r="Z61" s="346" t="str">
        <f t="shared" si="36"/>
        <v>-</v>
      </c>
      <c r="AA61" s="343" t="str">
        <f t="shared" ca="1" si="36"/>
        <v>-</v>
      </c>
      <c r="AB61" s="344">
        <f t="shared" ca="1" si="37"/>
        <v>500</v>
      </c>
      <c r="AC61" s="340"/>
      <c r="AD61" s="349"/>
    </row>
    <row r="62" spans="1:31" ht="35.1" customHeight="1" thickBot="1" x14ac:dyDescent="0.25">
      <c r="A62" s="350" t="s">
        <v>59</v>
      </c>
      <c r="B62" s="268"/>
      <c r="C62" s="269">
        <v>4</v>
      </c>
      <c r="D62" s="270">
        <v>0</v>
      </c>
      <c r="E62" s="351">
        <f>SUM(B62:D62)</f>
        <v>4</v>
      </c>
      <c r="F62" s="331">
        <f>IF($A$1="صنایع شیر ایران",IFERROR(('[1]هزینه اداری عمومی'!$B$26/(C62+B62+D62))/$AH$5,0),IFERROR(('[1]هزینه اداری عمومی'!$B$26/(C62+B62))/$AH$5,0))</f>
        <v>5890.5</v>
      </c>
      <c r="G62" s="352">
        <f ca="1">IFERROR((VLOOKUP($AH$6,'[1]هزینه اداری عمومی'!$A:$F,2,FALSE)/D62)/$AH$5,0)</f>
        <v>0</v>
      </c>
      <c r="H62" s="268"/>
      <c r="I62" s="269">
        <v>4</v>
      </c>
      <c r="J62" s="270">
        <v>1</v>
      </c>
      <c r="K62" s="351">
        <f>SUM(H62:J62)</f>
        <v>5</v>
      </c>
      <c r="L62" s="331">
        <f>IF($A$1="صنایع شیر ایران",IFERROR(('[1]هزینه اداری عمومی'!$C$26/(I62+H62+J62))/$AH$5,0),IFERROR(('[1]هزینه اداری عمومی'!$C$26/(I62+H62))/$AH$5,0))</f>
        <v>7913.75</v>
      </c>
      <c r="M62" s="352">
        <f ca="1">IFERROR((VLOOKUP($AH$6,'[1]هزینه اداری عمومی'!$A:$F,3,FALSE)/J62)/$AH$5,0)</f>
        <v>4788.5</v>
      </c>
      <c r="N62" s="268"/>
      <c r="O62" s="269">
        <v>3</v>
      </c>
      <c r="P62" s="270">
        <v>0</v>
      </c>
      <c r="Q62" s="351">
        <f>SUM(N62:P62)</f>
        <v>3</v>
      </c>
      <c r="R62" s="331">
        <f>IF($A$1="صنایع شیر ایران",IFERROR(('[1]هزینه اداری عمومی'!$D$26/(O62+N62+P62))/$AH$5,0),IFERROR(('[1]هزینه اداری عمومی'!$D$26/(O62+N62))/$AH$5,0))</f>
        <v>12468.555555555555</v>
      </c>
      <c r="S62" s="352">
        <f ca="1">IFERROR((VLOOKUP($AH$6,'[1]هزینه اداری عمومی'!$A:$F,4,FALSE)/P62)/$AH$5,0)</f>
        <v>0</v>
      </c>
      <c r="T62" s="353" t="str">
        <f t="shared" si="30"/>
        <v>-</v>
      </c>
      <c r="U62" s="354">
        <f t="shared" si="31"/>
        <v>500</v>
      </c>
      <c r="V62" s="355">
        <f t="shared" si="32"/>
        <v>75</v>
      </c>
      <c r="W62" s="354">
        <f t="shared" si="33"/>
        <v>25</v>
      </c>
      <c r="X62" s="355">
        <f t="shared" si="34"/>
        <v>0</v>
      </c>
      <c r="Y62" s="356">
        <f t="shared" si="35"/>
        <v>100</v>
      </c>
      <c r="Z62" s="356">
        <f t="shared" si="36"/>
        <v>60</v>
      </c>
      <c r="AA62" s="343">
        <f t="shared" si="36"/>
        <v>157.55559065620668</v>
      </c>
      <c r="AB62" s="354">
        <f t="shared" si="37"/>
        <v>57.555590656206675</v>
      </c>
      <c r="AC62" s="345">
        <f ca="1">IFERROR(S62*100/M62,"-")</f>
        <v>0</v>
      </c>
      <c r="AD62" s="356">
        <f ca="1">IFERROR(ABS(AC62-100),500)</f>
        <v>100</v>
      </c>
    </row>
    <row r="63" spans="1:31" ht="35.1" customHeight="1" thickBot="1" x14ac:dyDescent="0.25">
      <c r="A63" s="357" t="s">
        <v>60</v>
      </c>
      <c r="B63" s="358">
        <f>SUM(B58:B62)</f>
        <v>0</v>
      </c>
      <c r="C63" s="359">
        <f>SUM(C58:C62)</f>
        <v>23</v>
      </c>
      <c r="D63" s="360">
        <f>SUM(D58:D62)</f>
        <v>0</v>
      </c>
      <c r="E63" s="361">
        <f>SUM(E58:E62)</f>
        <v>23</v>
      </c>
      <c r="F63" s="362">
        <f>IF($A$1="صنایع شیر ایران",IFERROR(((SUM(F59*(C59+B59+D59),F62*(C62+B62+D62),F58*(C58+B58+D58)))/(C63+B63+D63)),0),IFERROR(((SUM(F59*(C59+B59),F60*(C60+B60),F61*(C61+B61),F62*(C62+B62),F58*(C58+B58)))/(C63+B63)),0))</f>
        <v>6524.5072463768129</v>
      </c>
      <c r="G63" s="363">
        <f ca="1">IFERROR((G58*(D59+D58)+G60*(D61+D60)+G62*D62)/(D63),0)</f>
        <v>0</v>
      </c>
      <c r="H63" s="358">
        <f>SUM(H58:H62)</f>
        <v>0</v>
      </c>
      <c r="I63" s="359">
        <f>SUM(I58:I62)</f>
        <v>23</v>
      </c>
      <c r="J63" s="360">
        <f>SUM(J58:J62)</f>
        <v>4</v>
      </c>
      <c r="K63" s="361">
        <f>SUM(K58:K62)</f>
        <v>27</v>
      </c>
      <c r="L63" s="362">
        <f ca="1">IF($A$1="صنایع شیر ایران",IFERROR(((SUM(L59*(I59+H59+J59),L62*(I62+H62+J62),L58*(I58+H58+J58)))/(I63+H63+J63)),0),IFERROR(((SUM(L59*(I59+H59),L60*(I60+H60),L61*(I61+H61),L62*(I62+H62),L58*(I58+H58)))/(I63+H63)),0))</f>
        <v>1376.304347826087</v>
      </c>
      <c r="M63" s="363">
        <f ca="1">IFERROR((M58*(J59+J58)+M60*(J61+J60)+M62*J62)/(J63),0)</f>
        <v>6354.458333333333</v>
      </c>
      <c r="N63" s="358">
        <f>SUM(N58:N62)</f>
        <v>0</v>
      </c>
      <c r="O63" s="359">
        <f>SUM(O58:O62)</f>
        <v>22</v>
      </c>
      <c r="P63" s="360">
        <f>SUM(P58:P62)</f>
        <v>1</v>
      </c>
      <c r="Q63" s="361">
        <f>SUM(Q58:Q62)</f>
        <v>23</v>
      </c>
      <c r="R63" s="362">
        <f>IF($A$1="صنایع شیر ایران",IFERROR(((SUM(R59*(O59+N59+P59),R62*(O62+N62+P62),R58*(O58+N58+P58)))/(O63+N63+P63)),0),IFERROR(((SUM(R59*(O59+N59),R60*(O60+N60),R61*(O61+N61),R62*(O62+N62),R58*(O58+N58)))/(O63+N63)),0))</f>
        <v>11109.689393939394</v>
      </c>
      <c r="S63" s="363">
        <f ca="1">IFERROR((S58*(P59+P58)+S60*(P61+P60)+S62*P62)/(P63),0)</f>
        <v>47242</v>
      </c>
      <c r="T63" s="364" t="str">
        <f t="shared" si="30"/>
        <v>-</v>
      </c>
      <c r="U63" s="365">
        <f t="shared" si="31"/>
        <v>500</v>
      </c>
      <c r="V63" s="366">
        <f t="shared" si="32"/>
        <v>95.652173913043484</v>
      </c>
      <c r="W63" s="365">
        <f t="shared" si="33"/>
        <v>4.3478260869565162</v>
      </c>
      <c r="X63" s="366">
        <f t="shared" si="34"/>
        <v>25</v>
      </c>
      <c r="Y63" s="367">
        <f t="shared" si="35"/>
        <v>75</v>
      </c>
      <c r="Z63" s="367">
        <f t="shared" si="36"/>
        <v>85.18518518518519</v>
      </c>
      <c r="AA63" s="364">
        <f t="shared" ca="1" si="36"/>
        <v>807.21167607204575</v>
      </c>
      <c r="AB63" s="365">
        <f t="shared" ca="1" si="37"/>
        <v>707.21167607204575</v>
      </c>
      <c r="AC63" s="366">
        <f ca="1">IFERROR(S63*100/M63,"-")</f>
        <v>743.44653032319832</v>
      </c>
      <c r="AD63" s="367">
        <f ca="1">IFERROR(ABS(AC63-100),500)</f>
        <v>643.44653032319832</v>
      </c>
    </row>
    <row r="64" spans="1:31" ht="35.1" customHeight="1" thickTop="1" thickBot="1" x14ac:dyDescent="0.25">
      <c r="A64" s="368" t="s">
        <v>61</v>
      </c>
      <c r="B64" s="289"/>
      <c r="C64" s="290"/>
      <c r="D64" s="291"/>
      <c r="E64" s="369">
        <f>SUM(B64:D64)</f>
        <v>0</v>
      </c>
      <c r="F64" s="293"/>
      <c r="G64" s="294"/>
      <c r="H64" s="289"/>
      <c r="I64" s="290"/>
      <c r="J64" s="291"/>
      <c r="K64" s="369">
        <f>SUM(H64:J64)</f>
        <v>0</v>
      </c>
      <c r="L64" s="293"/>
      <c r="M64" s="294"/>
      <c r="N64" s="289"/>
      <c r="O64" s="290"/>
      <c r="P64" s="291"/>
      <c r="Q64" s="369">
        <f>SUM(N64:P64)</f>
        <v>0</v>
      </c>
      <c r="R64" s="293"/>
      <c r="S64" s="294"/>
      <c r="T64" s="370" t="str">
        <f t="shared" si="30"/>
        <v>-</v>
      </c>
      <c r="U64" s="371">
        <f t="shared" si="31"/>
        <v>500</v>
      </c>
      <c r="V64" s="372" t="str">
        <f t="shared" si="32"/>
        <v>-</v>
      </c>
      <c r="W64" s="371">
        <f t="shared" si="33"/>
        <v>500</v>
      </c>
      <c r="X64" s="372" t="str">
        <f t="shared" si="34"/>
        <v>-</v>
      </c>
      <c r="Y64" s="373">
        <f t="shared" si="35"/>
        <v>500</v>
      </c>
      <c r="Z64" s="373" t="str">
        <f t="shared" si="36"/>
        <v>-</v>
      </c>
      <c r="AA64" s="370" t="str">
        <f t="shared" si="36"/>
        <v>-</v>
      </c>
      <c r="AB64" s="371">
        <f t="shared" si="37"/>
        <v>500</v>
      </c>
      <c r="AC64" s="372" t="str">
        <f>IFERROR(S64*100/M64,"-")</f>
        <v>-</v>
      </c>
      <c r="AD64" s="373">
        <f>IFERROR(ABS(AC64-100),500)</f>
        <v>500</v>
      </c>
    </row>
    <row r="65" spans="1:31" ht="21.75" thickBot="1" x14ac:dyDescent="0.25"/>
    <row r="66" spans="1:31" ht="25.5" x14ac:dyDescent="0.2">
      <c r="A66" s="374" t="s">
        <v>62</v>
      </c>
      <c r="B66" s="375"/>
      <c r="C66" s="375"/>
      <c r="D66" s="375"/>
      <c r="E66" s="375"/>
      <c r="F66" s="375"/>
      <c r="G66" s="375"/>
      <c r="H66" s="375"/>
      <c r="I66" s="375"/>
      <c r="J66" s="375"/>
      <c r="K66" s="375"/>
      <c r="L66" s="375"/>
      <c r="M66" s="375"/>
      <c r="N66" s="375"/>
      <c r="O66" s="375"/>
      <c r="P66" s="375"/>
      <c r="Q66" s="375"/>
      <c r="R66" s="375"/>
      <c r="S66" s="376"/>
    </row>
    <row r="67" spans="1:31" x14ac:dyDescent="0.2">
      <c r="A67" s="377"/>
      <c r="B67" s="378"/>
      <c r="C67" s="378"/>
      <c r="D67" s="378"/>
      <c r="E67" s="378"/>
      <c r="F67" s="378"/>
      <c r="G67" s="378"/>
      <c r="H67" s="378"/>
      <c r="I67" s="378"/>
      <c r="J67" s="378"/>
      <c r="K67" s="378"/>
      <c r="L67" s="378"/>
      <c r="M67" s="378"/>
      <c r="N67" s="378"/>
      <c r="O67" s="378"/>
      <c r="P67" s="378"/>
      <c r="Q67" s="378"/>
      <c r="R67" s="378"/>
      <c r="S67" s="379"/>
    </row>
    <row r="68" spans="1:31" x14ac:dyDescent="0.2">
      <c r="A68" s="377"/>
      <c r="B68" s="378"/>
      <c r="C68" s="378"/>
      <c r="D68" s="378"/>
      <c r="E68" s="378"/>
      <c r="F68" s="378"/>
      <c r="G68" s="378"/>
      <c r="H68" s="378"/>
      <c r="I68" s="378"/>
      <c r="J68" s="378"/>
      <c r="K68" s="378"/>
      <c r="L68" s="378"/>
      <c r="M68" s="378"/>
      <c r="N68" s="378"/>
      <c r="O68" s="378"/>
      <c r="P68" s="378"/>
      <c r="Q68" s="378"/>
      <c r="R68" s="378"/>
      <c r="S68" s="379"/>
    </row>
    <row r="69" spans="1:31" x14ac:dyDescent="0.2">
      <c r="A69" s="377"/>
      <c r="B69" s="378"/>
      <c r="C69" s="378"/>
      <c r="D69" s="378"/>
      <c r="E69" s="378"/>
      <c r="F69" s="378"/>
      <c r="G69" s="378"/>
      <c r="H69" s="378"/>
      <c r="I69" s="378"/>
      <c r="J69" s="378"/>
      <c r="K69" s="378"/>
      <c r="L69" s="378"/>
      <c r="M69" s="378"/>
      <c r="N69" s="378"/>
      <c r="O69" s="378"/>
      <c r="P69" s="378"/>
      <c r="Q69" s="378"/>
      <c r="R69" s="378"/>
      <c r="S69" s="379"/>
    </row>
    <row r="70" spans="1:31" x14ac:dyDescent="0.2">
      <c r="A70" s="377"/>
      <c r="B70" s="378"/>
      <c r="C70" s="378"/>
      <c r="D70" s="378"/>
      <c r="E70" s="378"/>
      <c r="F70" s="378"/>
      <c r="G70" s="378"/>
      <c r="H70" s="378"/>
      <c r="I70" s="378"/>
      <c r="J70" s="378"/>
      <c r="K70" s="378"/>
      <c r="L70" s="378"/>
      <c r="M70" s="378"/>
      <c r="N70" s="378"/>
      <c r="O70" s="378"/>
      <c r="P70" s="378"/>
      <c r="Q70" s="378"/>
      <c r="R70" s="378"/>
      <c r="S70" s="379"/>
    </row>
    <row r="71" spans="1:31" ht="21.75" thickBot="1" x14ac:dyDescent="0.25">
      <c r="A71" s="380"/>
      <c r="B71" s="381"/>
      <c r="C71" s="381"/>
      <c r="D71" s="381"/>
      <c r="E71" s="381"/>
      <c r="F71" s="381"/>
      <c r="G71" s="381"/>
      <c r="H71" s="381"/>
      <c r="I71" s="381"/>
      <c r="J71" s="381"/>
      <c r="K71" s="381"/>
      <c r="L71" s="381"/>
      <c r="M71" s="381"/>
      <c r="N71" s="381"/>
      <c r="O71" s="381"/>
      <c r="P71" s="381"/>
      <c r="Q71" s="381"/>
      <c r="R71" s="381"/>
      <c r="S71" s="382"/>
    </row>
    <row r="73" spans="1:31" ht="29.25" thickBot="1" x14ac:dyDescent="0.25">
      <c r="A73" s="300" t="str">
        <f>"گزارش تعداد پرسنل و سرانه هزینه پرسنلی به تفکیک نوع قرارداد در دوره " &amp; [1]روکش!$F$9 &amp; " سال " &amp; [1]روکش!$D$9&amp;"- مجتمع خراسان/ شعبه "&amp;AE73</f>
        <v>گزارش تعداد پرسنل و سرانه هزینه پرسنلی به تفکیک نوع قرارداد در دوره شش ماهه سال 1405- مجتمع خراسان/ شعبه لطف آباد</v>
      </c>
      <c r="B73" s="300"/>
      <c r="C73" s="300"/>
      <c r="D73" s="300"/>
      <c r="E73" s="300"/>
      <c r="F73" s="300"/>
      <c r="G73" s="300"/>
      <c r="H73" s="300"/>
      <c r="I73" s="300"/>
      <c r="J73" s="300"/>
      <c r="K73" s="300"/>
      <c r="L73" s="300"/>
      <c r="M73" s="300"/>
      <c r="N73" s="300"/>
      <c r="O73" s="300"/>
      <c r="P73" s="300"/>
      <c r="Q73" s="300"/>
      <c r="R73" s="300"/>
      <c r="S73" s="300"/>
      <c r="T73" s="300"/>
      <c r="U73" s="300"/>
      <c r="V73" s="300"/>
      <c r="W73" s="300"/>
      <c r="X73" s="300"/>
      <c r="Y73" s="300"/>
      <c r="Z73" s="300"/>
      <c r="AA73" s="300"/>
      <c r="AB73" s="300"/>
      <c r="AC73" s="300"/>
      <c r="AD73" s="300"/>
      <c r="AE73" s="301" t="str">
        <f>[1]واردات!$AA$45</f>
        <v>لطف آباد</v>
      </c>
    </row>
    <row r="74" spans="1:31" ht="24.75" thickBot="1" x14ac:dyDescent="0.25">
      <c r="A74" s="302" t="s">
        <v>43</v>
      </c>
      <c r="B74" s="303" t="s">
        <v>44</v>
      </c>
      <c r="C74" s="304"/>
      <c r="D74" s="304"/>
      <c r="E74" s="304"/>
      <c r="F74" s="304"/>
      <c r="G74" s="305"/>
      <c r="H74" s="303" t="s">
        <v>45</v>
      </c>
      <c r="I74" s="304"/>
      <c r="J74" s="304"/>
      <c r="K74" s="304"/>
      <c r="L74" s="304"/>
      <c r="M74" s="305"/>
      <c r="N74" s="303" t="s">
        <v>46</v>
      </c>
      <c r="O74" s="304"/>
      <c r="P74" s="304"/>
      <c r="Q74" s="304"/>
      <c r="R74" s="304"/>
      <c r="S74" s="305"/>
      <c r="T74" s="303" t="s">
        <v>47</v>
      </c>
      <c r="U74" s="304"/>
      <c r="V74" s="304"/>
      <c r="W74" s="304"/>
      <c r="X74" s="304"/>
      <c r="Y74" s="304"/>
      <c r="Z74" s="304"/>
      <c r="AA74" s="304"/>
      <c r="AB74" s="304"/>
      <c r="AC74" s="304"/>
      <c r="AD74" s="305"/>
    </row>
    <row r="75" spans="1:31" ht="63.75" thickBot="1" x14ac:dyDescent="0.25">
      <c r="A75" s="306"/>
      <c r="B75" s="307" t="s">
        <v>48</v>
      </c>
      <c r="C75" s="308" t="s">
        <v>49</v>
      </c>
      <c r="D75" s="309" t="s">
        <v>50</v>
      </c>
      <c r="E75" s="310" t="s">
        <v>51</v>
      </c>
      <c r="F75" s="307" t="s">
        <v>52</v>
      </c>
      <c r="G75" s="309" t="s">
        <v>53</v>
      </c>
      <c r="H75" s="307" t="s">
        <v>48</v>
      </c>
      <c r="I75" s="308" t="s">
        <v>49</v>
      </c>
      <c r="J75" s="309" t="s">
        <v>50</v>
      </c>
      <c r="K75" s="311" t="s">
        <v>51</v>
      </c>
      <c r="L75" s="307" t="s">
        <v>52</v>
      </c>
      <c r="M75" s="309" t="s">
        <v>53</v>
      </c>
      <c r="N75" s="307" t="s">
        <v>48</v>
      </c>
      <c r="O75" s="308" t="s">
        <v>49</v>
      </c>
      <c r="P75" s="309" t="s">
        <v>50</v>
      </c>
      <c r="Q75" s="311" t="s">
        <v>51</v>
      </c>
      <c r="R75" s="307" t="s">
        <v>52</v>
      </c>
      <c r="S75" s="309" t="s">
        <v>53</v>
      </c>
      <c r="T75" s="312" t="s">
        <v>48</v>
      </c>
      <c r="U75" s="313"/>
      <c r="V75" s="314" t="s">
        <v>49</v>
      </c>
      <c r="W75" s="313"/>
      <c r="X75" s="314" t="s">
        <v>50</v>
      </c>
      <c r="Y75" s="315"/>
      <c r="Z75" s="311" t="s">
        <v>51</v>
      </c>
      <c r="AA75" s="312" t="s">
        <v>52</v>
      </c>
      <c r="AB75" s="313"/>
      <c r="AC75" s="314" t="s">
        <v>53</v>
      </c>
      <c r="AD75" s="315"/>
    </row>
    <row r="76" spans="1:31" hidden="1" x14ac:dyDescent="0.2">
      <c r="A76" s="316" t="s">
        <v>54</v>
      </c>
      <c r="B76" s="227"/>
      <c r="C76" s="228"/>
      <c r="D76" s="229"/>
      <c r="E76" s="317">
        <f>SUM(B76:D76)</f>
        <v>0</v>
      </c>
      <c r="F76" s="318">
        <f>IF($A$1="صنایع شیر ایران",IFERROR(('[1]هزینه پرسنلی مستقیم تولید'!$B$31/(C76+B76+D76))/$AH$5,0),IFERROR(('[1]هزینه پرسنلی مستقیم تولید'!$B$31/(C76+B76))/$AH$5,0))</f>
        <v>0</v>
      </c>
      <c r="G76" s="319">
        <f ca="1">IFERROR((VLOOKUP($AH$6,'[1]هزینه سربار تولید'!$A:$F,2,FALSE)/(D76+D77))/$AH$5,0)</f>
        <v>0</v>
      </c>
      <c r="H76" s="320">
        <v>0</v>
      </c>
      <c r="I76" s="321">
        <v>0</v>
      </c>
      <c r="J76" s="322">
        <v>0</v>
      </c>
      <c r="K76" s="317">
        <f>SUM(H76:J76)</f>
        <v>0</v>
      </c>
      <c r="L76" s="318">
        <f ca="1">IF($A$1="صنایع شیر ایران",IFERROR(('[1]هزینه پرسنلی مستقیم تولید'!$C$31/(I76+H76+J76))/$AH$5,0),IFERROR(('[1]هزینه پرسنلی مستقیم تولید'!$C$31/(I76+H76))/$AH$5,0))</f>
        <v>0</v>
      </c>
      <c r="M76" s="319">
        <f ca="1">IFERROR((VLOOKUP($AH$6,'[1]هزینه سربار تولید'!$A:$F,3,FALSE)/(J76+J77))/$AH$5,0)</f>
        <v>0</v>
      </c>
      <c r="N76" s="227"/>
      <c r="O76" s="228"/>
      <c r="P76" s="229"/>
      <c r="Q76" s="317">
        <f>SUM(N76:P76)</f>
        <v>0</v>
      </c>
      <c r="R76" s="318">
        <f>IF($A$1="صنایع شیر ایران",IFERROR(('[1]هزینه پرسنلی مستقیم تولید'!$D$31/(O76+N76+P76))/$AH$5,0),IFERROR(('[1]هزینه پرسنلی مستقیم تولید'!$D$31/(O76+N76))/$AH$5,0))</f>
        <v>0</v>
      </c>
      <c r="S76" s="319">
        <f ca="1">IFERROR((VLOOKUP($AH$6,'[1]هزینه سربار تولید'!$A:$F,4,FALSE)/(P76+P77))/$AH$5,0)</f>
        <v>0</v>
      </c>
      <c r="T76" s="323" t="str">
        <f t="shared" ref="T76:T82" si="38">IFERROR(N76*100/H76,"-")</f>
        <v>-</v>
      </c>
      <c r="U76" s="324">
        <f t="shared" ref="U76:U82" si="39">IFERROR(ABS(T76-100),500)</f>
        <v>500</v>
      </c>
      <c r="V76" s="325" t="str">
        <f t="shared" ref="V76:V82" si="40">IFERROR(O76*100/I76,"-")</f>
        <v>-</v>
      </c>
      <c r="W76" s="324">
        <f t="shared" ref="W76:W82" si="41">IFERROR(ABS(V76-100),500)</f>
        <v>500</v>
      </c>
      <c r="X76" s="325" t="str">
        <f t="shared" ref="X76:X82" si="42">IFERROR(P76*100/J76,"-")</f>
        <v>-</v>
      </c>
      <c r="Y76" s="326">
        <f t="shared" ref="Y76:Y82" si="43">IFERROR(ABS(X76-100),500)</f>
        <v>500</v>
      </c>
      <c r="Z76" s="324" t="str">
        <f t="shared" ref="Z76:AA82" si="44">IFERROR(Q76*100/K76,"-")</f>
        <v>-</v>
      </c>
      <c r="AA76" s="323" t="str">
        <f t="shared" ca="1" si="44"/>
        <v>-</v>
      </c>
      <c r="AB76" s="324">
        <f t="shared" ref="AB76:AB82" ca="1" si="45">IFERROR(ABS(AA76-100),500)</f>
        <v>500</v>
      </c>
      <c r="AC76" s="327" t="str">
        <f ca="1">IFERROR(S76*100/M76,"-")</f>
        <v>-</v>
      </c>
      <c r="AD76" s="328">
        <f ca="1">IFERROR(ABS(AC76-100),500)</f>
        <v>500</v>
      </c>
    </row>
    <row r="77" spans="1:31" hidden="1" x14ac:dyDescent="0.2">
      <c r="A77" s="329" t="s">
        <v>55</v>
      </c>
      <c r="B77" s="244"/>
      <c r="C77" s="245"/>
      <c r="D77" s="246"/>
      <c r="E77" s="330">
        <f>SUM(B77:D77)</f>
        <v>0</v>
      </c>
      <c r="F77" s="331">
        <f>IF($A$1="صنایع شیر ایران",IFERROR(('[1]هزینه پرسنلی غیرمستقیم تولید'!$B$31/(C77+B77+D77))/$AH$5,0),IFERROR(('[1]هزینه پرسنلی غیرمستقیم تولید'!$B$31/(C77+B77))/$AH$5,0))</f>
        <v>0</v>
      </c>
      <c r="G77" s="332"/>
      <c r="H77" s="333">
        <v>0</v>
      </c>
      <c r="I77" s="334">
        <v>0</v>
      </c>
      <c r="J77" s="335">
        <v>0</v>
      </c>
      <c r="K77" s="330">
        <f>SUM(H77:J77)</f>
        <v>0</v>
      </c>
      <c r="L77" s="331">
        <f ca="1">IF($A$1="صنایع شیر ایران",IFERROR(('[1]هزینه پرسنلی غیرمستقیم تولید'!$C$31/(I77+H77+J77))/$AH$5,0),IFERROR(('[1]هزینه پرسنلی غیرمستقیم تولید'!$C$31/(I77+H77))/$AH$5,0))</f>
        <v>0</v>
      </c>
      <c r="M77" s="332"/>
      <c r="N77" s="244"/>
      <c r="O77" s="245"/>
      <c r="P77" s="246"/>
      <c r="Q77" s="330">
        <f>SUM(N77:P77)</f>
        <v>0</v>
      </c>
      <c r="R77" s="331">
        <f>IF($A$1="صنایع شیر ایران",IFERROR(('[1]هزینه پرسنلی غیرمستقیم تولید'!$D$31/(O77+N77+P77))/$AH$5,0),IFERROR(('[1]هزینه پرسنلی غیرمستقیم تولید'!$D$31/(O77+N77))/$AH$5,0))</f>
        <v>0</v>
      </c>
      <c r="S77" s="332"/>
      <c r="T77" s="336" t="str">
        <f t="shared" si="38"/>
        <v>-</v>
      </c>
      <c r="U77" s="337">
        <f t="shared" si="39"/>
        <v>500</v>
      </c>
      <c r="V77" s="338" t="str">
        <f t="shared" si="40"/>
        <v>-</v>
      </c>
      <c r="W77" s="337">
        <f t="shared" si="41"/>
        <v>500</v>
      </c>
      <c r="X77" s="338" t="str">
        <f t="shared" si="42"/>
        <v>-</v>
      </c>
      <c r="Y77" s="339">
        <f t="shared" si="43"/>
        <v>500</v>
      </c>
      <c r="Z77" s="337" t="str">
        <f t="shared" si="44"/>
        <v>-</v>
      </c>
      <c r="AA77" s="336" t="str">
        <f t="shared" ca="1" si="44"/>
        <v>-</v>
      </c>
      <c r="AB77" s="337">
        <f t="shared" ca="1" si="45"/>
        <v>500</v>
      </c>
      <c r="AC77" s="340"/>
      <c r="AD77" s="341"/>
    </row>
    <row r="78" spans="1:31" ht="35.1" customHeight="1" x14ac:dyDescent="0.2">
      <c r="A78" s="329" t="s">
        <v>57</v>
      </c>
      <c r="B78" s="244"/>
      <c r="C78" s="245">
        <v>24</v>
      </c>
      <c r="D78" s="246">
        <v>7</v>
      </c>
      <c r="E78" s="330">
        <f>SUM(B78:D78)</f>
        <v>31</v>
      </c>
      <c r="F78" s="331">
        <f>IFERROR(('هزینه پرسنلی مستقیم خدمات'!$B$31/(C78+B78))/$AH$5,0)</f>
        <v>5270.9027777777783</v>
      </c>
      <c r="G78" s="342">
        <f ca="1">IFERROR((VLOOKUP($AH$6,'[1]هزینه سربار خدمات'!$A:$F,2,FALSE)/(D78+D79))/$AH$5,0)</f>
        <v>916.78571428571422</v>
      </c>
      <c r="H78" s="244"/>
      <c r="I78" s="245">
        <v>24</v>
      </c>
      <c r="J78" s="246">
        <v>39</v>
      </c>
      <c r="K78" s="330">
        <f>SUM(H78:J78)</f>
        <v>63</v>
      </c>
      <c r="L78" s="331">
        <f ca="1">IFERROR(('هزینه پرسنلی مستقیم خدمات'!$C$31/(I78+H78))/$AH$5,0)</f>
        <v>0</v>
      </c>
      <c r="M78" s="342">
        <f ca="1">IFERROR((VLOOKUP($AH$6,'[1]هزینه سربار خدمات'!$A:$F,3,FALSE)/(J78+J79))/$AH$5,0)</f>
        <v>528.95726495726501</v>
      </c>
      <c r="N78" s="244"/>
      <c r="O78" s="245">
        <v>23</v>
      </c>
      <c r="P78" s="246">
        <v>13</v>
      </c>
      <c r="Q78" s="330">
        <f>SUM(N78:P78)</f>
        <v>36</v>
      </c>
      <c r="R78" s="331">
        <f>IFERROR(('هزینه پرسنلی مستقیم خدمات'!$D$31/(O78+N78))/$AH$5,0)</f>
        <v>9000.326086956522</v>
      </c>
      <c r="S78" s="342">
        <f ca="1">IFERROR((VLOOKUP($AH$6,'[1]هزینه سربار خدمات'!$A:$F,4,FALSE)/(P78+P79))/$AH$5,0)</f>
        <v>3634</v>
      </c>
      <c r="T78" s="343" t="str">
        <f t="shared" si="38"/>
        <v>-</v>
      </c>
      <c r="U78" s="344">
        <f t="shared" si="39"/>
        <v>500</v>
      </c>
      <c r="V78" s="345">
        <f t="shared" si="40"/>
        <v>95.833333333333329</v>
      </c>
      <c r="W78" s="344">
        <f t="shared" si="41"/>
        <v>4.1666666666666714</v>
      </c>
      <c r="X78" s="345">
        <f t="shared" si="42"/>
        <v>33.333333333333336</v>
      </c>
      <c r="Y78" s="346">
        <f t="shared" si="43"/>
        <v>66.666666666666657</v>
      </c>
      <c r="Z78" s="346">
        <f t="shared" si="44"/>
        <v>57.142857142857146</v>
      </c>
      <c r="AA78" s="343" t="str">
        <f t="shared" ca="1" si="44"/>
        <v>-</v>
      </c>
      <c r="AB78" s="344">
        <f t="shared" ca="1" si="45"/>
        <v>500</v>
      </c>
      <c r="AC78" s="347">
        <f ca="1">IFERROR(S78*100/M78,"-")</f>
        <v>687.01202171664931</v>
      </c>
      <c r="AD78" s="348">
        <f ca="1">IFERROR(ABS(AC78-100),500)</f>
        <v>587.01202171664931</v>
      </c>
    </row>
    <row r="79" spans="1:31" ht="35.1" customHeight="1" x14ac:dyDescent="0.2">
      <c r="A79" s="329" t="s">
        <v>58</v>
      </c>
      <c r="B79" s="244"/>
      <c r="C79" s="245"/>
      <c r="D79" s="246"/>
      <c r="E79" s="330">
        <f>SUM(B79:D79)</f>
        <v>0</v>
      </c>
      <c r="F79" s="331">
        <f>IFERROR(('[1]هزینه پرسنلی غیرمستقیم خدمات'!$B$31/(C79+B79))/$AH$5,0)</f>
        <v>0</v>
      </c>
      <c r="G79" s="332"/>
      <c r="H79" s="244"/>
      <c r="I79" s="245"/>
      <c r="J79" s="246"/>
      <c r="K79" s="330">
        <f>SUM(H79:J79)</f>
        <v>0</v>
      </c>
      <c r="L79" s="331">
        <f ca="1">IFERROR(('[1]هزینه پرسنلی غیرمستقیم خدمات'!$C$31/(I79+H79))/$AH$5,0)</f>
        <v>0</v>
      </c>
      <c r="M79" s="332"/>
      <c r="N79" s="244"/>
      <c r="O79" s="245"/>
      <c r="P79" s="246"/>
      <c r="Q79" s="330">
        <f>SUM(N79:P79)</f>
        <v>0</v>
      </c>
      <c r="R79" s="331">
        <f>IFERROR(('[1]هزینه پرسنلی غیرمستقیم خدمات'!$D$31/(O79+N79))/$AH$5,0)</f>
        <v>0</v>
      </c>
      <c r="S79" s="332"/>
      <c r="T79" s="343" t="str">
        <f t="shared" si="38"/>
        <v>-</v>
      </c>
      <c r="U79" s="344">
        <f t="shared" si="39"/>
        <v>500</v>
      </c>
      <c r="V79" s="345" t="str">
        <f t="shared" si="40"/>
        <v>-</v>
      </c>
      <c r="W79" s="344">
        <f t="shared" si="41"/>
        <v>500</v>
      </c>
      <c r="X79" s="345" t="str">
        <f t="shared" si="42"/>
        <v>-</v>
      </c>
      <c r="Y79" s="346">
        <f t="shared" si="43"/>
        <v>500</v>
      </c>
      <c r="Z79" s="346" t="str">
        <f t="shared" si="44"/>
        <v>-</v>
      </c>
      <c r="AA79" s="343" t="str">
        <f t="shared" ca="1" si="44"/>
        <v>-</v>
      </c>
      <c r="AB79" s="344">
        <f t="shared" ca="1" si="45"/>
        <v>500</v>
      </c>
      <c r="AC79" s="340"/>
      <c r="AD79" s="349"/>
    </row>
    <row r="80" spans="1:31" ht="35.1" customHeight="1" thickBot="1" x14ac:dyDescent="0.25">
      <c r="A80" s="350" t="s">
        <v>59</v>
      </c>
      <c r="B80" s="268"/>
      <c r="C80" s="269">
        <v>2</v>
      </c>
      <c r="D80" s="270">
        <v>1</v>
      </c>
      <c r="E80" s="351">
        <f>SUM(B80:D80)</f>
        <v>3</v>
      </c>
      <c r="F80" s="331">
        <f>IF($A$1="صنایع شیر ایران",IFERROR(('[1]هزینه اداری عمومی'!$B$26/(C80+B80+D80))/$AH$5,0),IFERROR(('[1]هزینه اداری عمومی'!$B$26/(C80+B80))/$AH$5,0))</f>
        <v>11781</v>
      </c>
      <c r="G80" s="352">
        <f ca="1">IFERROR((VLOOKUP($AH$6,'[1]هزینه اداری عمومی'!$A:$F,2,FALSE)/D80)/$AH$5,0)</f>
        <v>0</v>
      </c>
      <c r="H80" s="268"/>
      <c r="I80" s="269">
        <v>2</v>
      </c>
      <c r="J80" s="270">
        <v>2</v>
      </c>
      <c r="K80" s="351">
        <f>SUM(H80:J80)</f>
        <v>4</v>
      </c>
      <c r="L80" s="331">
        <f>IF($A$1="صنایع شیر ایران",IFERROR(('[1]هزینه اداری عمومی'!$C$26/(I80+H80+J80))/$AH$5,0),IFERROR(('[1]هزینه اداری عمومی'!$C$26/(I80+H80))/$AH$5,0))</f>
        <v>15827.5</v>
      </c>
      <c r="M80" s="352">
        <f ca="1">IFERROR((VLOOKUP($AH$6,'[1]هزینه اداری عمومی'!$A:$F,3,FALSE)/J80)/$AH$5,0)</f>
        <v>2394.25</v>
      </c>
      <c r="N80" s="268"/>
      <c r="O80" s="269">
        <v>3</v>
      </c>
      <c r="P80" s="270">
        <v>1</v>
      </c>
      <c r="Q80" s="351">
        <f>SUM(N80:P80)</f>
        <v>4</v>
      </c>
      <c r="R80" s="331">
        <f>IF($A$1="صنایع شیر ایران",IFERROR(('[1]هزینه اداری عمومی'!$D$26/(O80+N80+P80))/$AH$5,0),IFERROR(('[1]هزینه اداری عمومی'!$D$26/(O80+N80))/$AH$5,0))</f>
        <v>12468.555555555555</v>
      </c>
      <c r="S80" s="352">
        <f ca="1">IFERROR((VLOOKUP($AH$6,'[1]هزینه اداری عمومی'!$A:$F,4,FALSE)/P80)/$AH$5,0)</f>
        <v>0</v>
      </c>
      <c r="T80" s="353" t="str">
        <f t="shared" si="38"/>
        <v>-</v>
      </c>
      <c r="U80" s="354">
        <f t="shared" si="39"/>
        <v>500</v>
      </c>
      <c r="V80" s="355">
        <f t="shared" si="40"/>
        <v>150</v>
      </c>
      <c r="W80" s="354">
        <f t="shared" si="41"/>
        <v>50</v>
      </c>
      <c r="X80" s="355">
        <f t="shared" si="42"/>
        <v>50</v>
      </c>
      <c r="Y80" s="356">
        <f t="shared" si="43"/>
        <v>50</v>
      </c>
      <c r="Z80" s="356">
        <f t="shared" si="44"/>
        <v>100</v>
      </c>
      <c r="AA80" s="343">
        <f t="shared" si="44"/>
        <v>78.777795328103338</v>
      </c>
      <c r="AB80" s="354">
        <f t="shared" si="45"/>
        <v>21.222204671896662</v>
      </c>
      <c r="AC80" s="345">
        <f ca="1">IFERROR(S80*100/M80,"-")</f>
        <v>0</v>
      </c>
      <c r="AD80" s="356">
        <f ca="1">IFERROR(ABS(AC80-100),500)</f>
        <v>100</v>
      </c>
    </row>
    <row r="81" spans="1:31" ht="35.1" customHeight="1" thickBot="1" x14ac:dyDescent="0.25">
      <c r="A81" s="357" t="s">
        <v>60</v>
      </c>
      <c r="B81" s="358">
        <f>SUM(B76:B80)</f>
        <v>0</v>
      </c>
      <c r="C81" s="359">
        <f>SUM(C76:C80)</f>
        <v>26</v>
      </c>
      <c r="D81" s="360">
        <f>SUM(D76:D80)</f>
        <v>8</v>
      </c>
      <c r="E81" s="361">
        <f>SUM(E76:E80)</f>
        <v>34</v>
      </c>
      <c r="F81" s="362">
        <f>IF($A$1="صنایع شیر ایران",IFERROR(((SUM(F77*(C77+B77+D77),F80*(C80+B80+D80),F76*(C76+B76+D76)))/(C81+B81+D81)),0),IFERROR(((SUM(F77*(C77+B77),F78*(C78+B78),F79*(C79+B79),F80*(C80+B80),F76*(C76+B76)))/(C81+B81)),0))</f>
        <v>5771.6794871794882</v>
      </c>
      <c r="G81" s="363">
        <f ca="1">IFERROR((G76*(D77+D76)+G78*(D79+D78)+G80*D80)/(D81),0)</f>
        <v>802.1875</v>
      </c>
      <c r="H81" s="358">
        <f>SUM(H76:H80)</f>
        <v>0</v>
      </c>
      <c r="I81" s="359">
        <f>SUM(I76:I80)</f>
        <v>26</v>
      </c>
      <c r="J81" s="360">
        <f>SUM(J76:J80)</f>
        <v>41</v>
      </c>
      <c r="K81" s="361">
        <f>SUM(K76:K80)</f>
        <v>67</v>
      </c>
      <c r="L81" s="362">
        <f ca="1">IF($A$1="صنایع شیر ایران",IFERROR(((SUM(L77*(I77+H77+J77),L80*(I80+H80+J80),L76*(I76+H76+J76)))/(I81+H81+J81)),0),IFERROR(((SUM(L77*(I77+H77),L78*(I78+H78),L79*(I79+H79),L80*(I80+H80),L76*(I76+H76)))/(I81+H81)),0))</f>
        <v>1217.5</v>
      </c>
      <c r="M81" s="363">
        <f ca="1">IFERROR((M76*(J77+J76)+M78*(J79+J78)+M80*J80)/(J81),0)</f>
        <v>619.94715447154476</v>
      </c>
      <c r="N81" s="358">
        <f>SUM(N76:N80)</f>
        <v>0</v>
      </c>
      <c r="O81" s="359">
        <f>SUM(O76:O80)</f>
        <v>26</v>
      </c>
      <c r="P81" s="360">
        <f>SUM(P76:P80)</f>
        <v>14</v>
      </c>
      <c r="Q81" s="361">
        <f>SUM(Q76:Q80)</f>
        <v>40</v>
      </c>
      <c r="R81" s="362">
        <f>IF($A$1="صنایع شیر ایران",IFERROR(((SUM(R77*(O77+N77+P77),R80*(O80+N80+P80),R76*(O76+N76+P76)))/(O81+N81+P81)),0),IFERROR(((SUM(R77*(O77+N77),R78*(O78+N78),R79*(O79+N79),R80*(O80+N80),R76*(O76+N76)))/(O81+N81)),0))</f>
        <v>9400.5064102564102</v>
      </c>
      <c r="S81" s="363">
        <f ca="1">IFERROR((S76*(P77+P76)+S78*(P79+P78)+S80*P80)/(P81),0)</f>
        <v>3374.4285714285716</v>
      </c>
      <c r="T81" s="364" t="str">
        <f t="shared" si="38"/>
        <v>-</v>
      </c>
      <c r="U81" s="365">
        <f t="shared" si="39"/>
        <v>500</v>
      </c>
      <c r="V81" s="366">
        <f t="shared" si="40"/>
        <v>100</v>
      </c>
      <c r="W81" s="365">
        <f t="shared" si="41"/>
        <v>0</v>
      </c>
      <c r="X81" s="366">
        <f t="shared" si="42"/>
        <v>34.146341463414636</v>
      </c>
      <c r="Y81" s="367">
        <f t="shared" si="43"/>
        <v>65.853658536585357</v>
      </c>
      <c r="Z81" s="367">
        <f t="shared" si="44"/>
        <v>59.701492537313435</v>
      </c>
      <c r="AA81" s="364">
        <f t="shared" ca="1" si="44"/>
        <v>772.11551624282629</v>
      </c>
      <c r="AB81" s="365">
        <f t="shared" ca="1" si="45"/>
        <v>672.11551624282629</v>
      </c>
      <c r="AC81" s="366">
        <f ca="1">IFERROR(S81*100/M81,"-")</f>
        <v>544.3090668437701</v>
      </c>
      <c r="AD81" s="367">
        <f ca="1">IFERROR(ABS(AC81-100),500)</f>
        <v>444.3090668437701</v>
      </c>
    </row>
    <row r="82" spans="1:31" ht="35.1" customHeight="1" thickTop="1" thickBot="1" x14ac:dyDescent="0.25">
      <c r="A82" s="368" t="s">
        <v>61</v>
      </c>
      <c r="B82" s="289"/>
      <c r="C82" s="290"/>
      <c r="D82" s="291"/>
      <c r="E82" s="369">
        <f>SUM(B82:D82)</f>
        <v>0</v>
      </c>
      <c r="F82" s="293"/>
      <c r="G82" s="294"/>
      <c r="H82" s="289"/>
      <c r="I82" s="290"/>
      <c r="J82" s="291"/>
      <c r="K82" s="369">
        <f>SUM(H82:J82)</f>
        <v>0</v>
      </c>
      <c r="L82" s="293"/>
      <c r="M82" s="294"/>
      <c r="N82" s="289"/>
      <c r="O82" s="290"/>
      <c r="P82" s="291"/>
      <c r="Q82" s="369">
        <f>SUM(N82:P82)</f>
        <v>0</v>
      </c>
      <c r="R82" s="293"/>
      <c r="S82" s="294"/>
      <c r="T82" s="370" t="str">
        <f t="shared" si="38"/>
        <v>-</v>
      </c>
      <c r="U82" s="371">
        <f t="shared" si="39"/>
        <v>500</v>
      </c>
      <c r="V82" s="372" t="str">
        <f t="shared" si="40"/>
        <v>-</v>
      </c>
      <c r="W82" s="371">
        <f t="shared" si="41"/>
        <v>500</v>
      </c>
      <c r="X82" s="372" t="str">
        <f t="shared" si="42"/>
        <v>-</v>
      </c>
      <c r="Y82" s="373">
        <f t="shared" si="43"/>
        <v>500</v>
      </c>
      <c r="Z82" s="373" t="str">
        <f t="shared" si="44"/>
        <v>-</v>
      </c>
      <c r="AA82" s="370" t="str">
        <f t="shared" si="44"/>
        <v>-</v>
      </c>
      <c r="AB82" s="371">
        <f t="shared" si="45"/>
        <v>500</v>
      </c>
      <c r="AC82" s="372" t="str">
        <f>IFERROR(S82*100/M82,"-")</f>
        <v>-</v>
      </c>
      <c r="AD82" s="373">
        <f>IFERROR(ABS(AC82-100),500)</f>
        <v>500</v>
      </c>
    </row>
    <row r="83" spans="1:31" ht="21.75" thickBot="1" x14ac:dyDescent="0.25"/>
    <row r="84" spans="1:31" ht="25.5" x14ac:dyDescent="0.2">
      <c r="A84" s="374" t="s">
        <v>62</v>
      </c>
      <c r="B84" s="375"/>
      <c r="C84" s="375"/>
      <c r="D84" s="375"/>
      <c r="E84" s="375"/>
      <c r="F84" s="375"/>
      <c r="G84" s="375"/>
      <c r="H84" s="375"/>
      <c r="I84" s="375"/>
      <c r="J84" s="375"/>
      <c r="K84" s="375"/>
      <c r="L84" s="375"/>
      <c r="M84" s="375"/>
      <c r="N84" s="375"/>
      <c r="O84" s="375"/>
      <c r="P84" s="375"/>
      <c r="Q84" s="375"/>
      <c r="R84" s="375"/>
      <c r="S84" s="376"/>
    </row>
    <row r="85" spans="1:31" x14ac:dyDescent="0.2">
      <c r="A85" s="377"/>
      <c r="B85" s="378"/>
      <c r="C85" s="378"/>
      <c r="D85" s="378"/>
      <c r="E85" s="378"/>
      <c r="F85" s="378"/>
      <c r="G85" s="378"/>
      <c r="H85" s="378"/>
      <c r="I85" s="378"/>
      <c r="J85" s="378"/>
      <c r="K85" s="378"/>
      <c r="L85" s="378"/>
      <c r="M85" s="378"/>
      <c r="N85" s="378"/>
      <c r="O85" s="378"/>
      <c r="P85" s="378"/>
      <c r="Q85" s="378"/>
      <c r="R85" s="378"/>
      <c r="S85" s="379"/>
    </row>
    <row r="86" spans="1:31" x14ac:dyDescent="0.2">
      <c r="A86" s="377"/>
      <c r="B86" s="378"/>
      <c r="C86" s="378"/>
      <c r="D86" s="378"/>
      <c r="E86" s="378"/>
      <c r="F86" s="378"/>
      <c r="G86" s="378"/>
      <c r="H86" s="378"/>
      <c r="I86" s="378"/>
      <c r="J86" s="378"/>
      <c r="K86" s="378"/>
      <c r="L86" s="378"/>
      <c r="M86" s="378"/>
      <c r="N86" s="378"/>
      <c r="O86" s="378"/>
      <c r="P86" s="378"/>
      <c r="Q86" s="378"/>
      <c r="R86" s="378"/>
      <c r="S86" s="379"/>
    </row>
    <row r="87" spans="1:31" x14ac:dyDescent="0.2">
      <c r="A87" s="377"/>
      <c r="B87" s="378"/>
      <c r="C87" s="378"/>
      <c r="D87" s="378"/>
      <c r="E87" s="378"/>
      <c r="F87" s="378"/>
      <c r="G87" s="378"/>
      <c r="H87" s="378"/>
      <c r="I87" s="378"/>
      <c r="J87" s="378"/>
      <c r="K87" s="378"/>
      <c r="L87" s="378"/>
      <c r="M87" s="378"/>
      <c r="N87" s="378"/>
      <c r="O87" s="378"/>
      <c r="P87" s="378"/>
      <c r="Q87" s="378"/>
      <c r="R87" s="378"/>
      <c r="S87" s="379"/>
    </row>
    <row r="88" spans="1:31" x14ac:dyDescent="0.2">
      <c r="A88" s="377"/>
      <c r="B88" s="378"/>
      <c r="C88" s="378"/>
      <c r="D88" s="378"/>
      <c r="E88" s="378"/>
      <c r="F88" s="378"/>
      <c r="G88" s="378"/>
      <c r="H88" s="378"/>
      <c r="I88" s="378"/>
      <c r="J88" s="378"/>
      <c r="K88" s="378"/>
      <c r="L88" s="378"/>
      <c r="M88" s="378"/>
      <c r="N88" s="378"/>
      <c r="O88" s="378"/>
      <c r="P88" s="378"/>
      <c r="Q88" s="378"/>
      <c r="R88" s="378"/>
      <c r="S88" s="379"/>
    </row>
    <row r="89" spans="1:31" ht="21.75" thickBot="1" x14ac:dyDescent="0.25">
      <c r="A89" s="380"/>
      <c r="B89" s="381"/>
      <c r="C89" s="381"/>
      <c r="D89" s="381"/>
      <c r="E89" s="381"/>
      <c r="F89" s="381"/>
      <c r="G89" s="381"/>
      <c r="H89" s="381"/>
      <c r="I89" s="381"/>
      <c r="J89" s="381"/>
      <c r="K89" s="381"/>
      <c r="L89" s="381"/>
      <c r="M89" s="381"/>
      <c r="N89" s="381"/>
      <c r="O89" s="381"/>
      <c r="P89" s="381"/>
      <c r="Q89" s="381"/>
      <c r="R89" s="381"/>
      <c r="S89" s="382"/>
    </row>
    <row r="91" spans="1:31" ht="29.25" thickBot="1" x14ac:dyDescent="0.25">
      <c r="A91" s="300" t="str">
        <f>"گزارش تعداد پرسنل و سرانه هزینه پرسنلی به تفکیک نوع قرارداد در دوره " &amp; [1]روکش!$F$9 &amp; " سال " &amp; [1]روکش!$D$9&amp;"- مجتمع خراسان/ شعبه "&amp;AE91</f>
        <v>گزارش تعداد پرسنل و سرانه هزینه پرسنلی به تفکیک نوع قرارداد در دوره شش ماهه سال 1405- مجتمع خراسان/ شعبه نیشابور</v>
      </c>
      <c r="B91" s="300"/>
      <c r="C91" s="300"/>
      <c r="D91" s="300"/>
      <c r="E91" s="300"/>
      <c r="F91" s="300"/>
      <c r="G91" s="300"/>
      <c r="H91" s="300"/>
      <c r="I91" s="300"/>
      <c r="J91" s="300"/>
      <c r="K91" s="300"/>
      <c r="L91" s="300"/>
      <c r="M91" s="300"/>
      <c r="N91" s="300"/>
      <c r="O91" s="300"/>
      <c r="P91" s="300"/>
      <c r="Q91" s="300"/>
      <c r="R91" s="300"/>
      <c r="S91" s="300"/>
      <c r="T91" s="300"/>
      <c r="U91" s="300"/>
      <c r="V91" s="300"/>
      <c r="W91" s="300"/>
      <c r="X91" s="300"/>
      <c r="Y91" s="300"/>
      <c r="Z91" s="300"/>
      <c r="AA91" s="300"/>
      <c r="AB91" s="300"/>
      <c r="AC91" s="300"/>
      <c r="AD91" s="300"/>
      <c r="AE91" s="301" t="str">
        <f>[1]واردات!$AA$46</f>
        <v>نیشابور</v>
      </c>
    </row>
    <row r="92" spans="1:31" ht="24.75" thickBot="1" x14ac:dyDescent="0.25">
      <c r="A92" s="302" t="s">
        <v>43</v>
      </c>
      <c r="B92" s="303" t="s">
        <v>44</v>
      </c>
      <c r="C92" s="304"/>
      <c r="D92" s="304"/>
      <c r="E92" s="304"/>
      <c r="F92" s="304"/>
      <c r="G92" s="305"/>
      <c r="H92" s="303" t="s">
        <v>45</v>
      </c>
      <c r="I92" s="304"/>
      <c r="J92" s="304"/>
      <c r="K92" s="304"/>
      <c r="L92" s="304"/>
      <c r="M92" s="305"/>
      <c r="N92" s="303" t="s">
        <v>46</v>
      </c>
      <c r="O92" s="304"/>
      <c r="P92" s="304"/>
      <c r="Q92" s="304"/>
      <c r="R92" s="304"/>
      <c r="S92" s="305"/>
      <c r="T92" s="303" t="s">
        <v>47</v>
      </c>
      <c r="U92" s="304"/>
      <c r="V92" s="304"/>
      <c r="W92" s="304"/>
      <c r="X92" s="304"/>
      <c r="Y92" s="304"/>
      <c r="Z92" s="304"/>
      <c r="AA92" s="304"/>
      <c r="AB92" s="304"/>
      <c r="AC92" s="304"/>
      <c r="AD92" s="305"/>
    </row>
    <row r="93" spans="1:31" ht="63.75" thickBot="1" x14ac:dyDescent="0.25">
      <c r="A93" s="306"/>
      <c r="B93" s="307" t="s">
        <v>48</v>
      </c>
      <c r="C93" s="308" t="s">
        <v>49</v>
      </c>
      <c r="D93" s="309" t="s">
        <v>50</v>
      </c>
      <c r="E93" s="310" t="s">
        <v>51</v>
      </c>
      <c r="F93" s="307" t="s">
        <v>52</v>
      </c>
      <c r="G93" s="309" t="s">
        <v>53</v>
      </c>
      <c r="H93" s="307" t="s">
        <v>48</v>
      </c>
      <c r="I93" s="308" t="s">
        <v>49</v>
      </c>
      <c r="J93" s="309" t="s">
        <v>50</v>
      </c>
      <c r="K93" s="311" t="s">
        <v>51</v>
      </c>
      <c r="L93" s="307" t="s">
        <v>52</v>
      </c>
      <c r="M93" s="309" t="s">
        <v>53</v>
      </c>
      <c r="N93" s="307" t="s">
        <v>48</v>
      </c>
      <c r="O93" s="308" t="s">
        <v>49</v>
      </c>
      <c r="P93" s="309" t="s">
        <v>50</v>
      </c>
      <c r="Q93" s="311" t="s">
        <v>51</v>
      </c>
      <c r="R93" s="307" t="s">
        <v>52</v>
      </c>
      <c r="S93" s="309" t="s">
        <v>53</v>
      </c>
      <c r="T93" s="312" t="s">
        <v>48</v>
      </c>
      <c r="U93" s="313"/>
      <c r="V93" s="314" t="s">
        <v>49</v>
      </c>
      <c r="W93" s="313"/>
      <c r="X93" s="314" t="s">
        <v>50</v>
      </c>
      <c r="Y93" s="315"/>
      <c r="Z93" s="311" t="s">
        <v>51</v>
      </c>
      <c r="AA93" s="312" t="s">
        <v>52</v>
      </c>
      <c r="AB93" s="313"/>
      <c r="AC93" s="314" t="s">
        <v>53</v>
      </c>
      <c r="AD93" s="315"/>
    </row>
    <row r="94" spans="1:31" hidden="1" x14ac:dyDescent="0.2">
      <c r="A94" s="316" t="s">
        <v>54</v>
      </c>
      <c r="B94" s="227"/>
      <c r="C94" s="228"/>
      <c r="D94" s="229"/>
      <c r="E94" s="317">
        <f>SUM(B94:D94)</f>
        <v>0</v>
      </c>
      <c r="F94" s="318">
        <f>IF($A$1="صنایع شیر ایران",IFERROR(('[1]هزینه پرسنلی مستقیم تولید'!$B$31/(C94+B94+D94))/$AH$5,0),IFERROR(('[1]هزینه پرسنلی مستقیم تولید'!$B$31/(C94+B94))/$AH$5,0))</f>
        <v>0</v>
      </c>
      <c r="G94" s="319">
        <f ca="1">IFERROR((VLOOKUP($AH$6,'[1]هزینه سربار تولید'!$A:$F,2,FALSE)/(D94+D95))/$AH$5,0)</f>
        <v>0</v>
      </c>
      <c r="H94" s="320">
        <v>0</v>
      </c>
      <c r="I94" s="321">
        <v>0</v>
      </c>
      <c r="J94" s="322">
        <v>0</v>
      </c>
      <c r="K94" s="317">
        <f>SUM(H94:J94)</f>
        <v>0</v>
      </c>
      <c r="L94" s="318">
        <f ca="1">IF($A$1="صنایع شیر ایران",IFERROR(('[1]هزینه پرسنلی مستقیم تولید'!$C$31/(I94+H94+J94))/$AH$5,0),IFERROR(('[1]هزینه پرسنلی مستقیم تولید'!$C$31/(I94+H94))/$AH$5,0))</f>
        <v>0</v>
      </c>
      <c r="M94" s="319">
        <f ca="1">IFERROR((VLOOKUP($AH$6,'[1]هزینه سربار تولید'!$A:$F,3,FALSE)/(J94+J95))/$AH$5,0)</f>
        <v>0</v>
      </c>
      <c r="N94" s="227"/>
      <c r="O94" s="228"/>
      <c r="P94" s="229"/>
      <c r="Q94" s="317">
        <f>SUM(N94:P94)</f>
        <v>0</v>
      </c>
      <c r="R94" s="318">
        <f>IF($A$1="صنایع شیر ایران",IFERROR(('[1]هزینه پرسنلی مستقیم تولید'!$D$31/(O94+N94+P94))/$AH$5,0),IFERROR(('[1]هزینه پرسنلی مستقیم تولید'!$D$31/(O94+N94))/$AH$5,0))</f>
        <v>0</v>
      </c>
      <c r="S94" s="319">
        <f ca="1">IFERROR((VLOOKUP($AH$6,'[1]هزینه سربار تولید'!$A:$F,4,FALSE)/(P94+P95))/$AH$5,0)</f>
        <v>0</v>
      </c>
      <c r="T94" s="323" t="str">
        <f t="shared" ref="T94:T100" si="46">IFERROR(N94*100/H94,"-")</f>
        <v>-</v>
      </c>
      <c r="U94" s="324">
        <f t="shared" ref="U94:U100" si="47">IFERROR(ABS(T94-100),500)</f>
        <v>500</v>
      </c>
      <c r="V94" s="325" t="str">
        <f t="shared" ref="V94:V100" si="48">IFERROR(O94*100/I94,"-")</f>
        <v>-</v>
      </c>
      <c r="W94" s="324">
        <f t="shared" ref="W94:W100" si="49">IFERROR(ABS(V94-100),500)</f>
        <v>500</v>
      </c>
      <c r="X94" s="325" t="str">
        <f t="shared" ref="X94:X100" si="50">IFERROR(P94*100/J94,"-")</f>
        <v>-</v>
      </c>
      <c r="Y94" s="326">
        <f t="shared" ref="Y94:Y100" si="51">IFERROR(ABS(X94-100),500)</f>
        <v>500</v>
      </c>
      <c r="Z94" s="324" t="str">
        <f t="shared" ref="Z94:AA100" si="52">IFERROR(Q94*100/K94,"-")</f>
        <v>-</v>
      </c>
      <c r="AA94" s="323" t="str">
        <f t="shared" ca="1" si="52"/>
        <v>-</v>
      </c>
      <c r="AB94" s="324">
        <f t="shared" ref="AB94:AB100" ca="1" si="53">IFERROR(ABS(AA94-100),500)</f>
        <v>500</v>
      </c>
      <c r="AC94" s="327" t="str">
        <f ca="1">IFERROR(S94*100/M94,"-")</f>
        <v>-</v>
      </c>
      <c r="AD94" s="328">
        <f ca="1">IFERROR(ABS(AC94-100),500)</f>
        <v>500</v>
      </c>
    </row>
    <row r="95" spans="1:31" hidden="1" x14ac:dyDescent="0.2">
      <c r="A95" s="329" t="s">
        <v>55</v>
      </c>
      <c r="B95" s="244"/>
      <c r="C95" s="245"/>
      <c r="D95" s="246"/>
      <c r="E95" s="330">
        <f>SUM(B95:D95)</f>
        <v>0</v>
      </c>
      <c r="F95" s="331">
        <f>IF($A$1="صنایع شیر ایران",IFERROR(('[1]هزینه پرسنلی غیرمستقیم تولید'!$B$31/(C95+B95+D95))/$AH$5,0),IFERROR(('[1]هزینه پرسنلی غیرمستقیم تولید'!$B$31/(C95+B95))/$AH$5,0))</f>
        <v>0</v>
      </c>
      <c r="G95" s="332"/>
      <c r="H95" s="333">
        <v>0</v>
      </c>
      <c r="I95" s="334">
        <v>0</v>
      </c>
      <c r="J95" s="335">
        <v>0</v>
      </c>
      <c r="K95" s="330">
        <f>SUM(H95:J95)</f>
        <v>0</v>
      </c>
      <c r="L95" s="331">
        <f ca="1">IF($A$1="صنایع شیر ایران",IFERROR(('[1]هزینه پرسنلی غیرمستقیم تولید'!$C$31/(I95+H95+J95))/$AH$5,0),IFERROR(('[1]هزینه پرسنلی غیرمستقیم تولید'!$C$31/(I95+H95))/$AH$5,0))</f>
        <v>0</v>
      </c>
      <c r="M95" s="332"/>
      <c r="N95" s="244"/>
      <c r="O95" s="245"/>
      <c r="P95" s="246"/>
      <c r="Q95" s="330">
        <f>SUM(N95:P95)</f>
        <v>0</v>
      </c>
      <c r="R95" s="331">
        <f>IF($A$1="صنایع شیر ایران",IFERROR(('[1]هزینه پرسنلی غیرمستقیم تولید'!$D$31/(O95+N95+P95))/$AH$5,0),IFERROR(('[1]هزینه پرسنلی غیرمستقیم تولید'!$D$31/(O95+N95))/$AH$5,0))</f>
        <v>0</v>
      </c>
      <c r="S95" s="332"/>
      <c r="T95" s="336" t="str">
        <f t="shared" si="46"/>
        <v>-</v>
      </c>
      <c r="U95" s="337">
        <f t="shared" si="47"/>
        <v>500</v>
      </c>
      <c r="V95" s="338" t="str">
        <f t="shared" si="48"/>
        <v>-</v>
      </c>
      <c r="W95" s="337">
        <f t="shared" si="49"/>
        <v>500</v>
      </c>
      <c r="X95" s="338" t="str">
        <f t="shared" si="50"/>
        <v>-</v>
      </c>
      <c r="Y95" s="339">
        <f t="shared" si="51"/>
        <v>500</v>
      </c>
      <c r="Z95" s="337" t="str">
        <f t="shared" si="52"/>
        <v>-</v>
      </c>
      <c r="AA95" s="336" t="str">
        <f t="shared" ca="1" si="52"/>
        <v>-</v>
      </c>
      <c r="AB95" s="337">
        <f t="shared" ca="1" si="53"/>
        <v>500</v>
      </c>
      <c r="AC95" s="340"/>
      <c r="AD95" s="341"/>
    </row>
    <row r="96" spans="1:31" ht="35.1" customHeight="1" x14ac:dyDescent="0.2">
      <c r="A96" s="329" t="s">
        <v>57</v>
      </c>
      <c r="B96" s="244"/>
      <c r="C96" s="245">
        <v>2</v>
      </c>
      <c r="D96" s="246"/>
      <c r="E96" s="330">
        <f>SUM(B96:D96)</f>
        <v>2</v>
      </c>
      <c r="F96" s="331">
        <f>IFERROR(('هزینه پرسنلی مستقیم خدمات'!$B$31/(C96+B96))/$AH$5,0)</f>
        <v>63250.833333333336</v>
      </c>
      <c r="G96" s="342">
        <f ca="1">IFERROR((VLOOKUP($AH$6,'[1]هزینه سربار خدمات'!$A:$F,2,FALSE)/(D96+D97))/$AH$5,0)</f>
        <v>0</v>
      </c>
      <c r="H96" s="244"/>
      <c r="I96" s="245">
        <v>2</v>
      </c>
      <c r="J96" s="246">
        <v>1</v>
      </c>
      <c r="K96" s="330">
        <f>SUM(H96:J96)</f>
        <v>3</v>
      </c>
      <c r="L96" s="331">
        <f ca="1">IFERROR(('هزینه پرسنلی مستقیم خدمات'!$C$31/(I96+H96))/$AH$5,0)</f>
        <v>0</v>
      </c>
      <c r="M96" s="342">
        <f ca="1">IFERROR((VLOOKUP($AH$6,'[1]هزینه سربار خدمات'!$A:$F,3,FALSE)/(J96+J97))/$AH$5,0)</f>
        <v>20629.333333333332</v>
      </c>
      <c r="N96" s="244"/>
      <c r="O96" s="245">
        <v>2</v>
      </c>
      <c r="P96" s="246"/>
      <c r="Q96" s="330">
        <f>SUM(N96:P96)</f>
        <v>2</v>
      </c>
      <c r="R96" s="331">
        <f>IFERROR(('هزینه پرسنلی مستقیم خدمات'!$D$31/(O96+N96))/$AH$5,0)</f>
        <v>103503.75</v>
      </c>
      <c r="S96" s="342">
        <f ca="1">IFERROR((VLOOKUP($AH$6,'[1]هزینه سربار خدمات'!$A:$F,4,FALSE)/(P96+P97))/$AH$5,0)</f>
        <v>0</v>
      </c>
      <c r="T96" s="343" t="str">
        <f t="shared" si="46"/>
        <v>-</v>
      </c>
      <c r="U96" s="344">
        <f t="shared" si="47"/>
        <v>500</v>
      </c>
      <c r="V96" s="345">
        <f t="shared" si="48"/>
        <v>100</v>
      </c>
      <c r="W96" s="344">
        <f t="shared" si="49"/>
        <v>0</v>
      </c>
      <c r="X96" s="345">
        <f t="shared" si="50"/>
        <v>0</v>
      </c>
      <c r="Y96" s="346">
        <f t="shared" si="51"/>
        <v>100</v>
      </c>
      <c r="Z96" s="346">
        <f t="shared" si="52"/>
        <v>66.666666666666671</v>
      </c>
      <c r="AA96" s="343" t="str">
        <f t="shared" ca="1" si="52"/>
        <v>-</v>
      </c>
      <c r="AB96" s="344">
        <f t="shared" ca="1" si="53"/>
        <v>500</v>
      </c>
      <c r="AC96" s="347">
        <f ca="1">IFERROR(S96*100/M96,"-")</f>
        <v>0</v>
      </c>
      <c r="AD96" s="348">
        <f ca="1">IFERROR(ABS(AC96-100),500)</f>
        <v>100</v>
      </c>
    </row>
    <row r="97" spans="1:31" ht="35.1" customHeight="1" x14ac:dyDescent="0.2">
      <c r="A97" s="329" t="s">
        <v>58</v>
      </c>
      <c r="B97" s="244"/>
      <c r="C97" s="245"/>
      <c r="D97" s="246"/>
      <c r="E97" s="330">
        <f>SUM(B97:D97)</f>
        <v>0</v>
      </c>
      <c r="F97" s="331">
        <f>IFERROR(('[1]هزینه پرسنلی غیرمستقیم خدمات'!$B$31/(C97+B97))/$AH$5,0)</f>
        <v>0</v>
      </c>
      <c r="G97" s="332"/>
      <c r="H97" s="244"/>
      <c r="I97" s="245"/>
      <c r="J97" s="246"/>
      <c r="K97" s="330">
        <f>SUM(H97:J97)</f>
        <v>0</v>
      </c>
      <c r="L97" s="331">
        <f ca="1">IFERROR(('[1]هزینه پرسنلی غیرمستقیم خدمات'!$C$31/(I97+H97))/$AH$5,0)</f>
        <v>0</v>
      </c>
      <c r="M97" s="332"/>
      <c r="N97" s="244"/>
      <c r="O97" s="245"/>
      <c r="P97" s="246"/>
      <c r="Q97" s="330">
        <f>SUM(N97:P97)</f>
        <v>0</v>
      </c>
      <c r="R97" s="331">
        <f>IFERROR(('[1]هزینه پرسنلی غیرمستقیم خدمات'!$D$31/(O97+N97))/$AH$5,0)</f>
        <v>0</v>
      </c>
      <c r="S97" s="332"/>
      <c r="T97" s="343" t="str">
        <f t="shared" si="46"/>
        <v>-</v>
      </c>
      <c r="U97" s="344">
        <f t="shared" si="47"/>
        <v>500</v>
      </c>
      <c r="V97" s="345" t="str">
        <f t="shared" si="48"/>
        <v>-</v>
      </c>
      <c r="W97" s="344">
        <f t="shared" si="49"/>
        <v>500</v>
      </c>
      <c r="X97" s="345" t="str">
        <f t="shared" si="50"/>
        <v>-</v>
      </c>
      <c r="Y97" s="346">
        <f t="shared" si="51"/>
        <v>500</v>
      </c>
      <c r="Z97" s="346" t="str">
        <f t="shared" si="52"/>
        <v>-</v>
      </c>
      <c r="AA97" s="343" t="str">
        <f t="shared" ca="1" si="52"/>
        <v>-</v>
      </c>
      <c r="AB97" s="344">
        <f t="shared" ca="1" si="53"/>
        <v>500</v>
      </c>
      <c r="AC97" s="340"/>
      <c r="AD97" s="349"/>
    </row>
    <row r="98" spans="1:31" ht="35.1" customHeight="1" thickBot="1" x14ac:dyDescent="0.25">
      <c r="A98" s="350" t="s">
        <v>59</v>
      </c>
      <c r="B98" s="268"/>
      <c r="C98" s="269"/>
      <c r="D98" s="270"/>
      <c r="E98" s="351">
        <f>SUM(B98:D98)</f>
        <v>0</v>
      </c>
      <c r="F98" s="331">
        <f>IF($A$1="صنایع شیر ایران",IFERROR(('[1]هزینه اداری عمومی'!$B$26/(C98+B98+D98))/$AH$5,0),IFERROR(('[1]هزینه اداری عمومی'!$B$26/(C98+B98))/$AH$5,0))</f>
        <v>0</v>
      </c>
      <c r="G98" s="352">
        <f ca="1">IFERROR((VLOOKUP($AH$6,'[1]هزینه اداری عمومی'!$A:$F,2,FALSE)/D98)/$AH$5,0)</f>
        <v>0</v>
      </c>
      <c r="H98" s="268"/>
      <c r="I98" s="269"/>
      <c r="J98" s="270"/>
      <c r="K98" s="351">
        <f>SUM(H98:J98)</f>
        <v>0</v>
      </c>
      <c r="L98" s="331">
        <f>IF($A$1="صنایع شیر ایران",IFERROR(('[1]هزینه اداری عمومی'!$C$26/(I98+H98+J98))/$AH$5,0),IFERROR(('[1]هزینه اداری عمومی'!$C$26/(I98+H98))/$AH$5,0))</f>
        <v>0</v>
      </c>
      <c r="M98" s="352">
        <f ca="1">IFERROR((VLOOKUP($AH$6,'[1]هزینه اداری عمومی'!$A:$F,3,FALSE)/J98)/$AH$5,0)</f>
        <v>0</v>
      </c>
      <c r="N98" s="268"/>
      <c r="O98" s="269"/>
      <c r="P98" s="270"/>
      <c r="Q98" s="351">
        <f>SUM(N98:P98)</f>
        <v>0</v>
      </c>
      <c r="R98" s="331">
        <f>IF($A$1="صنایع شیر ایران",IFERROR(('[1]هزینه اداری عمومی'!$D$26/(O98+N98+P98))/$AH$5,0),IFERROR(('[1]هزینه اداری عمومی'!$D$26/(O98+N98))/$AH$5,0))</f>
        <v>0</v>
      </c>
      <c r="S98" s="352">
        <f ca="1">IFERROR((VLOOKUP($AH$6,'[1]هزینه اداری عمومی'!$A:$F,4,FALSE)/P98)/$AH$5,0)</f>
        <v>0</v>
      </c>
      <c r="T98" s="353" t="str">
        <f t="shared" si="46"/>
        <v>-</v>
      </c>
      <c r="U98" s="354">
        <f t="shared" si="47"/>
        <v>500</v>
      </c>
      <c r="V98" s="355" t="str">
        <f t="shared" si="48"/>
        <v>-</v>
      </c>
      <c r="W98" s="354">
        <f t="shared" si="49"/>
        <v>500</v>
      </c>
      <c r="X98" s="355" t="str">
        <f t="shared" si="50"/>
        <v>-</v>
      </c>
      <c r="Y98" s="356">
        <f t="shared" si="51"/>
        <v>500</v>
      </c>
      <c r="Z98" s="356" t="str">
        <f t="shared" si="52"/>
        <v>-</v>
      </c>
      <c r="AA98" s="343" t="str">
        <f t="shared" si="52"/>
        <v>-</v>
      </c>
      <c r="AB98" s="354">
        <f t="shared" si="53"/>
        <v>500</v>
      </c>
      <c r="AC98" s="345" t="str">
        <f ca="1">IFERROR(S98*100/M98,"-")</f>
        <v>-</v>
      </c>
      <c r="AD98" s="356">
        <f ca="1">IFERROR(ABS(AC98-100),500)</f>
        <v>500</v>
      </c>
    </row>
    <row r="99" spans="1:31" ht="35.1" customHeight="1" thickBot="1" x14ac:dyDescent="0.25">
      <c r="A99" s="357" t="s">
        <v>60</v>
      </c>
      <c r="B99" s="358">
        <f>SUM(B94:B98)</f>
        <v>0</v>
      </c>
      <c r="C99" s="359">
        <f>SUM(C94:C98)</f>
        <v>2</v>
      </c>
      <c r="D99" s="360">
        <f>SUM(D94:D98)</f>
        <v>0</v>
      </c>
      <c r="E99" s="361">
        <f>SUM(E94:E98)</f>
        <v>2</v>
      </c>
      <c r="F99" s="362">
        <f>IF($A$1="صنایع شیر ایران",IFERROR(((SUM(F95*(C95+B95+D95),F98*(C98+B98+D98),F94*(C94+B94+D94)))/(C99+B99+D99)),0),IFERROR(((SUM(F95*(C95+B95),F96*(C96+B96),F97*(C97+B97),F98*(C98+B98),F94*(C94+B94)))/(C99+B99)),0))</f>
        <v>63250.833333333336</v>
      </c>
      <c r="G99" s="363">
        <f ca="1">IFERROR((G94*(D95+D94)+G96*(D97+D96)+G98*D98)/(D99),0)</f>
        <v>0</v>
      </c>
      <c r="H99" s="358">
        <f>SUM(H94:H98)</f>
        <v>0</v>
      </c>
      <c r="I99" s="359">
        <f>SUM(I94:I98)</f>
        <v>2</v>
      </c>
      <c r="J99" s="360">
        <f>SUM(J94:J98)</f>
        <v>1</v>
      </c>
      <c r="K99" s="361">
        <f>SUM(K94:K98)</f>
        <v>3</v>
      </c>
      <c r="L99" s="362">
        <f ca="1">IF($A$1="صنایع شیر ایران",IFERROR(((SUM(L95*(I95+H95+J95),L98*(I98+H98+J98),L94*(I94+H94+J94)))/(I99+H99+J99)),0),IFERROR(((SUM(L95*(I95+H95),L96*(I96+H96),L97*(I97+H97),L98*(I98+H98),L94*(I94+H94)))/(I99+H99)),0))</f>
        <v>0</v>
      </c>
      <c r="M99" s="363">
        <f ca="1">IFERROR((M94*(J95+J94)+M96*(J97+J96)+M98*J98)/(J99),0)</f>
        <v>20629.333333333332</v>
      </c>
      <c r="N99" s="358">
        <f>SUM(N94:N98)</f>
        <v>0</v>
      </c>
      <c r="O99" s="359">
        <f>SUM(O94:O98)</f>
        <v>2</v>
      </c>
      <c r="P99" s="360">
        <f>SUM(P94:P98)</f>
        <v>0</v>
      </c>
      <c r="Q99" s="361">
        <f>SUM(Q94:Q98)</f>
        <v>2</v>
      </c>
      <c r="R99" s="362">
        <f>IF($A$1="صنایع شیر ایران",IFERROR(((SUM(R95*(O95+N95+P95),R98*(O98+N98+P98),R94*(O94+N94+P94)))/(O99+N99+P99)),0),IFERROR(((SUM(R95*(O95+N95),R96*(O96+N96),R97*(O97+N97),R98*(O98+N98),R94*(O94+N94)))/(O99+N99)),0))</f>
        <v>103503.75</v>
      </c>
      <c r="S99" s="363">
        <f ca="1">IFERROR((S94*(P95+P94)+S96*(P97+P96)+S98*P98)/(P99),0)</f>
        <v>0</v>
      </c>
      <c r="T99" s="364" t="str">
        <f t="shared" si="46"/>
        <v>-</v>
      </c>
      <c r="U99" s="365">
        <f t="shared" si="47"/>
        <v>500</v>
      </c>
      <c r="V99" s="366">
        <f t="shared" si="48"/>
        <v>100</v>
      </c>
      <c r="W99" s="365">
        <f t="shared" si="49"/>
        <v>0</v>
      </c>
      <c r="X99" s="366">
        <f t="shared" si="50"/>
        <v>0</v>
      </c>
      <c r="Y99" s="367">
        <f t="shared" si="51"/>
        <v>100</v>
      </c>
      <c r="Z99" s="367">
        <f t="shared" si="52"/>
        <v>66.666666666666671</v>
      </c>
      <c r="AA99" s="364" t="str">
        <f t="shared" ca="1" si="52"/>
        <v>-</v>
      </c>
      <c r="AB99" s="365">
        <f t="shared" ca="1" si="53"/>
        <v>500</v>
      </c>
      <c r="AC99" s="366">
        <f ca="1">IFERROR(S99*100/M99,"-")</f>
        <v>0</v>
      </c>
      <c r="AD99" s="367">
        <f ca="1">IFERROR(ABS(AC99-100),500)</f>
        <v>100</v>
      </c>
    </row>
    <row r="100" spans="1:31" ht="35.1" customHeight="1" thickTop="1" thickBot="1" x14ac:dyDescent="0.25">
      <c r="A100" s="368" t="s">
        <v>61</v>
      </c>
      <c r="B100" s="289"/>
      <c r="C100" s="290"/>
      <c r="D100" s="291"/>
      <c r="E100" s="369">
        <f>SUM(B100:D100)</f>
        <v>0</v>
      </c>
      <c r="F100" s="293"/>
      <c r="G100" s="294"/>
      <c r="H100" s="289"/>
      <c r="I100" s="290"/>
      <c r="J100" s="291"/>
      <c r="K100" s="369">
        <f>SUM(H100:J100)</f>
        <v>0</v>
      </c>
      <c r="L100" s="293"/>
      <c r="M100" s="294"/>
      <c r="N100" s="289"/>
      <c r="O100" s="290"/>
      <c r="P100" s="291"/>
      <c r="Q100" s="369">
        <f>SUM(N100:P100)</f>
        <v>0</v>
      </c>
      <c r="R100" s="293"/>
      <c r="S100" s="294"/>
      <c r="T100" s="370" t="str">
        <f t="shared" si="46"/>
        <v>-</v>
      </c>
      <c r="U100" s="371">
        <f t="shared" si="47"/>
        <v>500</v>
      </c>
      <c r="V100" s="372" t="str">
        <f t="shared" si="48"/>
        <v>-</v>
      </c>
      <c r="W100" s="371">
        <f t="shared" si="49"/>
        <v>500</v>
      </c>
      <c r="X100" s="372" t="str">
        <f t="shared" si="50"/>
        <v>-</v>
      </c>
      <c r="Y100" s="373">
        <f t="shared" si="51"/>
        <v>500</v>
      </c>
      <c r="Z100" s="373" t="str">
        <f t="shared" si="52"/>
        <v>-</v>
      </c>
      <c r="AA100" s="370" t="str">
        <f t="shared" si="52"/>
        <v>-</v>
      </c>
      <c r="AB100" s="371">
        <f t="shared" si="53"/>
        <v>500</v>
      </c>
      <c r="AC100" s="372" t="str">
        <f>IFERROR(S100*100/M100,"-")</f>
        <v>-</v>
      </c>
      <c r="AD100" s="373">
        <f>IFERROR(ABS(AC100-100),500)</f>
        <v>500</v>
      </c>
    </row>
    <row r="101" spans="1:31" ht="21.75" thickBot="1" x14ac:dyDescent="0.25"/>
    <row r="102" spans="1:31" ht="25.5" x14ac:dyDescent="0.2">
      <c r="A102" s="374" t="s">
        <v>62</v>
      </c>
      <c r="B102" s="375"/>
      <c r="C102" s="375"/>
      <c r="D102" s="375"/>
      <c r="E102" s="375"/>
      <c r="F102" s="375"/>
      <c r="G102" s="375"/>
      <c r="H102" s="375"/>
      <c r="I102" s="375"/>
      <c r="J102" s="375"/>
      <c r="K102" s="375"/>
      <c r="L102" s="375"/>
      <c r="M102" s="375"/>
      <c r="N102" s="375"/>
      <c r="O102" s="375"/>
      <c r="P102" s="375"/>
      <c r="Q102" s="375"/>
      <c r="R102" s="375"/>
      <c r="S102" s="376"/>
    </row>
    <row r="103" spans="1:31" x14ac:dyDescent="0.2">
      <c r="A103" s="377"/>
      <c r="B103" s="378"/>
      <c r="C103" s="378"/>
      <c r="D103" s="378"/>
      <c r="E103" s="378"/>
      <c r="F103" s="378"/>
      <c r="G103" s="378"/>
      <c r="H103" s="378"/>
      <c r="I103" s="378"/>
      <c r="J103" s="378"/>
      <c r="K103" s="378"/>
      <c r="L103" s="378"/>
      <c r="M103" s="378"/>
      <c r="N103" s="378"/>
      <c r="O103" s="378"/>
      <c r="P103" s="378"/>
      <c r="Q103" s="378"/>
      <c r="R103" s="378"/>
      <c r="S103" s="379"/>
    </row>
    <row r="104" spans="1:31" x14ac:dyDescent="0.2">
      <c r="A104" s="377"/>
      <c r="B104" s="378"/>
      <c r="C104" s="378"/>
      <c r="D104" s="378"/>
      <c r="E104" s="378"/>
      <c r="F104" s="378"/>
      <c r="G104" s="378"/>
      <c r="H104" s="378"/>
      <c r="I104" s="378"/>
      <c r="J104" s="378"/>
      <c r="K104" s="378"/>
      <c r="L104" s="378"/>
      <c r="M104" s="378"/>
      <c r="N104" s="378"/>
      <c r="O104" s="378"/>
      <c r="P104" s="378"/>
      <c r="Q104" s="378"/>
      <c r="R104" s="378"/>
      <c r="S104" s="379"/>
    </row>
    <row r="105" spans="1:31" x14ac:dyDescent="0.2">
      <c r="A105" s="377"/>
      <c r="B105" s="378"/>
      <c r="C105" s="378"/>
      <c r="D105" s="378"/>
      <c r="E105" s="378"/>
      <c r="F105" s="378"/>
      <c r="G105" s="378"/>
      <c r="H105" s="378"/>
      <c r="I105" s="378"/>
      <c r="J105" s="378"/>
      <c r="K105" s="378"/>
      <c r="L105" s="378"/>
      <c r="M105" s="378"/>
      <c r="N105" s="378"/>
      <c r="O105" s="378"/>
      <c r="P105" s="378"/>
      <c r="Q105" s="378"/>
      <c r="R105" s="378"/>
      <c r="S105" s="379"/>
    </row>
    <row r="106" spans="1:31" x14ac:dyDescent="0.2">
      <c r="A106" s="377"/>
      <c r="B106" s="378"/>
      <c r="C106" s="378"/>
      <c r="D106" s="378"/>
      <c r="E106" s="378"/>
      <c r="F106" s="378"/>
      <c r="G106" s="378"/>
      <c r="H106" s="378"/>
      <c r="I106" s="378"/>
      <c r="J106" s="378"/>
      <c r="K106" s="378"/>
      <c r="L106" s="378"/>
      <c r="M106" s="378"/>
      <c r="N106" s="378"/>
      <c r="O106" s="378"/>
      <c r="P106" s="378"/>
      <c r="Q106" s="378"/>
      <c r="R106" s="378"/>
      <c r="S106" s="379"/>
    </row>
    <row r="107" spans="1:31" ht="21.75" thickBot="1" x14ac:dyDescent="0.25">
      <c r="A107" s="380"/>
      <c r="B107" s="381"/>
      <c r="C107" s="381"/>
      <c r="D107" s="381"/>
      <c r="E107" s="381"/>
      <c r="F107" s="381"/>
      <c r="G107" s="381"/>
      <c r="H107" s="381"/>
      <c r="I107" s="381"/>
      <c r="J107" s="381"/>
      <c r="K107" s="381"/>
      <c r="L107" s="381"/>
      <c r="M107" s="381"/>
      <c r="N107" s="381"/>
      <c r="O107" s="381"/>
      <c r="P107" s="381"/>
      <c r="Q107" s="381"/>
      <c r="R107" s="381"/>
      <c r="S107" s="382"/>
    </row>
    <row r="109" spans="1:31" ht="29.25" thickBot="1" x14ac:dyDescent="0.25">
      <c r="A109" s="300" t="str">
        <f>"گزارش تعداد پرسنل و سرانه هزینه پرسنلی به تفکیک نوع قرارداد در دوره " &amp; [1]روکش!$F$9 &amp; " سال " &amp; [1]روکش!$D$9&amp;"- مجتمع خراسان/ شعبه "&amp;AE109</f>
        <v>گزارش تعداد پرسنل و سرانه هزینه پرسنلی به تفکیک نوع قرارداد در دوره شش ماهه سال 1405- مجتمع خراسان/ شعبه ماهیرود</v>
      </c>
      <c r="B109" s="300"/>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c r="AA109" s="300"/>
      <c r="AB109" s="300"/>
      <c r="AC109" s="300"/>
      <c r="AD109" s="300"/>
      <c r="AE109" s="301" t="str">
        <f>[1]واردات!$AA$47</f>
        <v>ماهیرود</v>
      </c>
    </row>
    <row r="110" spans="1:31" ht="24.75" thickBot="1" x14ac:dyDescent="0.25">
      <c r="A110" s="302" t="s">
        <v>43</v>
      </c>
      <c r="B110" s="303" t="s">
        <v>44</v>
      </c>
      <c r="C110" s="304"/>
      <c r="D110" s="304"/>
      <c r="E110" s="304"/>
      <c r="F110" s="304"/>
      <c r="G110" s="305"/>
      <c r="H110" s="303" t="s">
        <v>45</v>
      </c>
      <c r="I110" s="304"/>
      <c r="J110" s="304"/>
      <c r="K110" s="304"/>
      <c r="L110" s="304"/>
      <c r="M110" s="305"/>
      <c r="N110" s="303" t="s">
        <v>46</v>
      </c>
      <c r="O110" s="304"/>
      <c r="P110" s="304"/>
      <c r="Q110" s="304"/>
      <c r="R110" s="304"/>
      <c r="S110" s="305"/>
      <c r="T110" s="303" t="s">
        <v>47</v>
      </c>
      <c r="U110" s="304"/>
      <c r="V110" s="304"/>
      <c r="W110" s="304"/>
      <c r="X110" s="304"/>
      <c r="Y110" s="304"/>
      <c r="Z110" s="304"/>
      <c r="AA110" s="304"/>
      <c r="AB110" s="304"/>
      <c r="AC110" s="304"/>
      <c r="AD110" s="305"/>
    </row>
    <row r="111" spans="1:31" ht="63.75" thickBot="1" x14ac:dyDescent="0.25">
      <c r="A111" s="306"/>
      <c r="B111" s="307" t="s">
        <v>48</v>
      </c>
      <c r="C111" s="308" t="s">
        <v>49</v>
      </c>
      <c r="D111" s="309" t="s">
        <v>50</v>
      </c>
      <c r="E111" s="310" t="s">
        <v>51</v>
      </c>
      <c r="F111" s="307" t="s">
        <v>52</v>
      </c>
      <c r="G111" s="309" t="s">
        <v>53</v>
      </c>
      <c r="H111" s="307" t="s">
        <v>48</v>
      </c>
      <c r="I111" s="308" t="s">
        <v>49</v>
      </c>
      <c r="J111" s="309" t="s">
        <v>50</v>
      </c>
      <c r="K111" s="311" t="s">
        <v>51</v>
      </c>
      <c r="L111" s="307" t="s">
        <v>52</v>
      </c>
      <c r="M111" s="309" t="s">
        <v>53</v>
      </c>
      <c r="N111" s="307" t="s">
        <v>48</v>
      </c>
      <c r="O111" s="308" t="s">
        <v>49</v>
      </c>
      <c r="P111" s="309" t="s">
        <v>50</v>
      </c>
      <c r="Q111" s="311" t="s">
        <v>51</v>
      </c>
      <c r="R111" s="307" t="s">
        <v>52</v>
      </c>
      <c r="S111" s="309" t="s">
        <v>53</v>
      </c>
      <c r="T111" s="312" t="s">
        <v>48</v>
      </c>
      <c r="U111" s="313"/>
      <c r="V111" s="314" t="s">
        <v>49</v>
      </c>
      <c r="W111" s="313"/>
      <c r="X111" s="314" t="s">
        <v>50</v>
      </c>
      <c r="Y111" s="315"/>
      <c r="Z111" s="311" t="s">
        <v>51</v>
      </c>
      <c r="AA111" s="312" t="s">
        <v>52</v>
      </c>
      <c r="AB111" s="313"/>
      <c r="AC111" s="314" t="s">
        <v>53</v>
      </c>
      <c r="AD111" s="315"/>
    </row>
    <row r="112" spans="1:31" hidden="1" x14ac:dyDescent="0.2">
      <c r="A112" s="316" t="s">
        <v>54</v>
      </c>
      <c r="B112" s="227"/>
      <c r="C112" s="228"/>
      <c r="D112" s="229"/>
      <c r="E112" s="317">
        <f>SUM(B112:D112)</f>
        <v>0</v>
      </c>
      <c r="F112" s="318">
        <f>IF($A$1="صنایع شیر ایران",IFERROR(('[1]هزینه پرسنلی مستقیم تولید'!$B$31/(C112+B112+D112))/$AH$5,0),IFERROR(('[1]هزینه پرسنلی مستقیم تولید'!$B$31/(C112+B112))/$AH$5,0))</f>
        <v>0</v>
      </c>
      <c r="G112" s="319">
        <f ca="1">IFERROR((VLOOKUP($AH$6,'[1]هزینه سربار تولید'!$A:$F,2,FALSE)/(D112+D113))/$AH$5,0)</f>
        <v>0</v>
      </c>
      <c r="H112" s="320">
        <v>0</v>
      </c>
      <c r="I112" s="321">
        <v>0</v>
      </c>
      <c r="J112" s="322">
        <v>0</v>
      </c>
      <c r="K112" s="317">
        <f>SUM(H112:J112)</f>
        <v>0</v>
      </c>
      <c r="L112" s="318">
        <f ca="1">IF($A$1="صنایع شیر ایران",IFERROR(('[1]هزینه پرسنلی مستقیم تولید'!$C$31/(I112+H112+J112))/$AH$5,0),IFERROR(('[1]هزینه پرسنلی مستقیم تولید'!$C$31/(I112+H112))/$AH$5,0))</f>
        <v>0</v>
      </c>
      <c r="M112" s="319">
        <f ca="1">IFERROR((VLOOKUP($AH$6,'[1]هزینه سربار تولید'!$A:$F,3,FALSE)/(J112+J113))/$AH$5,0)</f>
        <v>0</v>
      </c>
      <c r="N112" s="227"/>
      <c r="O112" s="228"/>
      <c r="P112" s="229"/>
      <c r="Q112" s="317">
        <f>SUM(N112:P112)</f>
        <v>0</v>
      </c>
      <c r="R112" s="318">
        <f>IF($A$1="صنایع شیر ایران",IFERROR(('[1]هزینه پرسنلی مستقیم تولید'!$D$31/(O112+N112+P112))/$AH$5,0),IFERROR(('[1]هزینه پرسنلی مستقیم تولید'!$D$31/(O112+N112))/$AH$5,0))</f>
        <v>0</v>
      </c>
      <c r="S112" s="319">
        <f ca="1">IFERROR((VLOOKUP($AH$6,'[1]هزینه سربار تولید'!$A:$F,4,FALSE)/(P112+P113))/$AH$5,0)</f>
        <v>0</v>
      </c>
      <c r="T112" s="323" t="str">
        <f t="shared" ref="T112:T118" si="54">IFERROR(N112*100/H112,"-")</f>
        <v>-</v>
      </c>
      <c r="U112" s="324">
        <f t="shared" ref="U112:U118" si="55">IFERROR(ABS(T112-100),500)</f>
        <v>500</v>
      </c>
      <c r="V112" s="325" t="str">
        <f t="shared" ref="V112:V118" si="56">IFERROR(O112*100/I112,"-")</f>
        <v>-</v>
      </c>
      <c r="W112" s="324">
        <f t="shared" ref="W112:W118" si="57">IFERROR(ABS(V112-100),500)</f>
        <v>500</v>
      </c>
      <c r="X112" s="325" t="str">
        <f t="shared" ref="X112:X118" si="58">IFERROR(P112*100/J112,"-")</f>
        <v>-</v>
      </c>
      <c r="Y112" s="326">
        <f t="shared" ref="Y112:Y118" si="59">IFERROR(ABS(X112-100),500)</f>
        <v>500</v>
      </c>
      <c r="Z112" s="324" t="str">
        <f t="shared" ref="Z112:AA118" si="60">IFERROR(Q112*100/K112,"-")</f>
        <v>-</v>
      </c>
      <c r="AA112" s="323" t="str">
        <f t="shared" ca="1" si="60"/>
        <v>-</v>
      </c>
      <c r="AB112" s="324">
        <f t="shared" ref="AB112:AB118" ca="1" si="61">IFERROR(ABS(AA112-100),500)</f>
        <v>500</v>
      </c>
      <c r="AC112" s="327" t="str">
        <f ca="1">IFERROR(S112*100/M112,"-")</f>
        <v>-</v>
      </c>
      <c r="AD112" s="328">
        <f ca="1">IFERROR(ABS(AC112-100),500)</f>
        <v>500</v>
      </c>
    </row>
    <row r="113" spans="1:31" hidden="1" x14ac:dyDescent="0.2">
      <c r="A113" s="329" t="s">
        <v>55</v>
      </c>
      <c r="B113" s="244"/>
      <c r="C113" s="245"/>
      <c r="D113" s="246"/>
      <c r="E113" s="330">
        <f>SUM(B113:D113)</f>
        <v>0</v>
      </c>
      <c r="F113" s="331">
        <f>IF($A$1="صنایع شیر ایران",IFERROR(('[1]هزینه پرسنلی غیرمستقیم تولید'!$B$31/(C113+B113+D113))/$AH$5,0),IFERROR(('[1]هزینه پرسنلی غیرمستقیم تولید'!$B$31/(C113+B113))/$AH$5,0))</f>
        <v>0</v>
      </c>
      <c r="G113" s="332"/>
      <c r="H113" s="333">
        <v>0</v>
      </c>
      <c r="I113" s="334">
        <v>0</v>
      </c>
      <c r="J113" s="335">
        <v>0</v>
      </c>
      <c r="K113" s="330">
        <f>SUM(H113:J113)</f>
        <v>0</v>
      </c>
      <c r="L113" s="331">
        <f ca="1">IF($A$1="صنایع شیر ایران",IFERROR(('[1]هزینه پرسنلی غیرمستقیم تولید'!$C$31/(I113+H113+J113))/$AH$5,0),IFERROR(('[1]هزینه پرسنلی غیرمستقیم تولید'!$C$31/(I113+H113))/$AH$5,0))</f>
        <v>0</v>
      </c>
      <c r="M113" s="332"/>
      <c r="N113" s="244"/>
      <c r="O113" s="245"/>
      <c r="P113" s="246"/>
      <c r="Q113" s="330">
        <f>SUM(N113:P113)</f>
        <v>0</v>
      </c>
      <c r="R113" s="331">
        <f>IF($A$1="صنایع شیر ایران",IFERROR(('[1]هزینه پرسنلی غیرمستقیم تولید'!$D$31/(O113+N113+P113))/$AH$5,0),IFERROR(('[1]هزینه پرسنلی غیرمستقیم تولید'!$D$31/(O113+N113))/$AH$5,0))</f>
        <v>0</v>
      </c>
      <c r="S113" s="332"/>
      <c r="T113" s="336" t="str">
        <f t="shared" si="54"/>
        <v>-</v>
      </c>
      <c r="U113" s="337">
        <f t="shared" si="55"/>
        <v>500</v>
      </c>
      <c r="V113" s="338" t="str">
        <f t="shared" si="56"/>
        <v>-</v>
      </c>
      <c r="W113" s="337">
        <f t="shared" si="57"/>
        <v>500</v>
      </c>
      <c r="X113" s="338" t="str">
        <f t="shared" si="58"/>
        <v>-</v>
      </c>
      <c r="Y113" s="339">
        <f t="shared" si="59"/>
        <v>500</v>
      </c>
      <c r="Z113" s="337" t="str">
        <f t="shared" si="60"/>
        <v>-</v>
      </c>
      <c r="AA113" s="336" t="str">
        <f t="shared" ca="1" si="60"/>
        <v>-</v>
      </c>
      <c r="AB113" s="337">
        <f t="shared" ca="1" si="61"/>
        <v>500</v>
      </c>
      <c r="AC113" s="340"/>
      <c r="AD113" s="341"/>
    </row>
    <row r="114" spans="1:31" ht="35.1" customHeight="1" x14ac:dyDescent="0.2">
      <c r="A114" s="329" t="s">
        <v>57</v>
      </c>
      <c r="B114" s="244"/>
      <c r="C114" s="245">
        <v>10</v>
      </c>
      <c r="D114" s="246">
        <v>0</v>
      </c>
      <c r="E114" s="330">
        <f>SUM(B114:D114)</f>
        <v>10</v>
      </c>
      <c r="F114" s="331">
        <f>IFERROR(('هزینه پرسنلی مستقیم خدمات'!$B$31/(C114+B114))/$AH$5,0)</f>
        <v>12650.166666666666</v>
      </c>
      <c r="G114" s="342">
        <f ca="1">IFERROR((VLOOKUP($AH$6,'[1]هزینه سربار خدمات'!$A:$F,2,FALSE)/(D114+D115))/$AH$5,0)</f>
        <v>0</v>
      </c>
      <c r="H114" s="244"/>
      <c r="I114" s="245">
        <v>10</v>
      </c>
      <c r="J114" s="246">
        <v>4</v>
      </c>
      <c r="K114" s="330">
        <f>SUM(H114:J114)</f>
        <v>14</v>
      </c>
      <c r="L114" s="331">
        <f ca="1">IFERROR(('هزینه پرسنلی مستقیم خدمات'!$C$31/(I114+H114))/$AH$5,0)</f>
        <v>0</v>
      </c>
      <c r="M114" s="342">
        <f ca="1">IFERROR((VLOOKUP($AH$6,'[1]هزینه سربار خدمات'!$A:$F,3,FALSE)/(J114+J115))/$AH$5,0)</f>
        <v>5157.333333333333</v>
      </c>
      <c r="N114" s="244"/>
      <c r="O114" s="245">
        <v>9</v>
      </c>
      <c r="P114" s="246">
        <v>0</v>
      </c>
      <c r="Q114" s="330">
        <f>SUM(N114:P114)</f>
        <v>9</v>
      </c>
      <c r="R114" s="331">
        <f>IFERROR(('هزینه پرسنلی مستقیم خدمات'!$D$31/(O114+N114))/$AH$5,0)</f>
        <v>23000.833333333332</v>
      </c>
      <c r="S114" s="342">
        <f ca="1">IFERROR((VLOOKUP($AH$6,'[1]هزینه سربار خدمات'!$A:$F,4,FALSE)/(P114+P115))/$AH$5,0)</f>
        <v>0</v>
      </c>
      <c r="T114" s="343" t="str">
        <f t="shared" si="54"/>
        <v>-</v>
      </c>
      <c r="U114" s="344">
        <f t="shared" si="55"/>
        <v>500</v>
      </c>
      <c r="V114" s="345">
        <f t="shared" si="56"/>
        <v>90</v>
      </c>
      <c r="W114" s="344">
        <f t="shared" si="57"/>
        <v>10</v>
      </c>
      <c r="X114" s="345">
        <f t="shared" si="58"/>
        <v>0</v>
      </c>
      <c r="Y114" s="346">
        <f t="shared" si="59"/>
        <v>100</v>
      </c>
      <c r="Z114" s="346">
        <f t="shared" si="60"/>
        <v>64.285714285714292</v>
      </c>
      <c r="AA114" s="343" t="str">
        <f t="shared" ca="1" si="60"/>
        <v>-</v>
      </c>
      <c r="AB114" s="344">
        <f t="shared" ca="1" si="61"/>
        <v>500</v>
      </c>
      <c r="AC114" s="347">
        <f ca="1">IFERROR(S114*100/M114,"-")</f>
        <v>0</v>
      </c>
      <c r="AD114" s="348">
        <f ca="1">IFERROR(ABS(AC114-100),500)</f>
        <v>100</v>
      </c>
    </row>
    <row r="115" spans="1:31" ht="35.1" customHeight="1" x14ac:dyDescent="0.2">
      <c r="A115" s="329" t="s">
        <v>58</v>
      </c>
      <c r="B115" s="244"/>
      <c r="C115" s="245"/>
      <c r="D115" s="246"/>
      <c r="E115" s="330">
        <f>SUM(B115:D115)</f>
        <v>0</v>
      </c>
      <c r="F115" s="331">
        <f>IFERROR(('[1]هزینه پرسنلی غیرمستقیم خدمات'!$B$31/(C115+B115))/$AH$5,0)</f>
        <v>0</v>
      </c>
      <c r="G115" s="332"/>
      <c r="H115" s="244"/>
      <c r="I115" s="245"/>
      <c r="J115" s="246"/>
      <c r="K115" s="330">
        <f>SUM(H115:J115)</f>
        <v>0</v>
      </c>
      <c r="L115" s="331">
        <f ca="1">IFERROR(('[1]هزینه پرسنلی غیرمستقیم خدمات'!$C$31/(I115+H115))/$AH$5,0)</f>
        <v>0</v>
      </c>
      <c r="M115" s="332"/>
      <c r="N115" s="244"/>
      <c r="O115" s="245"/>
      <c r="P115" s="246"/>
      <c r="Q115" s="330">
        <f>SUM(N115:P115)</f>
        <v>0</v>
      </c>
      <c r="R115" s="331">
        <f>IFERROR(('[1]هزینه پرسنلی غیرمستقیم خدمات'!$D$31/(O115+N115))/$AH$5,0)</f>
        <v>0</v>
      </c>
      <c r="S115" s="332"/>
      <c r="T115" s="343" t="str">
        <f t="shared" si="54"/>
        <v>-</v>
      </c>
      <c r="U115" s="344">
        <f t="shared" si="55"/>
        <v>500</v>
      </c>
      <c r="V115" s="345" t="str">
        <f t="shared" si="56"/>
        <v>-</v>
      </c>
      <c r="W115" s="344">
        <f t="shared" si="57"/>
        <v>500</v>
      </c>
      <c r="X115" s="345" t="str">
        <f t="shared" si="58"/>
        <v>-</v>
      </c>
      <c r="Y115" s="346">
        <f t="shared" si="59"/>
        <v>500</v>
      </c>
      <c r="Z115" s="346" t="str">
        <f t="shared" si="60"/>
        <v>-</v>
      </c>
      <c r="AA115" s="343" t="str">
        <f t="shared" ca="1" si="60"/>
        <v>-</v>
      </c>
      <c r="AB115" s="344">
        <f t="shared" ca="1" si="61"/>
        <v>500</v>
      </c>
      <c r="AC115" s="340"/>
      <c r="AD115" s="349"/>
    </row>
    <row r="116" spans="1:31" ht="35.1" customHeight="1" thickBot="1" x14ac:dyDescent="0.25">
      <c r="A116" s="350" t="s">
        <v>59</v>
      </c>
      <c r="B116" s="268"/>
      <c r="C116" s="269">
        <v>0</v>
      </c>
      <c r="D116" s="270">
        <v>1</v>
      </c>
      <c r="E116" s="351">
        <f>SUM(B116:D116)</f>
        <v>1</v>
      </c>
      <c r="F116" s="331">
        <f>IF($A$1="صنایع شیر ایران",IFERROR(('[1]هزینه اداری عمومی'!$B$26/(C116+B116+D116))/$AH$5,0),IFERROR(('[1]هزینه اداری عمومی'!$B$26/(C116+B116))/$AH$5,0))</f>
        <v>0</v>
      </c>
      <c r="G116" s="352">
        <f ca="1">IFERROR((VLOOKUP($AH$6,'[1]هزینه اداری عمومی'!$A:$F,2,FALSE)/D116)/$AH$5,0)</f>
        <v>0</v>
      </c>
      <c r="H116" s="268"/>
      <c r="I116" s="269">
        <v>0</v>
      </c>
      <c r="J116" s="270">
        <v>2</v>
      </c>
      <c r="K116" s="351">
        <f>SUM(H116:J116)</f>
        <v>2</v>
      </c>
      <c r="L116" s="331">
        <f>IF($A$1="صنایع شیر ایران",IFERROR(('[1]هزینه اداری عمومی'!$C$26/(I116+H116+J116))/$AH$5,0),IFERROR(('[1]هزینه اداری عمومی'!$C$26/(I116+H116))/$AH$5,0))</f>
        <v>0</v>
      </c>
      <c r="M116" s="352">
        <f ca="1">IFERROR((VLOOKUP($AH$6,'[1]هزینه اداری عمومی'!$A:$F,3,FALSE)/J116)/$AH$5,0)</f>
        <v>2394.25</v>
      </c>
      <c r="N116" s="268"/>
      <c r="O116" s="269"/>
      <c r="P116" s="270">
        <v>0</v>
      </c>
      <c r="Q116" s="351">
        <f>SUM(N116:P116)</f>
        <v>0</v>
      </c>
      <c r="R116" s="331">
        <f>IF($A$1="صنایع شیر ایران",IFERROR(('[1]هزینه اداری عمومی'!$D$26/(O116+N116+P116))/$AH$5,0),IFERROR(('[1]هزینه اداری عمومی'!$D$26/(O116+N116))/$AH$5,0))</f>
        <v>0</v>
      </c>
      <c r="S116" s="352">
        <f ca="1">IFERROR((VLOOKUP($AH$6,'[1]هزینه اداری عمومی'!$A:$F,4,FALSE)/P116)/$AH$5,0)</f>
        <v>0</v>
      </c>
      <c r="T116" s="353" t="str">
        <f t="shared" si="54"/>
        <v>-</v>
      </c>
      <c r="U116" s="354">
        <f t="shared" si="55"/>
        <v>500</v>
      </c>
      <c r="V116" s="355" t="str">
        <f t="shared" si="56"/>
        <v>-</v>
      </c>
      <c r="W116" s="354">
        <f t="shared" si="57"/>
        <v>500</v>
      </c>
      <c r="X116" s="355">
        <f t="shared" si="58"/>
        <v>0</v>
      </c>
      <c r="Y116" s="356">
        <f t="shared" si="59"/>
        <v>100</v>
      </c>
      <c r="Z116" s="356">
        <f t="shared" si="60"/>
        <v>0</v>
      </c>
      <c r="AA116" s="343" t="str">
        <f t="shared" si="60"/>
        <v>-</v>
      </c>
      <c r="AB116" s="354">
        <f t="shared" si="61"/>
        <v>500</v>
      </c>
      <c r="AC116" s="345">
        <f ca="1">IFERROR(S116*100/M116,"-")</f>
        <v>0</v>
      </c>
      <c r="AD116" s="356">
        <f ca="1">IFERROR(ABS(AC116-100),500)</f>
        <v>100</v>
      </c>
    </row>
    <row r="117" spans="1:31" ht="35.1" customHeight="1" thickBot="1" x14ac:dyDescent="0.25">
      <c r="A117" s="357" t="s">
        <v>60</v>
      </c>
      <c r="B117" s="358">
        <f>SUM(B112:B116)</f>
        <v>0</v>
      </c>
      <c r="C117" s="359">
        <f>SUM(C112:C116)</f>
        <v>10</v>
      </c>
      <c r="D117" s="360">
        <f>SUM(D112:D116)</f>
        <v>1</v>
      </c>
      <c r="E117" s="361">
        <f>SUM(E112:E116)</f>
        <v>11</v>
      </c>
      <c r="F117" s="362">
        <f>IF($A$1="صنایع شیر ایران",IFERROR(((SUM(F113*(C113+B113+D113),F116*(C116+B116+D116),F112*(C112+B112+D112)))/(C117+B117+D117)),0),IFERROR(((SUM(F113*(C113+B113),F114*(C114+B114),F115*(C115+B115),F116*(C116+B116),F112*(C112+B112)))/(C117+B117)),0))</f>
        <v>12650.166666666666</v>
      </c>
      <c r="G117" s="363">
        <f ca="1">IFERROR((G112*(D113+D112)+G114*(D115+D114)+G116*D116)/(D117),0)</f>
        <v>0</v>
      </c>
      <c r="H117" s="358">
        <f>SUM(H112:H116)</f>
        <v>0</v>
      </c>
      <c r="I117" s="359">
        <f>SUM(I112:I116)</f>
        <v>10</v>
      </c>
      <c r="J117" s="360">
        <f>SUM(J112:J116)</f>
        <v>6</v>
      </c>
      <c r="K117" s="361">
        <f>SUM(K112:K116)</f>
        <v>16</v>
      </c>
      <c r="L117" s="362">
        <f ca="1">IF($A$1="صنایع شیر ایران",IFERROR(((SUM(L113*(I113+H113+J113),L116*(I116+H116+J116),L112*(I112+H112+J112)))/(I117+H117+J117)),0),IFERROR(((SUM(L113*(I113+H113),L114*(I114+H114),L115*(I115+H115),L116*(I116+H116),L112*(I112+H112)))/(I117+H117)),0))</f>
        <v>0</v>
      </c>
      <c r="M117" s="363">
        <f ca="1">IFERROR((M112*(J113+J112)+M114*(J115+J114)+M116*J116)/(J117),0)</f>
        <v>4236.3055555555557</v>
      </c>
      <c r="N117" s="358">
        <f>SUM(N112:N116)</f>
        <v>0</v>
      </c>
      <c r="O117" s="359">
        <f>SUM(O112:O116)</f>
        <v>9</v>
      </c>
      <c r="P117" s="360">
        <f>SUM(P112:P116)</f>
        <v>0</v>
      </c>
      <c r="Q117" s="361">
        <f>SUM(Q112:Q116)</f>
        <v>9</v>
      </c>
      <c r="R117" s="362">
        <f>IF($A$1="صنایع شیر ایران",IFERROR(((SUM(R113*(O113+N113+P113),R116*(O116+N116+P116),R112*(O112+N112+P112)))/(O117+N117+P117)),0),IFERROR(((SUM(R113*(O113+N113),R114*(O114+N114),R115*(O115+N115),R116*(O116+N116),R112*(O112+N112)))/(O117+N117)),0))</f>
        <v>23000.833333333332</v>
      </c>
      <c r="S117" s="363">
        <f ca="1">IFERROR((S112*(P113+P112)+S114*(P115+P114)+S116*P116)/(P117),0)</f>
        <v>0</v>
      </c>
      <c r="T117" s="364" t="str">
        <f t="shared" si="54"/>
        <v>-</v>
      </c>
      <c r="U117" s="365">
        <f t="shared" si="55"/>
        <v>500</v>
      </c>
      <c r="V117" s="366">
        <f t="shared" si="56"/>
        <v>90</v>
      </c>
      <c r="W117" s="365">
        <f t="shared" si="57"/>
        <v>10</v>
      </c>
      <c r="X117" s="366">
        <f t="shared" si="58"/>
        <v>0</v>
      </c>
      <c r="Y117" s="367">
        <f t="shared" si="59"/>
        <v>100</v>
      </c>
      <c r="Z117" s="367">
        <f t="shared" si="60"/>
        <v>56.25</v>
      </c>
      <c r="AA117" s="364" t="str">
        <f t="shared" ca="1" si="60"/>
        <v>-</v>
      </c>
      <c r="AB117" s="365">
        <f t="shared" ca="1" si="61"/>
        <v>500</v>
      </c>
      <c r="AC117" s="366">
        <f ca="1">IFERROR(S117*100/M117,"-")</f>
        <v>0</v>
      </c>
      <c r="AD117" s="367">
        <f ca="1">IFERROR(ABS(AC117-100),500)</f>
        <v>100</v>
      </c>
    </row>
    <row r="118" spans="1:31" ht="35.1" customHeight="1" thickTop="1" thickBot="1" x14ac:dyDescent="0.25">
      <c r="A118" s="368" t="s">
        <v>61</v>
      </c>
      <c r="B118" s="289"/>
      <c r="C118" s="290"/>
      <c r="D118" s="291"/>
      <c r="E118" s="369">
        <f>SUM(B118:D118)</f>
        <v>0</v>
      </c>
      <c r="F118" s="293"/>
      <c r="G118" s="294"/>
      <c r="H118" s="289"/>
      <c r="I118" s="290"/>
      <c r="J118" s="291"/>
      <c r="K118" s="369">
        <f>SUM(H118:J118)</f>
        <v>0</v>
      </c>
      <c r="L118" s="293"/>
      <c r="M118" s="294"/>
      <c r="N118" s="289"/>
      <c r="O118" s="290"/>
      <c r="P118" s="291"/>
      <c r="Q118" s="369">
        <f>SUM(N118:P118)</f>
        <v>0</v>
      </c>
      <c r="R118" s="293"/>
      <c r="S118" s="294"/>
      <c r="T118" s="370" t="str">
        <f t="shared" si="54"/>
        <v>-</v>
      </c>
      <c r="U118" s="371">
        <f t="shared" si="55"/>
        <v>500</v>
      </c>
      <c r="V118" s="372" t="str">
        <f t="shared" si="56"/>
        <v>-</v>
      </c>
      <c r="W118" s="371">
        <f t="shared" si="57"/>
        <v>500</v>
      </c>
      <c r="X118" s="372" t="str">
        <f t="shared" si="58"/>
        <v>-</v>
      </c>
      <c r="Y118" s="373">
        <f t="shared" si="59"/>
        <v>500</v>
      </c>
      <c r="Z118" s="373" t="str">
        <f t="shared" si="60"/>
        <v>-</v>
      </c>
      <c r="AA118" s="370" t="str">
        <f t="shared" si="60"/>
        <v>-</v>
      </c>
      <c r="AB118" s="371">
        <f t="shared" si="61"/>
        <v>500</v>
      </c>
      <c r="AC118" s="372" t="str">
        <f>IFERROR(S118*100/M118,"-")</f>
        <v>-</v>
      </c>
      <c r="AD118" s="373">
        <f>IFERROR(ABS(AC118-100),500)</f>
        <v>500</v>
      </c>
    </row>
    <row r="119" spans="1:31" ht="21.75" thickBot="1" x14ac:dyDescent="0.25"/>
    <row r="120" spans="1:31" ht="25.5" x14ac:dyDescent="0.2">
      <c r="A120" s="374" t="s">
        <v>62</v>
      </c>
      <c r="B120" s="375"/>
      <c r="C120" s="375"/>
      <c r="D120" s="375"/>
      <c r="E120" s="375"/>
      <c r="F120" s="375"/>
      <c r="G120" s="375"/>
      <c r="H120" s="375"/>
      <c r="I120" s="375"/>
      <c r="J120" s="375"/>
      <c r="K120" s="375"/>
      <c r="L120" s="375"/>
      <c r="M120" s="375"/>
      <c r="N120" s="375"/>
      <c r="O120" s="375"/>
      <c r="P120" s="375"/>
      <c r="Q120" s="375"/>
      <c r="R120" s="375"/>
      <c r="S120" s="376"/>
    </row>
    <row r="121" spans="1:31" x14ac:dyDescent="0.2">
      <c r="A121" s="377"/>
      <c r="B121" s="378"/>
      <c r="C121" s="378"/>
      <c r="D121" s="378"/>
      <c r="E121" s="378"/>
      <c r="F121" s="378"/>
      <c r="G121" s="378"/>
      <c r="H121" s="378"/>
      <c r="I121" s="378"/>
      <c r="J121" s="378"/>
      <c r="K121" s="378"/>
      <c r="L121" s="378"/>
      <c r="M121" s="378"/>
      <c r="N121" s="378"/>
      <c r="O121" s="378"/>
      <c r="P121" s="378"/>
      <c r="Q121" s="378"/>
      <c r="R121" s="378"/>
      <c r="S121" s="379"/>
    </row>
    <row r="122" spans="1:31" x14ac:dyDescent="0.2">
      <c r="A122" s="377"/>
      <c r="B122" s="378"/>
      <c r="C122" s="378"/>
      <c r="D122" s="378"/>
      <c r="E122" s="378"/>
      <c r="F122" s="378"/>
      <c r="G122" s="378"/>
      <c r="H122" s="378"/>
      <c r="I122" s="378"/>
      <c r="J122" s="378"/>
      <c r="K122" s="378"/>
      <c r="L122" s="378"/>
      <c r="M122" s="378"/>
      <c r="N122" s="378"/>
      <c r="O122" s="378"/>
      <c r="P122" s="378"/>
      <c r="Q122" s="378"/>
      <c r="R122" s="378"/>
      <c r="S122" s="379"/>
    </row>
    <row r="123" spans="1:31" x14ac:dyDescent="0.2">
      <c r="A123" s="377"/>
      <c r="B123" s="378"/>
      <c r="C123" s="378"/>
      <c r="D123" s="378"/>
      <c r="E123" s="378"/>
      <c r="F123" s="378"/>
      <c r="G123" s="378"/>
      <c r="H123" s="378"/>
      <c r="I123" s="378"/>
      <c r="J123" s="378"/>
      <c r="K123" s="378"/>
      <c r="L123" s="378"/>
      <c r="M123" s="378"/>
      <c r="N123" s="378"/>
      <c r="O123" s="378"/>
      <c r="P123" s="378"/>
      <c r="Q123" s="378"/>
      <c r="R123" s="378"/>
      <c r="S123" s="379"/>
    </row>
    <row r="124" spans="1:31" x14ac:dyDescent="0.2">
      <c r="A124" s="377"/>
      <c r="B124" s="378"/>
      <c r="C124" s="378"/>
      <c r="D124" s="378"/>
      <c r="E124" s="378"/>
      <c r="F124" s="378"/>
      <c r="G124" s="378"/>
      <c r="H124" s="378"/>
      <c r="I124" s="378"/>
      <c r="J124" s="378"/>
      <c r="K124" s="378"/>
      <c r="L124" s="378"/>
      <c r="M124" s="378"/>
      <c r="N124" s="378"/>
      <c r="O124" s="378"/>
      <c r="P124" s="378"/>
      <c r="Q124" s="378"/>
      <c r="R124" s="378"/>
      <c r="S124" s="379"/>
    </row>
    <row r="125" spans="1:31" ht="21.75" thickBot="1" x14ac:dyDescent="0.25">
      <c r="A125" s="380"/>
      <c r="B125" s="381"/>
      <c r="C125" s="381"/>
      <c r="D125" s="381"/>
      <c r="E125" s="381"/>
      <c r="F125" s="381"/>
      <c r="G125" s="381"/>
      <c r="H125" s="381"/>
      <c r="I125" s="381"/>
      <c r="J125" s="381"/>
      <c r="K125" s="381"/>
      <c r="L125" s="381"/>
      <c r="M125" s="381"/>
      <c r="N125" s="381"/>
      <c r="O125" s="381"/>
      <c r="P125" s="381"/>
      <c r="Q125" s="381"/>
      <c r="R125" s="381"/>
      <c r="S125" s="382"/>
    </row>
    <row r="127" spans="1:31" ht="29.25" thickBot="1" x14ac:dyDescent="0.25">
      <c r="A127" s="300" t="str">
        <f>"گزارش تعداد پرسنل و سرانه هزینه پرسنلی به تفکیک نوع قرارداد در دوره " &amp; [1]روکش!$F$9 &amp; " سال " &amp; [1]روکش!$D$9&amp;"- مجتمع خراسان/ شعبه "&amp;AE127</f>
        <v>گزارش تعداد پرسنل و سرانه هزینه پرسنلی به تفکیک نوع قرارداد در دوره شش ماهه سال 1405- مجتمع خراسان/ شعبه دوغارون</v>
      </c>
      <c r="B127" s="300"/>
      <c r="C127" s="300"/>
      <c r="D127" s="300"/>
      <c r="E127" s="300"/>
      <c r="F127" s="300"/>
      <c r="G127" s="300"/>
      <c r="H127" s="300"/>
      <c r="I127" s="300"/>
      <c r="J127" s="300"/>
      <c r="K127" s="300"/>
      <c r="L127" s="300"/>
      <c r="M127" s="300"/>
      <c r="N127" s="300"/>
      <c r="O127" s="300"/>
      <c r="P127" s="300"/>
      <c r="Q127" s="300"/>
      <c r="R127" s="300"/>
      <c r="S127" s="300"/>
      <c r="T127" s="300"/>
      <c r="U127" s="300"/>
      <c r="V127" s="300"/>
      <c r="W127" s="300"/>
      <c r="X127" s="300"/>
      <c r="Y127" s="300"/>
      <c r="Z127" s="300"/>
      <c r="AA127" s="300"/>
      <c r="AB127" s="300"/>
      <c r="AC127" s="300"/>
      <c r="AD127" s="300"/>
      <c r="AE127" s="301" t="str">
        <f>[1]واردات!$AA$48</f>
        <v>دوغارون</v>
      </c>
    </row>
    <row r="128" spans="1:31" ht="24.75" thickBot="1" x14ac:dyDescent="0.25">
      <c r="A128" s="302" t="s">
        <v>43</v>
      </c>
      <c r="B128" s="303" t="s">
        <v>44</v>
      </c>
      <c r="C128" s="304"/>
      <c r="D128" s="304"/>
      <c r="E128" s="304"/>
      <c r="F128" s="304"/>
      <c r="G128" s="305"/>
      <c r="H128" s="303" t="s">
        <v>45</v>
      </c>
      <c r="I128" s="304"/>
      <c r="J128" s="304"/>
      <c r="K128" s="304"/>
      <c r="L128" s="304"/>
      <c r="M128" s="305"/>
      <c r="N128" s="303" t="s">
        <v>46</v>
      </c>
      <c r="O128" s="304"/>
      <c r="P128" s="304"/>
      <c r="Q128" s="304"/>
      <c r="R128" s="304"/>
      <c r="S128" s="305"/>
      <c r="T128" s="303" t="s">
        <v>47</v>
      </c>
      <c r="U128" s="304"/>
      <c r="V128" s="304"/>
      <c r="W128" s="304"/>
      <c r="X128" s="304"/>
      <c r="Y128" s="304"/>
      <c r="Z128" s="304"/>
      <c r="AA128" s="304"/>
      <c r="AB128" s="304"/>
      <c r="AC128" s="304"/>
      <c r="AD128" s="305"/>
    </row>
    <row r="129" spans="1:30" ht="63.75" thickBot="1" x14ac:dyDescent="0.25">
      <c r="A129" s="306"/>
      <c r="B129" s="307" t="s">
        <v>48</v>
      </c>
      <c r="C129" s="308" t="s">
        <v>49</v>
      </c>
      <c r="D129" s="309" t="s">
        <v>50</v>
      </c>
      <c r="E129" s="310" t="s">
        <v>51</v>
      </c>
      <c r="F129" s="307" t="s">
        <v>52</v>
      </c>
      <c r="G129" s="309" t="s">
        <v>53</v>
      </c>
      <c r="H129" s="307" t="s">
        <v>48</v>
      </c>
      <c r="I129" s="308" t="s">
        <v>49</v>
      </c>
      <c r="J129" s="309" t="s">
        <v>50</v>
      </c>
      <c r="K129" s="311" t="s">
        <v>51</v>
      </c>
      <c r="L129" s="307" t="s">
        <v>52</v>
      </c>
      <c r="M129" s="309" t="s">
        <v>53</v>
      </c>
      <c r="N129" s="307" t="s">
        <v>48</v>
      </c>
      <c r="O129" s="308" t="s">
        <v>49</v>
      </c>
      <c r="P129" s="309" t="s">
        <v>50</v>
      </c>
      <c r="Q129" s="311" t="s">
        <v>51</v>
      </c>
      <c r="R129" s="307" t="s">
        <v>52</v>
      </c>
      <c r="S129" s="309" t="s">
        <v>53</v>
      </c>
      <c r="T129" s="312" t="s">
        <v>48</v>
      </c>
      <c r="U129" s="313"/>
      <c r="V129" s="314" t="s">
        <v>49</v>
      </c>
      <c r="W129" s="313"/>
      <c r="X129" s="314" t="s">
        <v>50</v>
      </c>
      <c r="Y129" s="315"/>
      <c r="Z129" s="311" t="s">
        <v>51</v>
      </c>
      <c r="AA129" s="312" t="s">
        <v>52</v>
      </c>
      <c r="AB129" s="313"/>
      <c r="AC129" s="314" t="s">
        <v>53</v>
      </c>
      <c r="AD129" s="315"/>
    </row>
    <row r="130" spans="1:30" hidden="1" x14ac:dyDescent="0.2">
      <c r="A130" s="316" t="s">
        <v>54</v>
      </c>
      <c r="B130" s="227"/>
      <c r="C130" s="228"/>
      <c r="D130" s="229"/>
      <c r="E130" s="317">
        <f>SUM(B130:D130)</f>
        <v>0</v>
      </c>
      <c r="F130" s="318">
        <f>IF($A$1="صنایع شیر ایران",IFERROR(('[1]هزینه پرسنلی مستقیم تولید'!$B$31/(C130+B130+D130))/$AH$5,0),IFERROR(('[1]هزینه پرسنلی مستقیم تولید'!$B$31/(C130+B130))/$AH$5,0))</f>
        <v>0</v>
      </c>
      <c r="G130" s="319">
        <f ca="1">IFERROR((VLOOKUP($AH$6,'[1]هزینه سربار تولید'!$A:$F,2,FALSE)/(D130+D131))/$AH$5,0)</f>
        <v>0</v>
      </c>
      <c r="H130" s="320">
        <v>0</v>
      </c>
      <c r="I130" s="321">
        <v>0</v>
      </c>
      <c r="J130" s="322">
        <v>0</v>
      </c>
      <c r="K130" s="317">
        <f>SUM(H130:J130)</f>
        <v>0</v>
      </c>
      <c r="L130" s="318">
        <f ca="1">IF($A$1="صنایع شیر ایران",IFERROR(('[1]هزینه پرسنلی مستقیم تولید'!$C$31/(I130+H130+J130))/$AH$5,0),IFERROR(('[1]هزینه پرسنلی مستقیم تولید'!$C$31/(I130+H130))/$AH$5,0))</f>
        <v>0</v>
      </c>
      <c r="M130" s="319">
        <f ca="1">IFERROR((VLOOKUP($AH$6,'[1]هزینه سربار تولید'!$A:$F,3,FALSE)/(J130+J131))/$AH$5,0)</f>
        <v>0</v>
      </c>
      <c r="N130" s="227"/>
      <c r="O130" s="228"/>
      <c r="P130" s="229"/>
      <c r="Q130" s="317">
        <f>SUM(N130:P130)</f>
        <v>0</v>
      </c>
      <c r="R130" s="318">
        <f>IF($A$1="صنایع شیر ایران",IFERROR(('[1]هزینه پرسنلی مستقیم تولید'!$D$31/(O130+N130+P130))/$AH$5,0),IFERROR(('[1]هزینه پرسنلی مستقیم تولید'!$D$31/(O130+N130))/$AH$5,0))</f>
        <v>0</v>
      </c>
      <c r="S130" s="319">
        <f ca="1">IFERROR((VLOOKUP($AH$6,'[1]هزینه سربار تولید'!$A:$F,4,FALSE)/(P130+P131))/$AH$5,0)</f>
        <v>0</v>
      </c>
      <c r="T130" s="323" t="str">
        <f t="shared" ref="T130:T136" si="62">IFERROR(N130*100/H130,"-")</f>
        <v>-</v>
      </c>
      <c r="U130" s="324">
        <f t="shared" ref="U130:U136" si="63">IFERROR(ABS(T130-100),500)</f>
        <v>500</v>
      </c>
      <c r="V130" s="325" t="str">
        <f t="shared" ref="V130:V136" si="64">IFERROR(O130*100/I130,"-")</f>
        <v>-</v>
      </c>
      <c r="W130" s="324">
        <f t="shared" ref="W130:W136" si="65">IFERROR(ABS(V130-100),500)</f>
        <v>500</v>
      </c>
      <c r="X130" s="325" t="str">
        <f t="shared" ref="X130:X136" si="66">IFERROR(P130*100/J130,"-")</f>
        <v>-</v>
      </c>
      <c r="Y130" s="326">
        <f t="shared" ref="Y130:Y136" si="67">IFERROR(ABS(X130-100),500)</f>
        <v>500</v>
      </c>
      <c r="Z130" s="324" t="str">
        <f t="shared" ref="Z130:AA136" si="68">IFERROR(Q130*100/K130,"-")</f>
        <v>-</v>
      </c>
      <c r="AA130" s="323" t="str">
        <f t="shared" ca="1" si="68"/>
        <v>-</v>
      </c>
      <c r="AB130" s="324">
        <f t="shared" ref="AB130:AB136" ca="1" si="69">IFERROR(ABS(AA130-100),500)</f>
        <v>500</v>
      </c>
      <c r="AC130" s="327" t="str">
        <f ca="1">IFERROR(S130*100/M130,"-")</f>
        <v>-</v>
      </c>
      <c r="AD130" s="328">
        <f ca="1">IFERROR(ABS(AC130-100),500)</f>
        <v>500</v>
      </c>
    </row>
    <row r="131" spans="1:30" hidden="1" x14ac:dyDescent="0.2">
      <c r="A131" s="329" t="s">
        <v>55</v>
      </c>
      <c r="B131" s="244"/>
      <c r="C131" s="245"/>
      <c r="D131" s="246"/>
      <c r="E131" s="330">
        <f>SUM(B131:D131)</f>
        <v>0</v>
      </c>
      <c r="F131" s="331">
        <f>IF($A$1="صنایع شیر ایران",IFERROR(('[1]هزینه پرسنلی غیرمستقیم تولید'!$B$31/(C131+B131+D131))/$AH$5,0),IFERROR(('[1]هزینه پرسنلی غیرمستقیم تولید'!$B$31/(C131+B131))/$AH$5,0))</f>
        <v>0</v>
      </c>
      <c r="G131" s="332"/>
      <c r="H131" s="333">
        <v>0</v>
      </c>
      <c r="I131" s="334">
        <v>0</v>
      </c>
      <c r="J131" s="335">
        <v>0</v>
      </c>
      <c r="K131" s="330">
        <f>SUM(H131:J131)</f>
        <v>0</v>
      </c>
      <c r="L131" s="331">
        <f ca="1">IF($A$1="صنایع شیر ایران",IFERROR(('[1]هزینه پرسنلی غیرمستقیم تولید'!$C$31/(I131+H131+J131))/$AH$5,0),IFERROR(('[1]هزینه پرسنلی غیرمستقیم تولید'!$C$31/(I131+H131))/$AH$5,0))</f>
        <v>0</v>
      </c>
      <c r="M131" s="332"/>
      <c r="N131" s="244"/>
      <c r="O131" s="245"/>
      <c r="P131" s="246"/>
      <c r="Q131" s="330">
        <f>SUM(N131:P131)</f>
        <v>0</v>
      </c>
      <c r="R131" s="331">
        <f>IF($A$1="صنایع شیر ایران",IFERROR(('[1]هزینه پرسنلی غیرمستقیم تولید'!$D$31/(O131+N131+P131))/$AH$5,0),IFERROR(('[1]هزینه پرسنلی غیرمستقیم تولید'!$D$31/(O131+N131))/$AH$5,0))</f>
        <v>0</v>
      </c>
      <c r="S131" s="332"/>
      <c r="T131" s="336" t="str">
        <f t="shared" si="62"/>
        <v>-</v>
      </c>
      <c r="U131" s="337">
        <f t="shared" si="63"/>
        <v>500</v>
      </c>
      <c r="V131" s="338" t="str">
        <f t="shared" si="64"/>
        <v>-</v>
      </c>
      <c r="W131" s="337">
        <f t="shared" si="65"/>
        <v>500</v>
      </c>
      <c r="X131" s="338" t="str">
        <f t="shared" si="66"/>
        <v>-</v>
      </c>
      <c r="Y131" s="339">
        <f t="shared" si="67"/>
        <v>500</v>
      </c>
      <c r="Z131" s="337" t="str">
        <f t="shared" si="68"/>
        <v>-</v>
      </c>
      <c r="AA131" s="336" t="str">
        <f t="shared" ca="1" si="68"/>
        <v>-</v>
      </c>
      <c r="AB131" s="337">
        <f t="shared" ca="1" si="69"/>
        <v>500</v>
      </c>
      <c r="AC131" s="340"/>
      <c r="AD131" s="341"/>
    </row>
    <row r="132" spans="1:30" ht="35.1" customHeight="1" x14ac:dyDescent="0.2">
      <c r="A132" s="329" t="s">
        <v>57</v>
      </c>
      <c r="B132" s="244"/>
      <c r="C132" s="245">
        <v>59</v>
      </c>
      <c r="D132" s="246">
        <v>8</v>
      </c>
      <c r="E132" s="330">
        <f>SUM(B132:D132)</f>
        <v>67</v>
      </c>
      <c r="F132" s="331">
        <f>IFERROR(('هزینه پرسنلی مستقیم خدمات'!$B$31/(C132+B132))/$AH$5,0)</f>
        <v>2144.0960451977403</v>
      </c>
      <c r="G132" s="342">
        <f ca="1">IFERROR((VLOOKUP($AH$6,'[1]هزینه سربار خدمات'!$A:$F,2,FALSE)/(D132+D133))/$AH$5,0)</f>
        <v>802.1875</v>
      </c>
      <c r="H132" s="244"/>
      <c r="I132" s="245">
        <v>59</v>
      </c>
      <c r="J132" s="246">
        <v>24</v>
      </c>
      <c r="K132" s="330">
        <f>SUM(H132:J132)</f>
        <v>83</v>
      </c>
      <c r="L132" s="331">
        <f ca="1">IFERROR(('هزینه پرسنلی مستقیم خدمات'!$C$31/(I132+H132))/$AH$5,0)</f>
        <v>0</v>
      </c>
      <c r="M132" s="342">
        <f ca="1">IFERROR((VLOOKUP($AH$6,'[1]هزینه سربار خدمات'!$A:$F,3,FALSE)/(J132+J133))/$AH$5,0)</f>
        <v>859.55555555555554</v>
      </c>
      <c r="N132" s="244"/>
      <c r="O132" s="245">
        <v>57</v>
      </c>
      <c r="P132" s="246">
        <v>11</v>
      </c>
      <c r="Q132" s="330">
        <f>SUM(N132:P132)</f>
        <v>68</v>
      </c>
      <c r="R132" s="331">
        <f>IFERROR(('هزینه پرسنلی مستقیم خدمات'!$D$31/(O132+N132))/$AH$5,0)</f>
        <v>3631.7105263157896</v>
      </c>
      <c r="S132" s="342">
        <f ca="1">IFERROR((VLOOKUP($AH$6,'[1]هزینه سربار خدمات'!$A:$F,4,FALSE)/(P132+P133))/$AH$5,0)</f>
        <v>4294.727272727273</v>
      </c>
      <c r="T132" s="343" t="str">
        <f t="shared" si="62"/>
        <v>-</v>
      </c>
      <c r="U132" s="344">
        <f t="shared" si="63"/>
        <v>500</v>
      </c>
      <c r="V132" s="345">
        <f t="shared" si="64"/>
        <v>96.610169491525426</v>
      </c>
      <c r="W132" s="344">
        <f t="shared" si="65"/>
        <v>3.3898305084745743</v>
      </c>
      <c r="X132" s="345">
        <f t="shared" si="66"/>
        <v>45.833333333333336</v>
      </c>
      <c r="Y132" s="346">
        <f t="shared" si="67"/>
        <v>54.166666666666664</v>
      </c>
      <c r="Z132" s="346">
        <f t="shared" si="68"/>
        <v>81.92771084337349</v>
      </c>
      <c r="AA132" s="343" t="str">
        <f t="shared" ca="1" si="68"/>
        <v>-</v>
      </c>
      <c r="AB132" s="344">
        <f t="shared" ca="1" si="69"/>
        <v>500</v>
      </c>
      <c r="AC132" s="347">
        <f ca="1">IFERROR(S132*100/M132,"-")</f>
        <v>499.6451067030178</v>
      </c>
      <c r="AD132" s="348">
        <f ca="1">IFERROR(ABS(AC132-100),500)</f>
        <v>399.6451067030178</v>
      </c>
    </row>
    <row r="133" spans="1:30" ht="35.1" customHeight="1" x14ac:dyDescent="0.2">
      <c r="A133" s="329" t="s">
        <v>58</v>
      </c>
      <c r="B133" s="244"/>
      <c r="C133" s="245"/>
      <c r="D133" s="246"/>
      <c r="E133" s="330">
        <f>SUM(B133:D133)</f>
        <v>0</v>
      </c>
      <c r="F133" s="331">
        <f>IFERROR(('[1]هزینه پرسنلی غیرمستقیم خدمات'!$B$31/(C133+B133))/$AH$5,0)</f>
        <v>0</v>
      </c>
      <c r="G133" s="332"/>
      <c r="H133" s="244"/>
      <c r="I133" s="245"/>
      <c r="J133" s="246"/>
      <c r="K133" s="330">
        <f>SUM(H133:J133)</f>
        <v>0</v>
      </c>
      <c r="L133" s="331">
        <f ca="1">IFERROR(('[1]هزینه پرسنلی غیرمستقیم خدمات'!$C$31/(I133+H133))/$AH$5,0)</f>
        <v>0</v>
      </c>
      <c r="M133" s="332"/>
      <c r="N133" s="244"/>
      <c r="O133" s="245"/>
      <c r="P133" s="246"/>
      <c r="Q133" s="330">
        <f>SUM(N133:P133)</f>
        <v>0</v>
      </c>
      <c r="R133" s="331">
        <f>IFERROR(('[1]هزینه پرسنلی غیرمستقیم خدمات'!$D$31/(O133+N133))/$AH$5,0)</f>
        <v>0</v>
      </c>
      <c r="S133" s="332"/>
      <c r="T133" s="343" t="str">
        <f t="shared" si="62"/>
        <v>-</v>
      </c>
      <c r="U133" s="344">
        <f t="shared" si="63"/>
        <v>500</v>
      </c>
      <c r="V133" s="345" t="str">
        <f t="shared" si="64"/>
        <v>-</v>
      </c>
      <c r="W133" s="344">
        <f t="shared" si="65"/>
        <v>500</v>
      </c>
      <c r="X133" s="345" t="str">
        <f t="shared" si="66"/>
        <v>-</v>
      </c>
      <c r="Y133" s="346">
        <f t="shared" si="67"/>
        <v>500</v>
      </c>
      <c r="Z133" s="346" t="str">
        <f t="shared" si="68"/>
        <v>-</v>
      </c>
      <c r="AA133" s="343" t="str">
        <f t="shared" ca="1" si="68"/>
        <v>-</v>
      </c>
      <c r="AB133" s="344">
        <f t="shared" ca="1" si="69"/>
        <v>500</v>
      </c>
      <c r="AC133" s="340"/>
      <c r="AD133" s="349"/>
    </row>
    <row r="134" spans="1:30" ht="35.1" customHeight="1" thickBot="1" x14ac:dyDescent="0.25">
      <c r="A134" s="350" t="s">
        <v>59</v>
      </c>
      <c r="B134" s="268"/>
      <c r="C134" s="269">
        <v>3</v>
      </c>
      <c r="D134" s="270">
        <v>0</v>
      </c>
      <c r="E134" s="351">
        <f>SUM(B134:D134)</f>
        <v>3</v>
      </c>
      <c r="F134" s="331">
        <f>IF($A$1="صنایع شیر ایران",IFERROR(('[1]هزینه اداری عمومی'!$B$26/(C134+B134+D134))/$AH$5,0),IFERROR(('[1]هزینه اداری عمومی'!$B$26/(C134+B134))/$AH$5,0))</f>
        <v>7854</v>
      </c>
      <c r="G134" s="352">
        <f ca="1">IFERROR((VLOOKUP($AH$6,'[1]هزینه اداری عمومی'!$A:$F,2,FALSE)/D134)/$AH$5,0)</f>
        <v>0</v>
      </c>
      <c r="H134" s="268"/>
      <c r="I134" s="269">
        <v>3</v>
      </c>
      <c r="J134" s="270">
        <v>0</v>
      </c>
      <c r="K134" s="351">
        <f>SUM(H134:J134)</f>
        <v>3</v>
      </c>
      <c r="L134" s="331">
        <f>IF($A$1="صنایع شیر ایران",IFERROR(('[1]هزینه اداری عمومی'!$C$26/(I134+H134+J134))/$AH$5,0),IFERROR(('[1]هزینه اداری عمومی'!$C$26/(I134+H134))/$AH$5,0))</f>
        <v>10551.666666666666</v>
      </c>
      <c r="M134" s="352">
        <f ca="1">IFERROR((VLOOKUP($AH$6,'[1]هزینه اداری عمومی'!$A:$F,3,FALSE)/J134)/$AH$5,0)</f>
        <v>0</v>
      </c>
      <c r="N134" s="268"/>
      <c r="O134" s="269">
        <v>3</v>
      </c>
      <c r="P134" s="270">
        <v>0</v>
      </c>
      <c r="Q134" s="351">
        <f>SUM(N134:P134)</f>
        <v>3</v>
      </c>
      <c r="R134" s="331">
        <f>IF($A$1="صنایع شیر ایران",IFERROR(('[1]هزینه اداری عمومی'!$D$26/(O134+N134+P134))/$AH$5,0),IFERROR(('[1]هزینه اداری عمومی'!$D$26/(O134+N134))/$AH$5,0))</f>
        <v>12468.555555555555</v>
      </c>
      <c r="S134" s="352">
        <f ca="1">IFERROR((VLOOKUP($AH$6,'[1]هزینه اداری عمومی'!$A:$F,4,FALSE)/P134)/$AH$5,0)</f>
        <v>0</v>
      </c>
      <c r="T134" s="353" t="str">
        <f t="shared" si="62"/>
        <v>-</v>
      </c>
      <c r="U134" s="354">
        <f t="shared" si="63"/>
        <v>500</v>
      </c>
      <c r="V134" s="355">
        <f t="shared" si="64"/>
        <v>100</v>
      </c>
      <c r="W134" s="354">
        <f t="shared" si="65"/>
        <v>0</v>
      </c>
      <c r="X134" s="355" t="str">
        <f t="shared" si="66"/>
        <v>-</v>
      </c>
      <c r="Y134" s="356">
        <f t="shared" si="67"/>
        <v>500</v>
      </c>
      <c r="Z134" s="356">
        <f t="shared" si="68"/>
        <v>100</v>
      </c>
      <c r="AA134" s="343">
        <f t="shared" si="68"/>
        <v>118.16669299215501</v>
      </c>
      <c r="AB134" s="354">
        <f t="shared" si="69"/>
        <v>18.166692992155006</v>
      </c>
      <c r="AC134" s="345" t="str">
        <f ca="1">IFERROR(S134*100/M134,"-")</f>
        <v>-</v>
      </c>
      <c r="AD134" s="356">
        <f ca="1">IFERROR(ABS(AC134-100),500)</f>
        <v>500</v>
      </c>
    </row>
    <row r="135" spans="1:30" ht="35.1" customHeight="1" thickBot="1" x14ac:dyDescent="0.25">
      <c r="A135" s="357" t="s">
        <v>60</v>
      </c>
      <c r="B135" s="358">
        <f>SUM(B130:B134)</f>
        <v>0</v>
      </c>
      <c r="C135" s="359">
        <f>SUM(C130:C134)</f>
        <v>62</v>
      </c>
      <c r="D135" s="360">
        <f>SUM(D130:D134)</f>
        <v>8</v>
      </c>
      <c r="E135" s="361">
        <f>SUM(E130:E134)</f>
        <v>70</v>
      </c>
      <c r="F135" s="362">
        <f>IF($A$1="صنایع شیر ایران",IFERROR(((SUM(F131*(C131+B131+D131),F134*(C134+B134+D134),F130*(C130+B130+D130)))/(C135+B135+D135)),0),IFERROR(((SUM(F131*(C131+B131),F132*(C132+B132),F133*(C133+B133),F134*(C134+B134),F130*(C130+B130)))/(C135+B135)),0))</f>
        <v>2420.3817204301076</v>
      </c>
      <c r="G135" s="363">
        <f ca="1">IFERROR((G130*(D131+D130)+G132*(D133+D132)+G134*D134)/(D135),0)</f>
        <v>802.1875</v>
      </c>
      <c r="H135" s="358">
        <f>SUM(H130:H134)</f>
        <v>0</v>
      </c>
      <c r="I135" s="359">
        <f>SUM(I130:I134)</f>
        <v>62</v>
      </c>
      <c r="J135" s="360">
        <f>SUM(J130:J134)</f>
        <v>24</v>
      </c>
      <c r="K135" s="361">
        <f>SUM(K130:K134)</f>
        <v>86</v>
      </c>
      <c r="L135" s="362">
        <f ca="1">IF($A$1="صنایع شیر ایران",IFERROR(((SUM(L131*(I131+H131+J131),L134*(I134+H134+J134),L130*(I130+H130+J130)))/(I135+H135+J135)),0),IFERROR(((SUM(L131*(I131+H131),L132*(I132+H132),L133*(I133+H133),L134*(I134+H134),L130*(I130+H130)))/(I135+H135)),0))</f>
        <v>510.56451612903226</v>
      </c>
      <c r="M135" s="363">
        <f ca="1">IFERROR((M130*(J131+J130)+M132*(J133+J132)+M134*J134)/(J135),0)</f>
        <v>859.55555555555554</v>
      </c>
      <c r="N135" s="358">
        <f>SUM(N130:N134)</f>
        <v>0</v>
      </c>
      <c r="O135" s="359">
        <f>SUM(O130:O134)</f>
        <v>60</v>
      </c>
      <c r="P135" s="360">
        <f>SUM(P130:P134)</f>
        <v>11</v>
      </c>
      <c r="Q135" s="361">
        <f>SUM(Q130:Q134)</f>
        <v>71</v>
      </c>
      <c r="R135" s="362">
        <f>IF($A$1="صنایع شیر ایران",IFERROR(((SUM(R131*(O131+N131+P131),R134*(O134+N134+P134),R130*(O130+N130+P130)))/(O135+N135+P135)),0),IFERROR(((SUM(R131*(O131+N131),R132*(O132+N132),R133*(O133+N133),R134*(O134+N134),R130*(O130+N130)))/(O135+N135)),0))</f>
        <v>4073.5527777777775</v>
      </c>
      <c r="S135" s="363">
        <f ca="1">IFERROR((S130*(P131+P130)+S132*(P133+P132)+S134*P134)/(P135),0)</f>
        <v>4294.727272727273</v>
      </c>
      <c r="T135" s="364" t="str">
        <f t="shared" si="62"/>
        <v>-</v>
      </c>
      <c r="U135" s="365">
        <f t="shared" si="63"/>
        <v>500</v>
      </c>
      <c r="V135" s="366">
        <f t="shared" si="64"/>
        <v>96.774193548387103</v>
      </c>
      <c r="W135" s="365">
        <f t="shared" si="65"/>
        <v>3.2258064516128968</v>
      </c>
      <c r="X135" s="366">
        <f t="shared" si="66"/>
        <v>45.833333333333336</v>
      </c>
      <c r="Y135" s="367">
        <f t="shared" si="67"/>
        <v>54.166666666666664</v>
      </c>
      <c r="Z135" s="367">
        <f t="shared" si="68"/>
        <v>82.558139534883722</v>
      </c>
      <c r="AA135" s="364">
        <f t="shared" ca="1" si="68"/>
        <v>797.85270011758712</v>
      </c>
      <c r="AB135" s="365">
        <f t="shared" ca="1" si="69"/>
        <v>697.85270011758712</v>
      </c>
      <c r="AC135" s="366">
        <f ca="1">IFERROR(S135*100/M135,"-")</f>
        <v>499.6451067030178</v>
      </c>
      <c r="AD135" s="367">
        <f ca="1">IFERROR(ABS(AC135-100),500)</f>
        <v>399.6451067030178</v>
      </c>
    </row>
    <row r="136" spans="1:30" ht="35.1" customHeight="1" thickTop="1" thickBot="1" x14ac:dyDescent="0.25">
      <c r="A136" s="368" t="s">
        <v>61</v>
      </c>
      <c r="B136" s="289"/>
      <c r="C136" s="290"/>
      <c r="D136" s="291"/>
      <c r="E136" s="369">
        <f>SUM(B136:D136)</f>
        <v>0</v>
      </c>
      <c r="F136" s="293"/>
      <c r="G136" s="294"/>
      <c r="H136" s="289"/>
      <c r="I136" s="290"/>
      <c r="J136" s="291"/>
      <c r="K136" s="369">
        <f>SUM(H136:J136)</f>
        <v>0</v>
      </c>
      <c r="L136" s="293"/>
      <c r="M136" s="294"/>
      <c r="N136" s="289"/>
      <c r="O136" s="290"/>
      <c r="P136" s="291"/>
      <c r="Q136" s="369">
        <f>SUM(N136:P136)</f>
        <v>0</v>
      </c>
      <c r="R136" s="293"/>
      <c r="S136" s="294"/>
      <c r="T136" s="370" t="str">
        <f t="shared" si="62"/>
        <v>-</v>
      </c>
      <c r="U136" s="371">
        <f t="shared" si="63"/>
        <v>500</v>
      </c>
      <c r="V136" s="372" t="str">
        <f t="shared" si="64"/>
        <v>-</v>
      </c>
      <c r="W136" s="371">
        <f t="shared" si="65"/>
        <v>500</v>
      </c>
      <c r="X136" s="372" t="str">
        <f t="shared" si="66"/>
        <v>-</v>
      </c>
      <c r="Y136" s="373">
        <f t="shared" si="67"/>
        <v>500</v>
      </c>
      <c r="Z136" s="373" t="str">
        <f t="shared" si="68"/>
        <v>-</v>
      </c>
      <c r="AA136" s="370" t="str">
        <f t="shared" si="68"/>
        <v>-</v>
      </c>
      <c r="AB136" s="371">
        <f t="shared" si="69"/>
        <v>500</v>
      </c>
      <c r="AC136" s="372" t="str">
        <f>IFERROR(S136*100/M136,"-")</f>
        <v>-</v>
      </c>
      <c r="AD136" s="373">
        <f>IFERROR(ABS(AC136-100),500)</f>
        <v>500</v>
      </c>
    </row>
    <row r="137" spans="1:30" ht="21.75" thickBot="1" x14ac:dyDescent="0.25"/>
    <row r="138" spans="1:30" ht="25.5" x14ac:dyDescent="0.2">
      <c r="A138" s="374" t="s">
        <v>62</v>
      </c>
      <c r="B138" s="375"/>
      <c r="C138" s="375"/>
      <c r="D138" s="375"/>
      <c r="E138" s="375"/>
      <c r="F138" s="375"/>
      <c r="G138" s="375"/>
      <c r="H138" s="375"/>
      <c r="I138" s="375"/>
      <c r="J138" s="375"/>
      <c r="K138" s="375"/>
      <c r="L138" s="375"/>
      <c r="M138" s="375"/>
      <c r="N138" s="375"/>
      <c r="O138" s="375"/>
      <c r="P138" s="375"/>
      <c r="Q138" s="375"/>
      <c r="R138" s="375"/>
      <c r="S138" s="376"/>
    </row>
    <row r="139" spans="1:30" x14ac:dyDescent="0.2">
      <c r="A139" s="377"/>
      <c r="B139" s="378"/>
      <c r="C139" s="378"/>
      <c r="D139" s="378"/>
      <c r="E139" s="378"/>
      <c r="F139" s="378"/>
      <c r="G139" s="378"/>
      <c r="H139" s="378"/>
      <c r="I139" s="378"/>
      <c r="J139" s="378"/>
      <c r="K139" s="378"/>
      <c r="L139" s="378"/>
      <c r="M139" s="378"/>
      <c r="N139" s="378"/>
      <c r="O139" s="378"/>
      <c r="P139" s="378"/>
      <c r="Q139" s="378"/>
      <c r="R139" s="378"/>
      <c r="S139" s="379"/>
    </row>
    <row r="140" spans="1:30" x14ac:dyDescent="0.2">
      <c r="A140" s="377"/>
      <c r="B140" s="378"/>
      <c r="C140" s="378"/>
      <c r="D140" s="378"/>
      <c r="E140" s="378"/>
      <c r="F140" s="378"/>
      <c r="G140" s="378"/>
      <c r="H140" s="378"/>
      <c r="I140" s="378"/>
      <c r="J140" s="378"/>
      <c r="K140" s="378"/>
      <c r="L140" s="378"/>
      <c r="M140" s="378"/>
      <c r="N140" s="378"/>
      <c r="O140" s="378"/>
      <c r="P140" s="378"/>
      <c r="Q140" s="378"/>
      <c r="R140" s="378"/>
      <c r="S140" s="379"/>
    </row>
    <row r="141" spans="1:30" x14ac:dyDescent="0.2">
      <c r="A141" s="377"/>
      <c r="B141" s="378"/>
      <c r="C141" s="378"/>
      <c r="D141" s="378"/>
      <c r="E141" s="378"/>
      <c r="F141" s="378"/>
      <c r="G141" s="378"/>
      <c r="H141" s="378"/>
      <c r="I141" s="378"/>
      <c r="J141" s="378"/>
      <c r="K141" s="378"/>
      <c r="L141" s="378"/>
      <c r="M141" s="378"/>
      <c r="N141" s="378"/>
      <c r="O141" s="378"/>
      <c r="P141" s="378"/>
      <c r="Q141" s="378"/>
      <c r="R141" s="378"/>
      <c r="S141" s="379"/>
    </row>
    <row r="142" spans="1:30" x14ac:dyDescent="0.2">
      <c r="A142" s="377"/>
      <c r="B142" s="378"/>
      <c r="C142" s="378"/>
      <c r="D142" s="378"/>
      <c r="E142" s="378"/>
      <c r="F142" s="378"/>
      <c r="G142" s="378"/>
      <c r="H142" s="378"/>
      <c r="I142" s="378"/>
      <c r="J142" s="378"/>
      <c r="K142" s="378"/>
      <c r="L142" s="378"/>
      <c r="M142" s="378"/>
      <c r="N142" s="378"/>
      <c r="O142" s="378"/>
      <c r="P142" s="378"/>
      <c r="Q142" s="378"/>
      <c r="R142" s="378"/>
      <c r="S142" s="379"/>
    </row>
    <row r="143" spans="1:30" ht="21.75" thickBot="1" x14ac:dyDescent="0.25">
      <c r="A143" s="380"/>
      <c r="B143" s="381"/>
      <c r="C143" s="381"/>
      <c r="D143" s="381"/>
      <c r="E143" s="381"/>
      <c r="F143" s="381"/>
      <c r="G143" s="381"/>
      <c r="H143" s="381"/>
      <c r="I143" s="381"/>
      <c r="J143" s="381"/>
      <c r="K143" s="381"/>
      <c r="L143" s="381"/>
      <c r="M143" s="381"/>
      <c r="N143" s="381"/>
      <c r="O143" s="381"/>
      <c r="P143" s="381"/>
      <c r="Q143" s="381"/>
      <c r="R143" s="381"/>
      <c r="S143" s="382"/>
    </row>
    <row r="145" spans="1:31" ht="29.25" thickBot="1" x14ac:dyDescent="0.25">
      <c r="A145" s="300" t="str">
        <f>"گزارش تعداد پرسنل و سرانه هزینه پرسنلی به تفکیک نوع قرارداد در دوره " &amp; [1]روکش!$F$9 &amp; " سال " &amp; [1]روکش!$D$9&amp;"- مجتمع خراسان/ شعبه "&amp;AE145</f>
        <v>گزارش تعداد پرسنل و سرانه هزینه پرسنلی به تفکیک نوع قرارداد در دوره شش ماهه سال 1405- مجتمع خراسان/ شعبه بجنورد</v>
      </c>
      <c r="B145" s="300"/>
      <c r="C145" s="300"/>
      <c r="D145" s="300"/>
      <c r="E145" s="300"/>
      <c r="F145" s="300"/>
      <c r="G145" s="300"/>
      <c r="H145" s="300"/>
      <c r="I145" s="300"/>
      <c r="J145" s="300"/>
      <c r="K145" s="300"/>
      <c r="L145" s="300"/>
      <c r="M145" s="300"/>
      <c r="N145" s="300"/>
      <c r="O145" s="300"/>
      <c r="P145" s="300"/>
      <c r="Q145" s="300"/>
      <c r="R145" s="300"/>
      <c r="S145" s="300"/>
      <c r="T145" s="300"/>
      <c r="U145" s="300"/>
      <c r="V145" s="300"/>
      <c r="W145" s="300"/>
      <c r="X145" s="300"/>
      <c r="Y145" s="300"/>
      <c r="Z145" s="300"/>
      <c r="AA145" s="300"/>
      <c r="AB145" s="300"/>
      <c r="AC145" s="300"/>
      <c r="AD145" s="300"/>
      <c r="AE145" s="301" t="str">
        <f>[1]واردات!$AA$49</f>
        <v>بجنورد</v>
      </c>
    </row>
    <row r="146" spans="1:31" ht="24.75" thickBot="1" x14ac:dyDescent="0.25">
      <c r="A146" s="302" t="s">
        <v>43</v>
      </c>
      <c r="B146" s="303" t="s">
        <v>44</v>
      </c>
      <c r="C146" s="304"/>
      <c r="D146" s="304"/>
      <c r="E146" s="304"/>
      <c r="F146" s="304"/>
      <c r="G146" s="305"/>
      <c r="H146" s="303" t="s">
        <v>45</v>
      </c>
      <c r="I146" s="304"/>
      <c r="J146" s="304"/>
      <c r="K146" s="304"/>
      <c r="L146" s="304"/>
      <c r="M146" s="305"/>
      <c r="N146" s="303" t="s">
        <v>46</v>
      </c>
      <c r="O146" s="304"/>
      <c r="P146" s="304"/>
      <c r="Q146" s="304"/>
      <c r="R146" s="304"/>
      <c r="S146" s="305"/>
      <c r="T146" s="303" t="s">
        <v>47</v>
      </c>
      <c r="U146" s="304"/>
      <c r="V146" s="304"/>
      <c r="W146" s="304"/>
      <c r="X146" s="304"/>
      <c r="Y146" s="304"/>
      <c r="Z146" s="304"/>
      <c r="AA146" s="304"/>
      <c r="AB146" s="304"/>
      <c r="AC146" s="304"/>
      <c r="AD146" s="305"/>
    </row>
    <row r="147" spans="1:31" ht="63.75" thickBot="1" x14ac:dyDescent="0.25">
      <c r="A147" s="306"/>
      <c r="B147" s="307" t="s">
        <v>48</v>
      </c>
      <c r="C147" s="308" t="s">
        <v>49</v>
      </c>
      <c r="D147" s="309" t="s">
        <v>50</v>
      </c>
      <c r="E147" s="310" t="s">
        <v>51</v>
      </c>
      <c r="F147" s="307" t="s">
        <v>52</v>
      </c>
      <c r="G147" s="309" t="s">
        <v>53</v>
      </c>
      <c r="H147" s="307" t="s">
        <v>48</v>
      </c>
      <c r="I147" s="308" t="s">
        <v>49</v>
      </c>
      <c r="J147" s="309" t="s">
        <v>50</v>
      </c>
      <c r="K147" s="311" t="s">
        <v>51</v>
      </c>
      <c r="L147" s="307" t="s">
        <v>52</v>
      </c>
      <c r="M147" s="309" t="s">
        <v>53</v>
      </c>
      <c r="N147" s="307" t="s">
        <v>48</v>
      </c>
      <c r="O147" s="308" t="s">
        <v>49</v>
      </c>
      <c r="P147" s="309" t="s">
        <v>50</v>
      </c>
      <c r="Q147" s="311" t="s">
        <v>51</v>
      </c>
      <c r="R147" s="307" t="s">
        <v>52</v>
      </c>
      <c r="S147" s="309" t="s">
        <v>53</v>
      </c>
      <c r="T147" s="312" t="s">
        <v>48</v>
      </c>
      <c r="U147" s="313"/>
      <c r="V147" s="314" t="s">
        <v>49</v>
      </c>
      <c r="W147" s="313"/>
      <c r="X147" s="314" t="s">
        <v>50</v>
      </c>
      <c r="Y147" s="315"/>
      <c r="Z147" s="311" t="s">
        <v>51</v>
      </c>
      <c r="AA147" s="312" t="s">
        <v>52</v>
      </c>
      <c r="AB147" s="313"/>
      <c r="AC147" s="314" t="s">
        <v>53</v>
      </c>
      <c r="AD147" s="315"/>
    </row>
    <row r="148" spans="1:31" hidden="1" x14ac:dyDescent="0.2">
      <c r="A148" s="316" t="s">
        <v>54</v>
      </c>
      <c r="B148" s="227"/>
      <c r="C148" s="228"/>
      <c r="D148" s="229"/>
      <c r="E148" s="317">
        <f>SUM(B148:D148)</f>
        <v>0</v>
      </c>
      <c r="F148" s="318">
        <f>IF($A$1="صنایع شیر ایران",IFERROR(('[1]هزینه پرسنلی مستقیم تولید'!$B$31/(C148+B148+D148))/$AH$5,0),IFERROR(('[1]هزینه پرسنلی مستقیم تولید'!$B$31/(C148+B148))/$AH$5,0))</f>
        <v>0</v>
      </c>
      <c r="G148" s="319">
        <f ca="1">IFERROR((VLOOKUP($AH$6,'[1]هزینه سربار تولید'!$A:$F,2,FALSE)/(D148+D149))/$AH$5,0)</f>
        <v>0</v>
      </c>
      <c r="H148" s="320">
        <v>0</v>
      </c>
      <c r="I148" s="321">
        <v>0</v>
      </c>
      <c r="J148" s="322">
        <v>0</v>
      </c>
      <c r="K148" s="317">
        <f>SUM(H148:J148)</f>
        <v>0</v>
      </c>
      <c r="L148" s="318">
        <f ca="1">IF($A$1="صنایع شیر ایران",IFERROR(('[1]هزینه پرسنلی مستقیم تولید'!$C$31/(I148+H148+J148))/$AH$5,0),IFERROR(('[1]هزینه پرسنلی مستقیم تولید'!$C$31/(I148+H148))/$AH$5,0))</f>
        <v>0</v>
      </c>
      <c r="M148" s="319">
        <f ca="1">IFERROR((VLOOKUP($AH$6,'[1]هزینه سربار تولید'!$A:$F,3,FALSE)/(J148+J149))/$AH$5,0)</f>
        <v>0</v>
      </c>
      <c r="N148" s="227"/>
      <c r="O148" s="228"/>
      <c r="P148" s="229"/>
      <c r="Q148" s="317">
        <f>SUM(N148:P148)</f>
        <v>0</v>
      </c>
      <c r="R148" s="318">
        <f>IF($A$1="صنایع شیر ایران",IFERROR(('[1]هزینه پرسنلی مستقیم تولید'!$D$31/(O148+N148+P148))/$AH$5,0),IFERROR(('[1]هزینه پرسنلی مستقیم تولید'!$D$31/(O148+N148))/$AH$5,0))</f>
        <v>0</v>
      </c>
      <c r="S148" s="319">
        <f ca="1">IFERROR((VLOOKUP($AH$6,'[1]هزینه سربار تولید'!$A:$F,4,FALSE)/(P148+P149))/$AH$5,0)</f>
        <v>0</v>
      </c>
      <c r="T148" s="323" t="str">
        <f t="shared" ref="T148:T154" si="70">IFERROR(N148*100/H148,"-")</f>
        <v>-</v>
      </c>
      <c r="U148" s="324">
        <f t="shared" ref="U148:U154" si="71">IFERROR(ABS(T148-100),500)</f>
        <v>500</v>
      </c>
      <c r="V148" s="325" t="str">
        <f t="shared" ref="V148:V154" si="72">IFERROR(O148*100/I148,"-")</f>
        <v>-</v>
      </c>
      <c r="W148" s="324">
        <f t="shared" ref="W148:W154" si="73">IFERROR(ABS(V148-100),500)</f>
        <v>500</v>
      </c>
      <c r="X148" s="325" t="str">
        <f t="shared" ref="X148:X154" si="74">IFERROR(P148*100/J148,"-")</f>
        <v>-</v>
      </c>
      <c r="Y148" s="326">
        <f t="shared" ref="Y148:Y154" si="75">IFERROR(ABS(X148-100),500)</f>
        <v>500</v>
      </c>
      <c r="Z148" s="324" t="str">
        <f t="shared" ref="Z148:AA154" si="76">IFERROR(Q148*100/K148,"-")</f>
        <v>-</v>
      </c>
      <c r="AA148" s="323" t="str">
        <f t="shared" ca="1" si="76"/>
        <v>-</v>
      </c>
      <c r="AB148" s="324">
        <f t="shared" ref="AB148:AB154" ca="1" si="77">IFERROR(ABS(AA148-100),500)</f>
        <v>500</v>
      </c>
      <c r="AC148" s="327" t="str">
        <f ca="1">IFERROR(S148*100/M148,"-")</f>
        <v>-</v>
      </c>
      <c r="AD148" s="328">
        <f ca="1">IFERROR(ABS(AC148-100),500)</f>
        <v>500</v>
      </c>
    </row>
    <row r="149" spans="1:31" hidden="1" x14ac:dyDescent="0.2">
      <c r="A149" s="329" t="s">
        <v>55</v>
      </c>
      <c r="B149" s="244"/>
      <c r="C149" s="245"/>
      <c r="D149" s="246"/>
      <c r="E149" s="330">
        <f>SUM(B149:D149)</f>
        <v>0</v>
      </c>
      <c r="F149" s="331">
        <f>IF($A$1="صنایع شیر ایران",IFERROR(('[1]هزینه پرسنلی غیرمستقیم تولید'!$B$31/(C149+B149+D149))/$AH$5,0),IFERROR(('[1]هزینه پرسنلی غیرمستقیم تولید'!$B$31/(C149+B149))/$AH$5,0))</f>
        <v>0</v>
      </c>
      <c r="G149" s="332"/>
      <c r="H149" s="333">
        <v>0</v>
      </c>
      <c r="I149" s="334">
        <v>0</v>
      </c>
      <c r="J149" s="335">
        <v>0</v>
      </c>
      <c r="K149" s="330">
        <f>SUM(H149:J149)</f>
        <v>0</v>
      </c>
      <c r="L149" s="331">
        <f ca="1">IF($A$1="صنایع شیر ایران",IFERROR(('[1]هزینه پرسنلی غیرمستقیم تولید'!$C$31/(I149+H149+J149))/$AH$5,0),IFERROR(('[1]هزینه پرسنلی غیرمستقیم تولید'!$C$31/(I149+H149))/$AH$5,0))</f>
        <v>0</v>
      </c>
      <c r="M149" s="332"/>
      <c r="N149" s="244"/>
      <c r="O149" s="245"/>
      <c r="P149" s="246"/>
      <c r="Q149" s="330">
        <f>SUM(N149:P149)</f>
        <v>0</v>
      </c>
      <c r="R149" s="331">
        <f>IF($A$1="صنایع شیر ایران",IFERROR(('[1]هزینه پرسنلی غیرمستقیم تولید'!$D$31/(O149+N149+P149))/$AH$5,0),IFERROR(('[1]هزینه پرسنلی غیرمستقیم تولید'!$D$31/(O149+N149))/$AH$5,0))</f>
        <v>0</v>
      </c>
      <c r="S149" s="332"/>
      <c r="T149" s="336" t="str">
        <f t="shared" si="70"/>
        <v>-</v>
      </c>
      <c r="U149" s="337">
        <f t="shared" si="71"/>
        <v>500</v>
      </c>
      <c r="V149" s="338" t="str">
        <f t="shared" si="72"/>
        <v>-</v>
      </c>
      <c r="W149" s="337">
        <f t="shared" si="73"/>
        <v>500</v>
      </c>
      <c r="X149" s="338" t="str">
        <f t="shared" si="74"/>
        <v>-</v>
      </c>
      <c r="Y149" s="339">
        <f t="shared" si="75"/>
        <v>500</v>
      </c>
      <c r="Z149" s="337" t="str">
        <f t="shared" si="76"/>
        <v>-</v>
      </c>
      <c r="AA149" s="336" t="str">
        <f t="shared" ca="1" si="76"/>
        <v>-</v>
      </c>
      <c r="AB149" s="337">
        <f t="shared" ca="1" si="77"/>
        <v>500</v>
      </c>
      <c r="AC149" s="340"/>
      <c r="AD149" s="341"/>
    </row>
    <row r="150" spans="1:31" ht="35.1" customHeight="1" x14ac:dyDescent="0.2">
      <c r="A150" s="329" t="s">
        <v>57</v>
      </c>
      <c r="B150" s="244"/>
      <c r="C150" s="245">
        <v>4</v>
      </c>
      <c r="D150" s="246">
        <v>0</v>
      </c>
      <c r="E150" s="330">
        <f>SUM(B150:D150)</f>
        <v>4</v>
      </c>
      <c r="F150" s="331">
        <f>IFERROR(('هزینه پرسنلی مستقیم خدمات'!$B$31/(C150+B150))/$AH$5,0)</f>
        <v>31625.416666666668</v>
      </c>
      <c r="G150" s="342">
        <f ca="1">IFERROR((VLOOKUP($AH$6,'[1]هزینه سربار خدمات'!$A:$F,2,FALSE)/(D150+D151))/$AH$5,0)</f>
        <v>0</v>
      </c>
      <c r="H150" s="244"/>
      <c r="I150" s="245">
        <v>4</v>
      </c>
      <c r="J150" s="246">
        <v>0</v>
      </c>
      <c r="K150" s="330">
        <f>SUM(H150:J150)</f>
        <v>4</v>
      </c>
      <c r="L150" s="331">
        <f ca="1">IFERROR(('هزینه پرسنلی مستقیم خدمات'!$C$31/(I150+H150))/$AH$5,0)</f>
        <v>0</v>
      </c>
      <c r="M150" s="342">
        <f ca="1">IFERROR((VLOOKUP($AH$6,'[1]هزینه سربار خدمات'!$A:$F,3,FALSE)/(J150+J151))/$AH$5,0)</f>
        <v>0</v>
      </c>
      <c r="N150" s="244"/>
      <c r="O150" s="245">
        <v>4</v>
      </c>
      <c r="P150" s="246">
        <v>0</v>
      </c>
      <c r="Q150" s="330">
        <f>SUM(N150:P150)</f>
        <v>4</v>
      </c>
      <c r="R150" s="331">
        <f>IFERROR(('هزینه پرسنلی مستقیم خدمات'!$D$31/(O150+N150))/$AH$5,0)</f>
        <v>51751.875</v>
      </c>
      <c r="S150" s="342">
        <f ca="1">IFERROR((VLOOKUP($AH$6,'[1]هزینه سربار خدمات'!$A:$F,4,FALSE)/(P150+P151))/$AH$5,0)</f>
        <v>0</v>
      </c>
      <c r="T150" s="343" t="str">
        <f t="shared" si="70"/>
        <v>-</v>
      </c>
      <c r="U150" s="344">
        <f t="shared" si="71"/>
        <v>500</v>
      </c>
      <c r="V150" s="345">
        <f t="shared" si="72"/>
        <v>100</v>
      </c>
      <c r="W150" s="344">
        <f t="shared" si="73"/>
        <v>0</v>
      </c>
      <c r="X150" s="345" t="str">
        <f t="shared" si="74"/>
        <v>-</v>
      </c>
      <c r="Y150" s="346">
        <f t="shared" si="75"/>
        <v>500</v>
      </c>
      <c r="Z150" s="346">
        <f t="shared" si="76"/>
        <v>100</v>
      </c>
      <c r="AA150" s="343" t="str">
        <f t="shared" ca="1" si="76"/>
        <v>-</v>
      </c>
      <c r="AB150" s="344">
        <f t="shared" ca="1" si="77"/>
        <v>500</v>
      </c>
      <c r="AC150" s="347" t="str">
        <f ca="1">IFERROR(S150*100/M150,"-")</f>
        <v>-</v>
      </c>
      <c r="AD150" s="348">
        <f ca="1">IFERROR(ABS(AC150-100),500)</f>
        <v>500</v>
      </c>
    </row>
    <row r="151" spans="1:31" ht="35.1" customHeight="1" x14ac:dyDescent="0.2">
      <c r="A151" s="329" t="s">
        <v>58</v>
      </c>
      <c r="B151" s="244"/>
      <c r="C151" s="245"/>
      <c r="D151" s="246"/>
      <c r="E151" s="330">
        <f>SUM(B151:D151)</f>
        <v>0</v>
      </c>
      <c r="F151" s="331">
        <f>IFERROR(('[1]هزینه پرسنلی غیرمستقیم خدمات'!$B$31/(C151+B151))/$AH$5,0)</f>
        <v>0</v>
      </c>
      <c r="G151" s="332"/>
      <c r="H151" s="244"/>
      <c r="I151" s="245"/>
      <c r="J151" s="246"/>
      <c r="K151" s="330">
        <f>SUM(H151:J151)</f>
        <v>0</v>
      </c>
      <c r="L151" s="331">
        <f ca="1">IFERROR(('[1]هزینه پرسنلی غیرمستقیم خدمات'!$C$31/(I151+H151))/$AH$5,0)</f>
        <v>0</v>
      </c>
      <c r="M151" s="332"/>
      <c r="N151" s="244"/>
      <c r="O151" s="245"/>
      <c r="P151" s="246"/>
      <c r="Q151" s="330">
        <f>SUM(N151:P151)</f>
        <v>0</v>
      </c>
      <c r="R151" s="331">
        <f>IFERROR(('[1]هزینه پرسنلی غیرمستقیم خدمات'!$D$31/(O151+N151))/$AH$5,0)</f>
        <v>0</v>
      </c>
      <c r="S151" s="332"/>
      <c r="T151" s="343" t="str">
        <f t="shared" si="70"/>
        <v>-</v>
      </c>
      <c r="U151" s="344">
        <f t="shared" si="71"/>
        <v>500</v>
      </c>
      <c r="V151" s="345" t="str">
        <f t="shared" si="72"/>
        <v>-</v>
      </c>
      <c r="W151" s="344">
        <f t="shared" si="73"/>
        <v>500</v>
      </c>
      <c r="X151" s="345" t="str">
        <f t="shared" si="74"/>
        <v>-</v>
      </c>
      <c r="Y151" s="346">
        <f t="shared" si="75"/>
        <v>500</v>
      </c>
      <c r="Z151" s="346" t="str">
        <f t="shared" si="76"/>
        <v>-</v>
      </c>
      <c r="AA151" s="343" t="str">
        <f t="shared" ca="1" si="76"/>
        <v>-</v>
      </c>
      <c r="AB151" s="344">
        <f t="shared" ca="1" si="77"/>
        <v>500</v>
      </c>
      <c r="AC151" s="340"/>
      <c r="AD151" s="349"/>
    </row>
    <row r="152" spans="1:31" ht="35.1" customHeight="1" thickBot="1" x14ac:dyDescent="0.25">
      <c r="A152" s="350" t="s">
        <v>59</v>
      </c>
      <c r="B152" s="268"/>
      <c r="C152" s="269">
        <v>0</v>
      </c>
      <c r="D152" s="270">
        <v>0</v>
      </c>
      <c r="E152" s="351">
        <f>SUM(B152:D152)</f>
        <v>0</v>
      </c>
      <c r="F152" s="331">
        <f>IF($A$1="صنایع شیر ایران",IFERROR(('[1]هزینه اداری عمومی'!$B$26/(C152+B152+D152))/$AH$5,0),IFERROR(('[1]هزینه اداری عمومی'!$B$26/(C152+B152))/$AH$5,0))</f>
        <v>0</v>
      </c>
      <c r="G152" s="352">
        <f ca="1">IFERROR((VLOOKUP($AH$6,'[1]هزینه اداری عمومی'!$A:$F,2,FALSE)/D152)/$AH$5,0)</f>
        <v>0</v>
      </c>
      <c r="H152" s="268"/>
      <c r="I152" s="269">
        <v>0</v>
      </c>
      <c r="J152" s="270">
        <v>0</v>
      </c>
      <c r="K152" s="351">
        <f>SUM(H152:J152)</f>
        <v>0</v>
      </c>
      <c r="L152" s="331">
        <f>IF($A$1="صنایع شیر ایران",IFERROR(('[1]هزینه اداری عمومی'!$C$26/(I152+H152+J152))/$AH$5,0),IFERROR(('[1]هزینه اداری عمومی'!$C$26/(I152+H152))/$AH$5,0))</f>
        <v>0</v>
      </c>
      <c r="M152" s="352">
        <f ca="1">IFERROR((VLOOKUP($AH$6,'[1]هزینه اداری عمومی'!$A:$F,3,FALSE)/J152)/$AH$5,0)</f>
        <v>0</v>
      </c>
      <c r="N152" s="268"/>
      <c r="O152" s="269">
        <v>0</v>
      </c>
      <c r="P152" s="270">
        <v>0</v>
      </c>
      <c r="Q152" s="351">
        <f>SUM(N152:P152)</f>
        <v>0</v>
      </c>
      <c r="R152" s="331">
        <f>IF($A$1="صنایع شیر ایران",IFERROR(('[1]هزینه اداری عمومی'!$D$26/(O152+N152+P152))/$AH$5,0),IFERROR(('[1]هزینه اداری عمومی'!$D$26/(O152+N152))/$AH$5,0))</f>
        <v>0</v>
      </c>
      <c r="S152" s="352">
        <f ca="1">IFERROR((VLOOKUP($AH$6,'[1]هزینه اداری عمومی'!$A:$F,4,FALSE)/P152)/$AH$5,0)</f>
        <v>0</v>
      </c>
      <c r="T152" s="353" t="str">
        <f t="shared" si="70"/>
        <v>-</v>
      </c>
      <c r="U152" s="354">
        <f t="shared" si="71"/>
        <v>500</v>
      </c>
      <c r="V152" s="355" t="str">
        <f t="shared" si="72"/>
        <v>-</v>
      </c>
      <c r="W152" s="354">
        <f t="shared" si="73"/>
        <v>500</v>
      </c>
      <c r="X152" s="355" t="str">
        <f t="shared" si="74"/>
        <v>-</v>
      </c>
      <c r="Y152" s="356">
        <f t="shared" si="75"/>
        <v>500</v>
      </c>
      <c r="Z152" s="356" t="str">
        <f t="shared" si="76"/>
        <v>-</v>
      </c>
      <c r="AA152" s="343" t="str">
        <f t="shared" si="76"/>
        <v>-</v>
      </c>
      <c r="AB152" s="354">
        <f t="shared" si="77"/>
        <v>500</v>
      </c>
      <c r="AC152" s="345" t="str">
        <f ca="1">IFERROR(S152*100/M152,"-")</f>
        <v>-</v>
      </c>
      <c r="AD152" s="356">
        <f ca="1">IFERROR(ABS(AC152-100),500)</f>
        <v>500</v>
      </c>
    </row>
    <row r="153" spans="1:31" ht="35.1" customHeight="1" thickBot="1" x14ac:dyDescent="0.25">
      <c r="A153" s="357" t="s">
        <v>60</v>
      </c>
      <c r="B153" s="358">
        <f>SUM(B148:B152)</f>
        <v>0</v>
      </c>
      <c r="C153" s="359">
        <f>SUM(C148:C152)</f>
        <v>4</v>
      </c>
      <c r="D153" s="360">
        <f>SUM(D148:D152)</f>
        <v>0</v>
      </c>
      <c r="E153" s="361">
        <f>SUM(E148:E152)</f>
        <v>4</v>
      </c>
      <c r="F153" s="362">
        <f>IF($A$1="صنایع شیر ایران",IFERROR(((SUM(F149*(C149+B149+D149),F152*(C152+B152+D152),F148*(C148+B148+D148)))/(C153+B153+D153)),0),IFERROR(((SUM(F149*(C149+B149),F150*(C150+B150),F151*(C151+B151),F152*(C152+B152),F148*(C148+B148)))/(C153+B153)),0))</f>
        <v>31625.416666666668</v>
      </c>
      <c r="G153" s="363">
        <f ca="1">IFERROR((G148*(D149+D148)+G150*(D151+D150)+G152*D152)/(D153),0)</f>
        <v>0</v>
      </c>
      <c r="H153" s="358">
        <f>SUM(H148:H152)</f>
        <v>0</v>
      </c>
      <c r="I153" s="359">
        <f>SUM(I148:I152)</f>
        <v>4</v>
      </c>
      <c r="J153" s="360">
        <f>SUM(J148:J152)</f>
        <v>0</v>
      </c>
      <c r="K153" s="361">
        <f>SUM(K148:K152)</f>
        <v>4</v>
      </c>
      <c r="L153" s="362">
        <f ca="1">IF($A$1="صنایع شیر ایران",IFERROR(((SUM(L149*(I149+H149+J149),L152*(I152+H152+J152),L148*(I148+H148+J148)))/(I153+H153+J153)),0),IFERROR(((SUM(L149*(I149+H149),L150*(I150+H150),L151*(I151+H151),L152*(I152+H152),L148*(I148+H148)))/(I153+H153)),0))</f>
        <v>0</v>
      </c>
      <c r="M153" s="363">
        <f ca="1">IFERROR((M148*(J149+J148)+M150*(J151+J150)+M152*J152)/(J153),0)</f>
        <v>0</v>
      </c>
      <c r="N153" s="358">
        <f>SUM(N148:N152)</f>
        <v>0</v>
      </c>
      <c r="O153" s="359">
        <f>SUM(O148:O152)</f>
        <v>4</v>
      </c>
      <c r="P153" s="360">
        <f>SUM(P148:P152)</f>
        <v>0</v>
      </c>
      <c r="Q153" s="361">
        <f>SUM(Q148:Q152)</f>
        <v>4</v>
      </c>
      <c r="R153" s="362">
        <f>IF($A$1="صنایع شیر ایران",IFERROR(((SUM(R149*(O149+N149+P149),R152*(O152+N152+P152),R148*(O148+N148+P148)))/(O153+N153+P153)),0),IFERROR(((SUM(R149*(O149+N149),R150*(O150+N150),R151*(O151+N151),R152*(O152+N152),R148*(O148+N148)))/(O153+N153)),0))</f>
        <v>51751.875</v>
      </c>
      <c r="S153" s="363">
        <f ca="1">IFERROR((S148*(P149+P148)+S150*(P151+P150)+S152*P152)/(P153),0)</f>
        <v>0</v>
      </c>
      <c r="T153" s="364" t="str">
        <f t="shared" si="70"/>
        <v>-</v>
      </c>
      <c r="U153" s="365">
        <f t="shared" si="71"/>
        <v>500</v>
      </c>
      <c r="V153" s="366">
        <f t="shared" si="72"/>
        <v>100</v>
      </c>
      <c r="W153" s="365">
        <f t="shared" si="73"/>
        <v>0</v>
      </c>
      <c r="X153" s="366" t="str">
        <f t="shared" si="74"/>
        <v>-</v>
      </c>
      <c r="Y153" s="367">
        <f t="shared" si="75"/>
        <v>500</v>
      </c>
      <c r="Z153" s="367">
        <f t="shared" si="76"/>
        <v>100</v>
      </c>
      <c r="AA153" s="364" t="str">
        <f t="shared" ca="1" si="76"/>
        <v>-</v>
      </c>
      <c r="AB153" s="365">
        <f t="shared" ca="1" si="77"/>
        <v>500</v>
      </c>
      <c r="AC153" s="366" t="str">
        <f ca="1">IFERROR(S153*100/M153,"-")</f>
        <v>-</v>
      </c>
      <c r="AD153" s="367">
        <f ca="1">IFERROR(ABS(AC153-100),500)</f>
        <v>500</v>
      </c>
    </row>
    <row r="154" spans="1:31" ht="35.1" customHeight="1" thickTop="1" thickBot="1" x14ac:dyDescent="0.25">
      <c r="A154" s="368" t="s">
        <v>61</v>
      </c>
      <c r="B154" s="289"/>
      <c r="C154" s="290"/>
      <c r="D154" s="291"/>
      <c r="E154" s="369">
        <f>SUM(B154:D154)</f>
        <v>0</v>
      </c>
      <c r="F154" s="293"/>
      <c r="G154" s="294"/>
      <c r="H154" s="289"/>
      <c r="I154" s="290"/>
      <c r="J154" s="291"/>
      <c r="K154" s="369">
        <f>SUM(H154:J154)</f>
        <v>0</v>
      </c>
      <c r="L154" s="293"/>
      <c r="M154" s="294"/>
      <c r="N154" s="289"/>
      <c r="O154" s="290"/>
      <c r="P154" s="291"/>
      <c r="Q154" s="369">
        <f>SUM(N154:P154)</f>
        <v>0</v>
      </c>
      <c r="R154" s="293"/>
      <c r="S154" s="294"/>
      <c r="T154" s="370" t="str">
        <f t="shared" si="70"/>
        <v>-</v>
      </c>
      <c r="U154" s="371">
        <f t="shared" si="71"/>
        <v>500</v>
      </c>
      <c r="V154" s="372" t="str">
        <f t="shared" si="72"/>
        <v>-</v>
      </c>
      <c r="W154" s="371">
        <f t="shared" si="73"/>
        <v>500</v>
      </c>
      <c r="X154" s="372" t="str">
        <f t="shared" si="74"/>
        <v>-</v>
      </c>
      <c r="Y154" s="373">
        <f t="shared" si="75"/>
        <v>500</v>
      </c>
      <c r="Z154" s="373" t="str">
        <f t="shared" si="76"/>
        <v>-</v>
      </c>
      <c r="AA154" s="370" t="str">
        <f t="shared" si="76"/>
        <v>-</v>
      </c>
      <c r="AB154" s="371">
        <f t="shared" si="77"/>
        <v>500</v>
      </c>
      <c r="AC154" s="372" t="str">
        <f>IFERROR(S154*100/M154,"-")</f>
        <v>-</v>
      </c>
      <c r="AD154" s="373">
        <f>IFERROR(ABS(AC154-100),500)</f>
        <v>500</v>
      </c>
    </row>
    <row r="155" spans="1:31" ht="21.75" thickBot="1" x14ac:dyDescent="0.25"/>
    <row r="156" spans="1:31" ht="25.5" x14ac:dyDescent="0.2">
      <c r="A156" s="374" t="s">
        <v>62</v>
      </c>
      <c r="B156" s="375"/>
      <c r="C156" s="375"/>
      <c r="D156" s="375"/>
      <c r="E156" s="375"/>
      <c r="F156" s="375"/>
      <c r="G156" s="375"/>
      <c r="H156" s="375"/>
      <c r="I156" s="375"/>
      <c r="J156" s="375"/>
      <c r="K156" s="375"/>
      <c r="L156" s="375"/>
      <c r="M156" s="375"/>
      <c r="N156" s="375"/>
      <c r="O156" s="375"/>
      <c r="P156" s="375"/>
      <c r="Q156" s="375"/>
      <c r="R156" s="375"/>
      <c r="S156" s="376"/>
    </row>
    <row r="157" spans="1:31" x14ac:dyDescent="0.2">
      <c r="A157" s="377"/>
      <c r="B157" s="378"/>
      <c r="C157" s="378"/>
      <c r="D157" s="378"/>
      <c r="E157" s="378"/>
      <c r="F157" s="378"/>
      <c r="G157" s="378"/>
      <c r="H157" s="378"/>
      <c r="I157" s="378"/>
      <c r="J157" s="378"/>
      <c r="K157" s="378"/>
      <c r="L157" s="378"/>
      <c r="M157" s="378"/>
      <c r="N157" s="378"/>
      <c r="O157" s="378"/>
      <c r="P157" s="378"/>
      <c r="Q157" s="378"/>
      <c r="R157" s="378"/>
      <c r="S157" s="379"/>
    </row>
    <row r="158" spans="1:31" x14ac:dyDescent="0.2">
      <c r="A158" s="377"/>
      <c r="B158" s="378"/>
      <c r="C158" s="378"/>
      <c r="D158" s="378"/>
      <c r="E158" s="378"/>
      <c r="F158" s="378"/>
      <c r="G158" s="378"/>
      <c r="H158" s="378"/>
      <c r="I158" s="378"/>
      <c r="J158" s="378"/>
      <c r="K158" s="378"/>
      <c r="L158" s="378"/>
      <c r="M158" s="378"/>
      <c r="N158" s="378"/>
      <c r="O158" s="378"/>
      <c r="P158" s="378"/>
      <c r="Q158" s="378"/>
      <c r="R158" s="378"/>
      <c r="S158" s="379"/>
    </row>
    <row r="159" spans="1:31" x14ac:dyDescent="0.2">
      <c r="A159" s="377"/>
      <c r="B159" s="378"/>
      <c r="C159" s="378"/>
      <c r="D159" s="378"/>
      <c r="E159" s="378"/>
      <c r="F159" s="378"/>
      <c r="G159" s="378"/>
      <c r="H159" s="378"/>
      <c r="I159" s="378"/>
      <c r="J159" s="378"/>
      <c r="K159" s="378"/>
      <c r="L159" s="378"/>
      <c r="M159" s="378"/>
      <c r="N159" s="378"/>
      <c r="O159" s="378"/>
      <c r="P159" s="378"/>
      <c r="Q159" s="378"/>
      <c r="R159" s="378"/>
      <c r="S159" s="379"/>
    </row>
    <row r="160" spans="1:31" x14ac:dyDescent="0.2">
      <c r="A160" s="377"/>
      <c r="B160" s="378"/>
      <c r="C160" s="378"/>
      <c r="D160" s="378"/>
      <c r="E160" s="378"/>
      <c r="F160" s="378"/>
      <c r="G160" s="378"/>
      <c r="H160" s="378"/>
      <c r="I160" s="378"/>
      <c r="J160" s="378"/>
      <c r="K160" s="378"/>
      <c r="L160" s="378"/>
      <c r="M160" s="378"/>
      <c r="N160" s="378"/>
      <c r="O160" s="378"/>
      <c r="P160" s="378"/>
      <c r="Q160" s="378"/>
      <c r="R160" s="378"/>
      <c r="S160" s="379"/>
    </row>
    <row r="161" spans="1:31" ht="21.75" thickBot="1" x14ac:dyDescent="0.25">
      <c r="A161" s="380"/>
      <c r="B161" s="381"/>
      <c r="C161" s="381"/>
      <c r="D161" s="381"/>
      <c r="E161" s="381"/>
      <c r="F161" s="381"/>
      <c r="G161" s="381"/>
      <c r="H161" s="381"/>
      <c r="I161" s="381"/>
      <c r="J161" s="381"/>
      <c r="K161" s="381"/>
      <c r="L161" s="381"/>
      <c r="M161" s="381"/>
      <c r="N161" s="381"/>
      <c r="O161" s="381"/>
      <c r="P161" s="381"/>
      <c r="Q161" s="381"/>
      <c r="R161" s="381"/>
      <c r="S161" s="382"/>
    </row>
    <row r="163" spans="1:31" ht="29.25" thickBot="1" x14ac:dyDescent="0.25">
      <c r="A163" s="300" t="str">
        <f>"گزارش تعداد پرسنل و سرانه هزینه پرسنلی به تفکیک نوع قرارداد در دوره " &amp; [1]روکش!$F$9 &amp; " سال " &amp; [1]روکش!$D$9&amp;"- مجتمع خراسان/ شعبه "&amp;AE163</f>
        <v>گزارش تعداد پرسنل و سرانه هزینه پرسنلی به تفکیک نوع قرارداد در دوره شش ماهه سال 1405- مجتمع خراسان/ شعبه بیرجند</v>
      </c>
      <c r="B163" s="300"/>
      <c r="C163" s="300"/>
      <c r="D163" s="300"/>
      <c r="E163" s="300"/>
      <c r="F163" s="300"/>
      <c r="G163" s="300"/>
      <c r="H163" s="300"/>
      <c r="I163" s="300"/>
      <c r="J163" s="300"/>
      <c r="K163" s="300"/>
      <c r="L163" s="300"/>
      <c r="M163" s="300"/>
      <c r="N163" s="300"/>
      <c r="O163" s="300"/>
      <c r="P163" s="300"/>
      <c r="Q163" s="300"/>
      <c r="R163" s="300"/>
      <c r="S163" s="300"/>
      <c r="T163" s="300"/>
      <c r="U163" s="300"/>
      <c r="V163" s="300"/>
      <c r="W163" s="300"/>
      <c r="X163" s="300"/>
      <c r="Y163" s="300"/>
      <c r="Z163" s="300"/>
      <c r="AA163" s="300"/>
      <c r="AB163" s="300"/>
      <c r="AC163" s="300"/>
      <c r="AD163" s="300"/>
      <c r="AE163" s="301" t="str">
        <f>[1]واردات!$AA$50</f>
        <v>بیرجند</v>
      </c>
    </row>
    <row r="164" spans="1:31" ht="24.75" thickBot="1" x14ac:dyDescent="0.25">
      <c r="A164" s="302" t="s">
        <v>43</v>
      </c>
      <c r="B164" s="303" t="s">
        <v>44</v>
      </c>
      <c r="C164" s="304"/>
      <c r="D164" s="304"/>
      <c r="E164" s="304"/>
      <c r="F164" s="304"/>
      <c r="G164" s="305"/>
      <c r="H164" s="303" t="s">
        <v>45</v>
      </c>
      <c r="I164" s="304"/>
      <c r="J164" s="304"/>
      <c r="K164" s="304"/>
      <c r="L164" s="304"/>
      <c r="M164" s="305"/>
      <c r="N164" s="303" t="s">
        <v>46</v>
      </c>
      <c r="O164" s="304"/>
      <c r="P164" s="304"/>
      <c r="Q164" s="304"/>
      <c r="R164" s="304"/>
      <c r="S164" s="305"/>
      <c r="T164" s="303" t="s">
        <v>47</v>
      </c>
      <c r="U164" s="304"/>
      <c r="V164" s="304"/>
      <c r="W164" s="304"/>
      <c r="X164" s="304"/>
      <c r="Y164" s="304"/>
      <c r="Z164" s="304"/>
      <c r="AA164" s="304"/>
      <c r="AB164" s="304"/>
      <c r="AC164" s="304"/>
      <c r="AD164" s="305"/>
    </row>
    <row r="165" spans="1:31" ht="63.75" thickBot="1" x14ac:dyDescent="0.25">
      <c r="A165" s="306"/>
      <c r="B165" s="307" t="s">
        <v>48</v>
      </c>
      <c r="C165" s="308" t="s">
        <v>49</v>
      </c>
      <c r="D165" s="309" t="s">
        <v>50</v>
      </c>
      <c r="E165" s="310" t="s">
        <v>51</v>
      </c>
      <c r="F165" s="307" t="s">
        <v>52</v>
      </c>
      <c r="G165" s="309" t="s">
        <v>53</v>
      </c>
      <c r="H165" s="307" t="s">
        <v>48</v>
      </c>
      <c r="I165" s="308" t="s">
        <v>49</v>
      </c>
      <c r="J165" s="309" t="s">
        <v>50</v>
      </c>
      <c r="K165" s="311" t="s">
        <v>51</v>
      </c>
      <c r="L165" s="307" t="s">
        <v>52</v>
      </c>
      <c r="M165" s="309" t="s">
        <v>53</v>
      </c>
      <c r="N165" s="307" t="s">
        <v>48</v>
      </c>
      <c r="O165" s="308" t="s">
        <v>49</v>
      </c>
      <c r="P165" s="309" t="s">
        <v>50</v>
      </c>
      <c r="Q165" s="311" t="s">
        <v>51</v>
      </c>
      <c r="R165" s="307" t="s">
        <v>52</v>
      </c>
      <c r="S165" s="309" t="s">
        <v>53</v>
      </c>
      <c r="T165" s="312" t="s">
        <v>48</v>
      </c>
      <c r="U165" s="313"/>
      <c r="V165" s="314" t="s">
        <v>49</v>
      </c>
      <c r="W165" s="313"/>
      <c r="X165" s="314" t="s">
        <v>50</v>
      </c>
      <c r="Y165" s="315"/>
      <c r="Z165" s="311" t="s">
        <v>51</v>
      </c>
      <c r="AA165" s="312" t="s">
        <v>52</v>
      </c>
      <c r="AB165" s="313"/>
      <c r="AC165" s="314" t="s">
        <v>53</v>
      </c>
      <c r="AD165" s="315"/>
    </row>
    <row r="166" spans="1:31" hidden="1" x14ac:dyDescent="0.2">
      <c r="A166" s="316" t="s">
        <v>54</v>
      </c>
      <c r="B166" s="227"/>
      <c r="C166" s="228"/>
      <c r="D166" s="229"/>
      <c r="E166" s="317">
        <f>SUM(B166:D166)</f>
        <v>0</v>
      </c>
      <c r="F166" s="318">
        <f>IF($A$1="صنایع شیر ایران",IFERROR(('[1]هزینه پرسنلی مستقیم تولید'!$B$31/(C166+B166+D166))/$AH$5,0),IFERROR(('[1]هزینه پرسنلی مستقیم تولید'!$B$31/(C166+B166))/$AH$5,0))</f>
        <v>0</v>
      </c>
      <c r="G166" s="319">
        <f ca="1">IFERROR((VLOOKUP($AH$6,'[1]هزینه سربار تولید'!$A:$F,2,FALSE)/(D166+D167))/$AH$5,0)</f>
        <v>0</v>
      </c>
      <c r="H166" s="320">
        <v>0</v>
      </c>
      <c r="I166" s="321">
        <v>0</v>
      </c>
      <c r="J166" s="322">
        <v>0</v>
      </c>
      <c r="K166" s="317">
        <f>SUM(H166:J166)</f>
        <v>0</v>
      </c>
      <c r="L166" s="318">
        <f ca="1">IF($A$1="صنایع شیر ایران",IFERROR(('[1]هزینه پرسنلی مستقیم تولید'!$C$31/(I166+H166+J166))/$AH$5,0),IFERROR(('[1]هزینه پرسنلی مستقیم تولید'!$C$31/(I166+H166))/$AH$5,0))</f>
        <v>0</v>
      </c>
      <c r="M166" s="319">
        <f ca="1">IFERROR((VLOOKUP($AH$6,'[1]هزینه سربار تولید'!$A:$F,3,FALSE)/(J166+J167))/$AH$5,0)</f>
        <v>0</v>
      </c>
      <c r="N166" s="227"/>
      <c r="O166" s="228"/>
      <c r="P166" s="229"/>
      <c r="Q166" s="317">
        <f>SUM(N166:P166)</f>
        <v>0</v>
      </c>
      <c r="R166" s="318">
        <f>IF($A$1="صنایع شیر ایران",IFERROR(('[1]هزینه پرسنلی مستقیم تولید'!$D$31/(O166+N166+P166))/$AH$5,0),IFERROR(('[1]هزینه پرسنلی مستقیم تولید'!$D$31/(O166+N166))/$AH$5,0))</f>
        <v>0</v>
      </c>
      <c r="S166" s="319">
        <f ca="1">IFERROR((VLOOKUP($AH$6,'[1]هزینه سربار تولید'!$A:$F,4,FALSE)/(P166+P167))/$AH$5,0)</f>
        <v>0</v>
      </c>
      <c r="T166" s="323" t="str">
        <f t="shared" ref="T166:T172" si="78">IFERROR(N166*100/H166,"-")</f>
        <v>-</v>
      </c>
      <c r="U166" s="324">
        <f t="shared" ref="U166:U172" si="79">IFERROR(ABS(T166-100),500)</f>
        <v>500</v>
      </c>
      <c r="V166" s="325" t="str">
        <f t="shared" ref="V166:V172" si="80">IFERROR(O166*100/I166,"-")</f>
        <v>-</v>
      </c>
      <c r="W166" s="324">
        <f t="shared" ref="W166:W172" si="81">IFERROR(ABS(V166-100),500)</f>
        <v>500</v>
      </c>
      <c r="X166" s="325" t="str">
        <f t="shared" ref="X166:X172" si="82">IFERROR(P166*100/J166,"-")</f>
        <v>-</v>
      </c>
      <c r="Y166" s="326">
        <f t="shared" ref="Y166:Y172" si="83">IFERROR(ABS(X166-100),500)</f>
        <v>500</v>
      </c>
      <c r="Z166" s="324" t="str">
        <f t="shared" ref="Z166:AA172" si="84">IFERROR(Q166*100/K166,"-")</f>
        <v>-</v>
      </c>
      <c r="AA166" s="323" t="str">
        <f t="shared" ca="1" si="84"/>
        <v>-</v>
      </c>
      <c r="AB166" s="324">
        <f t="shared" ref="AB166:AB172" ca="1" si="85">IFERROR(ABS(AA166-100),500)</f>
        <v>500</v>
      </c>
      <c r="AC166" s="327" t="str">
        <f ca="1">IFERROR(S166*100/M166,"-")</f>
        <v>-</v>
      </c>
      <c r="AD166" s="328">
        <f ca="1">IFERROR(ABS(AC166-100),500)</f>
        <v>500</v>
      </c>
    </row>
    <row r="167" spans="1:31" hidden="1" x14ac:dyDescent="0.2">
      <c r="A167" s="329" t="s">
        <v>55</v>
      </c>
      <c r="B167" s="244"/>
      <c r="C167" s="245"/>
      <c r="D167" s="246"/>
      <c r="E167" s="330">
        <f>SUM(B167:D167)</f>
        <v>0</v>
      </c>
      <c r="F167" s="331">
        <f>IF($A$1="صنایع شیر ایران",IFERROR(('[1]هزینه پرسنلی غیرمستقیم تولید'!$B$31/(C167+B167+D167))/$AH$5,0),IFERROR(('[1]هزینه پرسنلی غیرمستقیم تولید'!$B$31/(C167+B167))/$AH$5,0))</f>
        <v>0</v>
      </c>
      <c r="G167" s="332"/>
      <c r="H167" s="333">
        <v>0</v>
      </c>
      <c r="I167" s="334">
        <v>0</v>
      </c>
      <c r="J167" s="335">
        <v>0</v>
      </c>
      <c r="K167" s="330">
        <f>SUM(H167:J167)</f>
        <v>0</v>
      </c>
      <c r="L167" s="331">
        <f ca="1">IF($A$1="صنایع شیر ایران",IFERROR(('[1]هزینه پرسنلی غیرمستقیم تولید'!$C$31/(I167+H167+J167))/$AH$5,0),IFERROR(('[1]هزینه پرسنلی غیرمستقیم تولید'!$C$31/(I167+H167))/$AH$5,0))</f>
        <v>0</v>
      </c>
      <c r="M167" s="332"/>
      <c r="N167" s="244"/>
      <c r="O167" s="245"/>
      <c r="P167" s="246"/>
      <c r="Q167" s="330">
        <f>SUM(N167:P167)</f>
        <v>0</v>
      </c>
      <c r="R167" s="331">
        <f>IF($A$1="صنایع شیر ایران",IFERROR(('[1]هزینه پرسنلی غیرمستقیم تولید'!$D$31/(O167+N167+P167))/$AH$5,0),IFERROR(('[1]هزینه پرسنلی غیرمستقیم تولید'!$D$31/(O167+N167))/$AH$5,0))</f>
        <v>0</v>
      </c>
      <c r="S167" s="332"/>
      <c r="T167" s="336" t="str">
        <f t="shared" si="78"/>
        <v>-</v>
      </c>
      <c r="U167" s="337">
        <f t="shared" si="79"/>
        <v>500</v>
      </c>
      <c r="V167" s="338" t="str">
        <f t="shared" si="80"/>
        <v>-</v>
      </c>
      <c r="W167" s="337">
        <f t="shared" si="81"/>
        <v>500</v>
      </c>
      <c r="X167" s="338" t="str">
        <f t="shared" si="82"/>
        <v>-</v>
      </c>
      <c r="Y167" s="339">
        <f t="shared" si="83"/>
        <v>500</v>
      </c>
      <c r="Z167" s="337" t="str">
        <f t="shared" si="84"/>
        <v>-</v>
      </c>
      <c r="AA167" s="336" t="str">
        <f t="shared" ca="1" si="84"/>
        <v>-</v>
      </c>
      <c r="AB167" s="337">
        <f t="shared" ca="1" si="85"/>
        <v>500</v>
      </c>
      <c r="AC167" s="340"/>
      <c r="AD167" s="341"/>
    </row>
    <row r="168" spans="1:31" ht="35.1" customHeight="1" x14ac:dyDescent="0.2">
      <c r="A168" s="329" t="s">
        <v>57</v>
      </c>
      <c r="B168" s="244"/>
      <c r="C168" s="245"/>
      <c r="D168" s="246"/>
      <c r="E168" s="330">
        <f>SUM(B168:D168)</f>
        <v>0</v>
      </c>
      <c r="F168" s="331">
        <f>IFERROR(('هزینه پرسنلی مستقیم خدمات'!$B$31/(C168+B168))/$AH$5,0)</f>
        <v>0</v>
      </c>
      <c r="G168" s="342">
        <f ca="1">IFERROR((VLOOKUP($AH$6,'[1]هزینه سربار خدمات'!$A:$F,2,FALSE)/(D168+D169))/$AH$5,0)</f>
        <v>0</v>
      </c>
      <c r="H168" s="244"/>
      <c r="I168" s="245">
        <v>0</v>
      </c>
      <c r="J168" s="246">
        <v>3</v>
      </c>
      <c r="K168" s="330">
        <f>SUM(H168:J168)</f>
        <v>3</v>
      </c>
      <c r="L168" s="331">
        <f ca="1">IFERROR(('هزینه پرسنلی مستقیم خدمات'!$C$31/(I168+H168))/$AH$5,0)</f>
        <v>0</v>
      </c>
      <c r="M168" s="342">
        <f ca="1">IFERROR((VLOOKUP($AH$6,'[1]هزینه سربار خدمات'!$A:$F,3,FALSE)/(J168+J169))/$AH$5,0)</f>
        <v>6876.4444444444443</v>
      </c>
      <c r="N168" s="244"/>
      <c r="O168" s="245">
        <v>0</v>
      </c>
      <c r="P168" s="246">
        <v>3</v>
      </c>
      <c r="Q168" s="330">
        <f>SUM(N168:P168)</f>
        <v>3</v>
      </c>
      <c r="R168" s="331">
        <f>IFERROR(('هزینه پرسنلی مستقیم خدمات'!$D$31/(O168+N168))/$AH$5,0)</f>
        <v>0</v>
      </c>
      <c r="S168" s="342">
        <f ca="1">IFERROR((VLOOKUP($AH$6,'[1]هزینه سربار خدمات'!$A:$F,4,FALSE)/(P168+P169))/$AH$5,0)</f>
        <v>15747.333333333334</v>
      </c>
      <c r="T168" s="343" t="str">
        <f t="shared" si="78"/>
        <v>-</v>
      </c>
      <c r="U168" s="344">
        <f t="shared" si="79"/>
        <v>500</v>
      </c>
      <c r="V168" s="345" t="str">
        <f t="shared" si="80"/>
        <v>-</v>
      </c>
      <c r="W168" s="344">
        <f t="shared" si="81"/>
        <v>500</v>
      </c>
      <c r="X168" s="345">
        <f t="shared" si="82"/>
        <v>100</v>
      </c>
      <c r="Y168" s="346">
        <f t="shared" si="83"/>
        <v>0</v>
      </c>
      <c r="Z168" s="346">
        <f t="shared" si="84"/>
        <v>100</v>
      </c>
      <c r="AA168" s="343" t="str">
        <f t="shared" ca="1" si="84"/>
        <v>-</v>
      </c>
      <c r="AB168" s="344">
        <f t="shared" ca="1" si="85"/>
        <v>500</v>
      </c>
      <c r="AC168" s="347">
        <f ca="1">IFERROR(S168*100/M168,"-")</f>
        <v>229.00400723888316</v>
      </c>
      <c r="AD168" s="348">
        <f ca="1">IFERROR(ABS(AC168-100),500)</f>
        <v>129.00400723888316</v>
      </c>
    </row>
    <row r="169" spans="1:31" ht="35.1" customHeight="1" x14ac:dyDescent="0.2">
      <c r="A169" s="329" t="s">
        <v>58</v>
      </c>
      <c r="B169" s="244"/>
      <c r="C169" s="245"/>
      <c r="D169" s="246"/>
      <c r="E169" s="330">
        <f>SUM(B169:D169)</f>
        <v>0</v>
      </c>
      <c r="F169" s="331">
        <f>IFERROR(('[1]هزینه پرسنلی غیرمستقیم خدمات'!$B$31/(C169+B169))/$AH$5,0)</f>
        <v>0</v>
      </c>
      <c r="G169" s="332"/>
      <c r="H169" s="244"/>
      <c r="I169" s="245"/>
      <c r="J169" s="246"/>
      <c r="K169" s="330">
        <f>SUM(H169:J169)</f>
        <v>0</v>
      </c>
      <c r="L169" s="331">
        <f ca="1">IFERROR(('[1]هزینه پرسنلی غیرمستقیم خدمات'!$C$31/(I169+H169))/$AH$5,0)</f>
        <v>0</v>
      </c>
      <c r="M169" s="332"/>
      <c r="N169" s="244"/>
      <c r="O169" s="245"/>
      <c r="P169" s="246"/>
      <c r="Q169" s="330">
        <f>SUM(N169:P169)</f>
        <v>0</v>
      </c>
      <c r="R169" s="331">
        <f>IFERROR(('[1]هزینه پرسنلی غیرمستقیم خدمات'!$D$31/(O169+N169))/$AH$5,0)</f>
        <v>0</v>
      </c>
      <c r="S169" s="332"/>
      <c r="T169" s="343" t="str">
        <f t="shared" si="78"/>
        <v>-</v>
      </c>
      <c r="U169" s="344">
        <f t="shared" si="79"/>
        <v>500</v>
      </c>
      <c r="V169" s="345" t="str">
        <f t="shared" si="80"/>
        <v>-</v>
      </c>
      <c r="W169" s="344">
        <f t="shared" si="81"/>
        <v>500</v>
      </c>
      <c r="X169" s="345" t="str">
        <f t="shared" si="82"/>
        <v>-</v>
      </c>
      <c r="Y169" s="346">
        <f t="shared" si="83"/>
        <v>500</v>
      </c>
      <c r="Z169" s="346" t="str">
        <f t="shared" si="84"/>
        <v>-</v>
      </c>
      <c r="AA169" s="343" t="str">
        <f t="shared" ca="1" si="84"/>
        <v>-</v>
      </c>
      <c r="AB169" s="344">
        <f t="shared" ca="1" si="85"/>
        <v>500</v>
      </c>
      <c r="AC169" s="340"/>
      <c r="AD169" s="349"/>
    </row>
    <row r="170" spans="1:31" ht="35.1" customHeight="1" thickBot="1" x14ac:dyDescent="0.25">
      <c r="A170" s="350" t="s">
        <v>59</v>
      </c>
      <c r="B170" s="268"/>
      <c r="C170" s="269">
        <v>1</v>
      </c>
      <c r="D170" s="270"/>
      <c r="E170" s="351">
        <f>SUM(B170:D170)</f>
        <v>1</v>
      </c>
      <c r="F170" s="331">
        <f>IF($A$1="صنایع شیر ایران",IFERROR(('[1]هزینه اداری عمومی'!$B$26/(C170+B170+D170))/$AH$5,0),IFERROR(('[1]هزینه اداری عمومی'!$B$26/(C170+B170))/$AH$5,0))</f>
        <v>23562</v>
      </c>
      <c r="G170" s="352">
        <f ca="1">IFERROR((VLOOKUP($AH$6,'[1]هزینه اداری عمومی'!$A:$F,2,FALSE)/D170)/$AH$5,0)</f>
        <v>0</v>
      </c>
      <c r="H170" s="268"/>
      <c r="I170" s="269">
        <v>1</v>
      </c>
      <c r="J170" s="270"/>
      <c r="K170" s="351">
        <f>SUM(H170:J170)</f>
        <v>1</v>
      </c>
      <c r="L170" s="331">
        <f>IF($A$1="صنایع شیر ایران",IFERROR(('[1]هزینه اداری عمومی'!$C$26/(I170+H170+J170))/$AH$5,0),IFERROR(('[1]هزینه اداری عمومی'!$C$26/(I170+H170))/$AH$5,0))</f>
        <v>31655</v>
      </c>
      <c r="M170" s="352">
        <f ca="1">IFERROR((VLOOKUP($AH$6,'[1]هزینه اداری عمومی'!$A:$F,3,FALSE)/J170)/$AH$5,0)</f>
        <v>0</v>
      </c>
      <c r="N170" s="268"/>
      <c r="O170" s="269">
        <v>2</v>
      </c>
      <c r="P170" s="270"/>
      <c r="Q170" s="351">
        <f>SUM(N170:P170)</f>
        <v>2</v>
      </c>
      <c r="R170" s="331">
        <f>IF($A$1="صنایع شیر ایران",IFERROR(('[1]هزینه اداری عمومی'!$D$26/(O170+N170+P170))/$AH$5,0),IFERROR(('[1]هزینه اداری عمومی'!$D$26/(O170+N170))/$AH$5,0))</f>
        <v>18702.833333333332</v>
      </c>
      <c r="S170" s="352">
        <f ca="1">IFERROR((VLOOKUP($AH$6,'[1]هزینه اداری عمومی'!$A:$F,4,FALSE)/P170)/$AH$5,0)</f>
        <v>0</v>
      </c>
      <c r="T170" s="353" t="str">
        <f t="shared" si="78"/>
        <v>-</v>
      </c>
      <c r="U170" s="354">
        <f t="shared" si="79"/>
        <v>500</v>
      </c>
      <c r="V170" s="355">
        <f t="shared" si="80"/>
        <v>200</v>
      </c>
      <c r="W170" s="354">
        <f t="shared" si="81"/>
        <v>100</v>
      </c>
      <c r="X170" s="355" t="str">
        <f t="shared" si="82"/>
        <v>-</v>
      </c>
      <c r="Y170" s="356">
        <f t="shared" si="83"/>
        <v>500</v>
      </c>
      <c r="Z170" s="356">
        <f t="shared" si="84"/>
        <v>200</v>
      </c>
      <c r="AA170" s="343">
        <f t="shared" si="84"/>
        <v>59.083346496077503</v>
      </c>
      <c r="AB170" s="354">
        <f t="shared" si="85"/>
        <v>40.916653503922497</v>
      </c>
      <c r="AC170" s="345" t="str">
        <f ca="1">IFERROR(S170*100/M170,"-")</f>
        <v>-</v>
      </c>
      <c r="AD170" s="356">
        <f ca="1">IFERROR(ABS(AC170-100),500)</f>
        <v>500</v>
      </c>
    </row>
    <row r="171" spans="1:31" ht="35.1" customHeight="1" thickBot="1" x14ac:dyDescent="0.25">
      <c r="A171" s="357" t="s">
        <v>60</v>
      </c>
      <c r="B171" s="358">
        <f>SUM(B166:B170)</f>
        <v>0</v>
      </c>
      <c r="C171" s="359">
        <f>SUM(C166:C170)</f>
        <v>1</v>
      </c>
      <c r="D171" s="360">
        <f>SUM(D166:D170)</f>
        <v>0</v>
      </c>
      <c r="E171" s="361">
        <f>SUM(E166:E170)</f>
        <v>1</v>
      </c>
      <c r="F171" s="362">
        <f>IF($A$1="صنایع شیر ایران",IFERROR(((SUM(F167*(C167+B167+D167),F170*(C170+B170+D170),F166*(C166+B166+D166)))/(C171+B171+D171)),0),IFERROR(((SUM(F167*(C167+B167),F168*(C168+B168),F169*(C169+B169),F170*(C170+B170),F166*(C166+B166)))/(C171+B171)),0))</f>
        <v>23562</v>
      </c>
      <c r="G171" s="363">
        <f ca="1">IFERROR((G166*(D167+D166)+G168*(D169+D168)+G170*D170)/(D171),0)</f>
        <v>0</v>
      </c>
      <c r="H171" s="358">
        <f>SUM(H166:H170)</f>
        <v>0</v>
      </c>
      <c r="I171" s="359">
        <f>SUM(I166:I170)</f>
        <v>1</v>
      </c>
      <c r="J171" s="360">
        <f>SUM(J166:J170)</f>
        <v>3</v>
      </c>
      <c r="K171" s="361">
        <f>SUM(K166:K170)</f>
        <v>4</v>
      </c>
      <c r="L171" s="362">
        <f ca="1">IF($A$1="صنایع شیر ایران",IFERROR(((SUM(L167*(I167+H167+J167),L170*(I170+H170+J170),L166*(I166+H166+J166)))/(I171+H171+J171)),0),IFERROR(((SUM(L167*(I167+H167),L168*(I168+H168),L169*(I169+H169),L170*(I170+H170),L166*(I166+H166)))/(I171+H171)),0))</f>
        <v>31655</v>
      </c>
      <c r="M171" s="363">
        <f ca="1">IFERROR((M166*(J167+J166)+M168*(J169+J168)+M170*J170)/(J171),0)</f>
        <v>6876.4444444444443</v>
      </c>
      <c r="N171" s="358">
        <f>SUM(N166:N170)</f>
        <v>0</v>
      </c>
      <c r="O171" s="359">
        <f>SUM(O166:O170)</f>
        <v>2</v>
      </c>
      <c r="P171" s="360">
        <f>SUM(P166:P170)</f>
        <v>3</v>
      </c>
      <c r="Q171" s="361">
        <f>SUM(Q166:Q170)</f>
        <v>5</v>
      </c>
      <c r="R171" s="362">
        <f>IF($A$1="صنایع شیر ایران",IFERROR(((SUM(R167*(O167+N167+P167),R170*(O170+N170+P170),R166*(O166+N166+P166)))/(O171+N171+P171)),0),IFERROR(((SUM(R167*(O167+N167),R168*(O168+N168),R169*(O169+N169),R170*(O170+N170),R166*(O166+N166)))/(O171+N171)),0))</f>
        <v>18702.833333333332</v>
      </c>
      <c r="S171" s="363">
        <f ca="1">IFERROR((S166*(P167+P166)+S168*(P169+P168)+S170*P170)/(P171),0)</f>
        <v>15747.333333333334</v>
      </c>
      <c r="T171" s="364" t="str">
        <f t="shared" si="78"/>
        <v>-</v>
      </c>
      <c r="U171" s="365">
        <f t="shared" si="79"/>
        <v>500</v>
      </c>
      <c r="V171" s="366">
        <f t="shared" si="80"/>
        <v>200</v>
      </c>
      <c r="W171" s="365">
        <f t="shared" si="81"/>
        <v>100</v>
      </c>
      <c r="X171" s="366">
        <f t="shared" si="82"/>
        <v>100</v>
      </c>
      <c r="Y171" s="367">
        <f t="shared" si="83"/>
        <v>0</v>
      </c>
      <c r="Z171" s="367">
        <f t="shared" si="84"/>
        <v>125</v>
      </c>
      <c r="AA171" s="364">
        <f t="shared" ca="1" si="84"/>
        <v>59.083346496077503</v>
      </c>
      <c r="AB171" s="365">
        <f t="shared" ca="1" si="85"/>
        <v>40.916653503922497</v>
      </c>
      <c r="AC171" s="366">
        <f ca="1">IFERROR(S171*100/M171,"-")</f>
        <v>229.00400723888316</v>
      </c>
      <c r="AD171" s="367">
        <f ca="1">IFERROR(ABS(AC171-100),500)</f>
        <v>129.00400723888316</v>
      </c>
    </row>
    <row r="172" spans="1:31" ht="35.1" customHeight="1" thickTop="1" thickBot="1" x14ac:dyDescent="0.25">
      <c r="A172" s="368" t="s">
        <v>61</v>
      </c>
      <c r="B172" s="289"/>
      <c r="C172" s="290"/>
      <c r="D172" s="291"/>
      <c r="E172" s="369">
        <f>SUM(B172:D172)</f>
        <v>0</v>
      </c>
      <c r="F172" s="293"/>
      <c r="G172" s="294"/>
      <c r="H172" s="289"/>
      <c r="I172" s="290"/>
      <c r="J172" s="291"/>
      <c r="K172" s="369">
        <f>SUM(H172:J172)</f>
        <v>0</v>
      </c>
      <c r="L172" s="293"/>
      <c r="M172" s="294"/>
      <c r="N172" s="289"/>
      <c r="O172" s="290"/>
      <c r="P172" s="291"/>
      <c r="Q172" s="369">
        <f>SUM(N172:P172)</f>
        <v>0</v>
      </c>
      <c r="R172" s="293"/>
      <c r="S172" s="294"/>
      <c r="T172" s="370" t="str">
        <f t="shared" si="78"/>
        <v>-</v>
      </c>
      <c r="U172" s="371">
        <f t="shared" si="79"/>
        <v>500</v>
      </c>
      <c r="V172" s="372" t="str">
        <f t="shared" si="80"/>
        <v>-</v>
      </c>
      <c r="W172" s="371">
        <f t="shared" si="81"/>
        <v>500</v>
      </c>
      <c r="X172" s="372" t="str">
        <f t="shared" si="82"/>
        <v>-</v>
      </c>
      <c r="Y172" s="373">
        <f t="shared" si="83"/>
        <v>500</v>
      </c>
      <c r="Z172" s="373" t="str">
        <f t="shared" si="84"/>
        <v>-</v>
      </c>
      <c r="AA172" s="370" t="str">
        <f t="shared" si="84"/>
        <v>-</v>
      </c>
      <c r="AB172" s="371">
        <f t="shared" si="85"/>
        <v>500</v>
      </c>
      <c r="AC172" s="372" t="str">
        <f>IFERROR(S172*100/M172,"-")</f>
        <v>-</v>
      </c>
      <c r="AD172" s="373">
        <f>IFERROR(ABS(AC172-100),500)</f>
        <v>500</v>
      </c>
    </row>
    <row r="173" spans="1:31" ht="21.75" thickBot="1" x14ac:dyDescent="0.25"/>
    <row r="174" spans="1:31" ht="25.5" x14ac:dyDescent="0.2">
      <c r="A174" s="374" t="s">
        <v>62</v>
      </c>
      <c r="B174" s="375"/>
      <c r="C174" s="375"/>
      <c r="D174" s="375"/>
      <c r="E174" s="375"/>
      <c r="F174" s="375"/>
      <c r="G174" s="375"/>
      <c r="H174" s="375"/>
      <c r="I174" s="375"/>
      <c r="J174" s="375"/>
      <c r="K174" s="375"/>
      <c r="L174" s="375"/>
      <c r="M174" s="375"/>
      <c r="N174" s="375"/>
      <c r="O174" s="375"/>
      <c r="P174" s="375"/>
      <c r="Q174" s="375"/>
      <c r="R174" s="375"/>
      <c r="S174" s="376"/>
    </row>
    <row r="175" spans="1:31" x14ac:dyDescent="0.2">
      <c r="A175" s="377"/>
      <c r="B175" s="378"/>
      <c r="C175" s="378"/>
      <c r="D175" s="378"/>
      <c r="E175" s="378"/>
      <c r="F175" s="378"/>
      <c r="G175" s="378"/>
      <c r="H175" s="378"/>
      <c r="I175" s="378"/>
      <c r="J175" s="378"/>
      <c r="K175" s="378"/>
      <c r="L175" s="378"/>
      <c r="M175" s="378"/>
      <c r="N175" s="378"/>
      <c r="O175" s="378"/>
      <c r="P175" s="378"/>
      <c r="Q175" s="378"/>
      <c r="R175" s="378"/>
      <c r="S175" s="379"/>
    </row>
    <row r="176" spans="1:31" x14ac:dyDescent="0.2">
      <c r="A176" s="377"/>
      <c r="B176" s="378"/>
      <c r="C176" s="378"/>
      <c r="D176" s="378"/>
      <c r="E176" s="378"/>
      <c r="F176" s="378"/>
      <c r="G176" s="378"/>
      <c r="H176" s="378"/>
      <c r="I176" s="378"/>
      <c r="J176" s="378"/>
      <c r="K176" s="378"/>
      <c r="L176" s="378"/>
      <c r="M176" s="378"/>
      <c r="N176" s="378"/>
      <c r="O176" s="378"/>
      <c r="P176" s="378"/>
      <c r="Q176" s="378"/>
      <c r="R176" s="378"/>
      <c r="S176" s="379"/>
    </row>
    <row r="177" spans="1:31" x14ac:dyDescent="0.2">
      <c r="A177" s="377"/>
      <c r="B177" s="378"/>
      <c r="C177" s="378"/>
      <c r="D177" s="378"/>
      <c r="E177" s="378"/>
      <c r="F177" s="378"/>
      <c r="G177" s="378"/>
      <c r="H177" s="378"/>
      <c r="I177" s="378"/>
      <c r="J177" s="378"/>
      <c r="K177" s="378"/>
      <c r="L177" s="378"/>
      <c r="M177" s="378"/>
      <c r="N177" s="378"/>
      <c r="O177" s="378"/>
      <c r="P177" s="378"/>
      <c r="Q177" s="378"/>
      <c r="R177" s="378"/>
      <c r="S177" s="379"/>
    </row>
    <row r="178" spans="1:31" x14ac:dyDescent="0.2">
      <c r="A178" s="377"/>
      <c r="B178" s="378"/>
      <c r="C178" s="378"/>
      <c r="D178" s="378"/>
      <c r="E178" s="378"/>
      <c r="F178" s="378"/>
      <c r="G178" s="378"/>
      <c r="H178" s="378"/>
      <c r="I178" s="378"/>
      <c r="J178" s="378"/>
      <c r="K178" s="378"/>
      <c r="L178" s="378"/>
      <c r="M178" s="378"/>
      <c r="N178" s="378"/>
      <c r="O178" s="378"/>
      <c r="P178" s="378"/>
      <c r="Q178" s="378"/>
      <c r="R178" s="378"/>
      <c r="S178" s="379"/>
    </row>
    <row r="179" spans="1:31" ht="21.75" thickBot="1" x14ac:dyDescent="0.25">
      <c r="A179" s="380"/>
      <c r="B179" s="381"/>
      <c r="C179" s="381"/>
      <c r="D179" s="381"/>
      <c r="E179" s="381"/>
      <c r="F179" s="381"/>
      <c r="G179" s="381"/>
      <c r="H179" s="381"/>
      <c r="I179" s="381"/>
      <c r="J179" s="381"/>
      <c r="K179" s="381"/>
      <c r="L179" s="381"/>
      <c r="M179" s="381"/>
      <c r="N179" s="381"/>
      <c r="O179" s="381"/>
      <c r="P179" s="381"/>
      <c r="Q179" s="381"/>
      <c r="R179" s="381"/>
      <c r="S179" s="382"/>
    </row>
    <row r="181" spans="1:31" ht="29.25" thickBot="1" x14ac:dyDescent="0.25">
      <c r="A181" s="300" t="str">
        <f>"گزارش تعداد پرسنل و سرانه هزینه پرسنلی به تفکیک نوع قرارداد در دوره " &amp; [1]روکش!$F$9 &amp; " سال " &amp; [1]روکش!$D$9&amp;"- مجتمع خراسان/ شعبه "&amp;AE181</f>
        <v>گزارش تعداد پرسنل و سرانه هزینه پرسنلی به تفکیک نوع قرارداد در دوره شش ماهه سال 1405- مجتمع خراسان/ شعبه باجگیران</v>
      </c>
      <c r="B181" s="300"/>
      <c r="C181" s="300"/>
      <c r="D181" s="300"/>
      <c r="E181" s="300"/>
      <c r="F181" s="300"/>
      <c r="G181" s="300"/>
      <c r="H181" s="300"/>
      <c r="I181" s="300"/>
      <c r="J181" s="300"/>
      <c r="K181" s="300"/>
      <c r="L181" s="300"/>
      <c r="M181" s="300"/>
      <c r="N181" s="300"/>
      <c r="O181" s="300"/>
      <c r="P181" s="300"/>
      <c r="Q181" s="300"/>
      <c r="R181" s="300"/>
      <c r="S181" s="300"/>
      <c r="T181" s="300"/>
      <c r="U181" s="300"/>
      <c r="V181" s="300"/>
      <c r="W181" s="300"/>
      <c r="X181" s="300"/>
      <c r="Y181" s="300"/>
      <c r="Z181" s="300"/>
      <c r="AA181" s="300"/>
      <c r="AB181" s="300"/>
      <c r="AC181" s="300"/>
      <c r="AD181" s="300"/>
      <c r="AE181" s="301" t="str">
        <f>[1]واردات!$AA$51</f>
        <v>باجگیران</v>
      </c>
    </row>
    <row r="182" spans="1:31" ht="24.75" thickBot="1" x14ac:dyDescent="0.25">
      <c r="A182" s="302" t="s">
        <v>43</v>
      </c>
      <c r="B182" s="303" t="s">
        <v>44</v>
      </c>
      <c r="C182" s="304"/>
      <c r="D182" s="304"/>
      <c r="E182" s="304"/>
      <c r="F182" s="304"/>
      <c r="G182" s="305"/>
      <c r="H182" s="303" t="s">
        <v>45</v>
      </c>
      <c r="I182" s="304"/>
      <c r="J182" s="304"/>
      <c r="K182" s="304"/>
      <c r="L182" s="304"/>
      <c r="M182" s="305"/>
      <c r="N182" s="303" t="s">
        <v>46</v>
      </c>
      <c r="O182" s="304"/>
      <c r="P182" s="304"/>
      <c r="Q182" s="304"/>
      <c r="R182" s="304"/>
      <c r="S182" s="305"/>
      <c r="T182" s="303" t="s">
        <v>47</v>
      </c>
      <c r="U182" s="304"/>
      <c r="V182" s="304"/>
      <c r="W182" s="304"/>
      <c r="X182" s="304"/>
      <c r="Y182" s="304"/>
      <c r="Z182" s="304"/>
      <c r="AA182" s="304"/>
      <c r="AB182" s="304"/>
      <c r="AC182" s="304"/>
      <c r="AD182" s="305"/>
    </row>
    <row r="183" spans="1:31" ht="63.75" thickBot="1" x14ac:dyDescent="0.25">
      <c r="A183" s="306"/>
      <c r="B183" s="307" t="s">
        <v>48</v>
      </c>
      <c r="C183" s="308" t="s">
        <v>49</v>
      </c>
      <c r="D183" s="309" t="s">
        <v>50</v>
      </c>
      <c r="E183" s="310" t="s">
        <v>51</v>
      </c>
      <c r="F183" s="307" t="s">
        <v>52</v>
      </c>
      <c r="G183" s="309" t="s">
        <v>53</v>
      </c>
      <c r="H183" s="307" t="s">
        <v>48</v>
      </c>
      <c r="I183" s="308" t="s">
        <v>49</v>
      </c>
      <c r="J183" s="309" t="s">
        <v>50</v>
      </c>
      <c r="K183" s="311" t="s">
        <v>51</v>
      </c>
      <c r="L183" s="307" t="s">
        <v>52</v>
      </c>
      <c r="M183" s="309" t="s">
        <v>53</v>
      </c>
      <c r="N183" s="307" t="s">
        <v>48</v>
      </c>
      <c r="O183" s="308" t="s">
        <v>49</v>
      </c>
      <c r="P183" s="309" t="s">
        <v>50</v>
      </c>
      <c r="Q183" s="311" t="s">
        <v>51</v>
      </c>
      <c r="R183" s="307" t="s">
        <v>52</v>
      </c>
      <c r="S183" s="309" t="s">
        <v>53</v>
      </c>
      <c r="T183" s="312" t="s">
        <v>48</v>
      </c>
      <c r="U183" s="313"/>
      <c r="V183" s="314" t="s">
        <v>49</v>
      </c>
      <c r="W183" s="313"/>
      <c r="X183" s="314" t="s">
        <v>50</v>
      </c>
      <c r="Y183" s="315"/>
      <c r="Z183" s="311" t="s">
        <v>51</v>
      </c>
      <c r="AA183" s="312" t="s">
        <v>52</v>
      </c>
      <c r="AB183" s="313"/>
      <c r="AC183" s="314" t="s">
        <v>53</v>
      </c>
      <c r="AD183" s="315"/>
    </row>
    <row r="184" spans="1:31" hidden="1" x14ac:dyDescent="0.2">
      <c r="A184" s="316" t="s">
        <v>54</v>
      </c>
      <c r="B184" s="227"/>
      <c r="C184" s="228"/>
      <c r="D184" s="229"/>
      <c r="E184" s="317">
        <f>SUM(B184:D184)</f>
        <v>0</v>
      </c>
      <c r="F184" s="318">
        <f>IF($A$1="صنایع شیر ایران",IFERROR(('[1]هزینه پرسنلی مستقیم تولید'!$B$31/(C184+B184+D184))/$AH$5,0),IFERROR(('[1]هزینه پرسنلی مستقیم تولید'!$B$31/(C184+B184))/$AH$5,0))</f>
        <v>0</v>
      </c>
      <c r="G184" s="319">
        <f ca="1">IFERROR((VLOOKUP($AH$6,'[1]هزینه سربار تولید'!$A:$F,2,FALSE)/(D184+D185))/$AH$5,0)</f>
        <v>0</v>
      </c>
      <c r="H184" s="320">
        <v>0</v>
      </c>
      <c r="I184" s="321">
        <v>0</v>
      </c>
      <c r="J184" s="322">
        <v>0</v>
      </c>
      <c r="K184" s="317">
        <f>SUM(H184:J184)</f>
        <v>0</v>
      </c>
      <c r="L184" s="318">
        <f ca="1">IF($A$1="صنایع شیر ایران",IFERROR(('[1]هزینه پرسنلی مستقیم تولید'!$C$31/(I184+H184+J184))/$AH$5,0),IFERROR(('[1]هزینه پرسنلی مستقیم تولید'!$C$31/(I184+H184))/$AH$5,0))</f>
        <v>0</v>
      </c>
      <c r="M184" s="319">
        <f ca="1">IFERROR((VLOOKUP($AH$6,'[1]هزینه سربار تولید'!$A:$F,3,FALSE)/(J184+J185))/$AH$5,0)</f>
        <v>0</v>
      </c>
      <c r="N184" s="227"/>
      <c r="O184" s="228"/>
      <c r="P184" s="229"/>
      <c r="Q184" s="317">
        <f>SUM(N184:P184)</f>
        <v>0</v>
      </c>
      <c r="R184" s="318">
        <f>IF($A$1="صنایع شیر ایران",IFERROR(('[1]هزینه پرسنلی مستقیم تولید'!$D$31/(O184+N184+P184))/$AH$5,0),IFERROR(('[1]هزینه پرسنلی مستقیم تولید'!$D$31/(O184+N184))/$AH$5,0))</f>
        <v>0</v>
      </c>
      <c r="S184" s="319">
        <f ca="1">IFERROR((VLOOKUP($AH$6,'[1]هزینه سربار تولید'!$A:$F,4,FALSE)/(P184+P185))/$AH$5,0)</f>
        <v>0</v>
      </c>
      <c r="T184" s="323" t="str">
        <f t="shared" ref="T184:T190" si="86">IFERROR(N184*100/H184,"-")</f>
        <v>-</v>
      </c>
      <c r="U184" s="324">
        <f t="shared" ref="U184:U190" si="87">IFERROR(ABS(T184-100),500)</f>
        <v>500</v>
      </c>
      <c r="V184" s="325" t="str">
        <f t="shared" ref="V184:V190" si="88">IFERROR(O184*100/I184,"-")</f>
        <v>-</v>
      </c>
      <c r="W184" s="324">
        <f t="shared" ref="W184:W190" si="89">IFERROR(ABS(V184-100),500)</f>
        <v>500</v>
      </c>
      <c r="X184" s="325" t="str">
        <f t="shared" ref="X184:X190" si="90">IFERROR(P184*100/J184,"-")</f>
        <v>-</v>
      </c>
      <c r="Y184" s="326">
        <f t="shared" ref="Y184:Y190" si="91">IFERROR(ABS(X184-100),500)</f>
        <v>500</v>
      </c>
      <c r="Z184" s="324" t="str">
        <f t="shared" ref="Z184:AA190" si="92">IFERROR(Q184*100/K184,"-")</f>
        <v>-</v>
      </c>
      <c r="AA184" s="323" t="str">
        <f t="shared" ca="1" si="92"/>
        <v>-</v>
      </c>
      <c r="AB184" s="324">
        <f t="shared" ref="AB184:AB190" ca="1" si="93">IFERROR(ABS(AA184-100),500)</f>
        <v>500</v>
      </c>
      <c r="AC184" s="327" t="str">
        <f ca="1">IFERROR(S184*100/M184,"-")</f>
        <v>-</v>
      </c>
      <c r="AD184" s="328">
        <f ca="1">IFERROR(ABS(AC184-100),500)</f>
        <v>500</v>
      </c>
    </row>
    <row r="185" spans="1:31" hidden="1" x14ac:dyDescent="0.2">
      <c r="A185" s="329" t="s">
        <v>55</v>
      </c>
      <c r="B185" s="244"/>
      <c r="C185" s="245"/>
      <c r="D185" s="246"/>
      <c r="E185" s="330">
        <f>SUM(B185:D185)</f>
        <v>0</v>
      </c>
      <c r="F185" s="331">
        <f>IF($A$1="صنایع شیر ایران",IFERROR(('[1]هزینه پرسنلی غیرمستقیم تولید'!$B$31/(C185+B185+D185))/$AH$5,0),IFERROR(('[1]هزینه پرسنلی غیرمستقیم تولید'!$B$31/(C185+B185))/$AH$5,0))</f>
        <v>0</v>
      </c>
      <c r="G185" s="332"/>
      <c r="H185" s="333">
        <v>0</v>
      </c>
      <c r="I185" s="334">
        <v>0</v>
      </c>
      <c r="J185" s="335">
        <v>0</v>
      </c>
      <c r="K185" s="330">
        <f>SUM(H185:J185)</f>
        <v>0</v>
      </c>
      <c r="L185" s="331">
        <f ca="1">IF($A$1="صنایع شیر ایران",IFERROR(('[1]هزینه پرسنلی غیرمستقیم تولید'!$C$31/(I185+H185+J185))/$AH$5,0),IFERROR(('[1]هزینه پرسنلی غیرمستقیم تولید'!$C$31/(I185+H185))/$AH$5,0))</f>
        <v>0</v>
      </c>
      <c r="M185" s="332"/>
      <c r="N185" s="244"/>
      <c r="O185" s="245"/>
      <c r="P185" s="246"/>
      <c r="Q185" s="330">
        <f>SUM(N185:P185)</f>
        <v>0</v>
      </c>
      <c r="R185" s="331">
        <f>IF($A$1="صنایع شیر ایران",IFERROR(('[1]هزینه پرسنلی غیرمستقیم تولید'!$D$31/(O185+N185+P185))/$AH$5,0),IFERROR(('[1]هزینه پرسنلی غیرمستقیم تولید'!$D$31/(O185+N185))/$AH$5,0))</f>
        <v>0</v>
      </c>
      <c r="S185" s="332"/>
      <c r="T185" s="336" t="str">
        <f t="shared" si="86"/>
        <v>-</v>
      </c>
      <c r="U185" s="337">
        <f t="shared" si="87"/>
        <v>500</v>
      </c>
      <c r="V185" s="338" t="str">
        <f t="shared" si="88"/>
        <v>-</v>
      </c>
      <c r="W185" s="337">
        <f t="shared" si="89"/>
        <v>500</v>
      </c>
      <c r="X185" s="338" t="str">
        <f t="shared" si="90"/>
        <v>-</v>
      </c>
      <c r="Y185" s="339">
        <f t="shared" si="91"/>
        <v>500</v>
      </c>
      <c r="Z185" s="337" t="str">
        <f t="shared" si="92"/>
        <v>-</v>
      </c>
      <c r="AA185" s="336" t="str">
        <f t="shared" ca="1" si="92"/>
        <v>-</v>
      </c>
      <c r="AB185" s="337">
        <f t="shared" ca="1" si="93"/>
        <v>500</v>
      </c>
      <c r="AC185" s="340"/>
      <c r="AD185" s="341"/>
    </row>
    <row r="186" spans="1:31" ht="35.1" customHeight="1" x14ac:dyDescent="0.2">
      <c r="A186" s="329" t="s">
        <v>57</v>
      </c>
      <c r="B186" s="244"/>
      <c r="C186" s="245">
        <v>0</v>
      </c>
      <c r="D186" s="246">
        <v>0</v>
      </c>
      <c r="E186" s="330">
        <f>SUM(B186:D186)</f>
        <v>0</v>
      </c>
      <c r="F186" s="331">
        <f>IFERROR(('هزینه پرسنلی مستقیم خدمات'!$B$31/(C186+B186))/$AH$5,0)</f>
        <v>0</v>
      </c>
      <c r="G186" s="342">
        <f ca="1">IFERROR((VLOOKUP($AH$6,'[1]هزینه سربار خدمات'!$A:$F,2,FALSE)/(D186+D187))/$AH$5,0)</f>
        <v>0</v>
      </c>
      <c r="H186" s="244"/>
      <c r="I186" s="245"/>
      <c r="J186" s="246">
        <v>3</v>
      </c>
      <c r="K186" s="330">
        <f>SUM(H186:J186)</f>
        <v>3</v>
      </c>
      <c r="L186" s="331">
        <f ca="1">IFERROR(('هزینه پرسنلی مستقیم خدمات'!$C$31/(I186+H186))/$AH$5,0)</f>
        <v>0</v>
      </c>
      <c r="M186" s="342">
        <f ca="1">IFERROR((VLOOKUP($AH$6,'[1]هزینه سربار خدمات'!$A:$F,3,FALSE)/(J186+J187))/$AH$5,0)</f>
        <v>6876.4444444444443</v>
      </c>
      <c r="N186" s="244"/>
      <c r="O186" s="245"/>
      <c r="P186" s="246">
        <v>1</v>
      </c>
      <c r="Q186" s="330">
        <f>SUM(N186:P186)</f>
        <v>1</v>
      </c>
      <c r="R186" s="331">
        <f>IFERROR(('هزینه پرسنلی مستقیم خدمات'!$D$31/(O186+N186))/$AH$5,0)</f>
        <v>0</v>
      </c>
      <c r="S186" s="342">
        <f ca="1">IFERROR((VLOOKUP($AH$6,'[1]هزینه سربار خدمات'!$A:$F,4,FALSE)/(P186+P187))/$AH$5,0)</f>
        <v>47242</v>
      </c>
      <c r="T186" s="343" t="str">
        <f t="shared" si="86"/>
        <v>-</v>
      </c>
      <c r="U186" s="344">
        <f t="shared" si="87"/>
        <v>500</v>
      </c>
      <c r="V186" s="345" t="str">
        <f t="shared" si="88"/>
        <v>-</v>
      </c>
      <c r="W186" s="344">
        <f t="shared" si="89"/>
        <v>500</v>
      </c>
      <c r="X186" s="345">
        <f t="shared" si="90"/>
        <v>33.333333333333336</v>
      </c>
      <c r="Y186" s="346">
        <f t="shared" si="91"/>
        <v>66.666666666666657</v>
      </c>
      <c r="Z186" s="346">
        <f t="shared" si="92"/>
        <v>33.333333333333336</v>
      </c>
      <c r="AA186" s="343" t="str">
        <f t="shared" ca="1" si="92"/>
        <v>-</v>
      </c>
      <c r="AB186" s="344">
        <f t="shared" ca="1" si="93"/>
        <v>500</v>
      </c>
      <c r="AC186" s="347">
        <f ca="1">IFERROR(S186*100/M186,"-")</f>
        <v>687.01202171664943</v>
      </c>
      <c r="AD186" s="348">
        <f ca="1">IFERROR(ABS(AC186-100),500)</f>
        <v>587.01202171664943</v>
      </c>
    </row>
    <row r="187" spans="1:31" ht="35.1" customHeight="1" x14ac:dyDescent="0.2">
      <c r="A187" s="329" t="s">
        <v>58</v>
      </c>
      <c r="B187" s="244"/>
      <c r="C187" s="245"/>
      <c r="D187" s="246"/>
      <c r="E187" s="330">
        <f>SUM(B187:D187)</f>
        <v>0</v>
      </c>
      <c r="F187" s="331">
        <f>IFERROR(('[1]هزینه پرسنلی غیرمستقیم خدمات'!$B$31/(C187+B187))/$AH$5,0)</f>
        <v>0</v>
      </c>
      <c r="G187" s="332"/>
      <c r="H187" s="244"/>
      <c r="I187" s="245"/>
      <c r="J187" s="246"/>
      <c r="K187" s="330">
        <f>SUM(H187:J187)</f>
        <v>0</v>
      </c>
      <c r="L187" s="331">
        <f ca="1">IFERROR(('[1]هزینه پرسنلی غیرمستقیم خدمات'!$C$31/(I187+H187))/$AH$5,0)</f>
        <v>0</v>
      </c>
      <c r="M187" s="332"/>
      <c r="N187" s="244"/>
      <c r="O187" s="245"/>
      <c r="P187" s="246"/>
      <c r="Q187" s="330">
        <f>SUM(N187:P187)</f>
        <v>0</v>
      </c>
      <c r="R187" s="331">
        <f>IFERROR(('[1]هزینه پرسنلی غیرمستقیم خدمات'!$D$31/(O187+N187))/$AH$5,0)</f>
        <v>0</v>
      </c>
      <c r="S187" s="332"/>
      <c r="T187" s="343" t="str">
        <f t="shared" si="86"/>
        <v>-</v>
      </c>
      <c r="U187" s="344">
        <f t="shared" si="87"/>
        <v>500</v>
      </c>
      <c r="V187" s="345" t="str">
        <f t="shared" si="88"/>
        <v>-</v>
      </c>
      <c r="W187" s="344">
        <f t="shared" si="89"/>
        <v>500</v>
      </c>
      <c r="X187" s="345" t="str">
        <f t="shared" si="90"/>
        <v>-</v>
      </c>
      <c r="Y187" s="346">
        <f t="shared" si="91"/>
        <v>500</v>
      </c>
      <c r="Z187" s="346" t="str">
        <f t="shared" si="92"/>
        <v>-</v>
      </c>
      <c r="AA187" s="343" t="str">
        <f t="shared" ca="1" si="92"/>
        <v>-</v>
      </c>
      <c r="AB187" s="344">
        <f t="shared" ca="1" si="93"/>
        <v>500</v>
      </c>
      <c r="AC187" s="340"/>
      <c r="AD187" s="349"/>
    </row>
    <row r="188" spans="1:31" ht="35.1" customHeight="1" thickBot="1" x14ac:dyDescent="0.25">
      <c r="A188" s="350" t="s">
        <v>59</v>
      </c>
      <c r="B188" s="268"/>
      <c r="C188" s="269">
        <v>0</v>
      </c>
      <c r="D188" s="270">
        <v>0</v>
      </c>
      <c r="E188" s="351">
        <f>SUM(B188:D188)</f>
        <v>0</v>
      </c>
      <c r="F188" s="331">
        <f>IF($A$1="صنایع شیر ایران",IFERROR(('[1]هزینه اداری عمومی'!$B$26/(C188+B188+D188))/$AH$5,0),IFERROR(('[1]هزینه اداری عمومی'!$B$26/(C188+B188))/$AH$5,0))</f>
        <v>0</v>
      </c>
      <c r="G188" s="352">
        <f ca="1">IFERROR((VLOOKUP($AH$6,'[1]هزینه اداری عمومی'!$A:$F,2,FALSE)/D188)/$AH$5,0)</f>
        <v>0</v>
      </c>
      <c r="H188" s="268"/>
      <c r="I188" s="269"/>
      <c r="J188" s="270">
        <v>1</v>
      </c>
      <c r="K188" s="351">
        <f>SUM(H188:J188)</f>
        <v>1</v>
      </c>
      <c r="L188" s="331">
        <f>IF($A$1="صنایع شیر ایران",IFERROR(('[1]هزینه اداری عمومی'!$C$26/(I188+H188+J188))/$AH$5,0),IFERROR(('[1]هزینه اداری عمومی'!$C$26/(I188+H188))/$AH$5,0))</f>
        <v>0</v>
      </c>
      <c r="M188" s="352">
        <f ca="1">IFERROR((VLOOKUP($AH$6,'[1]هزینه اداری عمومی'!$A:$F,3,FALSE)/J188)/$AH$5,0)</f>
        <v>4788.5</v>
      </c>
      <c r="N188" s="268"/>
      <c r="O188" s="269"/>
      <c r="P188" s="270"/>
      <c r="Q188" s="351">
        <f>SUM(N188:P188)</f>
        <v>0</v>
      </c>
      <c r="R188" s="331">
        <f>IF($A$1="صنایع شیر ایران",IFERROR(('[1]هزینه اداری عمومی'!$D$26/(O188+N188+P188))/$AH$5,0),IFERROR(('[1]هزینه اداری عمومی'!$D$26/(O188+N188))/$AH$5,0))</f>
        <v>0</v>
      </c>
      <c r="S188" s="352">
        <f ca="1">IFERROR((VLOOKUP($AH$6,'[1]هزینه اداری عمومی'!$A:$F,4,FALSE)/P188)/$AH$5,0)</f>
        <v>0</v>
      </c>
      <c r="T188" s="353" t="str">
        <f t="shared" si="86"/>
        <v>-</v>
      </c>
      <c r="U188" s="354">
        <f t="shared" si="87"/>
        <v>500</v>
      </c>
      <c r="V188" s="355" t="str">
        <f t="shared" si="88"/>
        <v>-</v>
      </c>
      <c r="W188" s="354">
        <f t="shared" si="89"/>
        <v>500</v>
      </c>
      <c r="X188" s="355">
        <f t="shared" si="90"/>
        <v>0</v>
      </c>
      <c r="Y188" s="356">
        <f t="shared" si="91"/>
        <v>100</v>
      </c>
      <c r="Z188" s="356">
        <f t="shared" si="92"/>
        <v>0</v>
      </c>
      <c r="AA188" s="343" t="str">
        <f t="shared" si="92"/>
        <v>-</v>
      </c>
      <c r="AB188" s="354">
        <f t="shared" si="93"/>
        <v>500</v>
      </c>
      <c r="AC188" s="345">
        <f ca="1">IFERROR(S188*100/M188,"-")</f>
        <v>0</v>
      </c>
      <c r="AD188" s="356">
        <f ca="1">IFERROR(ABS(AC188-100),500)</f>
        <v>100</v>
      </c>
    </row>
    <row r="189" spans="1:31" ht="35.1" customHeight="1" thickBot="1" x14ac:dyDescent="0.25">
      <c r="A189" s="357" t="s">
        <v>60</v>
      </c>
      <c r="B189" s="358">
        <f>SUM(B184:B188)</f>
        <v>0</v>
      </c>
      <c r="C189" s="359">
        <f>SUM(C184:C188)</f>
        <v>0</v>
      </c>
      <c r="D189" s="360">
        <f>SUM(D184:D188)</f>
        <v>0</v>
      </c>
      <c r="E189" s="361">
        <f>SUM(E184:E188)</f>
        <v>0</v>
      </c>
      <c r="F189" s="362">
        <f>IF($A$1="صنایع شیر ایران",IFERROR(((SUM(F185*(C185+B185+D185),F188*(C188+B188+D188),F184*(C184+B184+D184)))/(C189+B189+D189)),0),IFERROR(((SUM(F185*(C185+B185),F186*(C186+B186),F187*(C187+B187),F188*(C188+B188),F184*(C184+B184)))/(C189+B189)),0))</f>
        <v>0</v>
      </c>
      <c r="G189" s="363">
        <f ca="1">IFERROR((G184*(D185+D184)+G186*(D187+D186)+G188*D188)/(D189),0)</f>
        <v>0</v>
      </c>
      <c r="H189" s="358">
        <f>SUM(H184:H188)</f>
        <v>0</v>
      </c>
      <c r="I189" s="359">
        <f>SUM(I184:I188)</f>
        <v>0</v>
      </c>
      <c r="J189" s="360">
        <f>SUM(J184:J188)</f>
        <v>4</v>
      </c>
      <c r="K189" s="361">
        <f>SUM(K184:K188)</f>
        <v>4</v>
      </c>
      <c r="L189" s="362">
        <f ca="1">IF($A$1="صنایع شیر ایران",IFERROR(((SUM(L185*(I185+H185+J185),L188*(I188+H188+J188),L184*(I184+H184+J184)))/(I189+H189+J189)),0),IFERROR(((SUM(L185*(I185+H185),L186*(I186+H186),L187*(I187+H187),L188*(I188+H188),L184*(I184+H184)))/(I189+H189)),0))</f>
        <v>0</v>
      </c>
      <c r="M189" s="363">
        <f ca="1">IFERROR((M184*(J185+J184)+M186*(J187+J186)+M188*J188)/(J189),0)</f>
        <v>6354.458333333333</v>
      </c>
      <c r="N189" s="358">
        <f>SUM(N184:N188)</f>
        <v>0</v>
      </c>
      <c r="O189" s="359">
        <f>SUM(O184:O188)</f>
        <v>0</v>
      </c>
      <c r="P189" s="360">
        <f>SUM(P184:P188)</f>
        <v>1</v>
      </c>
      <c r="Q189" s="361">
        <f>SUM(Q184:Q188)</f>
        <v>1</v>
      </c>
      <c r="R189" s="362">
        <f>IF($A$1="صنایع شیر ایران",IFERROR(((SUM(R185*(O185+N185+P185),R188*(O188+N188+P188),R184*(O184+N184+P184)))/(O189+N189+P189)),0),IFERROR(((SUM(R185*(O185+N185),R186*(O186+N186),R187*(O187+N187),R188*(O188+N188),R184*(O184+N184)))/(O189+N189)),0))</f>
        <v>0</v>
      </c>
      <c r="S189" s="363">
        <f ca="1">IFERROR((S184*(P185+P184)+S186*(P187+P186)+S188*P188)/(P189),0)</f>
        <v>47242</v>
      </c>
      <c r="T189" s="364" t="str">
        <f t="shared" si="86"/>
        <v>-</v>
      </c>
      <c r="U189" s="365">
        <f t="shared" si="87"/>
        <v>500</v>
      </c>
      <c r="V189" s="366" t="str">
        <f t="shared" si="88"/>
        <v>-</v>
      </c>
      <c r="W189" s="365">
        <f t="shared" si="89"/>
        <v>500</v>
      </c>
      <c r="X189" s="366">
        <f t="shared" si="90"/>
        <v>25</v>
      </c>
      <c r="Y189" s="367">
        <f t="shared" si="91"/>
        <v>75</v>
      </c>
      <c r="Z189" s="367">
        <f t="shared" si="92"/>
        <v>25</v>
      </c>
      <c r="AA189" s="364" t="str">
        <f t="shared" ca="1" si="92"/>
        <v>-</v>
      </c>
      <c r="AB189" s="365">
        <f t="shared" ca="1" si="93"/>
        <v>500</v>
      </c>
      <c r="AC189" s="366">
        <f ca="1">IFERROR(S189*100/M189,"-")</f>
        <v>743.44653032319832</v>
      </c>
      <c r="AD189" s="367">
        <f ca="1">IFERROR(ABS(AC189-100),500)</f>
        <v>643.44653032319832</v>
      </c>
    </row>
    <row r="190" spans="1:31" ht="35.1" customHeight="1" thickTop="1" thickBot="1" x14ac:dyDescent="0.25">
      <c r="A190" s="368" t="s">
        <v>61</v>
      </c>
      <c r="B190" s="289"/>
      <c r="C190" s="290"/>
      <c r="D190" s="291"/>
      <c r="E190" s="369">
        <f>SUM(B190:D190)</f>
        <v>0</v>
      </c>
      <c r="F190" s="293"/>
      <c r="G190" s="294"/>
      <c r="H190" s="289"/>
      <c r="I190" s="290"/>
      <c r="J190" s="291"/>
      <c r="K190" s="369">
        <f>SUM(H190:J190)</f>
        <v>0</v>
      </c>
      <c r="L190" s="293"/>
      <c r="M190" s="294"/>
      <c r="N190" s="289"/>
      <c r="O190" s="290"/>
      <c r="P190" s="291"/>
      <c r="Q190" s="369">
        <f>SUM(N190:P190)</f>
        <v>0</v>
      </c>
      <c r="R190" s="293"/>
      <c r="S190" s="294"/>
      <c r="T190" s="370" t="str">
        <f t="shared" si="86"/>
        <v>-</v>
      </c>
      <c r="U190" s="371">
        <f t="shared" si="87"/>
        <v>500</v>
      </c>
      <c r="V190" s="372" t="str">
        <f t="shared" si="88"/>
        <v>-</v>
      </c>
      <c r="W190" s="371">
        <f t="shared" si="89"/>
        <v>500</v>
      </c>
      <c r="X190" s="372" t="str">
        <f t="shared" si="90"/>
        <v>-</v>
      </c>
      <c r="Y190" s="373">
        <f t="shared" si="91"/>
        <v>500</v>
      </c>
      <c r="Z190" s="373" t="str">
        <f t="shared" si="92"/>
        <v>-</v>
      </c>
      <c r="AA190" s="370" t="str">
        <f t="shared" si="92"/>
        <v>-</v>
      </c>
      <c r="AB190" s="371">
        <f t="shared" si="93"/>
        <v>500</v>
      </c>
      <c r="AC190" s="372" t="str">
        <f>IFERROR(S190*100/M190,"-")</f>
        <v>-</v>
      </c>
      <c r="AD190" s="373">
        <f>IFERROR(ABS(AC190-100),500)</f>
        <v>500</v>
      </c>
    </row>
    <row r="191" spans="1:31" ht="21.75" thickBot="1" x14ac:dyDescent="0.25"/>
    <row r="192" spans="1:31" ht="25.5" x14ac:dyDescent="0.2">
      <c r="A192" s="374" t="s">
        <v>62</v>
      </c>
      <c r="B192" s="375"/>
      <c r="C192" s="375"/>
      <c r="D192" s="375"/>
      <c r="E192" s="375"/>
      <c r="F192" s="375"/>
      <c r="G192" s="375"/>
      <c r="H192" s="375"/>
      <c r="I192" s="375"/>
      <c r="J192" s="375"/>
      <c r="K192" s="375"/>
      <c r="L192" s="375"/>
      <c r="M192" s="375"/>
      <c r="N192" s="375"/>
      <c r="O192" s="375"/>
      <c r="P192" s="375"/>
      <c r="Q192" s="375"/>
      <c r="R192" s="375"/>
      <c r="S192" s="376"/>
    </row>
    <row r="193" spans="1:19" x14ac:dyDescent="0.2">
      <c r="A193" s="377"/>
      <c r="B193" s="378"/>
      <c r="C193" s="378"/>
      <c r="D193" s="378"/>
      <c r="E193" s="378"/>
      <c r="F193" s="378"/>
      <c r="G193" s="378"/>
      <c r="H193" s="378"/>
      <c r="I193" s="378"/>
      <c r="J193" s="378"/>
      <c r="K193" s="378"/>
      <c r="L193" s="378"/>
      <c r="M193" s="378"/>
      <c r="N193" s="378"/>
      <c r="O193" s="378"/>
      <c r="P193" s="378"/>
      <c r="Q193" s="378"/>
      <c r="R193" s="378"/>
      <c r="S193" s="379"/>
    </row>
    <row r="194" spans="1:19" x14ac:dyDescent="0.2">
      <c r="A194" s="377"/>
      <c r="B194" s="378"/>
      <c r="C194" s="378"/>
      <c r="D194" s="378"/>
      <c r="E194" s="378"/>
      <c r="F194" s="378"/>
      <c r="G194" s="378"/>
      <c r="H194" s="378"/>
      <c r="I194" s="378"/>
      <c r="J194" s="378"/>
      <c r="K194" s="378"/>
      <c r="L194" s="378"/>
      <c r="M194" s="378"/>
      <c r="N194" s="378"/>
      <c r="O194" s="378"/>
      <c r="P194" s="378"/>
      <c r="Q194" s="378"/>
      <c r="R194" s="378"/>
      <c r="S194" s="379"/>
    </row>
    <row r="195" spans="1:19" x14ac:dyDescent="0.2">
      <c r="A195" s="377"/>
      <c r="B195" s="378"/>
      <c r="C195" s="378"/>
      <c r="D195" s="378"/>
      <c r="E195" s="378"/>
      <c r="F195" s="378"/>
      <c r="G195" s="378"/>
      <c r="H195" s="378"/>
      <c r="I195" s="378"/>
      <c r="J195" s="378"/>
      <c r="K195" s="378"/>
      <c r="L195" s="378"/>
      <c r="M195" s="378"/>
      <c r="N195" s="378"/>
      <c r="O195" s="378"/>
      <c r="P195" s="378"/>
      <c r="Q195" s="378"/>
      <c r="R195" s="378"/>
      <c r="S195" s="379"/>
    </row>
    <row r="196" spans="1:19" x14ac:dyDescent="0.2">
      <c r="A196" s="377"/>
      <c r="B196" s="378"/>
      <c r="C196" s="378"/>
      <c r="D196" s="378"/>
      <c r="E196" s="378"/>
      <c r="F196" s="378"/>
      <c r="G196" s="378"/>
      <c r="H196" s="378"/>
      <c r="I196" s="378"/>
      <c r="J196" s="378"/>
      <c r="K196" s="378"/>
      <c r="L196" s="378"/>
      <c r="M196" s="378"/>
      <c r="N196" s="378"/>
      <c r="O196" s="378"/>
      <c r="P196" s="378"/>
      <c r="Q196" s="378"/>
      <c r="R196" s="378"/>
      <c r="S196" s="379"/>
    </row>
    <row r="197" spans="1:19" ht="21.75" thickBot="1" x14ac:dyDescent="0.25">
      <c r="A197" s="380"/>
      <c r="B197" s="381"/>
      <c r="C197" s="381"/>
      <c r="D197" s="381"/>
      <c r="E197" s="381"/>
      <c r="F197" s="381"/>
      <c r="G197" s="381"/>
      <c r="H197" s="381"/>
      <c r="I197" s="381"/>
      <c r="J197" s="381"/>
      <c r="K197" s="381"/>
      <c r="L197" s="381"/>
      <c r="M197" s="381"/>
      <c r="N197" s="381"/>
      <c r="O197" s="381"/>
      <c r="P197" s="381"/>
      <c r="Q197" s="381"/>
      <c r="R197" s="381"/>
      <c r="S197" s="382"/>
    </row>
  </sheetData>
  <mergeCells count="252">
    <mergeCell ref="A193:S197"/>
    <mergeCell ref="G186:G187"/>
    <mergeCell ref="M186:M187"/>
    <mergeCell ref="S186:S187"/>
    <mergeCell ref="AC186:AC187"/>
    <mergeCell ref="AD186:AD187"/>
    <mergeCell ref="A192:S192"/>
    <mergeCell ref="AA183:AB183"/>
    <mergeCell ref="AC183:AD183"/>
    <mergeCell ref="G184:G185"/>
    <mergeCell ref="M184:M185"/>
    <mergeCell ref="S184:S185"/>
    <mergeCell ref="AC184:AC185"/>
    <mergeCell ref="AD184:AD185"/>
    <mergeCell ref="A175:S179"/>
    <mergeCell ref="A181:AD181"/>
    <mergeCell ref="A182:A183"/>
    <mergeCell ref="B182:G182"/>
    <mergeCell ref="H182:M182"/>
    <mergeCell ref="N182:S182"/>
    <mergeCell ref="T182:AD182"/>
    <mergeCell ref="T183:U183"/>
    <mergeCell ref="V183:W183"/>
    <mergeCell ref="X183:Y183"/>
    <mergeCell ref="G168:G169"/>
    <mergeCell ref="M168:M169"/>
    <mergeCell ref="S168:S169"/>
    <mergeCell ref="AC168:AC169"/>
    <mergeCell ref="AD168:AD169"/>
    <mergeCell ref="A174:S174"/>
    <mergeCell ref="AA165:AB165"/>
    <mergeCell ref="AC165:AD165"/>
    <mergeCell ref="G166:G167"/>
    <mergeCell ref="M166:M167"/>
    <mergeCell ref="S166:S167"/>
    <mergeCell ref="AC166:AC167"/>
    <mergeCell ref="AD166:AD167"/>
    <mergeCell ref="A157:S161"/>
    <mergeCell ref="A163:AD163"/>
    <mergeCell ref="A164:A165"/>
    <mergeCell ref="B164:G164"/>
    <mergeCell ref="H164:M164"/>
    <mergeCell ref="N164:S164"/>
    <mergeCell ref="T164:AD164"/>
    <mergeCell ref="T165:U165"/>
    <mergeCell ref="V165:W165"/>
    <mergeCell ref="X165:Y165"/>
    <mergeCell ref="G150:G151"/>
    <mergeCell ref="M150:M151"/>
    <mergeCell ref="S150:S151"/>
    <mergeCell ref="AC150:AC151"/>
    <mergeCell ref="AD150:AD151"/>
    <mergeCell ref="A156:S156"/>
    <mergeCell ref="AA147:AB147"/>
    <mergeCell ref="AC147:AD147"/>
    <mergeCell ref="G148:G149"/>
    <mergeCell ref="M148:M149"/>
    <mergeCell ref="S148:S149"/>
    <mergeCell ref="AC148:AC149"/>
    <mergeCell ref="AD148:AD149"/>
    <mergeCell ref="A139:S143"/>
    <mergeCell ref="A145:AD145"/>
    <mergeCell ref="A146:A147"/>
    <mergeCell ref="B146:G146"/>
    <mergeCell ref="H146:M146"/>
    <mergeCell ref="N146:S146"/>
    <mergeCell ref="T146:AD146"/>
    <mergeCell ref="T147:U147"/>
    <mergeCell ref="V147:W147"/>
    <mergeCell ref="X147:Y147"/>
    <mergeCell ref="G132:G133"/>
    <mergeCell ref="M132:M133"/>
    <mergeCell ref="S132:S133"/>
    <mergeCell ref="AC132:AC133"/>
    <mergeCell ref="AD132:AD133"/>
    <mergeCell ref="A138:S138"/>
    <mergeCell ref="AA129:AB129"/>
    <mergeCell ref="AC129:AD129"/>
    <mergeCell ref="G130:G131"/>
    <mergeCell ref="M130:M131"/>
    <mergeCell ref="S130:S131"/>
    <mergeCell ref="AC130:AC131"/>
    <mergeCell ref="AD130:AD131"/>
    <mergeCell ref="A121:S125"/>
    <mergeCell ref="A127:AD127"/>
    <mergeCell ref="A128:A129"/>
    <mergeCell ref="B128:G128"/>
    <mergeCell ref="H128:M128"/>
    <mergeCell ref="N128:S128"/>
    <mergeCell ref="T128:AD128"/>
    <mergeCell ref="T129:U129"/>
    <mergeCell ref="V129:W129"/>
    <mergeCell ref="X129:Y129"/>
    <mergeCell ref="G114:G115"/>
    <mergeCell ref="M114:M115"/>
    <mergeCell ref="S114:S115"/>
    <mergeCell ref="AC114:AC115"/>
    <mergeCell ref="AD114:AD115"/>
    <mergeCell ref="A120:S120"/>
    <mergeCell ref="AA111:AB111"/>
    <mergeCell ref="AC111:AD111"/>
    <mergeCell ref="G112:G113"/>
    <mergeCell ref="M112:M113"/>
    <mergeCell ref="S112:S113"/>
    <mergeCell ref="AC112:AC113"/>
    <mergeCell ref="AD112:AD113"/>
    <mergeCell ref="A103:S107"/>
    <mergeCell ref="A109:AD109"/>
    <mergeCell ref="A110:A111"/>
    <mergeCell ref="B110:G110"/>
    <mergeCell ref="H110:M110"/>
    <mergeCell ref="N110:S110"/>
    <mergeCell ref="T110:AD110"/>
    <mergeCell ref="T111:U111"/>
    <mergeCell ref="V111:W111"/>
    <mergeCell ref="X111:Y111"/>
    <mergeCell ref="G96:G97"/>
    <mergeCell ref="M96:M97"/>
    <mergeCell ref="S96:S97"/>
    <mergeCell ref="AC96:AC97"/>
    <mergeCell ref="AD96:AD97"/>
    <mergeCell ref="A102:S102"/>
    <mergeCell ref="AA93:AB93"/>
    <mergeCell ref="AC93:AD93"/>
    <mergeCell ref="G94:G95"/>
    <mergeCell ref="M94:M95"/>
    <mergeCell ref="S94:S95"/>
    <mergeCell ref="AC94:AC95"/>
    <mergeCell ref="AD94:AD95"/>
    <mergeCell ref="A85:S89"/>
    <mergeCell ref="A91:AD91"/>
    <mergeCell ref="A92:A93"/>
    <mergeCell ref="B92:G92"/>
    <mergeCell ref="H92:M92"/>
    <mergeCell ref="N92:S92"/>
    <mergeCell ref="T92:AD92"/>
    <mergeCell ref="T93:U93"/>
    <mergeCell ref="V93:W93"/>
    <mergeCell ref="X93:Y93"/>
    <mergeCell ref="G78:G79"/>
    <mergeCell ref="M78:M79"/>
    <mergeCell ref="S78:S79"/>
    <mergeCell ref="AC78:AC79"/>
    <mergeCell ref="AD78:AD79"/>
    <mergeCell ref="A84:S84"/>
    <mergeCell ref="AA75:AB75"/>
    <mergeCell ref="AC75:AD75"/>
    <mergeCell ref="G76:G77"/>
    <mergeCell ref="M76:M77"/>
    <mergeCell ref="S76:S77"/>
    <mergeCell ref="AC76:AC77"/>
    <mergeCell ref="AD76:AD77"/>
    <mergeCell ref="A67:S71"/>
    <mergeCell ref="A73:AD73"/>
    <mergeCell ref="A74:A75"/>
    <mergeCell ref="B74:G74"/>
    <mergeCell ref="H74:M74"/>
    <mergeCell ref="N74:S74"/>
    <mergeCell ref="T74:AD74"/>
    <mergeCell ref="T75:U75"/>
    <mergeCell ref="V75:W75"/>
    <mergeCell ref="X75:Y75"/>
    <mergeCell ref="G60:G61"/>
    <mergeCell ref="M60:M61"/>
    <mergeCell ref="S60:S61"/>
    <mergeCell ref="AC60:AC61"/>
    <mergeCell ref="AD60:AD61"/>
    <mergeCell ref="A66:S66"/>
    <mergeCell ref="AA57:AB57"/>
    <mergeCell ref="AC57:AD57"/>
    <mergeCell ref="G58:G59"/>
    <mergeCell ref="M58:M59"/>
    <mergeCell ref="S58:S59"/>
    <mergeCell ref="AC58:AC59"/>
    <mergeCell ref="AD58:AD59"/>
    <mergeCell ref="A49:S53"/>
    <mergeCell ref="A55:AD55"/>
    <mergeCell ref="A56:A57"/>
    <mergeCell ref="B56:G56"/>
    <mergeCell ref="H56:M56"/>
    <mergeCell ref="N56:S56"/>
    <mergeCell ref="T56:AD56"/>
    <mergeCell ref="T57:U57"/>
    <mergeCell ref="V57:W57"/>
    <mergeCell ref="X57:Y57"/>
    <mergeCell ref="G42:G43"/>
    <mergeCell ref="M42:M43"/>
    <mergeCell ref="S42:S43"/>
    <mergeCell ref="AC42:AC43"/>
    <mergeCell ref="AD42:AD43"/>
    <mergeCell ref="A48:S48"/>
    <mergeCell ref="X39:Y39"/>
    <mergeCell ref="AA39:AB39"/>
    <mergeCell ref="AC39:AD39"/>
    <mergeCell ref="G40:G41"/>
    <mergeCell ref="M40:M41"/>
    <mergeCell ref="S40:S41"/>
    <mergeCell ref="AC40:AC41"/>
    <mergeCell ref="AD40:AD41"/>
    <mergeCell ref="A30:S30"/>
    <mergeCell ref="A31:S35"/>
    <mergeCell ref="A37:AD37"/>
    <mergeCell ref="A38:A39"/>
    <mergeCell ref="B38:G38"/>
    <mergeCell ref="H38:M38"/>
    <mergeCell ref="N38:S38"/>
    <mergeCell ref="T38:AD38"/>
    <mergeCell ref="T39:U39"/>
    <mergeCell ref="V39:W39"/>
    <mergeCell ref="G22:G23"/>
    <mergeCell ref="M22:M23"/>
    <mergeCell ref="S22:S23"/>
    <mergeCell ref="AC22:AC23"/>
    <mergeCell ref="AD22:AD23"/>
    <mergeCell ref="G24:G25"/>
    <mergeCell ref="M24:M25"/>
    <mergeCell ref="S24:S25"/>
    <mergeCell ref="AC24:AC25"/>
    <mergeCell ref="AD24:AD25"/>
    <mergeCell ref="A20:A21"/>
    <mergeCell ref="B20:G20"/>
    <mergeCell ref="H20:M20"/>
    <mergeCell ref="N20:S20"/>
    <mergeCell ref="T20:AD20"/>
    <mergeCell ref="T21:U21"/>
    <mergeCell ref="V21:W21"/>
    <mergeCell ref="X21:Y21"/>
    <mergeCell ref="AA21:AB21"/>
    <mergeCell ref="AC21:AD21"/>
    <mergeCell ref="G7:G8"/>
    <mergeCell ref="M7:M8"/>
    <mergeCell ref="S7:S8"/>
    <mergeCell ref="AC7:AC8"/>
    <mergeCell ref="AD7:AD8"/>
    <mergeCell ref="A19:AD19"/>
    <mergeCell ref="AA4:AB4"/>
    <mergeCell ref="AC4:AD4"/>
    <mergeCell ref="G5:G6"/>
    <mergeCell ref="M5:M6"/>
    <mergeCell ref="S5:S6"/>
    <mergeCell ref="AC5:AC6"/>
    <mergeCell ref="AD5:AD6"/>
    <mergeCell ref="A1:AC1"/>
    <mergeCell ref="A2:AD2"/>
    <mergeCell ref="A3:A4"/>
    <mergeCell ref="B3:G3"/>
    <mergeCell ref="H3:M3"/>
    <mergeCell ref="N3:S3"/>
    <mergeCell ref="T3:AD3"/>
    <mergeCell ref="T4:U4"/>
    <mergeCell ref="V4:W4"/>
    <mergeCell ref="X4:Y4"/>
  </mergeCells>
  <conditionalFormatting sqref="U5:U11">
    <cfRule type="iconSet" priority="44">
      <iconSet iconSet="3Symbols" showValue="0" reverse="1">
        <cfvo type="percent" val="0"/>
        <cfvo type="num" val="10" gte="0"/>
        <cfvo type="num" val="40"/>
      </iconSet>
    </cfRule>
  </conditionalFormatting>
  <conditionalFormatting sqref="Y5:Y11 W5:W11">
    <cfRule type="iconSet" priority="43">
      <iconSet iconSet="3Symbols" showValue="0" reverse="1">
        <cfvo type="percent" val="0"/>
        <cfvo type="num" val="10" gte="0"/>
        <cfvo type="num" val="40"/>
      </iconSet>
    </cfRule>
  </conditionalFormatting>
  <conditionalFormatting sqref="AB5:AB11">
    <cfRule type="iconSet" priority="42">
      <iconSet iconSet="3Symbols" showValue="0" reverse="1">
        <cfvo type="percent" val="0"/>
        <cfvo type="num" val="10" gte="0"/>
        <cfvo type="num" val="40"/>
      </iconSet>
    </cfRule>
  </conditionalFormatting>
  <conditionalFormatting sqref="AD5 AD7 AD9:AD11">
    <cfRule type="iconSet" priority="41">
      <iconSet iconSet="3Symbols" showValue="0" reverse="1">
        <cfvo type="percent" val="0"/>
        <cfvo type="num" val="10" gte="0"/>
        <cfvo type="num" val="40"/>
      </iconSet>
    </cfRule>
  </conditionalFormatting>
  <conditionalFormatting sqref="U22:U28">
    <cfRule type="iconSet" priority="40">
      <iconSet iconSet="3Symbols" showValue="0" reverse="1">
        <cfvo type="percent" val="0"/>
        <cfvo type="num" val="10" gte="0"/>
        <cfvo type="num" val="40"/>
      </iconSet>
    </cfRule>
  </conditionalFormatting>
  <conditionalFormatting sqref="Y22:Y28 W22:W28">
    <cfRule type="iconSet" priority="39">
      <iconSet iconSet="3Symbols" showValue="0" reverse="1">
        <cfvo type="percent" val="0"/>
        <cfvo type="num" val="10" gte="0"/>
        <cfvo type="num" val="40"/>
      </iconSet>
    </cfRule>
  </conditionalFormatting>
  <conditionalFormatting sqref="AB22:AB28">
    <cfRule type="iconSet" priority="38">
      <iconSet iconSet="3Symbols" showValue="0" reverse="1">
        <cfvo type="percent" val="0"/>
        <cfvo type="num" val="10" gte="0"/>
        <cfvo type="num" val="40"/>
      </iconSet>
    </cfRule>
  </conditionalFormatting>
  <conditionalFormatting sqref="AD22 AD24 AD26:AD28">
    <cfRule type="iconSet" priority="37">
      <iconSet iconSet="3Symbols" showValue="0" reverse="1">
        <cfvo type="percent" val="0"/>
        <cfvo type="num" val="10" gte="0"/>
        <cfvo type="num" val="40"/>
      </iconSet>
    </cfRule>
  </conditionalFormatting>
  <conditionalFormatting sqref="U40:U46">
    <cfRule type="iconSet" priority="36">
      <iconSet iconSet="3Symbols" showValue="0" reverse="1">
        <cfvo type="percent" val="0"/>
        <cfvo type="num" val="10" gte="0"/>
        <cfvo type="num" val="40"/>
      </iconSet>
    </cfRule>
  </conditionalFormatting>
  <conditionalFormatting sqref="Y40:Y46 W40:W46">
    <cfRule type="iconSet" priority="35">
      <iconSet iconSet="3Symbols" showValue="0" reverse="1">
        <cfvo type="percent" val="0"/>
        <cfvo type="num" val="10" gte="0"/>
        <cfvo type="num" val="40"/>
      </iconSet>
    </cfRule>
  </conditionalFormatting>
  <conditionalFormatting sqref="AB40:AB46">
    <cfRule type="iconSet" priority="34">
      <iconSet iconSet="3Symbols" showValue="0" reverse="1">
        <cfvo type="percent" val="0"/>
        <cfvo type="num" val="10" gte="0"/>
        <cfvo type="num" val="40"/>
      </iconSet>
    </cfRule>
  </conditionalFormatting>
  <conditionalFormatting sqref="AD40 AD42 AD44:AD46">
    <cfRule type="iconSet" priority="33">
      <iconSet iconSet="3Symbols" showValue="0" reverse="1">
        <cfvo type="percent" val="0"/>
        <cfvo type="num" val="10" gte="0"/>
        <cfvo type="num" val="40"/>
      </iconSet>
    </cfRule>
  </conditionalFormatting>
  <conditionalFormatting sqref="U58:U64">
    <cfRule type="iconSet" priority="32">
      <iconSet iconSet="3Symbols" showValue="0" reverse="1">
        <cfvo type="percent" val="0"/>
        <cfvo type="num" val="10" gte="0"/>
        <cfvo type="num" val="40"/>
      </iconSet>
    </cfRule>
  </conditionalFormatting>
  <conditionalFormatting sqref="Y58:Y64 W58:W64">
    <cfRule type="iconSet" priority="31">
      <iconSet iconSet="3Symbols" showValue="0" reverse="1">
        <cfvo type="percent" val="0"/>
        <cfvo type="num" val="10" gte="0"/>
        <cfvo type="num" val="40"/>
      </iconSet>
    </cfRule>
  </conditionalFormatting>
  <conditionalFormatting sqref="AB58:AB64">
    <cfRule type="iconSet" priority="30">
      <iconSet iconSet="3Symbols" showValue="0" reverse="1">
        <cfvo type="percent" val="0"/>
        <cfvo type="num" val="10" gte="0"/>
        <cfvo type="num" val="40"/>
      </iconSet>
    </cfRule>
  </conditionalFormatting>
  <conditionalFormatting sqref="AD58 AD60 AD62:AD64">
    <cfRule type="iconSet" priority="29">
      <iconSet iconSet="3Symbols" showValue="0" reverse="1">
        <cfvo type="percent" val="0"/>
        <cfvo type="num" val="10" gte="0"/>
        <cfvo type="num" val="40"/>
      </iconSet>
    </cfRule>
  </conditionalFormatting>
  <conditionalFormatting sqref="U76:U82">
    <cfRule type="iconSet" priority="28">
      <iconSet iconSet="3Symbols" showValue="0" reverse="1">
        <cfvo type="percent" val="0"/>
        <cfvo type="num" val="10" gte="0"/>
        <cfvo type="num" val="40"/>
      </iconSet>
    </cfRule>
  </conditionalFormatting>
  <conditionalFormatting sqref="Y76:Y82 W76:W82">
    <cfRule type="iconSet" priority="27">
      <iconSet iconSet="3Symbols" showValue="0" reverse="1">
        <cfvo type="percent" val="0"/>
        <cfvo type="num" val="10" gte="0"/>
        <cfvo type="num" val="40"/>
      </iconSet>
    </cfRule>
  </conditionalFormatting>
  <conditionalFormatting sqref="AB76:AB82">
    <cfRule type="iconSet" priority="26">
      <iconSet iconSet="3Symbols" showValue="0" reverse="1">
        <cfvo type="percent" val="0"/>
        <cfvo type="num" val="10" gte="0"/>
        <cfvo type="num" val="40"/>
      </iconSet>
    </cfRule>
  </conditionalFormatting>
  <conditionalFormatting sqref="AD76 AD78 AD80:AD82">
    <cfRule type="iconSet" priority="25">
      <iconSet iconSet="3Symbols" showValue="0" reverse="1">
        <cfvo type="percent" val="0"/>
        <cfvo type="num" val="10" gte="0"/>
        <cfvo type="num" val="40"/>
      </iconSet>
    </cfRule>
  </conditionalFormatting>
  <conditionalFormatting sqref="U94:U100">
    <cfRule type="iconSet" priority="24">
      <iconSet iconSet="3Symbols" showValue="0" reverse="1">
        <cfvo type="percent" val="0"/>
        <cfvo type="num" val="10" gte="0"/>
        <cfvo type="num" val="40"/>
      </iconSet>
    </cfRule>
  </conditionalFormatting>
  <conditionalFormatting sqref="Y94:Y100 W94:W100">
    <cfRule type="iconSet" priority="23">
      <iconSet iconSet="3Symbols" showValue="0" reverse="1">
        <cfvo type="percent" val="0"/>
        <cfvo type="num" val="10" gte="0"/>
        <cfvo type="num" val="40"/>
      </iconSet>
    </cfRule>
  </conditionalFormatting>
  <conditionalFormatting sqref="AB94:AB100">
    <cfRule type="iconSet" priority="22">
      <iconSet iconSet="3Symbols" showValue="0" reverse="1">
        <cfvo type="percent" val="0"/>
        <cfvo type="num" val="10" gte="0"/>
        <cfvo type="num" val="40"/>
      </iconSet>
    </cfRule>
  </conditionalFormatting>
  <conditionalFormatting sqref="AD94 AD96 AD98:AD100">
    <cfRule type="iconSet" priority="21">
      <iconSet iconSet="3Symbols" showValue="0" reverse="1">
        <cfvo type="percent" val="0"/>
        <cfvo type="num" val="10" gte="0"/>
        <cfvo type="num" val="40"/>
      </iconSet>
    </cfRule>
  </conditionalFormatting>
  <conditionalFormatting sqref="U112:U118">
    <cfRule type="iconSet" priority="20">
      <iconSet iconSet="3Symbols" showValue="0" reverse="1">
        <cfvo type="percent" val="0"/>
        <cfvo type="num" val="10" gte="0"/>
        <cfvo type="num" val="40"/>
      </iconSet>
    </cfRule>
  </conditionalFormatting>
  <conditionalFormatting sqref="Y112:Y118 W112:W118">
    <cfRule type="iconSet" priority="19">
      <iconSet iconSet="3Symbols" showValue="0" reverse="1">
        <cfvo type="percent" val="0"/>
        <cfvo type="num" val="10" gte="0"/>
        <cfvo type="num" val="40"/>
      </iconSet>
    </cfRule>
  </conditionalFormatting>
  <conditionalFormatting sqref="AB112:AB118">
    <cfRule type="iconSet" priority="18">
      <iconSet iconSet="3Symbols" showValue="0" reverse="1">
        <cfvo type="percent" val="0"/>
        <cfvo type="num" val="10" gte="0"/>
        <cfvo type="num" val="40"/>
      </iconSet>
    </cfRule>
  </conditionalFormatting>
  <conditionalFormatting sqref="AD112 AD114 AD116:AD118">
    <cfRule type="iconSet" priority="17">
      <iconSet iconSet="3Symbols" showValue="0" reverse="1">
        <cfvo type="percent" val="0"/>
        <cfvo type="num" val="10" gte="0"/>
        <cfvo type="num" val="40"/>
      </iconSet>
    </cfRule>
  </conditionalFormatting>
  <conditionalFormatting sqref="U130:U136">
    <cfRule type="iconSet" priority="16">
      <iconSet iconSet="3Symbols" showValue="0" reverse="1">
        <cfvo type="percent" val="0"/>
        <cfvo type="num" val="10" gte="0"/>
        <cfvo type="num" val="40"/>
      </iconSet>
    </cfRule>
  </conditionalFormatting>
  <conditionalFormatting sqref="Y130:Y136 W130:W136">
    <cfRule type="iconSet" priority="15">
      <iconSet iconSet="3Symbols" showValue="0" reverse="1">
        <cfvo type="percent" val="0"/>
        <cfvo type="num" val="10" gte="0"/>
        <cfvo type="num" val="40"/>
      </iconSet>
    </cfRule>
  </conditionalFormatting>
  <conditionalFormatting sqref="AB130:AB136">
    <cfRule type="iconSet" priority="14">
      <iconSet iconSet="3Symbols" showValue="0" reverse="1">
        <cfvo type="percent" val="0"/>
        <cfvo type="num" val="10" gte="0"/>
        <cfvo type="num" val="40"/>
      </iconSet>
    </cfRule>
  </conditionalFormatting>
  <conditionalFormatting sqref="AD130 AD132 AD134:AD136">
    <cfRule type="iconSet" priority="13">
      <iconSet iconSet="3Symbols" showValue="0" reverse="1">
        <cfvo type="percent" val="0"/>
        <cfvo type="num" val="10" gte="0"/>
        <cfvo type="num" val="40"/>
      </iconSet>
    </cfRule>
  </conditionalFormatting>
  <conditionalFormatting sqref="U148:U154">
    <cfRule type="iconSet" priority="12">
      <iconSet iconSet="3Symbols" showValue="0" reverse="1">
        <cfvo type="percent" val="0"/>
        <cfvo type="num" val="10" gte="0"/>
        <cfvo type="num" val="40"/>
      </iconSet>
    </cfRule>
  </conditionalFormatting>
  <conditionalFormatting sqref="Y148:Y154 W148:W154">
    <cfRule type="iconSet" priority="11">
      <iconSet iconSet="3Symbols" showValue="0" reverse="1">
        <cfvo type="percent" val="0"/>
        <cfvo type="num" val="10" gte="0"/>
        <cfvo type="num" val="40"/>
      </iconSet>
    </cfRule>
  </conditionalFormatting>
  <conditionalFormatting sqref="AB148:AB154">
    <cfRule type="iconSet" priority="10">
      <iconSet iconSet="3Symbols" showValue="0" reverse="1">
        <cfvo type="percent" val="0"/>
        <cfvo type="num" val="10" gte="0"/>
        <cfvo type="num" val="40"/>
      </iconSet>
    </cfRule>
  </conditionalFormatting>
  <conditionalFormatting sqref="AD148 AD150 AD152:AD154">
    <cfRule type="iconSet" priority="9">
      <iconSet iconSet="3Symbols" showValue="0" reverse="1">
        <cfvo type="percent" val="0"/>
        <cfvo type="num" val="10" gte="0"/>
        <cfvo type="num" val="40"/>
      </iconSet>
    </cfRule>
  </conditionalFormatting>
  <conditionalFormatting sqref="U166:U172">
    <cfRule type="iconSet" priority="8">
      <iconSet iconSet="3Symbols" showValue="0" reverse="1">
        <cfvo type="percent" val="0"/>
        <cfvo type="num" val="10" gte="0"/>
        <cfvo type="num" val="40"/>
      </iconSet>
    </cfRule>
  </conditionalFormatting>
  <conditionalFormatting sqref="Y166:Y172 W166:W172">
    <cfRule type="iconSet" priority="7">
      <iconSet iconSet="3Symbols" showValue="0" reverse="1">
        <cfvo type="percent" val="0"/>
        <cfvo type="num" val="10" gte="0"/>
        <cfvo type="num" val="40"/>
      </iconSet>
    </cfRule>
  </conditionalFormatting>
  <conditionalFormatting sqref="AB166:AB172">
    <cfRule type="iconSet" priority="6">
      <iconSet iconSet="3Symbols" showValue="0" reverse="1">
        <cfvo type="percent" val="0"/>
        <cfvo type="num" val="10" gte="0"/>
        <cfvo type="num" val="40"/>
      </iconSet>
    </cfRule>
  </conditionalFormatting>
  <conditionalFormatting sqref="AD166 AD168 AD170:AD172">
    <cfRule type="iconSet" priority="5">
      <iconSet iconSet="3Symbols" showValue="0" reverse="1">
        <cfvo type="percent" val="0"/>
        <cfvo type="num" val="10" gte="0"/>
        <cfvo type="num" val="40"/>
      </iconSet>
    </cfRule>
  </conditionalFormatting>
  <conditionalFormatting sqref="U184:U190">
    <cfRule type="iconSet" priority="4">
      <iconSet iconSet="3Symbols" showValue="0" reverse="1">
        <cfvo type="percent" val="0"/>
        <cfvo type="num" val="10" gte="0"/>
        <cfvo type="num" val="40"/>
      </iconSet>
    </cfRule>
  </conditionalFormatting>
  <conditionalFormatting sqref="Y184:Y190 W184:W190">
    <cfRule type="iconSet" priority="3">
      <iconSet iconSet="3Symbols" showValue="0" reverse="1">
        <cfvo type="percent" val="0"/>
        <cfvo type="num" val="10" gte="0"/>
        <cfvo type="num" val="40"/>
      </iconSet>
    </cfRule>
  </conditionalFormatting>
  <conditionalFormatting sqref="AB184:AB190">
    <cfRule type="iconSet" priority="2">
      <iconSet iconSet="3Symbols" showValue="0" reverse="1">
        <cfvo type="percent" val="0"/>
        <cfvo type="num" val="10" gte="0"/>
        <cfvo type="num" val="40"/>
      </iconSet>
    </cfRule>
  </conditionalFormatting>
  <conditionalFormatting sqref="AD184 AD186 AD188:AD190">
    <cfRule type="iconSet" priority="1">
      <iconSet iconSet="3Symbols" showValue="0" reverse="1">
        <cfvo type="percent" val="0"/>
        <cfvo type="num" val="10" gte="0"/>
        <cfvo type="num" val="40"/>
      </iconSet>
    </cfRule>
  </conditionalFormatting>
  <printOptions horizontalCentered="1"/>
  <pageMargins left="0.19685039370078741" right="0.19685039370078741" top="0.59055118110236227" bottom="0.78740157480314965" header="0.19685039370078741" footer="0.19685039370078741"/>
  <pageSetup paperSize="9" scale="53" fitToHeight="0" orientation="landscape" r:id="rId1"/>
  <headerFooter>
    <oddFooter>&amp;L&amp;"B Nazanin,Regular"نام و امضاء مدیرعامل                  &amp;"-,Regular"  &amp;C&amp;"B Nazanin,Regular"&amp;P&amp;R&amp;"B Nazanin,Regular"          نام و امضاء معاون / مدیر مالی
          نام و امضاء مدیر / مسئول بودجه</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AEB5F-80B1-4597-AE98-9BF757345136}">
  <sheetPr codeName="Sheet56">
    <tabColor rgb="FFC00000"/>
    <pageSetUpPr fitToPage="1"/>
  </sheetPr>
  <dimension ref="A1:O41"/>
  <sheetViews>
    <sheetView showGridLines="0" rightToLeft="1" view="pageBreakPreview" topLeftCell="A4" zoomScale="80" zoomScaleNormal="100" zoomScaleSheetLayoutView="80" workbookViewId="0">
      <selection activeCell="T5" sqref="T5"/>
    </sheetView>
  </sheetViews>
  <sheetFormatPr defaultColWidth="7.875" defaultRowHeight="14.25" x14ac:dyDescent="0.2"/>
  <cols>
    <col min="1" max="1" width="31.75" style="386" bestFit="1" customWidth="1"/>
    <col min="2" max="4" width="16.25" style="386" customWidth="1"/>
    <col min="5" max="5" width="13.75" style="386" customWidth="1"/>
    <col min="6" max="6" width="11.875" style="386" customWidth="1"/>
    <col min="7" max="7" width="3.25" style="383" customWidth="1"/>
    <col min="8" max="8" width="7.875" style="383" customWidth="1"/>
    <col min="9" max="9" width="7.875" style="384" hidden="1" customWidth="1"/>
    <col min="10" max="11" width="7.875" style="383" hidden="1" customWidth="1"/>
    <col min="12" max="12" width="7.875" style="384" hidden="1" customWidth="1"/>
    <col min="13" max="13" width="7.875" style="385" hidden="1" customWidth="1"/>
    <col min="14" max="14" width="7.875" style="386" hidden="1" customWidth="1"/>
    <col min="15" max="15" width="7.875" style="383" customWidth="1"/>
    <col min="16" max="16384" width="7.875" style="386"/>
  </cols>
  <sheetData>
    <row r="1" spans="1:14" ht="24" customHeight="1" x14ac:dyDescent="0.2">
      <c r="A1" s="207" t="str">
        <f>[1]روکش!D4</f>
        <v>انبارهای عمومی و خدمات گمرکی ایران</v>
      </c>
      <c r="B1" s="207"/>
      <c r="C1" s="207"/>
      <c r="D1" s="207"/>
      <c r="E1" s="207"/>
      <c r="F1" s="207"/>
      <c r="G1" s="207"/>
    </row>
    <row r="2" spans="1:14" ht="28.5" customHeight="1" x14ac:dyDescent="0.75">
      <c r="A2" s="387" t="str">
        <f>"صورت ريز هزينه‌هاي پرسنلي مستقیم ارائه خدمات در دوره " &amp; [1]روکش!F9 &amp; " سال " &amp; [1]روکش!D9</f>
        <v>صورت ريز هزينه‌هاي پرسنلي مستقیم ارائه خدمات در دوره شش ماهه سال 1405</v>
      </c>
      <c r="B2" s="387"/>
      <c r="C2" s="388"/>
      <c r="D2" s="388"/>
      <c r="E2" s="388"/>
      <c r="F2" s="388"/>
      <c r="G2" s="389"/>
      <c r="H2" s="390"/>
    </row>
    <row r="3" spans="1:14" ht="20.100000000000001" customHeight="1" thickBot="1" x14ac:dyDescent="0.25">
      <c r="A3" s="391"/>
      <c r="B3" s="391"/>
      <c r="C3" s="391"/>
      <c r="D3" s="392"/>
      <c r="E3" s="392"/>
      <c r="F3" s="393" t="s">
        <v>63</v>
      </c>
    </row>
    <row r="4" spans="1:14" ht="35.1" customHeight="1" x14ac:dyDescent="0.2">
      <c r="A4" s="211" t="s">
        <v>43</v>
      </c>
      <c r="B4" s="211" t="s">
        <v>64</v>
      </c>
      <c r="C4" s="394" t="s">
        <v>65</v>
      </c>
      <c r="D4" s="394"/>
      <c r="E4" s="394"/>
      <c r="F4" s="395"/>
      <c r="G4" s="395"/>
    </row>
    <row r="5" spans="1:14" ht="58.5" customHeight="1" thickBot="1" x14ac:dyDescent="0.25">
      <c r="A5" s="216"/>
      <c r="B5" s="396"/>
      <c r="C5" s="397" t="s">
        <v>66</v>
      </c>
      <c r="D5" s="398" t="s">
        <v>67</v>
      </c>
      <c r="E5" s="398" t="s">
        <v>68</v>
      </c>
      <c r="F5" s="399" t="s">
        <v>69</v>
      </c>
      <c r="G5" s="400"/>
      <c r="I5" s="401" t="s">
        <v>70</v>
      </c>
      <c r="J5" s="385"/>
      <c r="K5" s="385"/>
      <c r="L5" s="401" t="s">
        <v>71</v>
      </c>
    </row>
    <row r="6" spans="1:14" ht="21.75" customHeight="1" x14ac:dyDescent="0.6">
      <c r="A6" s="402" t="e">
        <f ca="1">IF(ROW()-ROW($A$6)&lt;'[1]الف-ب-ج'!$L$9,INDIRECT("BudgetDB!DN"&amp;('[1]الف-ب-ج'!$M$9+ROW()-ROW($A$6))),"")</f>
        <v>#REF!</v>
      </c>
      <c r="B6" s="403">
        <v>140765</v>
      </c>
      <c r="C6" s="404">
        <v>245350</v>
      </c>
      <c r="D6" s="404">
        <v>226961</v>
      </c>
      <c r="E6" s="405">
        <f t="shared" ref="E6:E30" si="0">IFERROR((D6-B6)*100/B6,"-")</f>
        <v>61.233971512805027</v>
      </c>
      <c r="F6" s="406">
        <f t="shared" ref="F6:F33" si="1">IFERROR(D6*100/C6,"-")</f>
        <v>92.504992867332376</v>
      </c>
      <c r="G6" s="239">
        <f>IFERROR(ABS(F6-100),500)</f>
        <v>7.4950071326676238</v>
      </c>
      <c r="I6" s="407">
        <f>IF(AND(C6=0,D6&gt;0),100,IFERROR(ABS(F6-100),"-"))</f>
        <v>7.4950071326676238</v>
      </c>
      <c r="J6" s="385"/>
      <c r="K6" s="385"/>
      <c r="L6" s="408">
        <f>IFERROR(B6+C6+D6,0)</f>
        <v>613076</v>
      </c>
      <c r="M6" s="385" t="b">
        <f ca="1">AND(COUNTIF($A6,"*سایر*")=1,$B6/$B$31&gt;0.2)</f>
        <v>0</v>
      </c>
      <c r="N6" s="385" t="b">
        <f ca="1">AND(COUNTIF($A6,"*سایر*")=1,$D6/$D$31&gt;0.2)</f>
        <v>0</v>
      </c>
    </row>
    <row r="7" spans="1:14" ht="21" x14ac:dyDescent="0.6">
      <c r="A7" s="409" t="e">
        <f ca="1">IF(ROW()-ROW($A$6)&lt;'[1]الف-ب-ج'!$L$9,INDIRECT("BudgetDB!DN"&amp;('[1]الف-ب-ج'!$M$9+ROW()-ROW($A$6))),"")</f>
        <v>#REF!</v>
      </c>
      <c r="B7" s="410">
        <v>81506</v>
      </c>
      <c r="C7" s="411">
        <v>109679</v>
      </c>
      <c r="D7" s="411">
        <v>143774</v>
      </c>
      <c r="E7" s="412">
        <f t="shared" si="0"/>
        <v>76.396829681250466</v>
      </c>
      <c r="F7" s="413">
        <f t="shared" si="1"/>
        <v>131.08616964049637</v>
      </c>
      <c r="G7" s="256">
        <f t="shared" ref="G7:G33" si="2">IFERROR(ABS(F7-100),500)</f>
        <v>31.086169640496365</v>
      </c>
      <c r="I7" s="407">
        <f t="shared" ref="I7:I30" si="3">IF(AND(C7=0,D7&gt;0),100,IFERROR(ABS(F7-100),"-"))</f>
        <v>31.086169640496365</v>
      </c>
      <c r="J7" s="385"/>
      <c r="K7" s="385"/>
      <c r="L7" s="408">
        <f t="shared" ref="L7:L30" si="4">IFERROR(B7+C7+D7,0)</f>
        <v>334959</v>
      </c>
      <c r="M7" s="385" t="b">
        <f t="shared" ref="M7:M30" ca="1" si="5">AND(COUNTIF($A7,"*سایر*")=1,$B7/$B$31&gt;0.2)</f>
        <v>0</v>
      </c>
      <c r="N7" s="385" t="b">
        <f t="shared" ref="N7:N30" ca="1" si="6">AND(COUNTIF($A7,"*سایر*")=1,$D7/$D$31&gt;0.2)</f>
        <v>0</v>
      </c>
    </row>
    <row r="8" spans="1:14" ht="21" x14ac:dyDescent="0.6">
      <c r="A8" s="409" t="e">
        <f ca="1">IF(ROW()-ROW($A$6)&lt;'[1]الف-ب-ج'!$L$9,INDIRECT("BudgetDB!DN"&amp;('[1]الف-ب-ج'!$M$9+ROW()-ROW($A$6))),"")</f>
        <v>#REF!</v>
      </c>
      <c r="B8" s="410">
        <v>91365</v>
      </c>
      <c r="C8" s="411">
        <v>161384</v>
      </c>
      <c r="D8" s="411">
        <v>36713</v>
      </c>
      <c r="E8" s="412">
        <f t="shared" si="0"/>
        <v>-59.817216658457831</v>
      </c>
      <c r="F8" s="413">
        <f t="shared" si="1"/>
        <v>22.74884746938978</v>
      </c>
      <c r="G8" s="256">
        <f t="shared" si="2"/>
        <v>77.251152530610227</v>
      </c>
      <c r="I8" s="407">
        <f t="shared" si="3"/>
        <v>77.251152530610227</v>
      </c>
      <c r="J8" s="385"/>
      <c r="K8" s="385"/>
      <c r="L8" s="408">
        <f t="shared" si="4"/>
        <v>289462</v>
      </c>
      <c r="M8" s="385" t="b">
        <f t="shared" ca="1" si="5"/>
        <v>0</v>
      </c>
      <c r="N8" s="385" t="b">
        <f t="shared" ca="1" si="6"/>
        <v>0</v>
      </c>
    </row>
    <row r="9" spans="1:14" ht="21" x14ac:dyDescent="0.6">
      <c r="A9" s="409" t="e">
        <f ca="1">IF(ROW()-ROW($A$6)&lt;'[1]الف-ب-ج'!$L$9,INDIRECT("BudgetDB!DN"&amp;('[1]الف-ب-ج'!$M$9+ROW()-ROW($A$6))),"")</f>
        <v>#REF!</v>
      </c>
      <c r="B9" s="410">
        <v>99616</v>
      </c>
      <c r="C9" s="411">
        <v>194485</v>
      </c>
      <c r="D9" s="411">
        <v>288045</v>
      </c>
      <c r="E9" s="412">
        <f t="shared" si="0"/>
        <v>189.15535656922583</v>
      </c>
      <c r="F9" s="413">
        <f t="shared" si="1"/>
        <v>148.10653777926319</v>
      </c>
      <c r="G9" s="256">
        <f t="shared" si="2"/>
        <v>48.106537779263192</v>
      </c>
      <c r="I9" s="407">
        <f t="shared" si="3"/>
        <v>48.106537779263192</v>
      </c>
      <c r="J9" s="385"/>
      <c r="K9" s="385"/>
      <c r="L9" s="408">
        <f t="shared" si="4"/>
        <v>582146</v>
      </c>
      <c r="M9" s="385" t="b">
        <f t="shared" ca="1" si="5"/>
        <v>0</v>
      </c>
      <c r="N9" s="385" t="b">
        <f t="shared" ca="1" si="6"/>
        <v>0</v>
      </c>
    </row>
    <row r="10" spans="1:14" ht="21" x14ac:dyDescent="0.6">
      <c r="A10" s="409" t="e">
        <f ca="1">IF(ROW()-ROW($A$6)&lt;'[1]الف-ب-ج'!$L$9,INDIRECT("BudgetDB!DN"&amp;('[1]الف-ب-ج'!$M$9+ROW()-ROW($A$6))),"")</f>
        <v>#REF!</v>
      </c>
      <c r="B10" s="410">
        <v>109320</v>
      </c>
      <c r="C10" s="411">
        <v>122442</v>
      </c>
      <c r="D10" s="411">
        <v>137188</v>
      </c>
      <c r="E10" s="412">
        <f t="shared" si="0"/>
        <v>25.492133186974023</v>
      </c>
      <c r="F10" s="413">
        <f t="shared" si="1"/>
        <v>112.0432531320952</v>
      </c>
      <c r="G10" s="414">
        <f t="shared" si="2"/>
        <v>12.043253132095202</v>
      </c>
      <c r="I10" s="407">
        <f t="shared" si="3"/>
        <v>12.043253132095202</v>
      </c>
      <c r="J10" s="385"/>
      <c r="K10" s="385"/>
      <c r="L10" s="408">
        <f t="shared" si="4"/>
        <v>368950</v>
      </c>
      <c r="M10" s="385" t="b">
        <f ca="1">AND(COUNTIF($A10,"*سایر*")=1,$B10/$B$31&gt;0.2)</f>
        <v>0</v>
      </c>
      <c r="N10" s="385" t="b">
        <f t="shared" ca="1" si="6"/>
        <v>0</v>
      </c>
    </row>
    <row r="11" spans="1:14" ht="21" x14ac:dyDescent="0.6">
      <c r="A11" s="409" t="e">
        <f ca="1">IF(ROW()-ROW($A$6)&lt;'[1]الف-ب-ج'!$L$9,INDIRECT("BudgetDB!DN"&amp;('[1]الف-ب-ج'!$M$9+ROW()-ROW($A$6))),"")</f>
        <v>#REF!</v>
      </c>
      <c r="B11" s="410">
        <v>21272</v>
      </c>
      <c r="C11" s="411">
        <v>55985</v>
      </c>
      <c r="D11" s="411">
        <v>50965</v>
      </c>
      <c r="E11" s="412">
        <f t="shared" si="0"/>
        <v>139.58725084618277</v>
      </c>
      <c r="F11" s="413">
        <f t="shared" si="1"/>
        <v>91.033312494418141</v>
      </c>
      <c r="G11" s="414">
        <f t="shared" si="2"/>
        <v>8.9666875055818593</v>
      </c>
      <c r="I11" s="407">
        <f t="shared" si="3"/>
        <v>8.9666875055818593</v>
      </c>
      <c r="J11" s="385"/>
      <c r="K11" s="385"/>
      <c r="L11" s="408">
        <f t="shared" si="4"/>
        <v>128222</v>
      </c>
      <c r="M11" s="385" t="b">
        <f ca="1">AND(COUNTIF($A11,"*سایر*")=1,$B11/$B$31&gt;0.2)</f>
        <v>0</v>
      </c>
      <c r="N11" s="385" t="b">
        <f t="shared" ca="1" si="6"/>
        <v>0</v>
      </c>
    </row>
    <row r="12" spans="1:14" ht="21" x14ac:dyDescent="0.6">
      <c r="A12" s="409" t="e">
        <f ca="1">IF(ROW()-ROW($A$6)&lt;'[1]الف-ب-ج'!$L$9,INDIRECT("BudgetDB!DN"&amp;('[1]الف-ب-ج'!$M$9+ROW()-ROW($A$6))),"")</f>
        <v>#REF!</v>
      </c>
      <c r="B12" s="410">
        <v>6943</v>
      </c>
      <c r="C12" s="411">
        <v>8985</v>
      </c>
      <c r="D12" s="411">
        <v>8602</v>
      </c>
      <c r="E12" s="412">
        <f t="shared" si="0"/>
        <v>23.89457007057468</v>
      </c>
      <c r="F12" s="413">
        <f t="shared" si="1"/>
        <v>95.73734001112966</v>
      </c>
      <c r="G12" s="414">
        <f t="shared" si="2"/>
        <v>4.2626599888703396</v>
      </c>
      <c r="I12" s="407">
        <f t="shared" si="3"/>
        <v>4.2626599888703396</v>
      </c>
      <c r="J12" s="385"/>
      <c r="K12" s="385"/>
      <c r="L12" s="408">
        <f t="shared" si="4"/>
        <v>24530</v>
      </c>
      <c r="M12" s="385" t="b">
        <f t="shared" ca="1" si="5"/>
        <v>0</v>
      </c>
      <c r="N12" s="385" t="b">
        <f t="shared" ca="1" si="6"/>
        <v>0</v>
      </c>
    </row>
    <row r="13" spans="1:14" ht="21" x14ac:dyDescent="0.6">
      <c r="A13" s="409" t="e">
        <f ca="1">IF(ROW()-ROW($A$6)&lt;'[1]الف-ب-ج'!$L$9,INDIRECT("BudgetDB!DN"&amp;('[1]الف-ب-ج'!$M$9+ROW()-ROW($A$6))),"")</f>
        <v>#REF!</v>
      </c>
      <c r="B13" s="410">
        <v>5876</v>
      </c>
      <c r="C13" s="411">
        <v>7772</v>
      </c>
      <c r="D13" s="411">
        <v>8677</v>
      </c>
      <c r="E13" s="412">
        <f t="shared" si="0"/>
        <v>47.668481960517362</v>
      </c>
      <c r="F13" s="413">
        <f t="shared" si="1"/>
        <v>111.64436438497169</v>
      </c>
      <c r="G13" s="414">
        <f t="shared" si="2"/>
        <v>11.644364384971695</v>
      </c>
      <c r="I13" s="407">
        <f t="shared" si="3"/>
        <v>11.644364384971695</v>
      </c>
      <c r="J13" s="385"/>
      <c r="K13" s="385"/>
      <c r="L13" s="408">
        <f t="shared" si="4"/>
        <v>22325</v>
      </c>
      <c r="M13" s="385" t="b">
        <f t="shared" ca="1" si="5"/>
        <v>0</v>
      </c>
      <c r="N13" s="385" t="b">
        <f t="shared" ca="1" si="6"/>
        <v>0</v>
      </c>
    </row>
    <row r="14" spans="1:14" ht="21" x14ac:dyDescent="0.6">
      <c r="A14" s="409" t="e">
        <f ca="1">IF(ROW()-ROW($A$6)&lt;'[1]الف-ب-ج'!$L$9,INDIRECT("BudgetDB!DN"&amp;('[1]الف-ب-ج'!$M$9+ROW()-ROW($A$6))),"")</f>
        <v>#REF!</v>
      </c>
      <c r="B14" s="410">
        <v>43098</v>
      </c>
      <c r="C14" s="411">
        <v>38788</v>
      </c>
      <c r="D14" s="411">
        <v>96757</v>
      </c>
      <c r="E14" s="412">
        <f t="shared" si="0"/>
        <v>124.5046173836373</v>
      </c>
      <c r="F14" s="413">
        <f t="shared" si="1"/>
        <v>249.4508610910591</v>
      </c>
      <c r="G14" s="414">
        <f t="shared" si="2"/>
        <v>149.4508610910591</v>
      </c>
      <c r="I14" s="407">
        <f t="shared" si="3"/>
        <v>149.4508610910591</v>
      </c>
      <c r="J14" s="385"/>
      <c r="K14" s="385"/>
      <c r="L14" s="408">
        <f t="shared" si="4"/>
        <v>178643</v>
      </c>
      <c r="M14" s="385" t="b">
        <f t="shared" ca="1" si="5"/>
        <v>0</v>
      </c>
      <c r="N14" s="385" t="b">
        <f t="shared" ca="1" si="6"/>
        <v>0</v>
      </c>
    </row>
    <row r="15" spans="1:14" ht="21" x14ac:dyDescent="0.6">
      <c r="A15" s="409" t="e">
        <f ca="1">IF(ROW()-ROW($A$6)&lt;'[1]الف-ب-ج'!$L$9,INDIRECT("BudgetDB!DN"&amp;('[1]الف-ب-ج'!$M$9+ROW()-ROW($A$6))),"")</f>
        <v>#REF!</v>
      </c>
      <c r="B15" s="410">
        <v>26</v>
      </c>
      <c r="C15" s="411">
        <v>23</v>
      </c>
      <c r="D15" s="411"/>
      <c r="E15" s="412">
        <f t="shared" si="0"/>
        <v>-100</v>
      </c>
      <c r="F15" s="413">
        <f t="shared" si="1"/>
        <v>0</v>
      </c>
      <c r="G15" s="414">
        <f t="shared" si="2"/>
        <v>100</v>
      </c>
      <c r="I15" s="407">
        <f t="shared" si="3"/>
        <v>100</v>
      </c>
      <c r="J15" s="385"/>
      <c r="K15" s="385"/>
      <c r="L15" s="408">
        <f t="shared" si="4"/>
        <v>49</v>
      </c>
      <c r="M15" s="385" t="b">
        <f t="shared" ca="1" si="5"/>
        <v>0</v>
      </c>
      <c r="N15" s="385" t="b">
        <f t="shared" ca="1" si="6"/>
        <v>0</v>
      </c>
    </row>
    <row r="16" spans="1:14" ht="21" x14ac:dyDescent="0.6">
      <c r="A16" s="409" t="e">
        <f ca="1">IF(ROW()-ROW($A$6)&lt;'[1]الف-ب-ج'!$L$9,INDIRECT("BudgetDB!DN"&amp;('[1]الف-ب-ج'!$M$9+ROW()-ROW($A$6))),"")</f>
        <v>#REF!</v>
      </c>
      <c r="B16" s="410">
        <v>58611</v>
      </c>
      <c r="C16" s="411">
        <v>78298</v>
      </c>
      <c r="D16" s="411">
        <v>92436</v>
      </c>
      <c r="E16" s="412">
        <f t="shared" si="0"/>
        <v>57.711009878691712</v>
      </c>
      <c r="F16" s="413">
        <f t="shared" si="1"/>
        <v>118.05665534240977</v>
      </c>
      <c r="G16" s="414">
        <f t="shared" si="2"/>
        <v>18.056655342409769</v>
      </c>
      <c r="I16" s="407">
        <f t="shared" si="3"/>
        <v>18.056655342409769</v>
      </c>
      <c r="J16" s="385"/>
      <c r="K16" s="385"/>
      <c r="L16" s="408">
        <f t="shared" si="4"/>
        <v>229345</v>
      </c>
      <c r="M16" s="385" t="b">
        <f t="shared" ca="1" si="5"/>
        <v>0</v>
      </c>
      <c r="N16" s="385" t="b">
        <f t="shared" ca="1" si="6"/>
        <v>0</v>
      </c>
    </row>
    <row r="17" spans="1:14" ht="21" x14ac:dyDescent="0.6">
      <c r="A17" s="409" t="e">
        <f ca="1">IF(ROW()-ROW($A$6)&lt;'[1]الف-ب-ج'!$L$9,INDIRECT("BudgetDB!DN"&amp;('[1]الف-ب-ج'!$M$9+ROW()-ROW($A$6))),"")</f>
        <v>#REF!</v>
      </c>
      <c r="B17" s="410">
        <v>3464</v>
      </c>
      <c r="C17" s="411">
        <v>5158</v>
      </c>
      <c r="D17" s="411">
        <v>5660</v>
      </c>
      <c r="E17" s="412">
        <f t="shared" si="0"/>
        <v>63.394919168591223</v>
      </c>
      <c r="F17" s="413">
        <f t="shared" si="1"/>
        <v>109.73245443970531</v>
      </c>
      <c r="G17" s="414">
        <f t="shared" si="2"/>
        <v>9.7324544397053074</v>
      </c>
      <c r="I17" s="407">
        <f t="shared" si="3"/>
        <v>9.7324544397053074</v>
      </c>
      <c r="J17" s="385"/>
      <c r="K17" s="385"/>
      <c r="L17" s="408">
        <f t="shared" si="4"/>
        <v>14282</v>
      </c>
      <c r="M17" s="385" t="b">
        <f t="shared" ca="1" si="5"/>
        <v>0</v>
      </c>
      <c r="N17" s="385" t="b">
        <f t="shared" ca="1" si="6"/>
        <v>0</v>
      </c>
    </row>
    <row r="18" spans="1:14" ht="21" x14ac:dyDescent="0.6">
      <c r="A18" s="409" t="e">
        <f ca="1">IF(ROW()-ROW($A$6)&lt;'[1]الف-ب-ج'!$L$9,INDIRECT("BudgetDB!DN"&amp;('[1]الف-ب-ج'!$M$9+ROW()-ROW($A$6))),"")</f>
        <v>#REF!</v>
      </c>
      <c r="B18" s="410"/>
      <c r="C18" s="411">
        <v>167</v>
      </c>
      <c r="D18" s="411"/>
      <c r="E18" s="412" t="str">
        <f t="shared" si="0"/>
        <v>-</v>
      </c>
      <c r="F18" s="413">
        <f t="shared" si="1"/>
        <v>0</v>
      </c>
      <c r="G18" s="414">
        <f t="shared" si="2"/>
        <v>100</v>
      </c>
      <c r="I18" s="407">
        <f t="shared" si="3"/>
        <v>100</v>
      </c>
      <c r="J18" s="385"/>
      <c r="K18" s="385"/>
      <c r="L18" s="408">
        <f t="shared" si="4"/>
        <v>167</v>
      </c>
      <c r="M18" s="385" t="b">
        <f t="shared" ca="1" si="5"/>
        <v>0</v>
      </c>
      <c r="N18" s="385" t="b">
        <f t="shared" ca="1" si="6"/>
        <v>0</v>
      </c>
    </row>
    <row r="19" spans="1:14" ht="21" x14ac:dyDescent="0.6">
      <c r="A19" s="409" t="e">
        <f ca="1">IF(ROW()-ROW($A$6)&lt;'[1]الف-ب-ج'!$L$9,INDIRECT("BudgetDB!DN"&amp;('[1]الف-ب-ج'!$M$9+ROW()-ROW($A$6))),"")</f>
        <v>#REF!</v>
      </c>
      <c r="B19" s="410">
        <v>53441</v>
      </c>
      <c r="C19" s="411">
        <v>0</v>
      </c>
      <c r="D19" s="411">
        <v>31944</v>
      </c>
      <c r="E19" s="412">
        <f t="shared" si="0"/>
        <v>-40.225669429838511</v>
      </c>
      <c r="F19" s="413" t="str">
        <f t="shared" si="1"/>
        <v>-</v>
      </c>
      <c r="G19" s="414">
        <f t="shared" si="2"/>
        <v>500</v>
      </c>
      <c r="I19" s="407">
        <f t="shared" si="3"/>
        <v>100</v>
      </c>
      <c r="J19" s="385"/>
      <c r="K19" s="385"/>
      <c r="L19" s="408">
        <f t="shared" si="4"/>
        <v>85385</v>
      </c>
      <c r="M19" s="385" t="b">
        <f t="shared" ca="1" si="5"/>
        <v>0</v>
      </c>
      <c r="N19" s="385" t="b">
        <f t="shared" ca="1" si="6"/>
        <v>0</v>
      </c>
    </row>
    <row r="20" spans="1:14" ht="21" x14ac:dyDescent="0.6">
      <c r="A20" s="409" t="e">
        <f ca="1">IF(ROW()-ROW($A$6)&lt;'[1]الف-ب-ج'!$L$9,INDIRECT("BudgetDB!DN"&amp;('[1]الف-ب-ج'!$M$9+ROW()-ROW($A$6))),"")</f>
        <v>#REF!</v>
      </c>
      <c r="B20" s="410">
        <v>1887</v>
      </c>
      <c r="C20" s="411">
        <v>9445</v>
      </c>
      <c r="D20" s="411">
        <v>5536</v>
      </c>
      <c r="E20" s="412">
        <f t="shared" si="0"/>
        <v>193.37572866984632</v>
      </c>
      <c r="F20" s="413">
        <f t="shared" si="1"/>
        <v>58.613022763366864</v>
      </c>
      <c r="G20" s="414">
        <f t="shared" si="2"/>
        <v>41.386977236633136</v>
      </c>
      <c r="I20" s="407">
        <f t="shared" si="3"/>
        <v>41.386977236633136</v>
      </c>
      <c r="J20" s="385"/>
      <c r="K20" s="385"/>
      <c r="L20" s="408">
        <f t="shared" si="4"/>
        <v>16868</v>
      </c>
      <c r="M20" s="385" t="b">
        <f t="shared" ca="1" si="5"/>
        <v>0</v>
      </c>
      <c r="N20" s="385" t="b">
        <f t="shared" ca="1" si="6"/>
        <v>0</v>
      </c>
    </row>
    <row r="21" spans="1:14" ht="21" x14ac:dyDescent="0.6">
      <c r="A21" s="409" t="e">
        <f ca="1">IF(ROW()-ROW($A$6)&lt;'[1]الف-ب-ج'!$L$9,INDIRECT("BudgetDB!DN"&amp;('[1]الف-ب-ج'!$M$9+ROW()-ROW($A$6))),"")</f>
        <v>#REF!</v>
      </c>
      <c r="B21" s="410">
        <v>12545</v>
      </c>
      <c r="C21" s="411">
        <v>40747</v>
      </c>
      <c r="D21" s="411">
        <v>6532</v>
      </c>
      <c r="E21" s="412">
        <f t="shared" si="0"/>
        <v>-47.931446791550421</v>
      </c>
      <c r="F21" s="413">
        <f t="shared" si="1"/>
        <v>16.030628021694849</v>
      </c>
      <c r="G21" s="414">
        <f t="shared" si="2"/>
        <v>83.969371978305148</v>
      </c>
      <c r="I21" s="407">
        <f t="shared" si="3"/>
        <v>83.969371978305148</v>
      </c>
      <c r="J21" s="385"/>
      <c r="K21" s="385"/>
      <c r="L21" s="408">
        <f t="shared" si="4"/>
        <v>59824</v>
      </c>
      <c r="M21" s="385" t="b">
        <f t="shared" ca="1" si="5"/>
        <v>0</v>
      </c>
      <c r="N21" s="385" t="b">
        <f t="shared" ca="1" si="6"/>
        <v>0</v>
      </c>
    </row>
    <row r="22" spans="1:14" ht="21" x14ac:dyDescent="0.6">
      <c r="A22" s="409" t="e">
        <f ca="1">IF(ROW()-ROW($A$6)&lt;'[1]الف-ب-ج'!$L$9,INDIRECT("BudgetDB!DN"&amp;('[1]الف-ب-ج'!$M$9+ROW()-ROW($A$6))),"")</f>
        <v>#REF!</v>
      </c>
      <c r="B22" s="410"/>
      <c r="C22" s="411">
        <v>548</v>
      </c>
      <c r="D22" s="411">
        <v>40</v>
      </c>
      <c r="E22" s="412" t="str">
        <f t="shared" si="0"/>
        <v>-</v>
      </c>
      <c r="F22" s="413">
        <f t="shared" si="1"/>
        <v>7.2992700729927007</v>
      </c>
      <c r="G22" s="414">
        <f t="shared" si="2"/>
        <v>92.700729927007302</v>
      </c>
      <c r="I22" s="407">
        <f t="shared" si="3"/>
        <v>92.700729927007302</v>
      </c>
      <c r="J22" s="385"/>
      <c r="K22" s="385"/>
      <c r="L22" s="408">
        <f t="shared" si="4"/>
        <v>588</v>
      </c>
      <c r="M22" s="385" t="b">
        <f t="shared" ca="1" si="5"/>
        <v>0</v>
      </c>
      <c r="N22" s="385" t="b">
        <f t="shared" ca="1" si="6"/>
        <v>0</v>
      </c>
    </row>
    <row r="23" spans="1:14" ht="21" x14ac:dyDescent="0.6">
      <c r="A23" s="409" t="e">
        <f ca="1">IF(ROW()-ROW($A$6)&lt;'[1]الف-ب-ج'!$L$9,INDIRECT("BudgetDB!DN"&amp;('[1]الف-ب-ج'!$M$9+ROW()-ROW($A$6))),"")</f>
        <v>#REF!</v>
      </c>
      <c r="B23" s="410">
        <v>20377</v>
      </c>
      <c r="C23" s="411">
        <v>0</v>
      </c>
      <c r="D23" s="411">
        <v>20630</v>
      </c>
      <c r="E23" s="412">
        <f t="shared" si="0"/>
        <v>1.2415959169652058</v>
      </c>
      <c r="F23" s="413" t="str">
        <f t="shared" si="1"/>
        <v>-</v>
      </c>
      <c r="G23" s="414">
        <f t="shared" si="2"/>
        <v>500</v>
      </c>
      <c r="I23" s="407">
        <f t="shared" si="3"/>
        <v>100</v>
      </c>
      <c r="J23" s="385"/>
      <c r="K23" s="385"/>
      <c r="L23" s="408">
        <f t="shared" si="4"/>
        <v>41007</v>
      </c>
      <c r="M23" s="385" t="b">
        <f t="shared" ca="1" si="5"/>
        <v>0</v>
      </c>
      <c r="N23" s="385" t="b">
        <f t="shared" ca="1" si="6"/>
        <v>0</v>
      </c>
    </row>
    <row r="24" spans="1:14" ht="21" x14ac:dyDescent="0.6">
      <c r="A24" s="415" t="s">
        <v>72</v>
      </c>
      <c r="B24" s="410">
        <v>7214</v>
      </c>
      <c r="C24" s="411">
        <v>9759</v>
      </c>
      <c r="D24" s="411">
        <v>11633</v>
      </c>
      <c r="E24" s="412">
        <f t="shared" si="0"/>
        <v>61.25589132242861</v>
      </c>
      <c r="F24" s="413">
        <f t="shared" si="1"/>
        <v>119.20278717081668</v>
      </c>
      <c r="G24" s="414">
        <f t="shared" si="2"/>
        <v>19.202787170816677</v>
      </c>
      <c r="I24" s="407">
        <f t="shared" si="3"/>
        <v>19.202787170816677</v>
      </c>
      <c r="J24" s="385"/>
      <c r="K24" s="385"/>
      <c r="L24" s="408">
        <f t="shared" si="4"/>
        <v>28606</v>
      </c>
      <c r="M24" s="385" t="b">
        <f t="shared" si="5"/>
        <v>0</v>
      </c>
      <c r="N24" s="385" t="b">
        <f t="shared" si="6"/>
        <v>0</v>
      </c>
    </row>
    <row r="25" spans="1:14" ht="21" x14ac:dyDescent="0.6">
      <c r="A25" s="415" t="s">
        <v>73</v>
      </c>
      <c r="B25" s="410">
        <v>1684</v>
      </c>
      <c r="C25" s="411">
        <v>77343</v>
      </c>
      <c r="D25" s="411">
        <v>69952</v>
      </c>
      <c r="E25" s="412">
        <f t="shared" si="0"/>
        <v>4053.919239904988</v>
      </c>
      <c r="F25" s="413">
        <f t="shared" si="1"/>
        <v>90.443866930426793</v>
      </c>
      <c r="G25" s="414">
        <f t="shared" si="2"/>
        <v>9.5561330695732067</v>
      </c>
      <c r="I25" s="407">
        <f t="shared" si="3"/>
        <v>9.5561330695732067</v>
      </c>
      <c r="J25" s="385"/>
      <c r="K25" s="385"/>
      <c r="L25" s="408">
        <f t="shared" si="4"/>
        <v>148979</v>
      </c>
      <c r="M25" s="385" t="b">
        <f t="shared" si="5"/>
        <v>0</v>
      </c>
      <c r="N25" s="385" t="b">
        <f t="shared" si="6"/>
        <v>0</v>
      </c>
    </row>
    <row r="26" spans="1:14" ht="21" x14ac:dyDescent="0.6">
      <c r="A26" s="415"/>
      <c r="B26" s="410"/>
      <c r="C26" s="411">
        <v>0</v>
      </c>
      <c r="D26" s="411"/>
      <c r="E26" s="412" t="str">
        <f t="shared" si="0"/>
        <v>-</v>
      </c>
      <c r="F26" s="413" t="str">
        <f t="shared" si="1"/>
        <v>-</v>
      </c>
      <c r="G26" s="414">
        <f t="shared" si="2"/>
        <v>500</v>
      </c>
      <c r="I26" s="407" t="str">
        <f t="shared" si="3"/>
        <v>-</v>
      </c>
      <c r="J26" s="385"/>
      <c r="K26" s="385"/>
      <c r="L26" s="408">
        <f t="shared" si="4"/>
        <v>0</v>
      </c>
      <c r="M26" s="385" t="b">
        <f t="shared" si="5"/>
        <v>0</v>
      </c>
      <c r="N26" s="385" t="b">
        <f t="shared" si="6"/>
        <v>0</v>
      </c>
    </row>
    <row r="27" spans="1:14" ht="21" x14ac:dyDescent="0.6">
      <c r="A27" s="415"/>
      <c r="B27" s="410"/>
      <c r="C27" s="411" t="e" cm="1">
        <f t="array" aca="1" ref="C27" ca="1">IF(ROW()-ROW($A$6)&lt;'[2]الف-ب-ج'!$L$9,IF([2]روکش!$F$9="سه ماهه",INDIRECT("BudgetDB!DO"&amp;('[2]الف-ب-ج'!$M$9+ROW()-ROW($A$6))),INDIRECT("BudgetDB!DP"&amp;('[2]الف-ب-ج'!$M$9+ROW()-ROW($A$6)))),"")</f>
        <v>#REF!</v>
      </c>
      <c r="D27" s="411"/>
      <c r="E27" s="412" t="str">
        <f t="shared" si="0"/>
        <v>-</v>
      </c>
      <c r="F27" s="413" t="str">
        <f ca="1">IFERROR(D27*100/C27,"-")</f>
        <v>-</v>
      </c>
      <c r="G27" s="414">
        <f t="shared" ca="1" si="2"/>
        <v>500</v>
      </c>
      <c r="I27" s="407" t="e">
        <f t="shared" ca="1" si="3"/>
        <v>#REF!</v>
      </c>
      <c r="J27" s="385"/>
      <c r="K27" s="385"/>
      <c r="L27" s="408">
        <f t="shared" ca="1" si="4"/>
        <v>0</v>
      </c>
      <c r="M27" s="385" t="b">
        <f t="shared" si="5"/>
        <v>0</v>
      </c>
      <c r="N27" s="385" t="b">
        <f t="shared" si="6"/>
        <v>0</v>
      </c>
    </row>
    <row r="28" spans="1:14" ht="21" x14ac:dyDescent="0.6">
      <c r="A28" s="415" t="e">
        <f ca="1">IF(ROW()-ROW($A$6)&lt;'[1]الف-ب-ج'!$L$9,INDIRECT("BudgetDB!DN"&amp;('[1]الف-ب-ج'!$M$9+ROW()-ROW($A$6))),"")</f>
        <v>#REF!</v>
      </c>
      <c r="B28" s="410"/>
      <c r="C28" s="411" t="e" cm="1">
        <f t="array" aca="1" ref="C28" ca="1">IF(ROW()-ROW($A$6)&lt;'[2]الف-ب-ج'!$L$9,IF([2]روکش!$F$9="سه ماهه",INDIRECT("BudgetDB!DO"&amp;('[2]الف-ب-ج'!$M$9+ROW()-ROW($A$6))),INDIRECT("BudgetDB!DP"&amp;('[2]الف-ب-ج'!$M$9+ROW()-ROW($A$6)))),"")</f>
        <v>#REF!</v>
      </c>
      <c r="D28" s="411"/>
      <c r="E28" s="412" t="str">
        <f t="shared" si="0"/>
        <v>-</v>
      </c>
      <c r="F28" s="413" t="str">
        <f t="shared" ref="F28:F55" ca="1" si="7">IFERROR(D28*100/C28,"-")</f>
        <v>-</v>
      </c>
      <c r="G28" s="414">
        <f t="shared" ca="1" si="2"/>
        <v>500</v>
      </c>
      <c r="I28" s="407" t="e">
        <f t="shared" ca="1" si="3"/>
        <v>#REF!</v>
      </c>
      <c r="J28" s="385"/>
      <c r="K28" s="385"/>
      <c r="L28" s="408">
        <f t="shared" ca="1" si="4"/>
        <v>0</v>
      </c>
      <c r="M28" s="385" t="b">
        <f t="shared" ca="1" si="5"/>
        <v>0</v>
      </c>
      <c r="N28" s="385" t="b">
        <f t="shared" ca="1" si="6"/>
        <v>0</v>
      </c>
    </row>
    <row r="29" spans="1:14" ht="21" x14ac:dyDescent="0.6">
      <c r="A29" s="415" t="e">
        <f ca="1">IF(ROW()-ROW($A$6)&lt;'[1]الف-ب-ج'!$L$9,INDIRECT("BudgetDB!DN"&amp;('[1]الف-ب-ج'!$M$9+ROW()-ROW($A$6))),"")</f>
        <v>#REF!</v>
      </c>
      <c r="B29" s="410"/>
      <c r="C29" s="411" t="e" cm="1">
        <f t="array" aca="1" ref="C29" ca="1">IF(ROW()-ROW($A$6)&lt;'[2]الف-ب-ج'!$L$9,IF([2]روکش!$F$9="سه ماهه",INDIRECT("BudgetDB!DO"&amp;('[2]الف-ب-ج'!$M$9+ROW()-ROW($A$6))),INDIRECT("BudgetDB!DP"&amp;('[2]الف-ب-ج'!$M$9+ROW()-ROW($A$6)))),"")</f>
        <v>#REF!</v>
      </c>
      <c r="D29" s="411"/>
      <c r="E29" s="412" t="str">
        <f t="shared" si="0"/>
        <v>-</v>
      </c>
      <c r="F29" s="413" t="str">
        <f t="shared" ca="1" si="7"/>
        <v>-</v>
      </c>
      <c r="G29" s="414">
        <f t="shared" ca="1" si="2"/>
        <v>500</v>
      </c>
      <c r="I29" s="407" t="e">
        <f t="shared" ca="1" si="3"/>
        <v>#REF!</v>
      </c>
      <c r="J29" s="385"/>
      <c r="K29" s="385"/>
      <c r="L29" s="408">
        <f t="shared" ca="1" si="4"/>
        <v>0</v>
      </c>
      <c r="M29" s="385" t="b">
        <f t="shared" ca="1" si="5"/>
        <v>0</v>
      </c>
      <c r="N29" s="385" t="b">
        <f t="shared" ca="1" si="6"/>
        <v>0</v>
      </c>
    </row>
    <row r="30" spans="1:14" ht="21.75" thickBot="1" x14ac:dyDescent="0.65">
      <c r="A30" s="415" t="e">
        <f ca="1">IF(ROW()-ROW($A$6)&lt;'[1]الف-ب-ج'!$L$9,INDIRECT("BudgetDB!DN"&amp;('[1]الف-ب-ج'!$M$9+ROW()-ROW($A$6))),"")</f>
        <v>#REF!</v>
      </c>
      <c r="B30" s="410"/>
      <c r="C30" s="411" t="e" cm="1">
        <f t="array" aca="1" ref="C30" ca="1">IF(ROW()-ROW($A$6)&lt;'[2]الف-ب-ج'!$L$9,IF([2]روکش!$F$9="سه ماهه",INDIRECT("BudgetDB!DO"&amp;('[2]الف-ب-ج'!$M$9+ROW()-ROW($A$6))),INDIRECT("BudgetDB!DP"&amp;('[2]الف-ب-ج'!$M$9+ROW()-ROW($A$6)))),"")</f>
        <v>#REF!</v>
      </c>
      <c r="D30" s="411"/>
      <c r="E30" s="412" t="str">
        <f t="shared" si="0"/>
        <v>-</v>
      </c>
      <c r="F30" s="416" t="str">
        <f t="shared" ca="1" si="7"/>
        <v>-</v>
      </c>
      <c r="G30" s="417">
        <f t="shared" ca="1" si="2"/>
        <v>500</v>
      </c>
      <c r="I30" s="407" t="e">
        <f t="shared" ca="1" si="3"/>
        <v>#REF!</v>
      </c>
      <c r="J30" s="385"/>
      <c r="K30" s="385"/>
      <c r="L30" s="408">
        <f t="shared" ca="1" si="4"/>
        <v>0</v>
      </c>
      <c r="M30" s="385" t="b">
        <f t="shared" ca="1" si="5"/>
        <v>0</v>
      </c>
      <c r="N30" s="385" t="b">
        <f t="shared" ca="1" si="6"/>
        <v>0</v>
      </c>
    </row>
    <row r="31" spans="1:14" ht="21.75" thickBot="1" x14ac:dyDescent="0.65">
      <c r="A31" s="418" t="s">
        <v>74</v>
      </c>
      <c r="B31" s="419">
        <f>SUM(B6:B30)</f>
        <v>759010</v>
      </c>
      <c r="C31" s="420" t="e">
        <f ca="1">SUM(C6:C30)</f>
        <v>#REF!</v>
      </c>
      <c r="D31" s="421">
        <f>SUM(D6:D30)</f>
        <v>1242045</v>
      </c>
      <c r="E31" s="422">
        <f>IFERROR((D31-B31)*100/B31,"-")</f>
        <v>63.640136493590333</v>
      </c>
      <c r="F31" s="423" t="str">
        <f t="shared" ca="1" si="7"/>
        <v>-</v>
      </c>
      <c r="G31" s="424">
        <f t="shared" ca="1" si="2"/>
        <v>500</v>
      </c>
      <c r="I31" s="407" t="s">
        <v>75</v>
      </c>
      <c r="J31" s="385"/>
      <c r="K31" s="385"/>
      <c r="L31" s="408" t="s">
        <v>75</v>
      </c>
    </row>
    <row r="32" spans="1:14" ht="21.75" thickBot="1" x14ac:dyDescent="0.65">
      <c r="A32" s="425" t="s">
        <v>76</v>
      </c>
      <c r="B32" s="426"/>
      <c r="C32" s="427" t="e" cm="1">
        <f t="array" aca="1" ref="C32" ca="1">IF([1]روکش!$F$9="سه ماهه",INDIRECT("BudgetDB!DQ"&amp;('[1]الف-ب-ج'!$M$9+ROW()-ROW($A$32))),INDIRECT("BudgetDB!DR"&amp;('[1]الف-ب-ج'!$M$9+ROW()-ROW($A$32))))</f>
        <v>#REF!</v>
      </c>
      <c r="D32" s="428"/>
      <c r="E32" s="422" t="str">
        <f>IFERROR((D32-B32)*100/B32,"-")</f>
        <v>-</v>
      </c>
      <c r="F32" s="423" t="str">
        <f t="shared" ca="1" si="7"/>
        <v>-</v>
      </c>
      <c r="G32" s="424">
        <f t="shared" ca="1" si="2"/>
        <v>500</v>
      </c>
      <c r="I32" s="407" t="e">
        <f ca="1">IF(AND(C32=0,D32&gt;0),100,IFERROR(ABS(F32-100),"-"))</f>
        <v>#REF!</v>
      </c>
      <c r="J32" s="385"/>
      <c r="K32" s="385"/>
      <c r="L32" s="408" t="s">
        <v>75</v>
      </c>
    </row>
    <row r="33" spans="1:12" ht="21.75" thickBot="1" x14ac:dyDescent="0.65">
      <c r="A33" s="418" t="s">
        <v>77</v>
      </c>
      <c r="B33" s="419">
        <f>B31+B32</f>
        <v>759010</v>
      </c>
      <c r="C33" s="420" t="e">
        <f ca="1">C31+C32</f>
        <v>#REF!</v>
      </c>
      <c r="D33" s="421">
        <f>D31+D32</f>
        <v>1242045</v>
      </c>
      <c r="E33" s="422">
        <f>IFERROR((D33-B33)*100/B33,"-")</f>
        <v>63.640136493590333</v>
      </c>
      <c r="F33" s="423" t="str">
        <f t="shared" ca="1" si="7"/>
        <v>-</v>
      </c>
      <c r="G33" s="424">
        <f t="shared" ca="1" si="2"/>
        <v>500</v>
      </c>
      <c r="I33" s="407" t="s">
        <v>75</v>
      </c>
      <c r="J33" s="385"/>
      <c r="K33" s="385"/>
      <c r="L33" s="408" t="s">
        <v>75</v>
      </c>
    </row>
    <row r="34" spans="1:12" ht="21" x14ac:dyDescent="0.6">
      <c r="A34" s="429"/>
      <c r="B34" s="429"/>
      <c r="C34" s="429"/>
      <c r="D34" s="429"/>
      <c r="E34" s="429"/>
      <c r="F34" s="430"/>
      <c r="I34" s="407" t="s">
        <v>75</v>
      </c>
      <c r="J34" s="385"/>
      <c r="K34" s="385"/>
      <c r="L34" s="408" t="s">
        <v>75</v>
      </c>
    </row>
    <row r="35" spans="1:12" x14ac:dyDescent="0.2">
      <c r="L35" s="384" t="s">
        <v>75</v>
      </c>
    </row>
    <row r="36" spans="1:12" ht="21" x14ac:dyDescent="0.2">
      <c r="A36" s="431"/>
      <c r="B36" s="431"/>
      <c r="C36" s="432"/>
      <c r="E36" s="431"/>
      <c r="L36" s="384" t="s">
        <v>75</v>
      </c>
    </row>
    <row r="37" spans="1:12" x14ac:dyDescent="0.2">
      <c r="L37" s="384" t="s">
        <v>75</v>
      </c>
    </row>
    <row r="38" spans="1:12" x14ac:dyDescent="0.2">
      <c r="L38" s="384" t="s">
        <v>75</v>
      </c>
    </row>
    <row r="39" spans="1:12" x14ac:dyDescent="0.2">
      <c r="L39" s="384" t="s">
        <v>75</v>
      </c>
    </row>
    <row r="40" spans="1:12" x14ac:dyDescent="0.2">
      <c r="L40" s="384" t="s">
        <v>75</v>
      </c>
    </row>
    <row r="41" spans="1:12" x14ac:dyDescent="0.2">
      <c r="L41" s="384" t="s">
        <v>75</v>
      </c>
    </row>
  </sheetData>
  <sheetProtection algorithmName="SHA-512" hashValue="zyqu+w6tFY7g62Lm04k9psAK4jFBPhvs+Se9WF7nEcOv2GNvOvH4TIvcPAKYHKzeYDuJq3c7iyVNo6soF13TuQ==" saltValue="oNqkNjiyb2ZAOZx7RUV2/g==" spinCount="100000" sheet="1" objects="1" scenarios="1"/>
  <mergeCells count="6">
    <mergeCell ref="A1:G1"/>
    <mergeCell ref="A3:C3"/>
    <mergeCell ref="A4:A5"/>
    <mergeCell ref="B4:B5"/>
    <mergeCell ref="F5:G5"/>
    <mergeCell ref="A34:E34"/>
  </mergeCells>
  <conditionalFormatting sqref="A6:A30">
    <cfRule type="expression" dxfId="199" priority="7">
      <formula>AND($A6=0,OR($B6&lt;&gt;0,$D6&lt;&gt;0))</formula>
    </cfRule>
  </conditionalFormatting>
  <conditionalFormatting sqref="G6:G33">
    <cfRule type="iconSet" priority="5">
      <iconSet iconSet="3Symbols" showValue="0" reverse="1">
        <cfvo type="percent" val="0"/>
        <cfvo type="num" val="10" gte="0"/>
        <cfvo type="num" val="40"/>
      </iconSet>
    </cfRule>
  </conditionalFormatting>
  <conditionalFormatting sqref="B6:B30">
    <cfRule type="expression" dxfId="198" priority="4">
      <formula>$M6=TRUE</formula>
    </cfRule>
  </conditionalFormatting>
  <conditionalFormatting sqref="D6:D30">
    <cfRule type="expression" dxfId="197" priority="3">
      <formula>$N6=TRUE</formula>
    </cfRule>
  </conditionalFormatting>
  <conditionalFormatting sqref="C6:C25">
    <cfRule type="expression" dxfId="196" priority="2">
      <formula>$N6=TRUE</formula>
    </cfRule>
  </conditionalFormatting>
  <conditionalFormatting sqref="C26:C30">
    <cfRule type="expression" dxfId="195" priority="1">
      <formula>$N26=TRUE</formula>
    </cfRule>
  </conditionalFormatting>
  <printOptions horizontalCentered="1"/>
  <pageMargins left="0.59055118110236227" right="0.59055118110236227" top="0.19685039370078741" bottom="0.78740157480314965" header="0.19685039370078741" footer="0.19685039370078741"/>
  <pageSetup paperSize="9" scale="76" fitToHeight="0" orientation="portrait" r:id="rId1"/>
  <headerFooter>
    <oddFooter>&amp;L&amp;"B Nazanin,Regular"نام و امضاء مدیرعامل                  &amp;"-,Regular"  &amp;C&amp;"B Nazanin,Regular"&amp;P&amp;R&amp;"B Nazanin,Regular"          نام و امضاء معاون / مدیر مالی
          نام و امضاء مدیر / مسئول بودجه</oddFooter>
  </headerFooter>
  <extLst>
    <ext xmlns:x14="http://schemas.microsoft.com/office/spreadsheetml/2009/9/main" uri="{78C0D931-6437-407d-A8EE-F0AAD7539E65}">
      <x14:conditionalFormattings>
        <x14:conditionalFormatting xmlns:xm="http://schemas.microsoft.com/office/excel/2006/main">
          <x14:cfRule type="iconSet" priority="6" id="{260E0E4C-DDB2-4400-AA2B-4D1E3BE71DDA}">
            <x14:iconSet iconSet="3Symbols" custom="1">
              <x14:cfvo type="percent">
                <xm:f>0</xm:f>
              </x14:cfvo>
              <x14:cfvo type="num">
                <xm:f>0</xm:f>
              </x14:cfvo>
              <x14:cfvo type="num">
                <xm:f>0</xm:f>
              </x14:cfvo>
              <x14:cfIcon iconSet="3Symbols" iconId="1"/>
              <x14:cfIcon iconSet="3Symbols" iconId="1"/>
              <x14:cfIcon iconSet="NoIcons" iconId="0"/>
            </x14:iconSet>
          </x14:cfRule>
          <xm:sqref>E6:E33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AA6A3-27C3-4AD2-A127-68F4E4DFF4FC}">
  <sheetPr codeName="Sheet28">
    <tabColor rgb="FFE60000"/>
    <pageSetUpPr fitToPage="1"/>
  </sheetPr>
  <dimension ref="A1:Y42"/>
  <sheetViews>
    <sheetView rightToLeft="1" view="pageBreakPreview" zoomScale="80" zoomScaleNormal="80" zoomScaleSheetLayoutView="80" workbookViewId="0">
      <selection activeCell="X6" sqref="X6"/>
    </sheetView>
  </sheetViews>
  <sheetFormatPr defaultColWidth="7.875" defaultRowHeight="18.75" x14ac:dyDescent="0.45"/>
  <cols>
    <col min="1" max="1" width="25" style="493" customWidth="1"/>
    <col min="2" max="2" width="78" style="438" customWidth="1"/>
    <col min="3" max="3" width="15.125" style="438" bestFit="1" customWidth="1"/>
    <col min="4" max="8" width="3.125" style="494" customWidth="1"/>
    <col min="9" max="9" width="9.25" style="438" customWidth="1"/>
    <col min="10" max="10" width="11.5" style="438" customWidth="1"/>
    <col min="11" max="11" width="13.75" style="438" customWidth="1"/>
    <col min="12" max="13" width="9.25" style="438" customWidth="1"/>
    <col min="14" max="14" width="11.75" style="438" customWidth="1"/>
    <col min="15" max="15" width="9.25" style="438" customWidth="1"/>
    <col min="16" max="18" width="11" style="438" customWidth="1"/>
    <col min="19" max="19" width="14.5" style="438" customWidth="1"/>
    <col min="20" max="20" width="7.875" style="438" bestFit="1" customWidth="1"/>
    <col min="21" max="23" width="4.875" style="438" customWidth="1"/>
    <col min="24" max="24" width="165" style="499" bestFit="1" customWidth="1"/>
    <col min="25" max="25" width="4.375" style="434" customWidth="1"/>
    <col min="26" max="16384" width="7.875" style="438"/>
  </cols>
  <sheetData>
    <row r="1" spans="1:25" s="434" customFormat="1" ht="26.25" customHeight="1" x14ac:dyDescent="0.6">
      <c r="A1" s="433" t="str">
        <f>[1]روکش!D4</f>
        <v>انبارهای عمومی و خدمات گمرکی ایران</v>
      </c>
      <c r="B1" s="433"/>
      <c r="C1" s="433"/>
      <c r="D1" s="433"/>
      <c r="E1" s="433"/>
      <c r="F1" s="433"/>
      <c r="G1" s="433"/>
      <c r="H1" s="433"/>
      <c r="I1" s="433"/>
      <c r="J1" s="433"/>
      <c r="K1" s="433"/>
      <c r="L1" s="433"/>
      <c r="M1" s="433"/>
      <c r="N1" s="433"/>
      <c r="O1" s="433"/>
      <c r="P1" s="433"/>
      <c r="Q1" s="433"/>
      <c r="R1" s="433"/>
      <c r="S1" s="433"/>
      <c r="T1" s="433"/>
      <c r="U1" s="433"/>
      <c r="V1" s="433"/>
      <c r="W1" s="433"/>
      <c r="X1" s="433"/>
    </row>
    <row r="2" spans="1:25" ht="24" customHeight="1" x14ac:dyDescent="0.2">
      <c r="A2" s="435" t="str">
        <f>"گزارش پروژه‌های سرمایه‌ای به تفکیک شرکت‌ها و شعب تابعه در دوره " &amp; [1]روکش!F9 &amp; " سال " &amp; [1]روکش!D9</f>
        <v>گزارش پروژه‌های سرمایه‌ای به تفکیک شرکت‌ها و شعب تابعه در دوره شش ماهه سال 1405</v>
      </c>
      <c r="B2" s="435"/>
      <c r="C2" s="435"/>
      <c r="D2" s="436"/>
      <c r="E2" s="436"/>
      <c r="F2" s="436"/>
      <c r="G2" s="436"/>
      <c r="H2" s="436"/>
      <c r="I2" s="435"/>
      <c r="J2" s="435"/>
      <c r="K2" s="435"/>
      <c r="L2" s="435"/>
      <c r="M2" s="435"/>
      <c r="N2" s="435"/>
      <c r="O2" s="435"/>
      <c r="P2" s="437"/>
      <c r="Q2" s="437"/>
      <c r="R2" s="437"/>
      <c r="S2" s="437"/>
      <c r="T2" s="437"/>
      <c r="U2" s="435"/>
      <c r="V2" s="435"/>
      <c r="W2" s="435"/>
      <c r="X2" s="435"/>
    </row>
    <row r="3" spans="1:25" ht="15.75" customHeight="1" thickBot="1" x14ac:dyDescent="0.25">
      <c r="A3" s="439"/>
      <c r="B3" s="439"/>
      <c r="C3" s="439"/>
      <c r="D3" s="440"/>
      <c r="E3" s="440"/>
      <c r="F3" s="440"/>
      <c r="G3" s="440"/>
      <c r="H3" s="440"/>
      <c r="I3" s="439"/>
      <c r="J3" s="439"/>
      <c r="K3" s="439"/>
      <c r="L3" s="439"/>
      <c r="M3" s="439"/>
      <c r="N3" s="439"/>
      <c r="O3" s="439"/>
      <c r="P3" s="439"/>
      <c r="Q3" s="439"/>
      <c r="R3" s="439"/>
      <c r="S3" s="439"/>
      <c r="T3" s="439"/>
      <c r="U3" s="439"/>
      <c r="V3" s="439"/>
      <c r="W3" s="439"/>
      <c r="X3" s="441" t="s">
        <v>63</v>
      </c>
    </row>
    <row r="4" spans="1:25" ht="24" customHeight="1" x14ac:dyDescent="0.2">
      <c r="A4" s="442" t="s">
        <v>78</v>
      </c>
      <c r="B4" s="443" t="s">
        <v>79</v>
      </c>
      <c r="C4" s="444" t="s">
        <v>80</v>
      </c>
      <c r="D4" s="445" t="s">
        <v>81</v>
      </c>
      <c r="E4" s="446"/>
      <c r="F4" s="446"/>
      <c r="G4" s="446"/>
      <c r="H4" s="447"/>
      <c r="I4" s="448" t="s">
        <v>82</v>
      </c>
      <c r="J4" s="449"/>
      <c r="K4" s="450"/>
      <c r="L4" s="448" t="s">
        <v>83</v>
      </c>
      <c r="M4" s="449"/>
      <c r="N4" s="449"/>
      <c r="O4" s="450"/>
      <c r="P4" s="451" t="s">
        <v>84</v>
      </c>
      <c r="Q4" s="452" t="s">
        <v>85</v>
      </c>
      <c r="R4" s="453"/>
      <c r="S4" s="453"/>
      <c r="T4" s="454"/>
      <c r="U4" s="455" t="s">
        <v>86</v>
      </c>
      <c r="V4" s="456"/>
      <c r="W4" s="457"/>
      <c r="X4" s="451" t="s">
        <v>87</v>
      </c>
      <c r="Y4" s="434" t="s">
        <v>88</v>
      </c>
    </row>
    <row r="5" spans="1:25" ht="97.5" customHeight="1" thickBot="1" x14ac:dyDescent="0.25">
      <c r="A5" s="458"/>
      <c r="B5" s="459"/>
      <c r="C5" s="460"/>
      <c r="D5" s="461" t="s">
        <v>89</v>
      </c>
      <c r="E5" s="462" t="s">
        <v>90</v>
      </c>
      <c r="F5" s="462" t="s">
        <v>91</v>
      </c>
      <c r="G5" s="463" t="s">
        <v>92</v>
      </c>
      <c r="H5" s="464" t="s">
        <v>73</v>
      </c>
      <c r="I5" s="465" t="s">
        <v>93</v>
      </c>
      <c r="J5" s="466" t="s">
        <v>94</v>
      </c>
      <c r="K5" s="467" t="s">
        <v>95</v>
      </c>
      <c r="L5" s="468" t="s">
        <v>96</v>
      </c>
      <c r="M5" s="469" t="s">
        <v>97</v>
      </c>
      <c r="N5" s="469" t="s">
        <v>46</v>
      </c>
      <c r="O5" s="467" t="s">
        <v>51</v>
      </c>
      <c r="P5" s="470"/>
      <c r="Q5" s="468" t="s">
        <v>96</v>
      </c>
      <c r="R5" s="469" t="s">
        <v>98</v>
      </c>
      <c r="S5" s="469" t="s">
        <v>46</v>
      </c>
      <c r="T5" s="471" t="s">
        <v>99</v>
      </c>
      <c r="U5" s="472" t="s">
        <v>28</v>
      </c>
      <c r="V5" s="473" t="s">
        <v>100</v>
      </c>
      <c r="W5" s="474" t="s">
        <v>101</v>
      </c>
      <c r="X5" s="470"/>
    </row>
    <row r="6" spans="1:25" ht="21" x14ac:dyDescent="0.2">
      <c r="A6" s="475" t="s">
        <v>102</v>
      </c>
      <c r="B6" s="475" t="s">
        <v>103</v>
      </c>
      <c r="C6" s="475">
        <v>22140501</v>
      </c>
      <c r="D6" s="475"/>
      <c r="E6" s="475"/>
      <c r="F6" s="475" t="s">
        <v>104</v>
      </c>
      <c r="G6" s="475"/>
      <c r="H6" s="475"/>
      <c r="I6" s="475">
        <v>6</v>
      </c>
      <c r="J6" s="475" t="s">
        <v>105</v>
      </c>
      <c r="K6" s="475" t="s">
        <v>106</v>
      </c>
      <c r="L6" s="476">
        <v>0</v>
      </c>
      <c r="M6" s="477">
        <v>100</v>
      </c>
      <c r="N6" s="477">
        <v>0</v>
      </c>
      <c r="O6" s="478">
        <f t="shared" ref="O6:O42" si="0">N6+L6</f>
        <v>0</v>
      </c>
      <c r="P6" s="479">
        <v>20000</v>
      </c>
      <c r="Q6" s="480">
        <v>0</v>
      </c>
      <c r="R6" s="479">
        <v>0</v>
      </c>
      <c r="S6" s="481">
        <v>0</v>
      </c>
      <c r="T6" s="482" t="e">
        <f t="shared" ref="T6:T36" si="1">S6/R6*100</f>
        <v>#DIV/0!</v>
      </c>
      <c r="U6" s="483"/>
      <c r="V6" s="484"/>
      <c r="W6" s="485"/>
      <c r="X6" s="485" t="s">
        <v>107</v>
      </c>
    </row>
    <row r="7" spans="1:25" ht="42" x14ac:dyDescent="0.2">
      <c r="A7" s="486" t="s">
        <v>108</v>
      </c>
      <c r="B7" s="475" t="s">
        <v>109</v>
      </c>
      <c r="C7" s="475">
        <v>22140502</v>
      </c>
      <c r="D7" s="475"/>
      <c r="E7" s="475"/>
      <c r="F7" s="475"/>
      <c r="G7" s="475" t="s">
        <v>104</v>
      </c>
      <c r="H7" s="475"/>
      <c r="I7" s="475">
        <v>12</v>
      </c>
      <c r="J7" s="475" t="s">
        <v>110</v>
      </c>
      <c r="K7" s="475" t="s">
        <v>111</v>
      </c>
      <c r="L7" s="476">
        <v>0</v>
      </c>
      <c r="M7" s="477">
        <v>100</v>
      </c>
      <c r="N7" s="477">
        <v>25</v>
      </c>
      <c r="O7" s="478">
        <f t="shared" si="0"/>
        <v>25</v>
      </c>
      <c r="P7" s="479">
        <v>110000</v>
      </c>
      <c r="Q7" s="480">
        <v>0</v>
      </c>
      <c r="R7" s="479">
        <v>20000</v>
      </c>
      <c r="S7" s="481">
        <v>0</v>
      </c>
      <c r="T7" s="482">
        <f t="shared" si="1"/>
        <v>0</v>
      </c>
      <c r="U7" s="483"/>
      <c r="V7" s="484"/>
      <c r="W7" s="485"/>
      <c r="X7" s="475" t="s">
        <v>112</v>
      </c>
    </row>
    <row r="8" spans="1:25" ht="42" x14ac:dyDescent="0.2">
      <c r="A8" s="487"/>
      <c r="B8" s="475" t="s">
        <v>113</v>
      </c>
      <c r="C8" s="475">
        <v>22140503</v>
      </c>
      <c r="D8" s="475"/>
      <c r="E8" s="475" t="s">
        <v>104</v>
      </c>
      <c r="F8" s="475"/>
      <c r="G8" s="475"/>
      <c r="H8" s="475"/>
      <c r="I8" s="475">
        <v>12</v>
      </c>
      <c r="J8" s="475" t="s">
        <v>110</v>
      </c>
      <c r="K8" s="475" t="s">
        <v>106</v>
      </c>
      <c r="L8" s="476">
        <v>0</v>
      </c>
      <c r="M8" s="477">
        <v>100</v>
      </c>
      <c r="N8" s="477">
        <v>10</v>
      </c>
      <c r="O8" s="478">
        <f t="shared" si="0"/>
        <v>10</v>
      </c>
      <c r="P8" s="479">
        <v>25000</v>
      </c>
      <c r="Q8" s="480">
        <v>0</v>
      </c>
      <c r="R8" s="479">
        <v>0</v>
      </c>
      <c r="S8" s="481">
        <v>0</v>
      </c>
      <c r="T8" s="482" t="e">
        <f t="shared" si="1"/>
        <v>#DIV/0!</v>
      </c>
      <c r="U8" s="483"/>
      <c r="V8" s="484"/>
      <c r="W8" s="485"/>
      <c r="X8" s="488" t="s">
        <v>114</v>
      </c>
    </row>
    <row r="9" spans="1:25" ht="42" x14ac:dyDescent="0.2">
      <c r="A9" s="487"/>
      <c r="B9" s="475" t="s">
        <v>115</v>
      </c>
      <c r="C9" s="475">
        <v>22140504</v>
      </c>
      <c r="D9" s="475"/>
      <c r="E9" s="475" t="s">
        <v>104</v>
      </c>
      <c r="F9" s="475"/>
      <c r="G9" s="475"/>
      <c r="H9" s="475"/>
      <c r="I9" s="475">
        <v>6</v>
      </c>
      <c r="J9" s="475" t="s">
        <v>105</v>
      </c>
      <c r="K9" s="475" t="s">
        <v>106</v>
      </c>
      <c r="L9" s="476">
        <v>0</v>
      </c>
      <c r="M9" s="477">
        <v>100</v>
      </c>
      <c r="N9" s="477">
        <v>10</v>
      </c>
      <c r="O9" s="478">
        <f t="shared" si="0"/>
        <v>10</v>
      </c>
      <c r="P9" s="479">
        <v>8000</v>
      </c>
      <c r="Q9" s="480">
        <v>0</v>
      </c>
      <c r="R9" s="479">
        <v>0</v>
      </c>
      <c r="S9" s="481">
        <v>0</v>
      </c>
      <c r="T9" s="482" t="e">
        <f t="shared" si="1"/>
        <v>#DIV/0!</v>
      </c>
      <c r="U9" s="483"/>
      <c r="V9" s="484"/>
      <c r="W9" s="485"/>
      <c r="X9" s="488" t="s">
        <v>116</v>
      </c>
    </row>
    <row r="10" spans="1:25" ht="42" x14ac:dyDescent="0.2">
      <c r="A10" s="487"/>
      <c r="B10" s="475" t="s">
        <v>117</v>
      </c>
      <c r="C10" s="475">
        <v>22140505</v>
      </c>
      <c r="D10" s="475"/>
      <c r="E10" s="475" t="s">
        <v>104</v>
      </c>
      <c r="F10" s="475"/>
      <c r="G10" s="475"/>
      <c r="H10" s="475"/>
      <c r="I10" s="475">
        <v>12</v>
      </c>
      <c r="J10" s="475" t="s">
        <v>110</v>
      </c>
      <c r="K10" s="475" t="s">
        <v>106</v>
      </c>
      <c r="L10" s="476">
        <v>0</v>
      </c>
      <c r="M10" s="477">
        <v>100</v>
      </c>
      <c r="N10" s="477">
        <v>10</v>
      </c>
      <c r="O10" s="478">
        <f t="shared" si="0"/>
        <v>10</v>
      </c>
      <c r="P10" s="479">
        <v>25000</v>
      </c>
      <c r="Q10" s="480">
        <v>0</v>
      </c>
      <c r="R10" s="479">
        <v>0</v>
      </c>
      <c r="S10" s="481">
        <v>0</v>
      </c>
      <c r="T10" s="482" t="e">
        <f t="shared" si="1"/>
        <v>#DIV/0!</v>
      </c>
      <c r="U10" s="483"/>
      <c r="V10" s="484"/>
      <c r="W10" s="485"/>
      <c r="X10" s="488" t="s">
        <v>118</v>
      </c>
    </row>
    <row r="11" spans="1:25" ht="42" x14ac:dyDescent="0.2">
      <c r="A11" s="489"/>
      <c r="B11" s="475" t="s">
        <v>119</v>
      </c>
      <c r="C11" s="475">
        <v>22140506</v>
      </c>
      <c r="D11" s="475"/>
      <c r="E11" s="475" t="s">
        <v>104</v>
      </c>
      <c r="F11" s="475"/>
      <c r="G11" s="475"/>
      <c r="H11" s="475"/>
      <c r="I11" s="475">
        <v>12</v>
      </c>
      <c r="J11" s="475" t="s">
        <v>110</v>
      </c>
      <c r="K11" s="475" t="s">
        <v>106</v>
      </c>
      <c r="L11" s="476">
        <v>0</v>
      </c>
      <c r="M11" s="477">
        <v>100</v>
      </c>
      <c r="N11" s="477">
        <v>10</v>
      </c>
      <c r="O11" s="478">
        <f t="shared" si="0"/>
        <v>10</v>
      </c>
      <c r="P11" s="479">
        <v>1000000</v>
      </c>
      <c r="Q11" s="480">
        <v>0</v>
      </c>
      <c r="R11" s="479">
        <v>0</v>
      </c>
      <c r="S11" s="481">
        <v>0</v>
      </c>
      <c r="T11" s="482" t="e">
        <f t="shared" si="1"/>
        <v>#DIV/0!</v>
      </c>
      <c r="U11" s="483"/>
      <c r="V11" s="484"/>
      <c r="W11" s="485"/>
      <c r="X11" s="488" t="s">
        <v>120</v>
      </c>
    </row>
    <row r="12" spans="1:25" ht="21" x14ac:dyDescent="0.2">
      <c r="A12" s="475" t="s">
        <v>121</v>
      </c>
      <c r="B12" s="475" t="s">
        <v>122</v>
      </c>
      <c r="C12" s="475">
        <v>22140507</v>
      </c>
      <c r="D12" s="475"/>
      <c r="E12" s="475"/>
      <c r="F12" s="475" t="s">
        <v>104</v>
      </c>
      <c r="G12" s="475"/>
      <c r="H12" s="475"/>
      <c r="I12" s="475">
        <v>6</v>
      </c>
      <c r="J12" s="475" t="s">
        <v>110</v>
      </c>
      <c r="K12" s="475" t="s">
        <v>111</v>
      </c>
      <c r="L12" s="476">
        <v>0</v>
      </c>
      <c r="M12" s="477">
        <v>100</v>
      </c>
      <c r="N12" s="477">
        <v>10</v>
      </c>
      <c r="O12" s="478">
        <f t="shared" si="0"/>
        <v>10</v>
      </c>
      <c r="P12" s="479">
        <v>5000</v>
      </c>
      <c r="Q12" s="480">
        <v>0</v>
      </c>
      <c r="R12" s="479">
        <v>5000</v>
      </c>
      <c r="S12" s="481">
        <v>0</v>
      </c>
      <c r="T12" s="482">
        <f t="shared" si="1"/>
        <v>0</v>
      </c>
      <c r="U12" s="483"/>
      <c r="V12" s="484"/>
      <c r="W12" s="485"/>
      <c r="X12" s="485" t="s">
        <v>123</v>
      </c>
    </row>
    <row r="13" spans="1:25" ht="42" x14ac:dyDescent="0.2">
      <c r="A13" s="486" t="s">
        <v>124</v>
      </c>
      <c r="B13" s="475" t="s">
        <v>125</v>
      </c>
      <c r="C13" s="475">
        <v>22140508</v>
      </c>
      <c r="D13" s="475"/>
      <c r="E13" s="475" t="s">
        <v>104</v>
      </c>
      <c r="F13" s="475"/>
      <c r="G13" s="475"/>
      <c r="H13" s="475"/>
      <c r="I13" s="475">
        <v>12</v>
      </c>
      <c r="J13" s="475" t="s">
        <v>110</v>
      </c>
      <c r="K13" s="475" t="s">
        <v>106</v>
      </c>
      <c r="L13" s="476">
        <v>0</v>
      </c>
      <c r="M13" s="477">
        <v>100</v>
      </c>
      <c r="N13" s="477">
        <v>10</v>
      </c>
      <c r="O13" s="478">
        <f t="shared" si="0"/>
        <v>10</v>
      </c>
      <c r="P13" s="479">
        <v>1500000</v>
      </c>
      <c r="Q13" s="480">
        <v>0</v>
      </c>
      <c r="R13" s="479">
        <v>0</v>
      </c>
      <c r="S13" s="481">
        <v>0</v>
      </c>
      <c r="T13" s="482" t="e">
        <f t="shared" si="1"/>
        <v>#DIV/0!</v>
      </c>
      <c r="U13" s="483"/>
      <c r="V13" s="484"/>
      <c r="W13" s="485"/>
      <c r="X13" s="488" t="s">
        <v>120</v>
      </c>
    </row>
    <row r="14" spans="1:25" ht="42" x14ac:dyDescent="0.2">
      <c r="A14" s="487"/>
      <c r="B14" s="475" t="s">
        <v>126</v>
      </c>
      <c r="C14" s="475">
        <v>22140509</v>
      </c>
      <c r="D14" s="475"/>
      <c r="E14" s="475" t="s">
        <v>104</v>
      </c>
      <c r="F14" s="475"/>
      <c r="G14" s="475"/>
      <c r="H14" s="475"/>
      <c r="I14" s="475">
        <v>6</v>
      </c>
      <c r="J14" s="475" t="s">
        <v>105</v>
      </c>
      <c r="K14" s="475" t="s">
        <v>106</v>
      </c>
      <c r="L14" s="476">
        <v>0</v>
      </c>
      <c r="M14" s="477">
        <v>100</v>
      </c>
      <c r="N14" s="477">
        <v>10</v>
      </c>
      <c r="O14" s="478">
        <f t="shared" si="0"/>
        <v>10</v>
      </c>
      <c r="P14" s="479">
        <v>25000</v>
      </c>
      <c r="Q14" s="480">
        <v>0</v>
      </c>
      <c r="R14" s="479">
        <v>0</v>
      </c>
      <c r="S14" s="481">
        <v>0</v>
      </c>
      <c r="T14" s="482" t="e">
        <f t="shared" si="1"/>
        <v>#DIV/0!</v>
      </c>
      <c r="U14" s="483"/>
      <c r="V14" s="484"/>
      <c r="W14" s="485"/>
      <c r="X14" s="485" t="s">
        <v>127</v>
      </c>
    </row>
    <row r="15" spans="1:25" ht="42" x14ac:dyDescent="0.2">
      <c r="A15" s="487"/>
      <c r="B15" s="475" t="s">
        <v>128</v>
      </c>
      <c r="C15" s="475">
        <v>22140510</v>
      </c>
      <c r="D15" s="475"/>
      <c r="E15" s="475" t="s">
        <v>104</v>
      </c>
      <c r="F15" s="475"/>
      <c r="G15" s="475"/>
      <c r="H15" s="475"/>
      <c r="I15" s="475">
        <v>6</v>
      </c>
      <c r="J15" s="475" t="s">
        <v>105</v>
      </c>
      <c r="K15" s="475" t="s">
        <v>106</v>
      </c>
      <c r="L15" s="476">
        <v>0</v>
      </c>
      <c r="M15" s="477">
        <v>100</v>
      </c>
      <c r="N15" s="477">
        <v>10</v>
      </c>
      <c r="O15" s="478">
        <f t="shared" si="0"/>
        <v>10</v>
      </c>
      <c r="P15" s="479">
        <v>65000</v>
      </c>
      <c r="Q15" s="480">
        <v>0</v>
      </c>
      <c r="R15" s="479">
        <v>0</v>
      </c>
      <c r="S15" s="481">
        <v>0</v>
      </c>
      <c r="T15" s="482" t="e">
        <f t="shared" si="1"/>
        <v>#DIV/0!</v>
      </c>
      <c r="U15" s="483"/>
      <c r="V15" s="484"/>
      <c r="W15" s="485"/>
      <c r="X15" s="485" t="s">
        <v>127</v>
      </c>
    </row>
    <row r="16" spans="1:25" ht="42" x14ac:dyDescent="0.2">
      <c r="A16" s="487"/>
      <c r="B16" s="475" t="s">
        <v>129</v>
      </c>
      <c r="C16" s="475">
        <v>22140511</v>
      </c>
      <c r="D16" s="475"/>
      <c r="E16" s="475" t="s">
        <v>104</v>
      </c>
      <c r="F16" s="475"/>
      <c r="G16" s="475"/>
      <c r="H16" s="475"/>
      <c r="I16" s="475">
        <v>6</v>
      </c>
      <c r="J16" s="475" t="s">
        <v>105</v>
      </c>
      <c r="K16" s="475" t="s">
        <v>106</v>
      </c>
      <c r="L16" s="476">
        <v>0</v>
      </c>
      <c r="M16" s="477">
        <v>100</v>
      </c>
      <c r="N16" s="477">
        <v>10</v>
      </c>
      <c r="O16" s="478">
        <f t="shared" si="0"/>
        <v>10</v>
      </c>
      <c r="P16" s="479">
        <v>80000</v>
      </c>
      <c r="Q16" s="480">
        <v>0</v>
      </c>
      <c r="R16" s="479">
        <v>0</v>
      </c>
      <c r="S16" s="481">
        <v>0</v>
      </c>
      <c r="T16" s="482" t="e">
        <f t="shared" si="1"/>
        <v>#DIV/0!</v>
      </c>
      <c r="U16" s="483"/>
      <c r="V16" s="484"/>
      <c r="W16" s="485"/>
      <c r="X16" s="485" t="s">
        <v>127</v>
      </c>
    </row>
    <row r="17" spans="1:24" ht="24.95" customHeight="1" x14ac:dyDescent="0.2">
      <c r="A17" s="487"/>
      <c r="B17" s="475" t="s">
        <v>130</v>
      </c>
      <c r="C17" s="475">
        <v>22140512</v>
      </c>
      <c r="D17" s="475"/>
      <c r="E17" s="475"/>
      <c r="F17" s="475" t="s">
        <v>104</v>
      </c>
      <c r="G17" s="475"/>
      <c r="H17" s="475"/>
      <c r="I17" s="475">
        <v>6</v>
      </c>
      <c r="J17" s="475" t="s">
        <v>110</v>
      </c>
      <c r="K17" s="475" t="s">
        <v>111</v>
      </c>
      <c r="L17" s="476">
        <v>0</v>
      </c>
      <c r="M17" s="477">
        <v>100</v>
      </c>
      <c r="N17" s="477">
        <v>10</v>
      </c>
      <c r="O17" s="478">
        <f t="shared" si="0"/>
        <v>10</v>
      </c>
      <c r="P17" s="479">
        <v>10000</v>
      </c>
      <c r="Q17" s="480">
        <v>0</v>
      </c>
      <c r="R17" s="479">
        <v>10000</v>
      </c>
      <c r="S17" s="481">
        <v>0</v>
      </c>
      <c r="T17" s="482">
        <f t="shared" si="1"/>
        <v>0</v>
      </c>
      <c r="U17" s="483"/>
      <c r="V17" s="484"/>
      <c r="W17" s="485"/>
      <c r="X17" s="485" t="s">
        <v>123</v>
      </c>
    </row>
    <row r="18" spans="1:24" ht="24.95" customHeight="1" x14ac:dyDescent="0.2">
      <c r="A18" s="487"/>
      <c r="B18" s="475" t="s">
        <v>131</v>
      </c>
      <c r="C18" s="475">
        <v>22140513</v>
      </c>
      <c r="D18" s="475" t="s">
        <v>104</v>
      </c>
      <c r="E18" s="475"/>
      <c r="F18" s="475"/>
      <c r="G18" s="475"/>
      <c r="H18" s="475"/>
      <c r="I18" s="475">
        <v>12</v>
      </c>
      <c r="J18" s="475" t="s">
        <v>110</v>
      </c>
      <c r="K18" s="475" t="s">
        <v>106</v>
      </c>
      <c r="L18" s="476">
        <v>0</v>
      </c>
      <c r="M18" s="477">
        <v>100</v>
      </c>
      <c r="N18" s="477">
        <v>5</v>
      </c>
      <c r="O18" s="478">
        <f t="shared" si="0"/>
        <v>5</v>
      </c>
      <c r="P18" s="479">
        <v>700000</v>
      </c>
      <c r="Q18" s="480">
        <v>0</v>
      </c>
      <c r="R18" s="479">
        <v>350000</v>
      </c>
      <c r="S18" s="481">
        <v>0</v>
      </c>
      <c r="T18" s="482">
        <f t="shared" si="1"/>
        <v>0</v>
      </c>
      <c r="U18" s="483"/>
      <c r="V18" s="484"/>
      <c r="W18" s="485"/>
      <c r="X18" s="490" t="s">
        <v>132</v>
      </c>
    </row>
    <row r="19" spans="1:24" ht="24.95" customHeight="1" x14ac:dyDescent="0.2">
      <c r="A19" s="487"/>
      <c r="B19" s="475" t="s">
        <v>133</v>
      </c>
      <c r="C19" s="475">
        <v>22140514</v>
      </c>
      <c r="D19" s="475" t="s">
        <v>104</v>
      </c>
      <c r="E19" s="475"/>
      <c r="F19" s="475"/>
      <c r="G19" s="475"/>
      <c r="H19" s="475"/>
      <c r="I19" s="475">
        <v>6</v>
      </c>
      <c r="J19" s="475" t="s">
        <v>105</v>
      </c>
      <c r="K19" s="475" t="s">
        <v>106</v>
      </c>
      <c r="L19" s="476">
        <v>0</v>
      </c>
      <c r="M19" s="477">
        <v>100</v>
      </c>
      <c r="N19" s="477">
        <v>5</v>
      </c>
      <c r="O19" s="478">
        <f t="shared" si="0"/>
        <v>5</v>
      </c>
      <c r="P19" s="479">
        <v>20000</v>
      </c>
      <c r="Q19" s="480">
        <v>0</v>
      </c>
      <c r="R19" s="479">
        <v>0</v>
      </c>
      <c r="S19" s="481">
        <v>0</v>
      </c>
      <c r="T19" s="482" t="e">
        <f t="shared" si="1"/>
        <v>#DIV/0!</v>
      </c>
      <c r="U19" s="483"/>
      <c r="V19" s="484"/>
      <c r="W19" s="485"/>
      <c r="X19" s="490" t="s">
        <v>132</v>
      </c>
    </row>
    <row r="20" spans="1:24" ht="24.95" customHeight="1" x14ac:dyDescent="0.2">
      <c r="A20" s="487"/>
      <c r="B20" s="475" t="s">
        <v>134</v>
      </c>
      <c r="C20" s="475">
        <v>22140515</v>
      </c>
      <c r="D20" s="475"/>
      <c r="E20" s="475"/>
      <c r="F20" s="475"/>
      <c r="G20" s="475"/>
      <c r="H20" s="475" t="s">
        <v>104</v>
      </c>
      <c r="I20" s="475">
        <v>9</v>
      </c>
      <c r="J20" s="475" t="s">
        <v>135</v>
      </c>
      <c r="K20" s="475" t="s">
        <v>106</v>
      </c>
      <c r="L20" s="476">
        <v>0</v>
      </c>
      <c r="M20" s="477">
        <v>100</v>
      </c>
      <c r="N20" s="477">
        <v>5</v>
      </c>
      <c r="O20" s="478">
        <f t="shared" si="0"/>
        <v>5</v>
      </c>
      <c r="P20" s="479">
        <v>40000</v>
      </c>
      <c r="Q20" s="480">
        <v>0</v>
      </c>
      <c r="R20" s="479">
        <v>20000</v>
      </c>
      <c r="S20" s="481">
        <v>0</v>
      </c>
      <c r="T20" s="482">
        <f t="shared" si="1"/>
        <v>0</v>
      </c>
      <c r="U20" s="483"/>
      <c r="V20" s="484"/>
      <c r="W20" s="485"/>
      <c r="X20" s="490" t="s">
        <v>136</v>
      </c>
    </row>
    <row r="21" spans="1:24" ht="24.95" customHeight="1" x14ac:dyDescent="0.2">
      <c r="A21" s="487"/>
      <c r="B21" s="475" t="s">
        <v>137</v>
      </c>
      <c r="C21" s="475">
        <v>22140516</v>
      </c>
      <c r="D21" s="475" t="s">
        <v>104</v>
      </c>
      <c r="E21" s="475"/>
      <c r="F21" s="475"/>
      <c r="G21" s="475"/>
      <c r="H21" s="475"/>
      <c r="I21" s="475">
        <v>12</v>
      </c>
      <c r="J21" s="475" t="s">
        <v>110</v>
      </c>
      <c r="K21" s="475" t="s">
        <v>106</v>
      </c>
      <c r="L21" s="476">
        <v>0</v>
      </c>
      <c r="M21" s="477">
        <v>100</v>
      </c>
      <c r="N21" s="477">
        <v>5</v>
      </c>
      <c r="O21" s="478">
        <f t="shared" si="0"/>
        <v>5</v>
      </c>
      <c r="P21" s="479">
        <v>120000</v>
      </c>
      <c r="Q21" s="480">
        <v>14873</v>
      </c>
      <c r="R21" s="479">
        <v>60000</v>
      </c>
      <c r="S21" s="481">
        <v>0</v>
      </c>
      <c r="T21" s="482">
        <f t="shared" si="1"/>
        <v>0</v>
      </c>
      <c r="U21" s="483"/>
      <c r="V21" s="484"/>
      <c r="W21" s="485"/>
      <c r="X21" s="490" t="s">
        <v>138</v>
      </c>
    </row>
    <row r="22" spans="1:24" ht="27.75" customHeight="1" x14ac:dyDescent="0.2">
      <c r="A22" s="489"/>
      <c r="B22" s="475" t="s">
        <v>139</v>
      </c>
      <c r="C22" s="475">
        <v>22140517</v>
      </c>
      <c r="D22" s="475" t="s">
        <v>104</v>
      </c>
      <c r="E22" s="475"/>
      <c r="F22" s="475"/>
      <c r="G22" s="475"/>
      <c r="H22" s="475"/>
      <c r="I22" s="475">
        <v>12</v>
      </c>
      <c r="J22" s="475" t="s">
        <v>110</v>
      </c>
      <c r="K22" s="475" t="s">
        <v>106</v>
      </c>
      <c r="L22" s="476">
        <v>0</v>
      </c>
      <c r="M22" s="477">
        <v>100</v>
      </c>
      <c r="N22" s="477">
        <v>20</v>
      </c>
      <c r="O22" s="478">
        <f t="shared" si="0"/>
        <v>20</v>
      </c>
      <c r="P22" s="479">
        <v>150000</v>
      </c>
      <c r="Q22" s="491">
        <v>23416</v>
      </c>
      <c r="R22" s="479">
        <v>50000</v>
      </c>
      <c r="S22" s="481">
        <v>78362</v>
      </c>
      <c r="T22" s="482">
        <f t="shared" si="1"/>
        <v>156.72399999999999</v>
      </c>
      <c r="U22" s="483"/>
      <c r="V22" s="484"/>
      <c r="W22" s="485"/>
      <c r="X22" s="490" t="s">
        <v>140</v>
      </c>
    </row>
    <row r="23" spans="1:24" ht="42" x14ac:dyDescent="0.2">
      <c r="A23" s="486" t="s">
        <v>141</v>
      </c>
      <c r="B23" s="475" t="s">
        <v>142</v>
      </c>
      <c r="C23" s="475">
        <v>22140518</v>
      </c>
      <c r="D23" s="475" t="s">
        <v>104</v>
      </c>
      <c r="E23" s="475"/>
      <c r="F23" s="475"/>
      <c r="G23" s="475"/>
      <c r="H23" s="475"/>
      <c r="I23" s="475">
        <v>12</v>
      </c>
      <c r="J23" s="475" t="s">
        <v>143</v>
      </c>
      <c r="K23" s="475" t="s">
        <v>144</v>
      </c>
      <c r="L23" s="476">
        <v>0</v>
      </c>
      <c r="M23" s="477">
        <v>100</v>
      </c>
      <c r="N23" s="477">
        <v>98</v>
      </c>
      <c r="O23" s="478">
        <f t="shared" si="0"/>
        <v>98</v>
      </c>
      <c r="P23" s="479">
        <v>428687</v>
      </c>
      <c r="Q23" s="491">
        <v>0</v>
      </c>
      <c r="R23" s="479">
        <v>0</v>
      </c>
      <c r="S23" s="481">
        <v>355314</v>
      </c>
      <c r="T23" s="482" t="e">
        <f t="shared" si="1"/>
        <v>#DIV/0!</v>
      </c>
      <c r="U23" s="483"/>
      <c r="V23" s="484"/>
      <c r="W23" s="485"/>
      <c r="X23" s="490" t="s">
        <v>145</v>
      </c>
    </row>
    <row r="24" spans="1:24" ht="24.95" customHeight="1" x14ac:dyDescent="0.2">
      <c r="A24" s="487"/>
      <c r="B24" s="475" t="s">
        <v>146</v>
      </c>
      <c r="C24" s="475">
        <v>22140519</v>
      </c>
      <c r="D24" s="475"/>
      <c r="E24" s="475"/>
      <c r="F24" s="475" t="s">
        <v>104</v>
      </c>
      <c r="G24" s="475"/>
      <c r="H24" s="475"/>
      <c r="I24" s="475">
        <v>6</v>
      </c>
      <c r="J24" s="475" t="s">
        <v>105</v>
      </c>
      <c r="K24" s="475" t="s">
        <v>106</v>
      </c>
      <c r="L24" s="476">
        <v>0</v>
      </c>
      <c r="M24" s="477">
        <v>100</v>
      </c>
      <c r="N24" s="477">
        <v>10</v>
      </c>
      <c r="O24" s="478">
        <f t="shared" si="0"/>
        <v>10</v>
      </c>
      <c r="P24" s="479">
        <v>30000</v>
      </c>
      <c r="Q24" s="480">
        <v>0</v>
      </c>
      <c r="R24" s="492">
        <v>0</v>
      </c>
      <c r="S24" s="481">
        <v>19500</v>
      </c>
      <c r="T24" s="482" t="e">
        <f t="shared" si="1"/>
        <v>#DIV/0!</v>
      </c>
      <c r="U24" s="483"/>
      <c r="V24" s="484"/>
      <c r="W24" s="485"/>
      <c r="X24" s="485" t="s">
        <v>147</v>
      </c>
    </row>
    <row r="25" spans="1:24" ht="24.95" customHeight="1" x14ac:dyDescent="0.2">
      <c r="A25" s="487"/>
      <c r="B25" s="475" t="s">
        <v>148</v>
      </c>
      <c r="C25" s="475">
        <v>22140520</v>
      </c>
      <c r="D25" s="475"/>
      <c r="E25" s="475"/>
      <c r="F25" s="475"/>
      <c r="G25" s="475" t="s">
        <v>104</v>
      </c>
      <c r="H25" s="475"/>
      <c r="I25" s="475">
        <v>12</v>
      </c>
      <c r="J25" s="475" t="s">
        <v>110</v>
      </c>
      <c r="K25" s="475" t="s">
        <v>106</v>
      </c>
      <c r="L25" s="476">
        <v>0</v>
      </c>
      <c r="M25" s="477">
        <v>100</v>
      </c>
      <c r="N25" s="477">
        <v>10</v>
      </c>
      <c r="O25" s="478">
        <f t="shared" si="0"/>
        <v>10</v>
      </c>
      <c r="P25" s="479">
        <v>15000</v>
      </c>
      <c r="Q25" s="480">
        <v>0</v>
      </c>
      <c r="R25" s="479">
        <v>15000</v>
      </c>
      <c r="S25" s="481">
        <v>0</v>
      </c>
      <c r="T25" s="482">
        <f t="shared" si="1"/>
        <v>0</v>
      </c>
      <c r="U25" s="483"/>
      <c r="V25" s="484"/>
      <c r="W25" s="485"/>
      <c r="X25" s="485" t="s">
        <v>149</v>
      </c>
    </row>
    <row r="26" spans="1:24" ht="24.95" customHeight="1" x14ac:dyDescent="0.2">
      <c r="A26" s="487"/>
      <c r="B26" s="475" t="s">
        <v>150</v>
      </c>
      <c r="C26" s="475">
        <v>22140521</v>
      </c>
      <c r="D26" s="475"/>
      <c r="E26" s="475"/>
      <c r="F26" s="475"/>
      <c r="G26" s="475"/>
      <c r="H26" s="475"/>
      <c r="I26" s="475">
        <v>12</v>
      </c>
      <c r="J26" s="475" t="s">
        <v>110</v>
      </c>
      <c r="K26" s="475" t="s">
        <v>106</v>
      </c>
      <c r="L26" s="476">
        <v>0</v>
      </c>
      <c r="M26" s="477">
        <v>100</v>
      </c>
      <c r="N26" s="477">
        <v>10</v>
      </c>
      <c r="O26" s="478">
        <f t="shared" si="0"/>
        <v>10</v>
      </c>
      <c r="P26" s="479">
        <v>110000</v>
      </c>
      <c r="Q26" s="480">
        <v>0</v>
      </c>
      <c r="R26" s="479">
        <v>20000</v>
      </c>
      <c r="S26" s="481">
        <v>0</v>
      </c>
      <c r="T26" s="482">
        <f t="shared" si="1"/>
        <v>0</v>
      </c>
      <c r="U26" s="483"/>
      <c r="V26" s="484"/>
      <c r="W26" s="485"/>
      <c r="X26" s="475" t="s">
        <v>151</v>
      </c>
    </row>
    <row r="27" spans="1:24" ht="24.95" customHeight="1" x14ac:dyDescent="0.2">
      <c r="A27" s="487"/>
      <c r="B27" s="475" t="s">
        <v>122</v>
      </c>
      <c r="C27" s="475">
        <v>22140522</v>
      </c>
      <c r="D27" s="475"/>
      <c r="E27" s="475"/>
      <c r="F27" s="475" t="s">
        <v>104</v>
      </c>
      <c r="G27" s="475"/>
      <c r="H27" s="475"/>
      <c r="I27" s="475">
        <v>6</v>
      </c>
      <c r="J27" s="475" t="s">
        <v>110</v>
      </c>
      <c r="K27" s="475" t="s">
        <v>111</v>
      </c>
      <c r="L27" s="476">
        <v>0</v>
      </c>
      <c r="M27" s="477">
        <v>100</v>
      </c>
      <c r="N27" s="477">
        <v>10</v>
      </c>
      <c r="O27" s="478">
        <f t="shared" si="0"/>
        <v>10</v>
      </c>
      <c r="P27" s="479">
        <v>5000</v>
      </c>
      <c r="Q27" s="480">
        <v>0</v>
      </c>
      <c r="R27" s="479">
        <v>5000</v>
      </c>
      <c r="S27" s="481">
        <v>0</v>
      </c>
      <c r="T27" s="482">
        <f t="shared" si="1"/>
        <v>0</v>
      </c>
      <c r="U27" s="483"/>
      <c r="V27" s="484"/>
      <c r="W27" s="485"/>
      <c r="X27" s="485" t="s">
        <v>123</v>
      </c>
    </row>
    <row r="28" spans="1:24" ht="42" x14ac:dyDescent="0.2">
      <c r="A28" s="489"/>
      <c r="B28" s="475" t="s">
        <v>152</v>
      </c>
      <c r="C28" s="475">
        <v>22140523</v>
      </c>
      <c r="D28" s="475"/>
      <c r="E28" s="475" t="s">
        <v>104</v>
      </c>
      <c r="F28" s="475"/>
      <c r="G28" s="475"/>
      <c r="H28" s="475"/>
      <c r="I28" s="475">
        <v>12</v>
      </c>
      <c r="J28" s="475" t="s">
        <v>110</v>
      </c>
      <c r="K28" s="475" t="s">
        <v>106</v>
      </c>
      <c r="L28" s="476">
        <v>0</v>
      </c>
      <c r="M28" s="477">
        <v>100</v>
      </c>
      <c r="N28" s="477">
        <v>10</v>
      </c>
      <c r="O28" s="478">
        <f t="shared" si="0"/>
        <v>10</v>
      </c>
      <c r="P28" s="479">
        <v>500000</v>
      </c>
      <c r="Q28" s="480">
        <v>0</v>
      </c>
      <c r="R28" s="479">
        <v>0</v>
      </c>
      <c r="S28" s="481">
        <v>0</v>
      </c>
      <c r="T28" s="482" t="e">
        <f t="shared" si="1"/>
        <v>#DIV/0!</v>
      </c>
      <c r="U28" s="483"/>
      <c r="V28" s="484"/>
      <c r="W28" s="485"/>
      <c r="X28" s="488" t="s">
        <v>120</v>
      </c>
    </row>
    <row r="29" spans="1:24" ht="24.95" customHeight="1" x14ac:dyDescent="0.2">
      <c r="A29" s="486" t="s">
        <v>153</v>
      </c>
      <c r="B29" s="475" t="s">
        <v>154</v>
      </c>
      <c r="C29" s="475">
        <v>22140524</v>
      </c>
      <c r="D29" s="475"/>
      <c r="E29" s="475"/>
      <c r="F29" s="475" t="s">
        <v>104</v>
      </c>
      <c r="G29" s="475"/>
      <c r="H29" s="475"/>
      <c r="I29" s="475">
        <v>6</v>
      </c>
      <c r="J29" s="475" t="s">
        <v>105</v>
      </c>
      <c r="K29" s="475" t="s">
        <v>106</v>
      </c>
      <c r="L29" s="476">
        <v>0</v>
      </c>
      <c r="M29" s="477">
        <v>100</v>
      </c>
      <c r="N29" s="477">
        <v>10</v>
      </c>
      <c r="O29" s="478">
        <f t="shared" si="0"/>
        <v>10</v>
      </c>
      <c r="P29" s="479">
        <v>20000</v>
      </c>
      <c r="Q29" s="480">
        <v>0</v>
      </c>
      <c r="R29" s="479">
        <v>0</v>
      </c>
      <c r="S29" s="481">
        <v>0</v>
      </c>
      <c r="T29" s="482" t="e">
        <f t="shared" si="1"/>
        <v>#DIV/0!</v>
      </c>
      <c r="U29" s="483"/>
      <c r="V29" s="484"/>
      <c r="W29" s="485"/>
      <c r="X29" s="485" t="s">
        <v>155</v>
      </c>
    </row>
    <row r="30" spans="1:24" ht="24.95" customHeight="1" x14ac:dyDescent="0.2">
      <c r="A30" s="487"/>
      <c r="B30" s="475" t="s">
        <v>156</v>
      </c>
      <c r="C30" s="475">
        <v>22140525</v>
      </c>
      <c r="D30" s="475"/>
      <c r="E30" s="475"/>
      <c r="F30" s="475" t="s">
        <v>104</v>
      </c>
      <c r="G30" s="475"/>
      <c r="H30" s="475"/>
      <c r="I30" s="475">
        <v>6</v>
      </c>
      <c r="J30" s="475" t="s">
        <v>105</v>
      </c>
      <c r="K30" s="475" t="s">
        <v>106</v>
      </c>
      <c r="L30" s="476">
        <v>0</v>
      </c>
      <c r="M30" s="477">
        <v>100</v>
      </c>
      <c r="N30" s="477">
        <v>10</v>
      </c>
      <c r="O30" s="478">
        <f t="shared" si="0"/>
        <v>10</v>
      </c>
      <c r="P30" s="479">
        <v>2000</v>
      </c>
      <c r="Q30" s="480">
        <v>0</v>
      </c>
      <c r="R30" s="479">
        <v>0</v>
      </c>
      <c r="S30" s="481">
        <v>0</v>
      </c>
      <c r="T30" s="482" t="e">
        <f t="shared" si="1"/>
        <v>#DIV/0!</v>
      </c>
      <c r="U30" s="483"/>
      <c r="V30" s="484"/>
      <c r="W30" s="485"/>
      <c r="X30" s="485" t="s">
        <v>123</v>
      </c>
    </row>
    <row r="31" spans="1:24" ht="24.95" customHeight="1" x14ac:dyDescent="0.2">
      <c r="A31" s="487"/>
      <c r="B31" s="475" t="s">
        <v>157</v>
      </c>
      <c r="C31" s="475">
        <v>22140526</v>
      </c>
      <c r="D31" s="475"/>
      <c r="E31" s="475"/>
      <c r="F31" s="475"/>
      <c r="G31" s="475"/>
      <c r="H31" s="475"/>
      <c r="I31" s="475">
        <v>12</v>
      </c>
      <c r="J31" s="475" t="s">
        <v>110</v>
      </c>
      <c r="K31" s="475" t="s">
        <v>106</v>
      </c>
      <c r="L31" s="476">
        <v>0</v>
      </c>
      <c r="M31" s="477">
        <v>100</v>
      </c>
      <c r="N31" s="477">
        <v>0</v>
      </c>
      <c r="O31" s="478">
        <f t="shared" si="0"/>
        <v>0</v>
      </c>
      <c r="P31" s="479">
        <v>1000000</v>
      </c>
      <c r="Q31" s="480">
        <v>0</v>
      </c>
      <c r="R31" s="479">
        <v>500000</v>
      </c>
      <c r="S31" s="481">
        <v>0</v>
      </c>
      <c r="T31" s="482">
        <f t="shared" si="1"/>
        <v>0</v>
      </c>
      <c r="U31" s="483"/>
      <c r="V31" s="484"/>
      <c r="W31" s="485"/>
      <c r="X31" s="485" t="s">
        <v>158</v>
      </c>
    </row>
    <row r="32" spans="1:24" ht="24.95" customHeight="1" x14ac:dyDescent="0.2">
      <c r="A32" s="487"/>
      <c r="B32" s="475" t="s">
        <v>122</v>
      </c>
      <c r="C32" s="475">
        <v>22140527</v>
      </c>
      <c r="D32" s="475"/>
      <c r="E32" s="475"/>
      <c r="F32" s="475" t="s">
        <v>104</v>
      </c>
      <c r="G32" s="475"/>
      <c r="H32" s="475"/>
      <c r="I32" s="475">
        <v>6</v>
      </c>
      <c r="J32" s="475" t="s">
        <v>110</v>
      </c>
      <c r="K32" s="475" t="s">
        <v>111</v>
      </c>
      <c r="L32" s="476">
        <v>0</v>
      </c>
      <c r="M32" s="477">
        <v>100</v>
      </c>
      <c r="N32" s="477">
        <v>10</v>
      </c>
      <c r="O32" s="478">
        <f t="shared" si="0"/>
        <v>10</v>
      </c>
      <c r="P32" s="479">
        <v>5000</v>
      </c>
      <c r="Q32" s="480">
        <v>0</v>
      </c>
      <c r="R32" s="479">
        <v>5000</v>
      </c>
      <c r="S32" s="481">
        <v>0</v>
      </c>
      <c r="T32" s="482">
        <f t="shared" si="1"/>
        <v>0</v>
      </c>
      <c r="U32" s="483"/>
      <c r="V32" s="484"/>
      <c r="W32" s="485"/>
      <c r="X32" s="485" t="s">
        <v>159</v>
      </c>
    </row>
    <row r="33" spans="1:24" ht="24.95" customHeight="1" x14ac:dyDescent="0.2">
      <c r="A33" s="489"/>
      <c r="B33" s="475" t="s">
        <v>148</v>
      </c>
      <c r="C33" s="475">
        <v>22140528</v>
      </c>
      <c r="D33" s="475"/>
      <c r="E33" s="475"/>
      <c r="F33" s="475"/>
      <c r="G33" s="475" t="s">
        <v>104</v>
      </c>
      <c r="H33" s="475"/>
      <c r="I33" s="475">
        <v>12</v>
      </c>
      <c r="J33" s="475" t="s">
        <v>110</v>
      </c>
      <c r="K33" s="475" t="s">
        <v>106</v>
      </c>
      <c r="L33" s="476">
        <v>0</v>
      </c>
      <c r="M33" s="477">
        <v>100</v>
      </c>
      <c r="N33" s="477">
        <v>10</v>
      </c>
      <c r="O33" s="478">
        <f t="shared" si="0"/>
        <v>10</v>
      </c>
      <c r="P33" s="479">
        <v>10000</v>
      </c>
      <c r="Q33" s="480">
        <v>0</v>
      </c>
      <c r="R33" s="479">
        <v>10000</v>
      </c>
      <c r="S33" s="481">
        <v>0</v>
      </c>
      <c r="T33" s="482">
        <f t="shared" si="1"/>
        <v>0</v>
      </c>
      <c r="U33" s="483"/>
      <c r="V33" s="484"/>
      <c r="W33" s="485"/>
      <c r="X33" s="485" t="s">
        <v>160</v>
      </c>
    </row>
    <row r="34" spans="1:24" ht="24.95" customHeight="1" x14ac:dyDescent="0.2">
      <c r="A34" s="475" t="s">
        <v>161</v>
      </c>
      <c r="B34" s="475" t="s">
        <v>122</v>
      </c>
      <c r="C34" s="475">
        <v>22140529</v>
      </c>
      <c r="D34" s="475"/>
      <c r="E34" s="475"/>
      <c r="F34" s="475" t="s">
        <v>104</v>
      </c>
      <c r="G34" s="475"/>
      <c r="H34" s="475"/>
      <c r="I34" s="475">
        <v>6</v>
      </c>
      <c r="J34" s="475" t="s">
        <v>110</v>
      </c>
      <c r="K34" s="475" t="s">
        <v>111</v>
      </c>
      <c r="L34" s="476">
        <v>0</v>
      </c>
      <c r="M34" s="477">
        <v>100</v>
      </c>
      <c r="N34" s="477">
        <v>0</v>
      </c>
      <c r="O34" s="478">
        <f t="shared" si="0"/>
        <v>0</v>
      </c>
      <c r="P34" s="479">
        <v>5000</v>
      </c>
      <c r="Q34" s="480">
        <v>0</v>
      </c>
      <c r="R34" s="479">
        <v>5000</v>
      </c>
      <c r="S34" s="481">
        <v>0</v>
      </c>
      <c r="T34" s="482">
        <f t="shared" si="1"/>
        <v>0</v>
      </c>
      <c r="U34" s="483"/>
      <c r="V34" s="484"/>
      <c r="W34" s="485"/>
      <c r="X34" s="485" t="s">
        <v>155</v>
      </c>
    </row>
    <row r="35" spans="1:24" ht="24.95" customHeight="1" thickBot="1" x14ac:dyDescent="0.25">
      <c r="A35" s="475" t="s">
        <v>162</v>
      </c>
      <c r="B35" s="475" t="s">
        <v>122</v>
      </c>
      <c r="C35" s="475">
        <v>22140530</v>
      </c>
      <c r="D35" s="475"/>
      <c r="E35" s="475"/>
      <c r="F35" s="475" t="s">
        <v>104</v>
      </c>
      <c r="G35" s="475"/>
      <c r="H35" s="475"/>
      <c r="I35" s="475">
        <v>6</v>
      </c>
      <c r="J35" s="475" t="s">
        <v>110</v>
      </c>
      <c r="K35" s="475" t="s">
        <v>111</v>
      </c>
      <c r="L35" s="476">
        <v>0</v>
      </c>
      <c r="M35" s="477">
        <v>100</v>
      </c>
      <c r="N35" s="477">
        <v>0</v>
      </c>
      <c r="O35" s="478">
        <f t="shared" si="0"/>
        <v>0</v>
      </c>
      <c r="P35" s="479">
        <v>4000</v>
      </c>
      <c r="Q35" s="480">
        <v>0</v>
      </c>
      <c r="R35" s="479">
        <v>5000</v>
      </c>
      <c r="S35" s="481">
        <v>0</v>
      </c>
      <c r="T35" s="482">
        <f t="shared" si="1"/>
        <v>0</v>
      </c>
      <c r="U35" s="483"/>
      <c r="V35" s="484"/>
      <c r="W35" s="485"/>
      <c r="X35" s="485" t="s">
        <v>155</v>
      </c>
    </row>
    <row r="36" spans="1:24" ht="60" customHeight="1" thickBot="1" x14ac:dyDescent="0.5">
      <c r="O36" s="438">
        <f t="shared" si="0"/>
        <v>0</v>
      </c>
      <c r="P36" s="495">
        <f>SUM(P6:P35)</f>
        <v>6037687</v>
      </c>
      <c r="Q36" s="495">
        <f>SUM(Q6:Q35)</f>
        <v>38289</v>
      </c>
      <c r="R36" s="496">
        <f>SUM(R6:R35)</f>
        <v>1080000</v>
      </c>
      <c r="S36" s="497">
        <f>SUM(S6:S35)</f>
        <v>453176</v>
      </c>
      <c r="T36" s="498">
        <f t="shared" si="1"/>
        <v>41.960740740740746</v>
      </c>
    </row>
    <row r="37" spans="1:24" ht="60" customHeight="1" x14ac:dyDescent="0.45">
      <c r="O37" s="438">
        <f t="shared" si="0"/>
        <v>0</v>
      </c>
    </row>
    <row r="38" spans="1:24" ht="60" customHeight="1" x14ac:dyDescent="0.45">
      <c r="O38" s="438">
        <f t="shared" si="0"/>
        <v>0</v>
      </c>
    </row>
    <row r="39" spans="1:24" s="434" customFormat="1" ht="102.75" customHeight="1" x14ac:dyDescent="0.45">
      <c r="A39" s="493"/>
      <c r="B39" s="438"/>
      <c r="C39" s="438"/>
      <c r="D39" s="494"/>
      <c r="E39" s="494"/>
      <c r="F39" s="494"/>
      <c r="G39" s="494"/>
      <c r="H39" s="494"/>
      <c r="I39" s="438"/>
      <c r="J39" s="438"/>
      <c r="K39" s="438"/>
      <c r="L39" s="438"/>
      <c r="M39" s="438"/>
      <c r="N39" s="438"/>
      <c r="O39" s="438">
        <f t="shared" si="0"/>
        <v>0</v>
      </c>
      <c r="P39" s="438"/>
      <c r="Q39" s="438"/>
      <c r="R39" s="438"/>
      <c r="S39" s="438"/>
      <c r="T39" s="438"/>
      <c r="U39" s="438"/>
      <c r="V39" s="438"/>
      <c r="W39" s="438"/>
      <c r="X39" s="499"/>
    </row>
    <row r="40" spans="1:24" s="434" customFormat="1" x14ac:dyDescent="0.45">
      <c r="A40" s="493"/>
      <c r="B40" s="438"/>
      <c r="C40" s="438"/>
      <c r="D40" s="494"/>
      <c r="E40" s="494"/>
      <c r="F40" s="494"/>
      <c r="G40" s="494"/>
      <c r="H40" s="494"/>
      <c r="I40" s="438"/>
      <c r="J40" s="438"/>
      <c r="K40" s="438"/>
      <c r="L40" s="438"/>
      <c r="M40" s="438"/>
      <c r="N40" s="438"/>
      <c r="O40" s="438">
        <f t="shared" si="0"/>
        <v>0</v>
      </c>
      <c r="P40" s="438"/>
      <c r="Q40" s="438"/>
      <c r="R40" s="438"/>
      <c r="S40" s="438"/>
      <c r="T40" s="438"/>
      <c r="U40" s="438"/>
      <c r="V40" s="438"/>
      <c r="W40" s="438"/>
      <c r="X40" s="499"/>
    </row>
    <row r="41" spans="1:24" x14ac:dyDescent="0.45">
      <c r="O41" s="438">
        <f t="shared" si="0"/>
        <v>0</v>
      </c>
    </row>
    <row r="42" spans="1:24" x14ac:dyDescent="0.45">
      <c r="O42" s="438">
        <f t="shared" si="0"/>
        <v>0</v>
      </c>
    </row>
  </sheetData>
  <mergeCells count="15">
    <mergeCell ref="X4:X5"/>
    <mergeCell ref="A7:A11"/>
    <mergeCell ref="A13:A22"/>
    <mergeCell ref="A23:A28"/>
    <mergeCell ref="A29:A33"/>
    <mergeCell ref="A1:X1"/>
    <mergeCell ref="A4:A5"/>
    <mergeCell ref="B4:B5"/>
    <mergeCell ref="C4:C5"/>
    <mergeCell ref="D4:H4"/>
    <mergeCell ref="I4:K4"/>
    <mergeCell ref="L4:O4"/>
    <mergeCell ref="P4:P5"/>
    <mergeCell ref="Q4:T4"/>
    <mergeCell ref="U4:W4"/>
  </mergeCells>
  <printOptions horizontalCentered="1"/>
  <pageMargins left="0.19685039370078741" right="0.19685039370078741" top="0.59055118110236227" bottom="0.78740157480314965" header="0.19685039370078741" footer="0.19685039370078741"/>
  <pageSetup paperSize="9" scale="29" fitToHeight="0" orientation="landscape" r:id="rId1"/>
  <headerFooter>
    <oddFooter>&amp;L&amp;"B Nazanin,Regular"نام و امضاء مدیرعامل                  &amp;"-,Regular"  &amp;C&amp;"B Nazanin,Regular"&amp;P&amp;R&amp;"B Nazanin,Regular"          نام و امضاء معاون / مدیر مالی
          نام و امضاء مدیر / مسئول بودجه</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E8B11-07A9-46BA-8128-3A1B2E14B37E}">
  <sheetPr codeName="Sheet83">
    <tabColor rgb="FF458B74"/>
    <pageSetUpPr fitToPage="1"/>
  </sheetPr>
  <dimension ref="A1:BV19"/>
  <sheetViews>
    <sheetView rightToLeft="1" topLeftCell="R1" zoomScale="85" zoomScaleNormal="85" workbookViewId="0">
      <selection activeCell="X6" sqref="X6"/>
    </sheetView>
  </sheetViews>
  <sheetFormatPr defaultColWidth="8" defaultRowHeight="14.25" x14ac:dyDescent="0.2"/>
  <cols>
    <col min="1" max="1" width="26.75" style="386" customWidth="1"/>
    <col min="2" max="31" width="4.875" style="386" customWidth="1"/>
    <col min="32" max="58" width="4.875" style="506" customWidth="1"/>
    <col min="59" max="59" width="9.25" style="506" customWidth="1"/>
    <col min="60" max="60" width="3.5" style="506" customWidth="1"/>
    <col min="61" max="63" width="8" style="506" customWidth="1"/>
    <col min="64" max="16384" width="8" style="386"/>
  </cols>
  <sheetData>
    <row r="1" spans="1:73" s="434" customFormat="1" ht="24" customHeight="1" x14ac:dyDescent="0.6">
      <c r="A1" s="500" t="str">
        <f>[1]روکش!D4</f>
        <v>انبارهای عمومی و خدمات گمرکی ایران</v>
      </c>
      <c r="B1" s="500"/>
      <c r="C1" s="500"/>
      <c r="D1" s="500"/>
      <c r="E1" s="500"/>
      <c r="F1" s="500"/>
      <c r="G1" s="500"/>
      <c r="H1" s="500"/>
      <c r="I1" s="500"/>
      <c r="J1" s="500"/>
      <c r="K1" s="500"/>
      <c r="L1" s="500"/>
      <c r="M1" s="500"/>
      <c r="N1" s="500"/>
      <c r="O1" s="500"/>
      <c r="P1" s="500"/>
      <c r="Q1" s="500"/>
      <c r="R1" s="500"/>
      <c r="S1" s="500"/>
      <c r="T1" s="500"/>
      <c r="U1" s="500"/>
      <c r="V1" s="500"/>
      <c r="W1" s="500"/>
      <c r="X1" s="500"/>
      <c r="Y1" s="500"/>
      <c r="Z1" s="500"/>
      <c r="AA1" s="500"/>
      <c r="AB1" s="500"/>
      <c r="AC1" s="500"/>
      <c r="AD1" s="500"/>
      <c r="AE1" s="500"/>
      <c r="AF1" s="500"/>
      <c r="AG1" s="500"/>
      <c r="AH1" s="500"/>
      <c r="AI1" s="500"/>
      <c r="AJ1" s="500"/>
      <c r="AK1" s="500"/>
      <c r="AL1" s="500"/>
      <c r="AM1" s="500"/>
      <c r="AN1" s="500"/>
      <c r="AO1" s="500"/>
      <c r="AP1" s="500"/>
      <c r="AQ1" s="500"/>
      <c r="AR1" s="500"/>
      <c r="AS1" s="500"/>
      <c r="AT1" s="500"/>
      <c r="AU1" s="500"/>
      <c r="AV1" s="500"/>
      <c r="AW1" s="500"/>
      <c r="AX1" s="500"/>
      <c r="AY1" s="500"/>
      <c r="AZ1" s="500"/>
      <c r="BA1" s="500"/>
      <c r="BB1" s="500"/>
      <c r="BC1" s="500"/>
      <c r="BD1" s="500"/>
      <c r="BE1" s="500"/>
      <c r="BF1" s="500"/>
      <c r="BG1" s="500"/>
    </row>
    <row r="2" spans="1:73" s="502" customFormat="1" ht="28.5" customHeight="1" thickBot="1" x14ac:dyDescent="0.3">
      <c r="A2" s="501" t="str">
        <f>"اطلاعات آماری نوع تجهیزات و ماشین‌آلات عملیاتی شرکت‌ها و شعب تابعه در دوره " &amp; [1]روکش!F9 &amp; " سال " &amp; [1]روکش!D9</f>
        <v>اطلاعات آماری نوع تجهیزات و ماشین‌آلات عملیاتی شرکت‌ها و شعب تابعه در دوره شش ماهه سال 1405</v>
      </c>
      <c r="B2" s="501"/>
      <c r="C2" s="501"/>
      <c r="D2" s="501"/>
      <c r="E2" s="501"/>
      <c r="F2" s="501"/>
      <c r="G2" s="501"/>
      <c r="H2" s="501"/>
      <c r="I2" s="501"/>
      <c r="J2" s="501"/>
      <c r="K2" s="501"/>
      <c r="L2" s="501"/>
      <c r="M2" s="501"/>
      <c r="N2" s="501"/>
      <c r="O2" s="501"/>
      <c r="P2" s="501"/>
      <c r="Q2" s="501"/>
      <c r="R2" s="501"/>
      <c r="S2" s="501"/>
      <c r="T2" s="501"/>
      <c r="U2" s="501"/>
      <c r="V2" s="501"/>
      <c r="W2" s="501"/>
      <c r="X2" s="501"/>
      <c r="Y2" s="501"/>
      <c r="Z2" s="501"/>
      <c r="AA2" s="501"/>
      <c r="AB2" s="501"/>
      <c r="AC2" s="501"/>
      <c r="AD2" s="501"/>
      <c r="AE2" s="501"/>
      <c r="AF2" s="501"/>
      <c r="AG2" s="501"/>
      <c r="AH2" s="501"/>
      <c r="AI2" s="501"/>
      <c r="AJ2" s="501"/>
      <c r="AK2" s="501"/>
      <c r="AL2" s="501"/>
      <c r="AM2" s="501"/>
      <c r="AN2" s="501"/>
      <c r="AO2" s="501"/>
      <c r="AP2" s="501"/>
      <c r="AQ2" s="501"/>
      <c r="AR2" s="501"/>
      <c r="AS2" s="501"/>
      <c r="AT2" s="501"/>
      <c r="AU2" s="501"/>
      <c r="AV2" s="501"/>
      <c r="AW2" s="501"/>
      <c r="AX2" s="501"/>
      <c r="AY2" s="501"/>
      <c r="AZ2" s="501"/>
      <c r="BA2" s="501"/>
      <c r="BB2" s="501"/>
      <c r="BC2" s="501"/>
      <c r="BD2" s="501"/>
      <c r="BE2" s="501"/>
      <c r="BF2" s="501"/>
      <c r="BG2" s="501"/>
    </row>
    <row r="3" spans="1:73" ht="24.75" thickBot="1" x14ac:dyDescent="0.25">
      <c r="A3" s="503" t="s">
        <v>78</v>
      </c>
      <c r="B3" s="503" t="s">
        <v>163</v>
      </c>
      <c r="C3" s="504"/>
      <c r="D3" s="504"/>
      <c r="E3" s="504"/>
      <c r="F3" s="504"/>
      <c r="G3" s="504"/>
      <c r="H3" s="504"/>
      <c r="I3" s="504"/>
      <c r="J3" s="504"/>
      <c r="K3" s="504"/>
      <c r="L3" s="504"/>
      <c r="M3" s="504"/>
      <c r="N3" s="504"/>
      <c r="O3" s="504"/>
      <c r="P3" s="504"/>
      <c r="Q3" s="504"/>
      <c r="R3" s="504"/>
      <c r="S3" s="504"/>
      <c r="T3" s="504"/>
      <c r="U3" s="504"/>
      <c r="V3" s="504"/>
      <c r="W3" s="504"/>
      <c r="X3" s="504"/>
      <c r="Y3" s="504"/>
      <c r="Z3" s="504"/>
      <c r="AA3" s="504"/>
      <c r="AB3" s="504"/>
      <c r="AC3" s="504"/>
      <c r="AD3" s="504"/>
      <c r="AE3" s="504"/>
      <c r="AF3" s="504"/>
      <c r="AG3" s="504"/>
      <c r="AH3" s="504"/>
      <c r="AI3" s="504"/>
      <c r="AJ3" s="504"/>
      <c r="AK3" s="504"/>
      <c r="AL3" s="504"/>
      <c r="AM3" s="504"/>
      <c r="AN3" s="504"/>
      <c r="AO3" s="504"/>
      <c r="AP3" s="504"/>
      <c r="AQ3" s="504"/>
      <c r="AR3" s="504"/>
      <c r="AS3" s="504"/>
      <c r="AT3" s="504"/>
      <c r="AU3" s="504"/>
      <c r="AV3" s="504"/>
      <c r="AW3" s="504"/>
      <c r="AX3" s="504"/>
      <c r="AY3" s="504"/>
      <c r="AZ3" s="504"/>
      <c r="BA3" s="504"/>
      <c r="BB3" s="504"/>
      <c r="BC3" s="504"/>
      <c r="BD3" s="504"/>
      <c r="BE3" s="504"/>
      <c r="BF3" s="504"/>
      <c r="BG3" s="505"/>
    </row>
    <row r="4" spans="1:73" ht="21" customHeight="1" x14ac:dyDescent="0.2">
      <c r="A4" s="507"/>
      <c r="B4" s="508" t="s">
        <v>164</v>
      </c>
      <c r="C4" s="509"/>
      <c r="D4" s="509"/>
      <c r="E4" s="509"/>
      <c r="F4" s="509"/>
      <c r="G4" s="509"/>
      <c r="H4" s="509"/>
      <c r="I4" s="509"/>
      <c r="J4" s="509"/>
      <c r="K4" s="509"/>
      <c r="L4" s="509"/>
      <c r="M4" s="509"/>
      <c r="N4" s="509"/>
      <c r="O4" s="509"/>
      <c r="P4" s="509"/>
      <c r="Q4" s="509"/>
      <c r="R4" s="509"/>
      <c r="S4" s="510"/>
      <c r="T4" s="508" t="s">
        <v>165</v>
      </c>
      <c r="U4" s="509"/>
      <c r="V4" s="509"/>
      <c r="W4" s="509"/>
      <c r="X4" s="509"/>
      <c r="Y4" s="509"/>
      <c r="Z4" s="509"/>
      <c r="AA4" s="509"/>
      <c r="AB4" s="509"/>
      <c r="AC4" s="509"/>
      <c r="AD4" s="509"/>
      <c r="AE4" s="510"/>
      <c r="AF4" s="508" t="s">
        <v>166</v>
      </c>
      <c r="AG4" s="509"/>
      <c r="AH4" s="509"/>
      <c r="AI4" s="510"/>
      <c r="AJ4" s="508" t="s">
        <v>167</v>
      </c>
      <c r="AK4" s="510"/>
      <c r="AL4" s="508" t="s">
        <v>168</v>
      </c>
      <c r="AM4" s="510"/>
      <c r="AN4" s="511" t="s">
        <v>169</v>
      </c>
      <c r="AO4" s="511" t="s">
        <v>170</v>
      </c>
      <c r="AP4" s="511" t="s">
        <v>171</v>
      </c>
      <c r="AQ4" s="512" t="s">
        <v>172</v>
      </c>
      <c r="AR4" s="512" t="s">
        <v>173</v>
      </c>
      <c r="AS4" s="512" t="s">
        <v>174</v>
      </c>
      <c r="AT4" s="512" t="s">
        <v>175</v>
      </c>
      <c r="AU4" s="512" t="s">
        <v>176</v>
      </c>
      <c r="AV4" s="512" t="s">
        <v>177</v>
      </c>
      <c r="AW4" s="512" t="s">
        <v>178</v>
      </c>
      <c r="AX4" s="512" t="s">
        <v>179</v>
      </c>
      <c r="AY4" s="512" t="s">
        <v>180</v>
      </c>
      <c r="AZ4" s="512" t="s">
        <v>181</v>
      </c>
      <c r="BA4" s="512" t="s">
        <v>182</v>
      </c>
      <c r="BB4" s="512" t="s">
        <v>183</v>
      </c>
      <c r="BC4" s="512" t="s">
        <v>184</v>
      </c>
      <c r="BD4" s="512" t="s">
        <v>185</v>
      </c>
      <c r="BE4" s="512" t="s">
        <v>186</v>
      </c>
      <c r="BF4" s="513" t="s">
        <v>73</v>
      </c>
      <c r="BG4" s="514" t="s">
        <v>187</v>
      </c>
    </row>
    <row r="5" spans="1:73" ht="66.75" thickBot="1" x14ac:dyDescent="0.25">
      <c r="A5" s="515"/>
      <c r="B5" s="516" t="s">
        <v>188</v>
      </c>
      <c r="C5" s="517" t="s">
        <v>189</v>
      </c>
      <c r="D5" s="517" t="s">
        <v>190</v>
      </c>
      <c r="E5" s="517" t="s">
        <v>191</v>
      </c>
      <c r="F5" s="517" t="s">
        <v>192</v>
      </c>
      <c r="G5" s="517" t="s">
        <v>193</v>
      </c>
      <c r="H5" s="517" t="s">
        <v>194</v>
      </c>
      <c r="I5" s="517" t="s">
        <v>195</v>
      </c>
      <c r="J5" s="517" t="s">
        <v>196</v>
      </c>
      <c r="K5" s="517" t="s">
        <v>197</v>
      </c>
      <c r="L5" s="517" t="s">
        <v>198</v>
      </c>
      <c r="M5" s="517" t="s">
        <v>199</v>
      </c>
      <c r="N5" s="517" t="s">
        <v>200</v>
      </c>
      <c r="O5" s="517" t="s">
        <v>201</v>
      </c>
      <c r="P5" s="517" t="s">
        <v>202</v>
      </c>
      <c r="Q5" s="517" t="s">
        <v>203</v>
      </c>
      <c r="R5" s="518" t="s">
        <v>204</v>
      </c>
      <c r="S5" s="519" t="s">
        <v>205</v>
      </c>
      <c r="T5" s="520" t="s">
        <v>206</v>
      </c>
      <c r="U5" s="517" t="s">
        <v>207</v>
      </c>
      <c r="V5" s="521" t="s">
        <v>208</v>
      </c>
      <c r="W5" s="517" t="s">
        <v>209</v>
      </c>
      <c r="X5" s="517" t="s">
        <v>210</v>
      </c>
      <c r="Y5" s="517" t="s">
        <v>211</v>
      </c>
      <c r="Z5" s="517" t="s">
        <v>190</v>
      </c>
      <c r="AA5" s="517" t="s">
        <v>212</v>
      </c>
      <c r="AB5" s="517" t="s">
        <v>193</v>
      </c>
      <c r="AC5" s="517" t="s">
        <v>213</v>
      </c>
      <c r="AD5" s="517" t="s">
        <v>198</v>
      </c>
      <c r="AE5" s="519" t="s">
        <v>199</v>
      </c>
      <c r="AF5" s="520" t="s">
        <v>214</v>
      </c>
      <c r="AG5" s="517" t="s">
        <v>206</v>
      </c>
      <c r="AH5" s="518" t="s">
        <v>207</v>
      </c>
      <c r="AI5" s="519" t="s">
        <v>209</v>
      </c>
      <c r="AJ5" s="520" t="s">
        <v>206</v>
      </c>
      <c r="AK5" s="519" t="s">
        <v>215</v>
      </c>
      <c r="AL5" s="520" t="s">
        <v>206</v>
      </c>
      <c r="AM5" s="519" t="s">
        <v>195</v>
      </c>
      <c r="AN5" s="522"/>
      <c r="AO5" s="522"/>
      <c r="AP5" s="522"/>
      <c r="AQ5" s="523"/>
      <c r="AR5" s="523"/>
      <c r="AS5" s="523"/>
      <c r="AT5" s="523"/>
      <c r="AU5" s="523"/>
      <c r="AV5" s="523"/>
      <c r="AW5" s="523"/>
      <c r="AX5" s="523"/>
      <c r="AY5" s="523"/>
      <c r="AZ5" s="523"/>
      <c r="BA5" s="523"/>
      <c r="BB5" s="523"/>
      <c r="BC5" s="523"/>
      <c r="BD5" s="523"/>
      <c r="BE5" s="523"/>
      <c r="BF5" s="524"/>
      <c r="BG5" s="525"/>
    </row>
    <row r="6" spans="1:73" ht="33.75" customHeight="1" x14ac:dyDescent="0.2">
      <c r="A6" s="526" t="s">
        <v>216</v>
      </c>
      <c r="B6" s="527"/>
      <c r="C6" s="528"/>
      <c r="D6" s="528"/>
      <c r="E6" s="528"/>
      <c r="F6" s="528"/>
      <c r="G6" s="529">
        <v>1</v>
      </c>
      <c r="H6" s="528"/>
      <c r="I6" s="528">
        <v>1</v>
      </c>
      <c r="J6" s="528"/>
      <c r="K6" s="528"/>
      <c r="L6" s="528"/>
      <c r="M6" s="528"/>
      <c r="N6" s="528"/>
      <c r="O6" s="528"/>
      <c r="P6" s="528"/>
      <c r="Q6" s="528"/>
      <c r="R6" s="530"/>
      <c r="S6" s="531"/>
      <c r="T6" s="527"/>
      <c r="U6" s="528">
        <v>2</v>
      </c>
      <c r="V6" s="532"/>
      <c r="W6" s="528">
        <v>1</v>
      </c>
      <c r="X6" s="528"/>
      <c r="Y6" s="528"/>
      <c r="Z6" s="528">
        <v>1</v>
      </c>
      <c r="AA6" s="528"/>
      <c r="AB6" s="528"/>
      <c r="AC6" s="528"/>
      <c r="AD6" s="528"/>
      <c r="AE6" s="531"/>
      <c r="AF6" s="527"/>
      <c r="AG6" s="528"/>
      <c r="AH6" s="530"/>
      <c r="AI6" s="531"/>
      <c r="AJ6" s="527"/>
      <c r="AK6" s="531"/>
      <c r="AL6" s="527"/>
      <c r="AM6" s="530"/>
      <c r="AN6" s="528"/>
      <c r="AO6" s="528"/>
      <c r="AP6" s="528"/>
      <c r="AQ6" s="528"/>
      <c r="AR6" s="528"/>
      <c r="AS6" s="528"/>
      <c r="AT6" s="528"/>
      <c r="AU6" s="528"/>
      <c r="AV6" s="528"/>
      <c r="AW6" s="528"/>
      <c r="AX6" s="528"/>
      <c r="AY6" s="528"/>
      <c r="AZ6" s="528"/>
      <c r="BA6" s="530"/>
      <c r="BB6" s="530"/>
      <c r="BC6" s="530"/>
      <c r="BD6" s="530"/>
      <c r="BE6" s="530"/>
      <c r="BF6" s="530">
        <v>1</v>
      </c>
      <c r="BG6" s="533">
        <f>SUM(B6:BF6)</f>
        <v>7</v>
      </c>
    </row>
    <row r="7" spans="1:73" ht="33.950000000000003" customHeight="1" x14ac:dyDescent="0.2">
      <c r="A7" s="534" t="s">
        <v>108</v>
      </c>
      <c r="B7" s="535"/>
      <c r="C7" s="536"/>
      <c r="D7" s="536"/>
      <c r="E7" s="536"/>
      <c r="F7" s="536"/>
      <c r="G7" s="536">
        <v>1</v>
      </c>
      <c r="H7" s="536"/>
      <c r="I7" s="536"/>
      <c r="J7" s="536">
        <v>1</v>
      </c>
      <c r="K7" s="536"/>
      <c r="L7" s="536"/>
      <c r="M7" s="536"/>
      <c r="N7" s="536"/>
      <c r="O7" s="536">
        <v>1</v>
      </c>
      <c r="P7" s="536"/>
      <c r="Q7" s="536"/>
      <c r="R7" s="537"/>
      <c r="S7" s="538"/>
      <c r="T7" s="535"/>
      <c r="U7" s="536">
        <v>7</v>
      </c>
      <c r="V7" s="532"/>
      <c r="W7" s="536"/>
      <c r="X7" s="536">
        <v>2</v>
      </c>
      <c r="Y7" s="536"/>
      <c r="Z7" s="536">
        <v>1</v>
      </c>
      <c r="AA7" s="536"/>
      <c r="AB7" s="536"/>
      <c r="AC7" s="536"/>
      <c r="AD7" s="536"/>
      <c r="AE7" s="538"/>
      <c r="AF7" s="535"/>
      <c r="AG7" s="536"/>
      <c r="AH7" s="537"/>
      <c r="AI7" s="538"/>
      <c r="AJ7" s="535"/>
      <c r="AK7" s="538"/>
      <c r="AL7" s="535"/>
      <c r="AM7" s="537"/>
      <c r="AN7" s="536"/>
      <c r="AO7" s="536"/>
      <c r="AP7" s="536"/>
      <c r="AQ7" s="536"/>
      <c r="AR7" s="536"/>
      <c r="AS7" s="536"/>
      <c r="AT7" s="536"/>
      <c r="AU7" s="536">
        <v>2</v>
      </c>
      <c r="AV7" s="536"/>
      <c r="AW7" s="536"/>
      <c r="AX7" s="536"/>
      <c r="AY7" s="536"/>
      <c r="AZ7" s="536"/>
      <c r="BA7" s="537">
        <v>3</v>
      </c>
      <c r="BB7" s="537"/>
      <c r="BC7" s="537"/>
      <c r="BD7" s="537"/>
      <c r="BE7" s="537"/>
      <c r="BF7" s="537">
        <v>21</v>
      </c>
      <c r="BG7" s="539">
        <f t="shared" ref="BG7:BG15" si="0">SUM(B7:BF7)</f>
        <v>39</v>
      </c>
    </row>
    <row r="8" spans="1:73" ht="33.950000000000003" customHeight="1" x14ac:dyDescent="0.2">
      <c r="A8" s="534" t="s">
        <v>141</v>
      </c>
      <c r="B8" s="535"/>
      <c r="C8" s="536"/>
      <c r="D8" s="536"/>
      <c r="E8" s="536"/>
      <c r="F8" s="536"/>
      <c r="G8" s="536"/>
      <c r="H8" s="536"/>
      <c r="I8" s="536"/>
      <c r="J8" s="536"/>
      <c r="K8" s="536"/>
      <c r="L8" s="536"/>
      <c r="M8" s="536">
        <v>1</v>
      </c>
      <c r="N8" s="536"/>
      <c r="O8" s="536"/>
      <c r="P8" s="536"/>
      <c r="Q8" s="536"/>
      <c r="R8" s="537"/>
      <c r="S8" s="538"/>
      <c r="T8" s="535"/>
      <c r="U8" s="536">
        <v>6</v>
      </c>
      <c r="V8" s="532"/>
      <c r="W8" s="536">
        <v>1</v>
      </c>
      <c r="X8" s="536">
        <v>1</v>
      </c>
      <c r="Y8" s="536"/>
      <c r="Z8" s="536"/>
      <c r="AA8" s="536"/>
      <c r="AB8" s="536"/>
      <c r="AC8" s="536"/>
      <c r="AD8" s="536"/>
      <c r="AE8" s="538"/>
      <c r="AF8" s="535"/>
      <c r="AG8" s="536"/>
      <c r="AH8" s="537"/>
      <c r="AI8" s="538"/>
      <c r="AJ8" s="535"/>
      <c r="AK8" s="538"/>
      <c r="AL8" s="535"/>
      <c r="AM8" s="537"/>
      <c r="AN8" s="536"/>
      <c r="AO8" s="536"/>
      <c r="AP8" s="536"/>
      <c r="AQ8" s="536"/>
      <c r="AR8" s="536"/>
      <c r="AS8" s="536"/>
      <c r="AT8" s="536"/>
      <c r="AU8" s="536"/>
      <c r="AV8" s="536"/>
      <c r="AW8" s="536"/>
      <c r="AX8" s="536"/>
      <c r="AY8" s="536"/>
      <c r="AZ8" s="536"/>
      <c r="BA8" s="537"/>
      <c r="BB8" s="537"/>
      <c r="BC8" s="537"/>
      <c r="BD8" s="537"/>
      <c r="BE8" s="537"/>
      <c r="BF8" s="537">
        <v>4</v>
      </c>
      <c r="BG8" s="539">
        <f t="shared" si="0"/>
        <v>13</v>
      </c>
    </row>
    <row r="9" spans="1:73" ht="33.950000000000003" customHeight="1" x14ac:dyDescent="0.2">
      <c r="A9" s="534" t="s">
        <v>124</v>
      </c>
      <c r="B9" s="535"/>
      <c r="C9" s="536"/>
      <c r="D9" s="536"/>
      <c r="E9" s="536"/>
      <c r="F9" s="536"/>
      <c r="G9" s="536"/>
      <c r="H9" s="536"/>
      <c r="I9" s="536"/>
      <c r="J9" s="536"/>
      <c r="K9" s="536"/>
      <c r="L9" s="536"/>
      <c r="M9" s="536"/>
      <c r="N9" s="536"/>
      <c r="O9" s="536">
        <v>2</v>
      </c>
      <c r="P9" s="536"/>
      <c r="Q9" s="536"/>
      <c r="R9" s="537"/>
      <c r="S9" s="538"/>
      <c r="T9" s="535"/>
      <c r="U9" s="536">
        <v>6</v>
      </c>
      <c r="V9" s="532"/>
      <c r="W9" s="536">
        <v>2</v>
      </c>
      <c r="X9" s="536"/>
      <c r="Y9" s="536"/>
      <c r="Z9" s="536"/>
      <c r="AA9" s="536"/>
      <c r="AB9" s="536"/>
      <c r="AC9" s="536"/>
      <c r="AD9" s="536"/>
      <c r="AE9" s="538"/>
      <c r="AF9" s="535"/>
      <c r="AG9" s="536"/>
      <c r="AH9" s="537"/>
      <c r="AI9" s="538"/>
      <c r="AJ9" s="535"/>
      <c r="AK9" s="538"/>
      <c r="AL9" s="535"/>
      <c r="AM9" s="537"/>
      <c r="AN9" s="536"/>
      <c r="AO9" s="536"/>
      <c r="AP9" s="536"/>
      <c r="AQ9" s="536"/>
      <c r="AR9" s="536"/>
      <c r="AS9" s="536"/>
      <c r="AT9" s="536"/>
      <c r="AU9" s="536">
        <v>1</v>
      </c>
      <c r="AV9" s="536"/>
      <c r="AW9" s="536"/>
      <c r="AX9" s="536"/>
      <c r="AY9" s="536"/>
      <c r="AZ9" s="536"/>
      <c r="BA9" s="537"/>
      <c r="BB9" s="537"/>
      <c r="BC9" s="537"/>
      <c r="BD9" s="537"/>
      <c r="BE9" s="537"/>
      <c r="BF9" s="537">
        <v>18</v>
      </c>
      <c r="BG9" s="539">
        <f t="shared" si="0"/>
        <v>29</v>
      </c>
    </row>
    <row r="10" spans="1:73" ht="33.950000000000003" customHeight="1" x14ac:dyDescent="0.2">
      <c r="A10" s="534" t="s">
        <v>217</v>
      </c>
      <c r="B10" s="535"/>
      <c r="C10" s="536"/>
      <c r="D10" s="536"/>
      <c r="E10" s="536"/>
      <c r="F10" s="536"/>
      <c r="G10" s="536"/>
      <c r="H10" s="536"/>
      <c r="I10" s="536"/>
      <c r="J10" s="536"/>
      <c r="K10" s="536"/>
      <c r="L10" s="536"/>
      <c r="M10" s="536"/>
      <c r="N10" s="536"/>
      <c r="O10" s="536"/>
      <c r="P10" s="536"/>
      <c r="Q10" s="536"/>
      <c r="R10" s="537"/>
      <c r="S10" s="538"/>
      <c r="T10" s="535"/>
      <c r="U10" s="536">
        <v>2</v>
      </c>
      <c r="V10" s="532"/>
      <c r="W10" s="536">
        <v>1</v>
      </c>
      <c r="X10" s="536"/>
      <c r="Y10" s="536"/>
      <c r="Z10" s="536"/>
      <c r="AA10" s="536"/>
      <c r="AB10" s="536"/>
      <c r="AC10" s="536"/>
      <c r="AD10" s="536"/>
      <c r="AE10" s="538"/>
      <c r="AF10" s="535"/>
      <c r="AG10" s="536"/>
      <c r="AH10" s="537"/>
      <c r="AI10" s="538"/>
      <c r="AJ10" s="535"/>
      <c r="AK10" s="538"/>
      <c r="AL10" s="535"/>
      <c r="AM10" s="537"/>
      <c r="AN10" s="536"/>
      <c r="AO10" s="536"/>
      <c r="AP10" s="536"/>
      <c r="AQ10" s="536"/>
      <c r="AR10" s="536"/>
      <c r="AS10" s="536"/>
      <c r="AT10" s="536"/>
      <c r="AU10" s="536"/>
      <c r="AV10" s="536"/>
      <c r="AW10" s="536"/>
      <c r="AX10" s="536"/>
      <c r="AY10" s="536"/>
      <c r="AZ10" s="536"/>
      <c r="BA10" s="537">
        <v>1</v>
      </c>
      <c r="BB10" s="537"/>
      <c r="BC10" s="537"/>
      <c r="BD10" s="537"/>
      <c r="BE10" s="537"/>
      <c r="BF10" s="537">
        <v>2</v>
      </c>
      <c r="BG10" s="539">
        <f t="shared" si="0"/>
        <v>6</v>
      </c>
    </row>
    <row r="11" spans="1:73" ht="33.950000000000003" customHeight="1" x14ac:dyDescent="0.2">
      <c r="A11" s="534" t="s">
        <v>121</v>
      </c>
      <c r="B11" s="535"/>
      <c r="C11" s="536"/>
      <c r="D11" s="536"/>
      <c r="E11" s="536"/>
      <c r="F11" s="536"/>
      <c r="G11" s="536"/>
      <c r="H11" s="536"/>
      <c r="I11" s="536"/>
      <c r="J11" s="536"/>
      <c r="K11" s="536"/>
      <c r="L11" s="536"/>
      <c r="M11" s="536"/>
      <c r="N11" s="536"/>
      <c r="O11" s="536"/>
      <c r="P11" s="536"/>
      <c r="Q11" s="536"/>
      <c r="R11" s="537"/>
      <c r="S11" s="538"/>
      <c r="T11" s="535"/>
      <c r="U11" s="536">
        <v>1</v>
      </c>
      <c r="V11" s="532"/>
      <c r="W11" s="536"/>
      <c r="X11" s="536"/>
      <c r="Y11" s="536"/>
      <c r="Z11" s="536"/>
      <c r="AA11" s="536"/>
      <c r="AB11" s="536"/>
      <c r="AC11" s="536"/>
      <c r="AD11" s="536"/>
      <c r="AE11" s="538"/>
      <c r="AF11" s="535"/>
      <c r="AG11" s="536"/>
      <c r="AH11" s="537"/>
      <c r="AI11" s="538"/>
      <c r="AJ11" s="535"/>
      <c r="AK11" s="538"/>
      <c r="AL11" s="535"/>
      <c r="AM11" s="537"/>
      <c r="AN11" s="536"/>
      <c r="AO11" s="536"/>
      <c r="AP11" s="536"/>
      <c r="AQ11" s="536"/>
      <c r="AR11" s="536"/>
      <c r="AS11" s="536"/>
      <c r="AT11" s="536"/>
      <c r="AU11" s="536"/>
      <c r="AV11" s="536"/>
      <c r="AW11" s="536"/>
      <c r="AX11" s="536"/>
      <c r="AY11" s="536"/>
      <c r="AZ11" s="536"/>
      <c r="BA11" s="537"/>
      <c r="BB11" s="537"/>
      <c r="BC11" s="537"/>
      <c r="BD11" s="537"/>
      <c r="BE11" s="537"/>
      <c r="BF11" s="537"/>
      <c r="BG11" s="539">
        <f t="shared" si="0"/>
        <v>1</v>
      </c>
    </row>
    <row r="12" spans="1:73" s="506" customFormat="1" ht="33.950000000000003" customHeight="1" x14ac:dyDescent="0.2">
      <c r="A12" s="534" t="s">
        <v>153</v>
      </c>
      <c r="B12" s="535"/>
      <c r="C12" s="536"/>
      <c r="D12" s="536"/>
      <c r="E12" s="536"/>
      <c r="F12" s="536"/>
      <c r="G12" s="536"/>
      <c r="H12" s="536"/>
      <c r="I12" s="536"/>
      <c r="J12" s="536"/>
      <c r="K12" s="536"/>
      <c r="L12" s="536"/>
      <c r="M12" s="536"/>
      <c r="N12" s="536"/>
      <c r="O12" s="536"/>
      <c r="P12" s="536"/>
      <c r="Q12" s="536"/>
      <c r="R12" s="537"/>
      <c r="S12" s="538"/>
      <c r="T12" s="535"/>
      <c r="U12" s="536">
        <v>5</v>
      </c>
      <c r="V12" s="540"/>
      <c r="W12" s="536">
        <v>2</v>
      </c>
      <c r="X12" s="536"/>
      <c r="Y12" s="536"/>
      <c r="Z12" s="536"/>
      <c r="AA12" s="536"/>
      <c r="AB12" s="536"/>
      <c r="AC12" s="536"/>
      <c r="AD12" s="536"/>
      <c r="AE12" s="538"/>
      <c r="AF12" s="535"/>
      <c r="AG12" s="536"/>
      <c r="AH12" s="537"/>
      <c r="AI12" s="538"/>
      <c r="AJ12" s="535"/>
      <c r="AK12" s="538"/>
      <c r="AL12" s="535"/>
      <c r="AM12" s="537"/>
      <c r="AN12" s="536"/>
      <c r="AO12" s="536"/>
      <c r="AP12" s="536"/>
      <c r="AQ12" s="536"/>
      <c r="AR12" s="536"/>
      <c r="AS12" s="536"/>
      <c r="AT12" s="536"/>
      <c r="AU12" s="536"/>
      <c r="AV12" s="536"/>
      <c r="AW12" s="536"/>
      <c r="AX12" s="536"/>
      <c r="AY12" s="536"/>
      <c r="AZ12" s="536"/>
      <c r="BA12" s="537"/>
      <c r="BB12" s="537"/>
      <c r="BC12" s="537"/>
      <c r="BD12" s="537"/>
      <c r="BE12" s="537"/>
      <c r="BF12" s="537">
        <v>11</v>
      </c>
      <c r="BG12" s="539">
        <f t="shared" si="0"/>
        <v>18</v>
      </c>
      <c r="BL12" s="386"/>
      <c r="BM12" s="386"/>
      <c r="BN12" s="386"/>
      <c r="BO12" s="386"/>
      <c r="BP12" s="386"/>
      <c r="BQ12" s="386"/>
    </row>
    <row r="13" spans="1:73" s="506" customFormat="1" ht="33.950000000000003" customHeight="1" x14ac:dyDescent="0.2">
      <c r="A13" s="534" t="s">
        <v>162</v>
      </c>
      <c r="B13" s="535"/>
      <c r="C13" s="536"/>
      <c r="D13" s="536"/>
      <c r="E13" s="536"/>
      <c r="F13" s="536"/>
      <c r="G13" s="536"/>
      <c r="H13" s="536"/>
      <c r="I13" s="536"/>
      <c r="J13" s="536"/>
      <c r="K13" s="536"/>
      <c r="L13" s="536"/>
      <c r="M13" s="536"/>
      <c r="N13" s="536"/>
      <c r="O13" s="536"/>
      <c r="P13" s="536"/>
      <c r="Q13" s="536"/>
      <c r="R13" s="537"/>
      <c r="S13" s="538"/>
      <c r="T13" s="535"/>
      <c r="U13" s="536"/>
      <c r="V13" s="536"/>
      <c r="W13" s="536"/>
      <c r="X13" s="536"/>
      <c r="Y13" s="536"/>
      <c r="Z13" s="536"/>
      <c r="AA13" s="536"/>
      <c r="AB13" s="536"/>
      <c r="AC13" s="536"/>
      <c r="AD13" s="536"/>
      <c r="AE13" s="538"/>
      <c r="AF13" s="535"/>
      <c r="AG13" s="536"/>
      <c r="AH13" s="537"/>
      <c r="AI13" s="538"/>
      <c r="AJ13" s="535"/>
      <c r="AK13" s="538"/>
      <c r="AL13" s="535"/>
      <c r="AM13" s="537"/>
      <c r="AN13" s="536"/>
      <c r="AO13" s="536"/>
      <c r="AP13" s="536"/>
      <c r="AQ13" s="536"/>
      <c r="AR13" s="536"/>
      <c r="AS13" s="536"/>
      <c r="AT13" s="536"/>
      <c r="AU13" s="536"/>
      <c r="AV13" s="536"/>
      <c r="AW13" s="536"/>
      <c r="AX13" s="536"/>
      <c r="AY13" s="536"/>
      <c r="AZ13" s="536"/>
      <c r="BA13" s="537"/>
      <c r="BB13" s="537"/>
      <c r="BC13" s="537"/>
      <c r="BD13" s="537"/>
      <c r="BE13" s="537"/>
      <c r="BF13" s="537"/>
      <c r="BG13" s="539">
        <f t="shared" si="0"/>
        <v>0</v>
      </c>
    </row>
    <row r="14" spans="1:73" ht="33.950000000000003" customHeight="1" x14ac:dyDescent="0.2">
      <c r="A14" s="534" t="s">
        <v>161</v>
      </c>
      <c r="B14" s="535"/>
      <c r="C14" s="536"/>
      <c r="D14" s="536"/>
      <c r="E14" s="536"/>
      <c r="F14" s="536"/>
      <c r="G14" s="536"/>
      <c r="H14" s="536"/>
      <c r="I14" s="536"/>
      <c r="J14" s="536"/>
      <c r="K14" s="536"/>
      <c r="L14" s="536"/>
      <c r="M14" s="536"/>
      <c r="N14" s="536"/>
      <c r="O14" s="536"/>
      <c r="P14" s="536"/>
      <c r="Q14" s="536"/>
      <c r="R14" s="537"/>
      <c r="S14" s="538"/>
      <c r="T14" s="535"/>
      <c r="U14" s="536">
        <v>1</v>
      </c>
      <c r="V14" s="536"/>
      <c r="W14" s="536"/>
      <c r="X14" s="536"/>
      <c r="Y14" s="536"/>
      <c r="Z14" s="536"/>
      <c r="AA14" s="536"/>
      <c r="AB14" s="536"/>
      <c r="AC14" s="536"/>
      <c r="AD14" s="536"/>
      <c r="AE14" s="538"/>
      <c r="AF14" s="535"/>
      <c r="AG14" s="536"/>
      <c r="AH14" s="537"/>
      <c r="AI14" s="538"/>
      <c r="AJ14" s="535"/>
      <c r="AK14" s="538"/>
      <c r="AL14" s="535"/>
      <c r="AM14" s="537"/>
      <c r="AN14" s="536"/>
      <c r="AO14" s="536"/>
      <c r="AP14" s="536"/>
      <c r="AQ14" s="536"/>
      <c r="AR14" s="536"/>
      <c r="AS14" s="536"/>
      <c r="AT14" s="536"/>
      <c r="AU14" s="536"/>
      <c r="AV14" s="536"/>
      <c r="AW14" s="536"/>
      <c r="AX14" s="536"/>
      <c r="AY14" s="536"/>
      <c r="AZ14" s="536"/>
      <c r="BA14" s="537"/>
      <c r="BB14" s="537"/>
      <c r="BC14" s="537"/>
      <c r="BD14" s="537"/>
      <c r="BE14" s="537"/>
      <c r="BF14" s="537">
        <v>1</v>
      </c>
      <c r="BG14" s="539">
        <f t="shared" si="0"/>
        <v>2</v>
      </c>
    </row>
    <row r="15" spans="1:73" ht="33.950000000000003" customHeight="1" thickBot="1" x14ac:dyDescent="0.25">
      <c r="A15" s="534" t="s">
        <v>218</v>
      </c>
      <c r="B15" s="535"/>
      <c r="C15" s="536"/>
      <c r="D15" s="536"/>
      <c r="E15" s="536"/>
      <c r="F15" s="536"/>
      <c r="G15" s="536"/>
      <c r="H15" s="536"/>
      <c r="I15" s="536"/>
      <c r="J15" s="536"/>
      <c r="K15" s="536"/>
      <c r="L15" s="536"/>
      <c r="M15" s="536"/>
      <c r="N15" s="536"/>
      <c r="O15" s="536"/>
      <c r="P15" s="536"/>
      <c r="Q15" s="536"/>
      <c r="R15" s="537"/>
      <c r="S15" s="538"/>
      <c r="T15" s="535"/>
      <c r="U15" s="536"/>
      <c r="V15" s="536"/>
      <c r="W15" s="536"/>
      <c r="X15" s="536"/>
      <c r="Y15" s="536"/>
      <c r="Z15" s="536"/>
      <c r="AA15" s="536"/>
      <c r="AB15" s="536"/>
      <c r="AC15" s="536"/>
      <c r="AD15" s="536"/>
      <c r="AE15" s="538"/>
      <c r="AF15" s="535"/>
      <c r="AG15" s="536"/>
      <c r="AH15" s="537"/>
      <c r="AI15" s="538"/>
      <c r="AJ15" s="535"/>
      <c r="AK15" s="538"/>
      <c r="AL15" s="535"/>
      <c r="AM15" s="537"/>
      <c r="AN15" s="536"/>
      <c r="AO15" s="536"/>
      <c r="AP15" s="536"/>
      <c r="AQ15" s="536"/>
      <c r="AR15" s="536"/>
      <c r="AS15" s="536"/>
      <c r="AT15" s="536"/>
      <c r="AU15" s="536"/>
      <c r="AV15" s="536"/>
      <c r="AW15" s="536"/>
      <c r="AX15" s="536"/>
      <c r="AY15" s="536"/>
      <c r="AZ15" s="536"/>
      <c r="BA15" s="537"/>
      <c r="BB15" s="537"/>
      <c r="BC15" s="537"/>
      <c r="BD15" s="537"/>
      <c r="BE15" s="537"/>
      <c r="BF15" s="537"/>
      <c r="BG15" s="539">
        <f t="shared" si="0"/>
        <v>0</v>
      </c>
    </row>
    <row r="16" spans="1:73" s="506" customFormat="1" ht="33.950000000000003" customHeight="1" thickBot="1" x14ac:dyDescent="0.25">
      <c r="A16" s="541" t="s">
        <v>187</v>
      </c>
      <c r="B16" s="542">
        <f t="shared" ref="B16:BG16" si="1">SUM(B6:B15)</f>
        <v>0</v>
      </c>
      <c r="C16" s="543">
        <f t="shared" si="1"/>
        <v>0</v>
      </c>
      <c r="D16" s="543">
        <f t="shared" si="1"/>
        <v>0</v>
      </c>
      <c r="E16" s="543">
        <f t="shared" si="1"/>
        <v>0</v>
      </c>
      <c r="F16" s="543">
        <f t="shared" si="1"/>
        <v>0</v>
      </c>
      <c r="G16" s="543">
        <f t="shared" si="1"/>
        <v>2</v>
      </c>
      <c r="H16" s="543">
        <f t="shared" si="1"/>
        <v>0</v>
      </c>
      <c r="I16" s="543">
        <f t="shared" si="1"/>
        <v>1</v>
      </c>
      <c r="J16" s="543">
        <f t="shared" si="1"/>
        <v>1</v>
      </c>
      <c r="K16" s="543">
        <f t="shared" si="1"/>
        <v>0</v>
      </c>
      <c r="L16" s="543">
        <f t="shared" si="1"/>
        <v>0</v>
      </c>
      <c r="M16" s="543">
        <f t="shared" si="1"/>
        <v>1</v>
      </c>
      <c r="N16" s="543">
        <f t="shared" si="1"/>
        <v>0</v>
      </c>
      <c r="O16" s="543">
        <f t="shared" si="1"/>
        <v>3</v>
      </c>
      <c r="P16" s="543">
        <f t="shared" si="1"/>
        <v>0</v>
      </c>
      <c r="Q16" s="543">
        <f t="shared" si="1"/>
        <v>0</v>
      </c>
      <c r="R16" s="544">
        <f t="shared" si="1"/>
        <v>0</v>
      </c>
      <c r="S16" s="545">
        <f t="shared" si="1"/>
        <v>0</v>
      </c>
      <c r="T16" s="542">
        <f t="shared" si="1"/>
        <v>0</v>
      </c>
      <c r="U16" s="543">
        <f t="shared" si="1"/>
        <v>30</v>
      </c>
      <c r="V16" s="543">
        <f t="shared" si="1"/>
        <v>0</v>
      </c>
      <c r="W16" s="543">
        <f t="shared" si="1"/>
        <v>7</v>
      </c>
      <c r="X16" s="543">
        <f t="shared" si="1"/>
        <v>3</v>
      </c>
      <c r="Y16" s="543">
        <f t="shared" si="1"/>
        <v>0</v>
      </c>
      <c r="Z16" s="543">
        <f t="shared" si="1"/>
        <v>2</v>
      </c>
      <c r="AA16" s="543">
        <f t="shared" si="1"/>
        <v>0</v>
      </c>
      <c r="AB16" s="543">
        <f t="shared" si="1"/>
        <v>0</v>
      </c>
      <c r="AC16" s="543">
        <f t="shared" si="1"/>
        <v>0</v>
      </c>
      <c r="AD16" s="543">
        <f t="shared" si="1"/>
        <v>0</v>
      </c>
      <c r="AE16" s="545">
        <f t="shared" si="1"/>
        <v>0</v>
      </c>
      <c r="AF16" s="542">
        <f t="shared" si="1"/>
        <v>0</v>
      </c>
      <c r="AG16" s="543">
        <f t="shared" si="1"/>
        <v>0</v>
      </c>
      <c r="AH16" s="544">
        <f t="shared" si="1"/>
        <v>0</v>
      </c>
      <c r="AI16" s="545">
        <f t="shared" si="1"/>
        <v>0</v>
      </c>
      <c r="AJ16" s="542">
        <f t="shared" si="1"/>
        <v>0</v>
      </c>
      <c r="AK16" s="545">
        <f t="shared" si="1"/>
        <v>0</v>
      </c>
      <c r="AL16" s="542">
        <f t="shared" si="1"/>
        <v>0</v>
      </c>
      <c r="AM16" s="544">
        <f t="shared" si="1"/>
        <v>0</v>
      </c>
      <c r="AN16" s="543">
        <f t="shared" si="1"/>
        <v>0</v>
      </c>
      <c r="AO16" s="543">
        <f t="shared" si="1"/>
        <v>0</v>
      </c>
      <c r="AP16" s="543">
        <f t="shared" si="1"/>
        <v>0</v>
      </c>
      <c r="AQ16" s="543">
        <f t="shared" si="1"/>
        <v>0</v>
      </c>
      <c r="AR16" s="543">
        <f t="shared" si="1"/>
        <v>0</v>
      </c>
      <c r="AS16" s="543">
        <f t="shared" si="1"/>
        <v>0</v>
      </c>
      <c r="AT16" s="543">
        <f t="shared" si="1"/>
        <v>0</v>
      </c>
      <c r="AU16" s="543">
        <f t="shared" si="1"/>
        <v>3</v>
      </c>
      <c r="AV16" s="543">
        <f t="shared" si="1"/>
        <v>0</v>
      </c>
      <c r="AW16" s="543">
        <f t="shared" si="1"/>
        <v>0</v>
      </c>
      <c r="AX16" s="543">
        <f t="shared" si="1"/>
        <v>0</v>
      </c>
      <c r="AY16" s="543">
        <f t="shared" si="1"/>
        <v>0</v>
      </c>
      <c r="AZ16" s="543">
        <f t="shared" si="1"/>
        <v>0</v>
      </c>
      <c r="BA16" s="544">
        <f t="shared" si="1"/>
        <v>4</v>
      </c>
      <c r="BB16" s="544">
        <f t="shared" si="1"/>
        <v>0</v>
      </c>
      <c r="BC16" s="544">
        <f t="shared" si="1"/>
        <v>0</v>
      </c>
      <c r="BD16" s="544">
        <f t="shared" si="1"/>
        <v>0</v>
      </c>
      <c r="BE16" s="544">
        <f t="shared" si="1"/>
        <v>0</v>
      </c>
      <c r="BF16" s="544">
        <f t="shared" si="1"/>
        <v>58</v>
      </c>
      <c r="BG16" s="546">
        <f t="shared" si="1"/>
        <v>115</v>
      </c>
      <c r="BL16" s="386"/>
      <c r="BM16" s="386"/>
      <c r="BN16" s="386"/>
      <c r="BO16" s="386"/>
      <c r="BP16" s="386"/>
      <c r="BQ16" s="386"/>
      <c r="BR16" s="386"/>
      <c r="BS16" s="386"/>
      <c r="BT16" s="386"/>
      <c r="BU16" s="386"/>
    </row>
    <row r="18" spans="1:74" s="506" customFormat="1" x14ac:dyDescent="0.2">
      <c r="A18" s="547"/>
      <c r="B18" s="547"/>
      <c r="C18" s="547"/>
      <c r="D18" s="547"/>
      <c r="E18" s="547"/>
      <c r="F18" s="547"/>
      <c r="G18" s="547"/>
      <c r="H18" s="547"/>
      <c r="I18" s="547"/>
      <c r="J18" s="547"/>
      <c r="K18" s="547"/>
      <c r="L18" s="547"/>
      <c r="M18" s="547"/>
      <c r="N18" s="547"/>
      <c r="O18" s="547"/>
      <c r="P18" s="547"/>
      <c r="Q18" s="547"/>
      <c r="R18" s="547"/>
      <c r="S18" s="547"/>
      <c r="T18" s="547"/>
      <c r="U18" s="547"/>
      <c r="V18" s="547"/>
      <c r="W18" s="547"/>
      <c r="X18" s="547"/>
      <c r="Y18" s="547"/>
      <c r="Z18" s="547"/>
      <c r="AA18" s="547"/>
      <c r="AB18" s="547"/>
      <c r="AC18" s="547"/>
      <c r="AD18" s="547"/>
      <c r="AE18" s="547"/>
      <c r="AF18" s="547"/>
      <c r="AG18" s="547"/>
      <c r="AH18" s="547"/>
      <c r="AI18" s="547"/>
      <c r="AJ18" s="547"/>
      <c r="AK18" s="547"/>
      <c r="AL18" s="547"/>
      <c r="AM18" s="547"/>
      <c r="AN18" s="547"/>
      <c r="AO18" s="547"/>
      <c r="AP18" s="547"/>
      <c r="AQ18" s="547"/>
      <c r="AR18" s="547"/>
      <c r="AS18" s="547"/>
      <c r="AT18" s="547"/>
      <c r="AU18" s="547"/>
      <c r="AV18" s="547"/>
      <c r="AW18" s="547"/>
      <c r="AX18" s="547"/>
      <c r="AY18" s="547"/>
      <c r="AZ18" s="547"/>
      <c r="BA18" s="547"/>
      <c r="BB18" s="547"/>
      <c r="BC18" s="547"/>
      <c r="BD18" s="547"/>
      <c r="BE18" s="547"/>
      <c r="BF18" s="547"/>
      <c r="BG18" s="547"/>
      <c r="BL18" s="386"/>
      <c r="BM18" s="386"/>
      <c r="BN18" s="386"/>
      <c r="BO18" s="386"/>
      <c r="BP18" s="386"/>
      <c r="BQ18" s="386"/>
      <c r="BR18" s="386"/>
      <c r="BS18" s="386"/>
      <c r="BT18" s="386"/>
      <c r="BU18" s="386"/>
      <c r="BV18" s="386"/>
    </row>
    <row r="19" spans="1:74" s="506" customFormat="1" x14ac:dyDescent="0.2">
      <c r="A19" s="547"/>
      <c r="B19" s="547"/>
      <c r="C19" s="547"/>
      <c r="D19" s="547"/>
      <c r="E19" s="547"/>
      <c r="F19" s="547"/>
      <c r="G19" s="547"/>
      <c r="H19" s="547"/>
      <c r="I19" s="547"/>
      <c r="J19" s="547"/>
      <c r="K19" s="547"/>
      <c r="L19" s="547"/>
      <c r="M19" s="547"/>
      <c r="N19" s="547"/>
      <c r="O19" s="547"/>
      <c r="P19" s="547"/>
      <c r="Q19" s="547"/>
      <c r="R19" s="547"/>
      <c r="S19" s="547"/>
      <c r="T19" s="547"/>
      <c r="U19" s="547"/>
      <c r="V19" s="547"/>
      <c r="W19" s="547"/>
      <c r="X19" s="547"/>
      <c r="Y19" s="547"/>
      <c r="Z19" s="547"/>
      <c r="AA19" s="547"/>
      <c r="AB19" s="547"/>
      <c r="AC19" s="547"/>
      <c r="AD19" s="547"/>
      <c r="AE19" s="547"/>
      <c r="AF19" s="547"/>
      <c r="AG19" s="547"/>
      <c r="AH19" s="547"/>
      <c r="AI19" s="547"/>
      <c r="AJ19" s="547"/>
      <c r="AK19" s="547"/>
      <c r="AL19" s="547"/>
      <c r="AM19" s="547"/>
      <c r="AN19" s="547"/>
      <c r="AO19" s="547"/>
      <c r="AP19" s="547"/>
      <c r="AQ19" s="547"/>
      <c r="AR19" s="547"/>
      <c r="AS19" s="547"/>
      <c r="AT19" s="547"/>
      <c r="AU19" s="547"/>
      <c r="AV19" s="547"/>
      <c r="AW19" s="547"/>
      <c r="AX19" s="547"/>
      <c r="AY19" s="547"/>
      <c r="AZ19" s="547"/>
      <c r="BA19" s="547"/>
      <c r="BB19" s="547"/>
      <c r="BC19" s="547"/>
      <c r="BD19" s="547"/>
      <c r="BE19" s="547"/>
      <c r="BF19" s="547"/>
      <c r="BG19" s="547"/>
      <c r="BL19" s="386"/>
      <c r="BM19" s="386"/>
      <c r="BN19" s="386"/>
      <c r="BO19" s="386"/>
      <c r="BP19" s="386"/>
      <c r="BQ19" s="386"/>
      <c r="BR19" s="386"/>
      <c r="BS19" s="386"/>
      <c r="BT19" s="386"/>
      <c r="BU19" s="386"/>
      <c r="BV19" s="386"/>
    </row>
  </sheetData>
  <mergeCells count="29">
    <mergeCell ref="A18:BG19"/>
    <mergeCell ref="BB4:BB5"/>
    <mergeCell ref="BC4:BC5"/>
    <mergeCell ref="BD4:BD5"/>
    <mergeCell ref="BE4:BE5"/>
    <mergeCell ref="BF4:BF5"/>
    <mergeCell ref="BG4:BG5"/>
    <mergeCell ref="AV4:AV5"/>
    <mergeCell ref="AW4:AW5"/>
    <mergeCell ref="AX4:AX5"/>
    <mergeCell ref="AY4:AY5"/>
    <mergeCell ref="AZ4:AZ5"/>
    <mergeCell ref="BA4:BA5"/>
    <mergeCell ref="AP4:AP5"/>
    <mergeCell ref="AQ4:AQ5"/>
    <mergeCell ref="AR4:AR5"/>
    <mergeCell ref="AS4:AS5"/>
    <mergeCell ref="AT4:AT5"/>
    <mergeCell ref="AU4:AU5"/>
    <mergeCell ref="A1:BG1"/>
    <mergeCell ref="A3:A5"/>
    <mergeCell ref="B3:BG3"/>
    <mergeCell ref="B4:S4"/>
    <mergeCell ref="T4:AE4"/>
    <mergeCell ref="AF4:AI4"/>
    <mergeCell ref="AJ4:AK4"/>
    <mergeCell ref="AL4:AM4"/>
    <mergeCell ref="AN4:AN5"/>
    <mergeCell ref="AO4:AO5"/>
  </mergeCells>
  <printOptions horizontalCentered="1"/>
  <pageMargins left="0.19685039370078741" right="0.19685039370078741" top="0.59055118110236227" bottom="0.78740157480314965" header="0.19685039370078741" footer="0.19685039370078741"/>
  <pageSetup paperSize="9" scale="48" fitToHeight="0" orientation="landscape" r:id="rId1"/>
  <headerFooter>
    <oddFooter>&amp;L&amp;"B Nazanin,Regular"نام و امضاء مدیرعامل                  &amp;"-,Regular"  &amp;C&amp;"B Nazanin,Regular"&amp;P&amp;R&amp;"B Nazanin,Regular"          نام و امضاء معاون / مدیر مالی
          نام و امضاء مدیر / مسئول بودجه</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A5004-0CF1-4F6D-986B-9CCB4392A09E}">
  <sheetPr codeName="Sheet6">
    <tabColor rgb="FF458B74"/>
    <pageSetUpPr fitToPage="1"/>
  </sheetPr>
  <dimension ref="A1:AV64"/>
  <sheetViews>
    <sheetView rightToLeft="1" zoomScale="60" zoomScaleNormal="60" workbookViewId="0">
      <selection activeCell="X6" sqref="X6"/>
    </sheetView>
  </sheetViews>
  <sheetFormatPr defaultColWidth="8" defaultRowHeight="24.75" x14ac:dyDescent="0.2"/>
  <cols>
    <col min="1" max="1" width="18" style="555" customWidth="1"/>
    <col min="2" max="2" width="12.625" style="555" customWidth="1"/>
    <col min="3" max="3" width="8.5" style="555" bestFit="1" customWidth="1"/>
    <col min="4" max="9" width="11" style="555" customWidth="1"/>
    <col min="10" max="11" width="9.25" style="555" customWidth="1"/>
    <col min="12" max="12" width="8.125" style="555" bestFit="1" customWidth="1"/>
    <col min="13" max="18" width="11" style="555" customWidth="1"/>
    <col min="19" max="20" width="9.25" style="555" customWidth="1"/>
    <col min="21" max="21" width="6.375" style="555" customWidth="1"/>
    <col min="22" max="27" width="11" style="555" customWidth="1"/>
    <col min="28" max="29" width="9.25" style="555" customWidth="1"/>
    <col min="30" max="16384" width="8" style="555"/>
  </cols>
  <sheetData>
    <row r="1" spans="1:48" s="434" customFormat="1" ht="24" customHeight="1" x14ac:dyDescent="0.6">
      <c r="A1" s="500" t="str">
        <f>[1]روکش!D4</f>
        <v>انبارهای عمومی و خدمات گمرکی ایران</v>
      </c>
      <c r="B1" s="500"/>
      <c r="C1" s="500"/>
      <c r="D1" s="500"/>
      <c r="E1" s="500"/>
      <c r="F1" s="500"/>
      <c r="G1" s="500"/>
      <c r="H1" s="500"/>
      <c r="I1" s="500"/>
      <c r="J1" s="500"/>
      <c r="K1" s="500"/>
      <c r="L1" s="500"/>
      <c r="M1" s="500"/>
      <c r="N1" s="500"/>
      <c r="O1" s="500"/>
      <c r="P1" s="500"/>
      <c r="Q1" s="500"/>
      <c r="R1" s="500"/>
      <c r="S1" s="500"/>
      <c r="T1" s="500"/>
      <c r="U1" s="500"/>
      <c r="V1" s="500"/>
      <c r="W1" s="500"/>
      <c r="X1" s="500"/>
      <c r="Y1" s="500"/>
      <c r="Z1" s="500"/>
      <c r="AA1" s="500"/>
      <c r="AB1" s="500"/>
      <c r="AC1" s="500"/>
      <c r="AD1" s="548"/>
      <c r="AE1" s="548"/>
      <c r="AF1" s="548"/>
      <c r="AG1" s="548"/>
      <c r="AH1" s="548"/>
      <c r="AI1" s="548"/>
      <c r="AJ1" s="548"/>
      <c r="AK1" s="548"/>
      <c r="AL1" s="548"/>
      <c r="AM1" s="548"/>
      <c r="AN1" s="548"/>
      <c r="AO1" s="548"/>
      <c r="AP1" s="548"/>
      <c r="AQ1" s="548"/>
      <c r="AR1" s="548"/>
      <c r="AS1" s="548"/>
      <c r="AT1" s="548"/>
      <c r="AU1" s="548"/>
      <c r="AV1" s="548"/>
    </row>
    <row r="2" spans="1:48" s="438" customFormat="1" ht="28.5" customHeight="1" thickBot="1" x14ac:dyDescent="0.25">
      <c r="A2" s="501" t="str">
        <f>"تعداد و متراژ (متر مربع) و تناژ تخلیه و بارگیری انبارهای عملیاتی در دوره " &amp; [1]روکش!F9 &amp; " سال " &amp; [1]روکش!D9</f>
        <v>تعداد و متراژ (متر مربع) و تناژ تخلیه و بارگیری انبارهای عملیاتی در دوره شش ماهه سال 1405</v>
      </c>
      <c r="B2" s="501"/>
      <c r="C2" s="501"/>
      <c r="D2" s="501"/>
      <c r="E2" s="501"/>
      <c r="F2" s="501"/>
      <c r="G2" s="501"/>
      <c r="H2" s="501"/>
      <c r="I2" s="501"/>
      <c r="J2" s="501"/>
      <c r="K2" s="501"/>
      <c r="L2" s="501"/>
      <c r="M2" s="501"/>
      <c r="N2" s="501"/>
      <c r="O2" s="501"/>
      <c r="P2" s="501"/>
      <c r="Q2" s="501"/>
      <c r="R2" s="501"/>
      <c r="S2" s="501"/>
      <c r="T2" s="501"/>
      <c r="U2" s="501"/>
      <c r="V2" s="501"/>
      <c r="W2" s="501"/>
      <c r="X2" s="501"/>
      <c r="Y2" s="501"/>
      <c r="Z2" s="501"/>
      <c r="AA2" s="501"/>
      <c r="AB2" s="501"/>
      <c r="AC2" s="501"/>
      <c r="AD2" s="549"/>
      <c r="AE2" s="549"/>
      <c r="AF2" s="549"/>
      <c r="AG2" s="549"/>
      <c r="AH2" s="549"/>
      <c r="AI2" s="549"/>
      <c r="AJ2" s="549"/>
      <c r="AK2" s="549"/>
      <c r="AL2" s="549"/>
      <c r="AM2" s="549"/>
      <c r="AN2" s="549"/>
      <c r="AO2" s="549"/>
      <c r="AP2" s="549"/>
      <c r="AQ2" s="549"/>
      <c r="AR2" s="549"/>
      <c r="AS2" s="549"/>
      <c r="AT2" s="549"/>
      <c r="AU2" s="549"/>
      <c r="AV2" s="549"/>
    </row>
    <row r="3" spans="1:48" ht="25.5" thickBot="1" x14ac:dyDescent="0.25">
      <c r="A3" s="550" t="s">
        <v>219</v>
      </c>
      <c r="B3" s="551" t="s">
        <v>220</v>
      </c>
      <c r="C3" s="552" t="s">
        <v>221</v>
      </c>
      <c r="D3" s="553"/>
      <c r="E3" s="553"/>
      <c r="F3" s="553"/>
      <c r="G3" s="553"/>
      <c r="H3" s="553"/>
      <c r="I3" s="553"/>
      <c r="J3" s="553"/>
      <c r="K3" s="554"/>
      <c r="L3" s="552" t="s">
        <v>222</v>
      </c>
      <c r="M3" s="553"/>
      <c r="N3" s="553"/>
      <c r="O3" s="553"/>
      <c r="P3" s="553"/>
      <c r="Q3" s="553"/>
      <c r="R3" s="553"/>
      <c r="S3" s="553"/>
      <c r="T3" s="554"/>
      <c r="U3" s="552" t="s">
        <v>223</v>
      </c>
      <c r="V3" s="553"/>
      <c r="W3" s="553"/>
      <c r="X3" s="553"/>
      <c r="Y3" s="553"/>
      <c r="Z3" s="553"/>
      <c r="AA3" s="553"/>
      <c r="AB3" s="553"/>
      <c r="AC3" s="554"/>
    </row>
    <row r="4" spans="1:48" ht="84.75" thickBot="1" x14ac:dyDescent="0.25">
      <c r="A4" s="556"/>
      <c r="B4" s="557"/>
      <c r="C4" s="558" t="s">
        <v>224</v>
      </c>
      <c r="D4" s="559" t="s">
        <v>225</v>
      </c>
      <c r="E4" s="559" t="s">
        <v>226</v>
      </c>
      <c r="F4" s="559" t="s">
        <v>227</v>
      </c>
      <c r="G4" s="560" t="s">
        <v>228</v>
      </c>
      <c r="H4" s="561" t="s">
        <v>229</v>
      </c>
      <c r="I4" s="561" t="s">
        <v>230</v>
      </c>
      <c r="J4" s="561" t="s">
        <v>231</v>
      </c>
      <c r="K4" s="561" t="s">
        <v>232</v>
      </c>
      <c r="L4" s="558" t="s">
        <v>224</v>
      </c>
      <c r="M4" s="559" t="s">
        <v>225</v>
      </c>
      <c r="N4" s="559" t="s">
        <v>226</v>
      </c>
      <c r="O4" s="559" t="s">
        <v>227</v>
      </c>
      <c r="P4" s="562" t="s">
        <v>228</v>
      </c>
      <c r="Q4" s="561" t="s">
        <v>229</v>
      </c>
      <c r="R4" s="561" t="s">
        <v>230</v>
      </c>
      <c r="S4" s="563" t="s">
        <v>231</v>
      </c>
      <c r="T4" s="561" t="s">
        <v>232</v>
      </c>
      <c r="U4" s="558" t="s">
        <v>224</v>
      </c>
      <c r="V4" s="559" t="s">
        <v>225</v>
      </c>
      <c r="W4" s="559" t="s">
        <v>226</v>
      </c>
      <c r="X4" s="559" t="s">
        <v>227</v>
      </c>
      <c r="Y4" s="562" t="s">
        <v>228</v>
      </c>
      <c r="Z4" s="561" t="s">
        <v>229</v>
      </c>
      <c r="AA4" s="561" t="s">
        <v>230</v>
      </c>
      <c r="AB4" s="563" t="s">
        <v>231</v>
      </c>
      <c r="AC4" s="561" t="s">
        <v>232</v>
      </c>
    </row>
    <row r="5" spans="1:48" x14ac:dyDescent="0.2">
      <c r="A5" s="564" t="s">
        <v>216</v>
      </c>
      <c r="B5" s="565" t="s">
        <v>233</v>
      </c>
      <c r="C5" s="566">
        <v>1</v>
      </c>
      <c r="D5" s="567">
        <v>1600</v>
      </c>
      <c r="E5" s="567">
        <v>468</v>
      </c>
      <c r="F5" s="567">
        <v>1618</v>
      </c>
      <c r="G5" s="568">
        <v>1312</v>
      </c>
      <c r="H5" s="569">
        <f>(D5*0.65*0.5*2*6)</f>
        <v>6240</v>
      </c>
      <c r="I5" s="570">
        <f>H5-(F5+E5)</f>
        <v>4154</v>
      </c>
      <c r="J5" s="571">
        <f>IFERROR(I5*100/H5,"-")</f>
        <v>66.570512820512818</v>
      </c>
      <c r="K5" s="572">
        <f>IFERROR(100-J5,"-")</f>
        <v>33.429487179487182</v>
      </c>
      <c r="L5" s="573">
        <v>1</v>
      </c>
      <c r="M5" s="574">
        <v>160</v>
      </c>
      <c r="N5" s="574">
        <v>25</v>
      </c>
      <c r="O5" s="574">
        <v>43</v>
      </c>
      <c r="P5" s="575">
        <v>36</v>
      </c>
      <c r="Q5" s="569">
        <f>(M5*0.68*0.6*2*6)</f>
        <v>783.36</v>
      </c>
      <c r="R5" s="576">
        <f>Q5-O5</f>
        <v>740.36</v>
      </c>
      <c r="S5" s="571">
        <f>IFERROR(R5*100/Q5,"-")</f>
        <v>94.510825163398692</v>
      </c>
      <c r="T5" s="572">
        <f>IFERROR(100-S5,"-")</f>
        <v>5.4891748366013076</v>
      </c>
      <c r="U5" s="566">
        <v>1</v>
      </c>
      <c r="V5" s="567">
        <v>9000</v>
      </c>
      <c r="W5" s="567">
        <v>1139</v>
      </c>
      <c r="X5" s="567">
        <v>2069</v>
      </c>
      <c r="Y5" s="568">
        <v>1544</v>
      </c>
      <c r="Z5" s="569">
        <f>(V5*0.7*1.1*1*6)</f>
        <v>41580.000000000007</v>
      </c>
      <c r="AA5" s="569">
        <f>Z5-(X5+W5)</f>
        <v>38372.000000000007</v>
      </c>
      <c r="AB5" s="571">
        <f>IFERROR(AA5*100/Z5,"-")</f>
        <v>92.284752284752287</v>
      </c>
      <c r="AC5" s="572">
        <f>IFERROR(100-AB5,"-")</f>
        <v>7.7152477152477132</v>
      </c>
      <c r="AD5" s="555">
        <f>C5+L5+U5+V5+M5+D5</f>
        <v>10763</v>
      </c>
    </row>
    <row r="6" spans="1:48" ht="25.5" thickBot="1" x14ac:dyDescent="0.25">
      <c r="A6" s="577"/>
      <c r="B6" s="578" t="s">
        <v>234</v>
      </c>
      <c r="C6" s="579"/>
      <c r="D6" s="580"/>
      <c r="E6" s="580"/>
      <c r="F6" s="580"/>
      <c r="G6" s="581"/>
      <c r="H6" s="582">
        <f t="shared" ref="H6:H24" si="0">(D6*0.65*0.5*2*6)</f>
        <v>0</v>
      </c>
      <c r="I6" s="583">
        <f t="shared" ref="I6:I24" si="1">H6-(F6+E6)</f>
        <v>0</v>
      </c>
      <c r="J6" s="584" t="str">
        <f t="shared" ref="J6:J27" si="2">IFERROR(I6*100/H6,"-")</f>
        <v>-</v>
      </c>
      <c r="K6" s="585" t="str">
        <f t="shared" ref="K6:K27" si="3">IFERROR(100-J6,"-")</f>
        <v>-</v>
      </c>
      <c r="L6" s="586"/>
      <c r="M6" s="587"/>
      <c r="N6" s="587"/>
      <c r="O6" s="587"/>
      <c r="P6" s="588"/>
      <c r="Q6" s="582">
        <f t="shared" ref="Q6:Q27" si="4">(M6*0.68*0.6*2*6)</f>
        <v>0</v>
      </c>
      <c r="R6" s="589">
        <f t="shared" ref="R6:R27" si="5">Q6-O6</f>
        <v>0</v>
      </c>
      <c r="S6" s="584" t="str">
        <f t="shared" ref="S6:S27" si="6">IFERROR(R6*100/Q6,"-")</f>
        <v>-</v>
      </c>
      <c r="T6" s="585" t="str">
        <f t="shared" ref="T6:T27" si="7">IFERROR(100-S6,"-")</f>
        <v>-</v>
      </c>
      <c r="U6" s="579"/>
      <c r="V6" s="580"/>
      <c r="W6" s="580"/>
      <c r="X6" s="580"/>
      <c r="Y6" s="581"/>
      <c r="Z6" s="582">
        <f t="shared" ref="Z6:Z27" si="8">(V6*0.7*1.1*1*6)</f>
        <v>0</v>
      </c>
      <c r="AA6" s="582">
        <f t="shared" ref="AA6:AA27" si="9">Z6-(X6+W6)</f>
        <v>0</v>
      </c>
      <c r="AB6" s="584" t="str">
        <f t="shared" ref="AB6:AB27" si="10">IFERROR(AA6*100/Z6,"-")</f>
        <v>-</v>
      </c>
      <c r="AC6" s="585" t="str">
        <f t="shared" ref="AC6:AC27" si="11">IFERROR(100-AB6,"-")</f>
        <v>-</v>
      </c>
      <c r="AD6" s="555">
        <f t="shared" ref="AD6:AD24" si="12">C6+L6+U6+V6+M6+D6</f>
        <v>0</v>
      </c>
    </row>
    <row r="7" spans="1:48" x14ac:dyDescent="0.2">
      <c r="A7" s="564" t="s">
        <v>108</v>
      </c>
      <c r="B7" s="590" t="s">
        <v>233</v>
      </c>
      <c r="C7" s="591">
        <v>3</v>
      </c>
      <c r="D7" s="592">
        <v>5000</v>
      </c>
      <c r="E7" s="592">
        <v>1797</v>
      </c>
      <c r="F7" s="592">
        <v>3860</v>
      </c>
      <c r="G7" s="593">
        <v>3949</v>
      </c>
      <c r="H7" s="569">
        <f t="shared" si="0"/>
        <v>19500</v>
      </c>
      <c r="I7" s="594">
        <f t="shared" si="1"/>
        <v>13843</v>
      </c>
      <c r="J7" s="595">
        <f t="shared" si="2"/>
        <v>70.989743589743583</v>
      </c>
      <c r="K7" s="596">
        <f t="shared" si="3"/>
        <v>29.010256410256417</v>
      </c>
      <c r="L7" s="597">
        <v>1</v>
      </c>
      <c r="M7" s="598">
        <v>2000</v>
      </c>
      <c r="N7" s="598">
        <v>846</v>
      </c>
      <c r="O7" s="598">
        <v>3456</v>
      </c>
      <c r="P7" s="599">
        <v>2429</v>
      </c>
      <c r="Q7" s="600">
        <f t="shared" si="4"/>
        <v>9792</v>
      </c>
      <c r="R7" s="600">
        <f t="shared" si="5"/>
        <v>6336</v>
      </c>
      <c r="S7" s="595">
        <f t="shared" si="6"/>
        <v>64.705882352941174</v>
      </c>
      <c r="T7" s="596">
        <f t="shared" si="7"/>
        <v>35.294117647058826</v>
      </c>
      <c r="U7" s="591">
        <v>1</v>
      </c>
      <c r="V7" s="592">
        <v>50000</v>
      </c>
      <c r="W7" s="592">
        <v>4626</v>
      </c>
      <c r="X7" s="592">
        <v>31421</v>
      </c>
      <c r="Y7" s="593">
        <v>29632</v>
      </c>
      <c r="Z7" s="600">
        <f t="shared" si="8"/>
        <v>231000</v>
      </c>
      <c r="AA7" s="600">
        <f t="shared" si="9"/>
        <v>194953</v>
      </c>
      <c r="AB7" s="595">
        <f t="shared" si="10"/>
        <v>84.395238095238099</v>
      </c>
      <c r="AC7" s="596">
        <f t="shared" si="11"/>
        <v>15.604761904761901</v>
      </c>
      <c r="AD7" s="555">
        <f t="shared" si="12"/>
        <v>57005</v>
      </c>
    </row>
    <row r="8" spans="1:48" ht="25.5" thickBot="1" x14ac:dyDescent="0.25">
      <c r="A8" s="577"/>
      <c r="B8" s="601" t="s">
        <v>234</v>
      </c>
      <c r="C8" s="602"/>
      <c r="D8" s="603"/>
      <c r="E8" s="603"/>
      <c r="F8" s="603"/>
      <c r="G8" s="604"/>
      <c r="H8" s="582">
        <f t="shared" si="0"/>
        <v>0</v>
      </c>
      <c r="I8" s="583">
        <f t="shared" si="1"/>
        <v>0</v>
      </c>
      <c r="J8" s="584" t="str">
        <f t="shared" si="2"/>
        <v>-</v>
      </c>
      <c r="K8" s="585" t="str">
        <f t="shared" si="3"/>
        <v>-</v>
      </c>
      <c r="L8" s="605"/>
      <c r="M8" s="606"/>
      <c r="N8" s="606"/>
      <c r="O8" s="606"/>
      <c r="P8" s="607"/>
      <c r="Q8" s="582">
        <f t="shared" si="4"/>
        <v>0</v>
      </c>
      <c r="R8" s="582">
        <f t="shared" si="5"/>
        <v>0</v>
      </c>
      <c r="S8" s="584" t="str">
        <f t="shared" si="6"/>
        <v>-</v>
      </c>
      <c r="T8" s="585" t="str">
        <f t="shared" si="7"/>
        <v>-</v>
      </c>
      <c r="U8" s="602"/>
      <c r="V8" s="603"/>
      <c r="W8" s="603"/>
      <c r="X8" s="603"/>
      <c r="Y8" s="604"/>
      <c r="Z8" s="582">
        <f t="shared" si="8"/>
        <v>0</v>
      </c>
      <c r="AA8" s="582">
        <f t="shared" si="9"/>
        <v>0</v>
      </c>
      <c r="AB8" s="584" t="str">
        <f t="shared" si="10"/>
        <v>-</v>
      </c>
      <c r="AC8" s="585" t="str">
        <f t="shared" si="11"/>
        <v>-</v>
      </c>
      <c r="AD8" s="555">
        <f t="shared" si="12"/>
        <v>0</v>
      </c>
    </row>
    <row r="9" spans="1:48" x14ac:dyDescent="0.2">
      <c r="A9" s="564" t="s">
        <v>141</v>
      </c>
      <c r="B9" s="590" t="s">
        <v>233</v>
      </c>
      <c r="C9" s="591">
        <v>3</v>
      </c>
      <c r="D9" s="592">
        <v>1600</v>
      </c>
      <c r="E9" s="592">
        <v>722</v>
      </c>
      <c r="F9" s="592">
        <v>3704</v>
      </c>
      <c r="G9" s="593">
        <v>4500</v>
      </c>
      <c r="H9" s="600">
        <f t="shared" si="0"/>
        <v>6240</v>
      </c>
      <c r="I9" s="594">
        <f t="shared" si="1"/>
        <v>1814</v>
      </c>
      <c r="J9" s="595">
        <f t="shared" si="2"/>
        <v>29.070512820512821</v>
      </c>
      <c r="K9" s="596">
        <f t="shared" si="3"/>
        <v>70.929487179487182</v>
      </c>
      <c r="L9" s="597">
        <v>1</v>
      </c>
      <c r="M9" s="598">
        <v>600</v>
      </c>
      <c r="N9" s="598">
        <v>303</v>
      </c>
      <c r="O9" s="598">
        <v>4671</v>
      </c>
      <c r="P9" s="599">
        <v>3625</v>
      </c>
      <c r="Q9" s="600">
        <f t="shared" si="4"/>
        <v>2937.6000000000004</v>
      </c>
      <c r="R9" s="600">
        <f t="shared" si="5"/>
        <v>-1733.3999999999996</v>
      </c>
      <c r="S9" s="595">
        <f t="shared" si="6"/>
        <v>-59.007352941176457</v>
      </c>
      <c r="T9" s="596">
        <f t="shared" si="7"/>
        <v>159.00735294117646</v>
      </c>
      <c r="U9" s="608">
        <v>1</v>
      </c>
      <c r="V9" s="609">
        <v>14200</v>
      </c>
      <c r="W9" s="592">
        <v>1090</v>
      </c>
      <c r="X9" s="592">
        <v>4656</v>
      </c>
      <c r="Y9" s="593">
        <v>5703</v>
      </c>
      <c r="Z9" s="600">
        <f t="shared" si="8"/>
        <v>65604</v>
      </c>
      <c r="AA9" s="600">
        <f t="shared" si="9"/>
        <v>59858</v>
      </c>
      <c r="AB9" s="595">
        <f t="shared" si="10"/>
        <v>91.24138772026096</v>
      </c>
      <c r="AC9" s="596">
        <f t="shared" si="11"/>
        <v>8.7586122797390402</v>
      </c>
      <c r="AD9" s="555">
        <f t="shared" si="12"/>
        <v>16405</v>
      </c>
    </row>
    <row r="10" spans="1:48" ht="25.5" thickBot="1" x14ac:dyDescent="0.25">
      <c r="A10" s="577"/>
      <c r="B10" s="601" t="s">
        <v>234</v>
      </c>
      <c r="C10" s="602"/>
      <c r="D10" s="603"/>
      <c r="E10" s="603"/>
      <c r="F10" s="603"/>
      <c r="G10" s="604"/>
      <c r="H10" s="582">
        <f t="shared" si="0"/>
        <v>0</v>
      </c>
      <c r="I10" s="583">
        <f t="shared" si="1"/>
        <v>0</v>
      </c>
      <c r="J10" s="584" t="str">
        <f t="shared" si="2"/>
        <v>-</v>
      </c>
      <c r="K10" s="585" t="str">
        <f t="shared" si="3"/>
        <v>-</v>
      </c>
      <c r="L10" s="605"/>
      <c r="M10" s="606"/>
      <c r="N10" s="606"/>
      <c r="O10" s="606"/>
      <c r="P10" s="607"/>
      <c r="Q10" s="582">
        <f t="shared" si="4"/>
        <v>0</v>
      </c>
      <c r="R10" s="582">
        <f t="shared" si="5"/>
        <v>0</v>
      </c>
      <c r="S10" s="584" t="str">
        <f t="shared" si="6"/>
        <v>-</v>
      </c>
      <c r="T10" s="585" t="str">
        <f t="shared" si="7"/>
        <v>-</v>
      </c>
      <c r="U10" s="602"/>
      <c r="V10" s="603"/>
      <c r="W10" s="603"/>
      <c r="X10" s="603"/>
      <c r="Y10" s="604"/>
      <c r="Z10" s="582">
        <f t="shared" si="8"/>
        <v>0</v>
      </c>
      <c r="AA10" s="582">
        <f t="shared" si="9"/>
        <v>0</v>
      </c>
      <c r="AB10" s="584" t="str">
        <f t="shared" si="10"/>
        <v>-</v>
      </c>
      <c r="AC10" s="585" t="str">
        <f t="shared" si="11"/>
        <v>-</v>
      </c>
      <c r="AD10" s="555">
        <f t="shared" si="12"/>
        <v>0</v>
      </c>
    </row>
    <row r="11" spans="1:48" x14ac:dyDescent="0.2">
      <c r="A11" s="564" t="s">
        <v>124</v>
      </c>
      <c r="B11" s="590" t="s">
        <v>233</v>
      </c>
      <c r="C11" s="591">
        <v>1</v>
      </c>
      <c r="D11" s="592">
        <v>400</v>
      </c>
      <c r="E11" s="592">
        <v>190</v>
      </c>
      <c r="F11" s="592">
        <v>457</v>
      </c>
      <c r="G11" s="593">
        <v>481</v>
      </c>
      <c r="H11" s="600">
        <f t="shared" si="0"/>
        <v>1560</v>
      </c>
      <c r="I11" s="594">
        <f t="shared" si="1"/>
        <v>913</v>
      </c>
      <c r="J11" s="595">
        <f t="shared" si="2"/>
        <v>58.525641025641029</v>
      </c>
      <c r="K11" s="596">
        <f t="shared" si="3"/>
        <v>41.474358974358971</v>
      </c>
      <c r="L11" s="597"/>
      <c r="M11" s="598"/>
      <c r="N11" s="598"/>
      <c r="O11" s="598"/>
      <c r="P11" s="599"/>
      <c r="Q11" s="600">
        <f t="shared" si="4"/>
        <v>0</v>
      </c>
      <c r="R11" s="600">
        <f t="shared" si="5"/>
        <v>0</v>
      </c>
      <c r="S11" s="595" t="str">
        <f t="shared" si="6"/>
        <v>-</v>
      </c>
      <c r="T11" s="596" t="str">
        <f t="shared" si="7"/>
        <v>-</v>
      </c>
      <c r="U11" s="591">
        <v>1</v>
      </c>
      <c r="V11" s="592">
        <v>20000</v>
      </c>
      <c r="W11" s="592">
        <v>1910</v>
      </c>
      <c r="X11" s="592">
        <v>58802</v>
      </c>
      <c r="Y11" s="593">
        <v>66938</v>
      </c>
      <c r="Z11" s="600">
        <f t="shared" si="8"/>
        <v>92400.000000000015</v>
      </c>
      <c r="AA11" s="600">
        <f t="shared" si="9"/>
        <v>31688.000000000015</v>
      </c>
      <c r="AB11" s="595">
        <f t="shared" si="10"/>
        <v>34.294372294372302</v>
      </c>
      <c r="AC11" s="596">
        <f t="shared" si="11"/>
        <v>65.705627705627705</v>
      </c>
      <c r="AD11" s="555">
        <f t="shared" si="12"/>
        <v>20402</v>
      </c>
    </row>
    <row r="12" spans="1:48" ht="25.5" thickBot="1" x14ac:dyDescent="0.25">
      <c r="A12" s="577"/>
      <c r="B12" s="601" t="s">
        <v>234</v>
      </c>
      <c r="C12" s="602"/>
      <c r="D12" s="603"/>
      <c r="E12" s="603"/>
      <c r="F12" s="603"/>
      <c r="G12" s="604"/>
      <c r="H12" s="582">
        <f t="shared" si="0"/>
        <v>0</v>
      </c>
      <c r="I12" s="583">
        <f t="shared" si="1"/>
        <v>0</v>
      </c>
      <c r="J12" s="584" t="str">
        <f t="shared" si="2"/>
        <v>-</v>
      </c>
      <c r="K12" s="585" t="str">
        <f t="shared" si="3"/>
        <v>-</v>
      </c>
      <c r="L12" s="605"/>
      <c r="M12" s="606"/>
      <c r="N12" s="606"/>
      <c r="O12" s="606"/>
      <c r="P12" s="607"/>
      <c r="Q12" s="582">
        <f t="shared" si="4"/>
        <v>0</v>
      </c>
      <c r="R12" s="582">
        <f t="shared" si="5"/>
        <v>0</v>
      </c>
      <c r="S12" s="584" t="str">
        <f t="shared" si="6"/>
        <v>-</v>
      </c>
      <c r="T12" s="585" t="str">
        <f t="shared" si="7"/>
        <v>-</v>
      </c>
      <c r="U12" s="602">
        <v>1</v>
      </c>
      <c r="V12" s="603">
        <v>250000</v>
      </c>
      <c r="W12" s="603"/>
      <c r="X12" s="603"/>
      <c r="Y12" s="604"/>
      <c r="Z12" s="582">
        <f t="shared" si="8"/>
        <v>1155000.0000000002</v>
      </c>
      <c r="AA12" s="582">
        <f t="shared" si="9"/>
        <v>1155000.0000000002</v>
      </c>
      <c r="AB12" s="584">
        <f t="shared" si="10"/>
        <v>100</v>
      </c>
      <c r="AC12" s="585">
        <f t="shared" si="11"/>
        <v>0</v>
      </c>
      <c r="AD12" s="555">
        <f t="shared" si="12"/>
        <v>250001</v>
      </c>
    </row>
    <row r="13" spans="1:48" x14ac:dyDescent="0.2">
      <c r="A13" s="564" t="s">
        <v>217</v>
      </c>
      <c r="B13" s="590" t="s">
        <v>233</v>
      </c>
      <c r="C13" s="591">
        <v>18</v>
      </c>
      <c r="D13" s="592">
        <v>5000</v>
      </c>
      <c r="E13" s="592">
        <v>2753</v>
      </c>
      <c r="F13" s="592">
        <v>4340</v>
      </c>
      <c r="G13" s="593">
        <v>4254</v>
      </c>
      <c r="H13" s="600">
        <f t="shared" si="0"/>
        <v>19500</v>
      </c>
      <c r="I13" s="594">
        <f t="shared" si="1"/>
        <v>12407</v>
      </c>
      <c r="J13" s="595">
        <f t="shared" si="2"/>
        <v>63.625641025641023</v>
      </c>
      <c r="K13" s="596">
        <f t="shared" si="3"/>
        <v>36.374358974358977</v>
      </c>
      <c r="L13" s="597"/>
      <c r="M13" s="598"/>
      <c r="N13" s="598"/>
      <c r="O13" s="598"/>
      <c r="P13" s="599"/>
      <c r="Q13" s="600">
        <f t="shared" si="4"/>
        <v>0</v>
      </c>
      <c r="R13" s="600">
        <f t="shared" si="5"/>
        <v>0</v>
      </c>
      <c r="S13" s="595" t="str">
        <f t="shared" si="6"/>
        <v>-</v>
      </c>
      <c r="T13" s="596" t="str">
        <f t="shared" si="7"/>
        <v>-</v>
      </c>
      <c r="U13" s="591">
        <v>2</v>
      </c>
      <c r="V13" s="592">
        <v>3000</v>
      </c>
      <c r="W13" s="592">
        <v>881</v>
      </c>
      <c r="X13" s="592">
        <v>793</v>
      </c>
      <c r="Y13" s="593">
        <v>2147</v>
      </c>
      <c r="Z13" s="600">
        <f t="shared" si="8"/>
        <v>13860</v>
      </c>
      <c r="AA13" s="600">
        <f t="shared" si="9"/>
        <v>12186</v>
      </c>
      <c r="AB13" s="595">
        <f t="shared" si="10"/>
        <v>87.922077922077918</v>
      </c>
      <c r="AC13" s="596">
        <f t="shared" si="11"/>
        <v>12.077922077922082</v>
      </c>
      <c r="AD13" s="555">
        <f t="shared" si="12"/>
        <v>8020</v>
      </c>
    </row>
    <row r="14" spans="1:48" ht="25.5" thickBot="1" x14ac:dyDescent="0.25">
      <c r="A14" s="577"/>
      <c r="B14" s="578" t="s">
        <v>234</v>
      </c>
      <c r="C14" s="579"/>
      <c r="D14" s="580"/>
      <c r="E14" s="580"/>
      <c r="F14" s="580"/>
      <c r="G14" s="610"/>
      <c r="H14" s="582">
        <f t="shared" si="0"/>
        <v>0</v>
      </c>
      <c r="I14" s="583">
        <f t="shared" si="1"/>
        <v>0</v>
      </c>
      <c r="J14" s="584" t="str">
        <f t="shared" si="2"/>
        <v>-</v>
      </c>
      <c r="K14" s="585" t="str">
        <f t="shared" si="3"/>
        <v>-</v>
      </c>
      <c r="L14" s="586"/>
      <c r="M14" s="587"/>
      <c r="N14" s="587"/>
      <c r="O14" s="587"/>
      <c r="P14" s="611"/>
      <c r="Q14" s="582">
        <f t="shared" si="4"/>
        <v>0</v>
      </c>
      <c r="R14" s="582">
        <f t="shared" si="5"/>
        <v>0</v>
      </c>
      <c r="S14" s="584" t="str">
        <f t="shared" si="6"/>
        <v>-</v>
      </c>
      <c r="T14" s="585" t="str">
        <f t="shared" si="7"/>
        <v>-</v>
      </c>
      <c r="U14" s="579"/>
      <c r="V14" s="580"/>
      <c r="W14" s="580"/>
      <c r="X14" s="580"/>
      <c r="Y14" s="610"/>
      <c r="Z14" s="582">
        <f t="shared" si="8"/>
        <v>0</v>
      </c>
      <c r="AA14" s="582">
        <f t="shared" si="9"/>
        <v>0</v>
      </c>
      <c r="AB14" s="584" t="str">
        <f t="shared" si="10"/>
        <v>-</v>
      </c>
      <c r="AC14" s="585" t="str">
        <f t="shared" si="11"/>
        <v>-</v>
      </c>
      <c r="AD14" s="555">
        <f t="shared" si="12"/>
        <v>0</v>
      </c>
    </row>
    <row r="15" spans="1:48" x14ac:dyDescent="0.2">
      <c r="A15" s="564" t="s">
        <v>121</v>
      </c>
      <c r="B15" s="590" t="s">
        <v>233</v>
      </c>
      <c r="C15" s="591">
        <v>1</v>
      </c>
      <c r="D15" s="592">
        <v>1500</v>
      </c>
      <c r="E15" s="592">
        <v>766</v>
      </c>
      <c r="F15" s="592">
        <v>2123</v>
      </c>
      <c r="G15" s="593">
        <v>2749</v>
      </c>
      <c r="H15" s="600">
        <f t="shared" si="0"/>
        <v>5850</v>
      </c>
      <c r="I15" s="594">
        <f t="shared" si="1"/>
        <v>2961</v>
      </c>
      <c r="J15" s="595">
        <f t="shared" si="2"/>
        <v>50.615384615384613</v>
      </c>
      <c r="K15" s="596">
        <f t="shared" si="3"/>
        <v>49.384615384615387</v>
      </c>
      <c r="L15" s="597"/>
      <c r="M15" s="598"/>
      <c r="N15" s="598"/>
      <c r="O15" s="598"/>
      <c r="P15" s="599"/>
      <c r="Q15" s="600">
        <f t="shared" si="4"/>
        <v>0</v>
      </c>
      <c r="R15" s="600">
        <f t="shared" si="5"/>
        <v>0</v>
      </c>
      <c r="S15" s="595" t="str">
        <f t="shared" si="6"/>
        <v>-</v>
      </c>
      <c r="T15" s="596" t="str">
        <f t="shared" si="7"/>
        <v>-</v>
      </c>
      <c r="U15" s="591">
        <v>3</v>
      </c>
      <c r="V15" s="592">
        <v>9120</v>
      </c>
      <c r="W15" s="592"/>
      <c r="X15" s="592">
        <v>128</v>
      </c>
      <c r="Y15" s="593">
        <v>127</v>
      </c>
      <c r="Z15" s="600">
        <f t="shared" si="8"/>
        <v>42134.400000000001</v>
      </c>
      <c r="AA15" s="600">
        <f t="shared" si="9"/>
        <v>42006.400000000001</v>
      </c>
      <c r="AB15" s="595">
        <f t="shared" si="10"/>
        <v>99.696210222526005</v>
      </c>
      <c r="AC15" s="596">
        <f t="shared" si="11"/>
        <v>0.3037897774739946</v>
      </c>
      <c r="AD15" s="555">
        <f t="shared" si="12"/>
        <v>10624</v>
      </c>
    </row>
    <row r="16" spans="1:48" ht="25.5" thickBot="1" x14ac:dyDescent="0.25">
      <c r="A16" s="577"/>
      <c r="B16" s="601" t="s">
        <v>234</v>
      </c>
      <c r="C16" s="602"/>
      <c r="D16" s="603"/>
      <c r="E16" s="603"/>
      <c r="F16" s="603"/>
      <c r="G16" s="604"/>
      <c r="H16" s="582">
        <f t="shared" si="0"/>
        <v>0</v>
      </c>
      <c r="I16" s="583">
        <f t="shared" si="1"/>
        <v>0</v>
      </c>
      <c r="J16" s="584" t="str">
        <f t="shared" si="2"/>
        <v>-</v>
      </c>
      <c r="K16" s="585" t="str">
        <f t="shared" si="3"/>
        <v>-</v>
      </c>
      <c r="L16" s="605"/>
      <c r="M16" s="606"/>
      <c r="N16" s="606"/>
      <c r="O16" s="606"/>
      <c r="P16" s="607"/>
      <c r="Q16" s="582">
        <f t="shared" si="4"/>
        <v>0</v>
      </c>
      <c r="R16" s="582">
        <f t="shared" si="5"/>
        <v>0</v>
      </c>
      <c r="S16" s="584" t="str">
        <f t="shared" si="6"/>
        <v>-</v>
      </c>
      <c r="T16" s="585" t="str">
        <f t="shared" si="7"/>
        <v>-</v>
      </c>
      <c r="U16" s="602"/>
      <c r="V16" s="603"/>
      <c r="W16" s="603"/>
      <c r="X16" s="603"/>
      <c r="Y16" s="604"/>
      <c r="Z16" s="582">
        <f t="shared" si="8"/>
        <v>0</v>
      </c>
      <c r="AA16" s="582">
        <f t="shared" si="9"/>
        <v>0</v>
      </c>
      <c r="AB16" s="584" t="str">
        <f t="shared" si="10"/>
        <v>-</v>
      </c>
      <c r="AC16" s="585" t="str">
        <f t="shared" si="11"/>
        <v>-</v>
      </c>
      <c r="AD16" s="555">
        <f t="shared" si="12"/>
        <v>0</v>
      </c>
    </row>
    <row r="17" spans="1:30" x14ac:dyDescent="0.2">
      <c r="A17" s="564" t="s">
        <v>153</v>
      </c>
      <c r="B17" s="590" t="s">
        <v>233</v>
      </c>
      <c r="C17" s="591">
        <v>2</v>
      </c>
      <c r="D17" s="592">
        <v>1200</v>
      </c>
      <c r="E17" s="592">
        <v>884</v>
      </c>
      <c r="F17" s="592">
        <v>3176</v>
      </c>
      <c r="G17" s="593">
        <v>2819</v>
      </c>
      <c r="H17" s="600">
        <f t="shared" si="0"/>
        <v>4680</v>
      </c>
      <c r="I17" s="594">
        <f t="shared" si="1"/>
        <v>620</v>
      </c>
      <c r="J17" s="595">
        <f t="shared" si="2"/>
        <v>13.247863247863247</v>
      </c>
      <c r="K17" s="596">
        <f t="shared" si="3"/>
        <v>86.752136752136749</v>
      </c>
      <c r="L17" s="597">
        <v>1</v>
      </c>
      <c r="M17" s="598">
        <v>100</v>
      </c>
      <c r="N17" s="598"/>
      <c r="O17" s="598"/>
      <c r="P17" s="599"/>
      <c r="Q17" s="600">
        <f t="shared" si="4"/>
        <v>489.59999999999997</v>
      </c>
      <c r="R17" s="600">
        <f t="shared" si="5"/>
        <v>489.59999999999997</v>
      </c>
      <c r="S17" s="595">
        <f t="shared" si="6"/>
        <v>100</v>
      </c>
      <c r="T17" s="596">
        <f t="shared" si="7"/>
        <v>0</v>
      </c>
      <c r="U17" s="591">
        <v>1</v>
      </c>
      <c r="V17" s="592">
        <v>4000</v>
      </c>
      <c r="W17" s="592">
        <v>5255</v>
      </c>
      <c r="X17" s="592">
        <v>49465</v>
      </c>
      <c r="Y17" s="593">
        <v>49186</v>
      </c>
      <c r="Z17" s="600">
        <f t="shared" si="8"/>
        <v>18480.000000000004</v>
      </c>
      <c r="AA17" s="600">
        <f t="shared" si="9"/>
        <v>-36240</v>
      </c>
      <c r="AB17" s="595">
        <f t="shared" si="10"/>
        <v>-196.10389610389606</v>
      </c>
      <c r="AC17" s="596">
        <f t="shared" si="11"/>
        <v>296.10389610389609</v>
      </c>
      <c r="AD17" s="555">
        <f t="shared" si="12"/>
        <v>5304</v>
      </c>
    </row>
    <row r="18" spans="1:30" ht="25.5" thickBot="1" x14ac:dyDescent="0.25">
      <c r="A18" s="577"/>
      <c r="B18" s="601" t="s">
        <v>234</v>
      </c>
      <c r="C18" s="602"/>
      <c r="D18" s="603"/>
      <c r="E18" s="603"/>
      <c r="F18" s="603"/>
      <c r="G18" s="604"/>
      <c r="H18" s="582">
        <f t="shared" si="0"/>
        <v>0</v>
      </c>
      <c r="I18" s="583">
        <f t="shared" si="1"/>
        <v>0</v>
      </c>
      <c r="J18" s="584" t="str">
        <f t="shared" si="2"/>
        <v>-</v>
      </c>
      <c r="K18" s="585" t="str">
        <f t="shared" si="3"/>
        <v>-</v>
      </c>
      <c r="L18" s="605"/>
      <c r="M18" s="606"/>
      <c r="N18" s="606"/>
      <c r="O18" s="606"/>
      <c r="P18" s="607"/>
      <c r="Q18" s="582">
        <f t="shared" si="4"/>
        <v>0</v>
      </c>
      <c r="R18" s="582">
        <f t="shared" si="5"/>
        <v>0</v>
      </c>
      <c r="S18" s="584" t="str">
        <f t="shared" si="6"/>
        <v>-</v>
      </c>
      <c r="T18" s="585" t="str">
        <f t="shared" si="7"/>
        <v>-</v>
      </c>
      <c r="U18" s="602"/>
      <c r="V18" s="603"/>
      <c r="W18" s="603"/>
      <c r="X18" s="603"/>
      <c r="Y18" s="604"/>
      <c r="Z18" s="582">
        <f t="shared" si="8"/>
        <v>0</v>
      </c>
      <c r="AA18" s="582">
        <f t="shared" si="9"/>
        <v>0</v>
      </c>
      <c r="AB18" s="584" t="str">
        <f t="shared" si="10"/>
        <v>-</v>
      </c>
      <c r="AC18" s="585" t="str">
        <f t="shared" si="11"/>
        <v>-</v>
      </c>
      <c r="AD18" s="555">
        <f t="shared" si="12"/>
        <v>0</v>
      </c>
    </row>
    <row r="19" spans="1:30" x14ac:dyDescent="0.2">
      <c r="A19" s="564" t="s">
        <v>162</v>
      </c>
      <c r="B19" s="590" t="s">
        <v>233</v>
      </c>
      <c r="C19" s="591">
        <v>1</v>
      </c>
      <c r="D19" s="592">
        <v>1300</v>
      </c>
      <c r="E19" s="592">
        <v>193</v>
      </c>
      <c r="F19" s="592">
        <v>235</v>
      </c>
      <c r="G19" s="593">
        <v>96</v>
      </c>
      <c r="H19" s="600">
        <f t="shared" si="0"/>
        <v>5070</v>
      </c>
      <c r="I19" s="594">
        <f t="shared" si="1"/>
        <v>4642</v>
      </c>
      <c r="J19" s="595">
        <f t="shared" si="2"/>
        <v>91.558185404339255</v>
      </c>
      <c r="K19" s="596">
        <f t="shared" si="3"/>
        <v>8.4418145956607447</v>
      </c>
      <c r="L19" s="597"/>
      <c r="M19" s="598"/>
      <c r="N19" s="598"/>
      <c r="O19" s="598"/>
      <c r="P19" s="599"/>
      <c r="Q19" s="600">
        <f t="shared" si="4"/>
        <v>0</v>
      </c>
      <c r="R19" s="600">
        <f t="shared" si="5"/>
        <v>0</v>
      </c>
      <c r="S19" s="595" t="str">
        <f t="shared" si="6"/>
        <v>-</v>
      </c>
      <c r="T19" s="596" t="str">
        <f t="shared" si="7"/>
        <v>-</v>
      </c>
      <c r="U19" s="591">
        <v>1</v>
      </c>
      <c r="V19" s="592">
        <v>600</v>
      </c>
      <c r="W19" s="592">
        <v>12</v>
      </c>
      <c r="X19" s="592">
        <v>38</v>
      </c>
      <c r="Y19" s="593">
        <v>38</v>
      </c>
      <c r="Z19" s="600">
        <f t="shared" si="8"/>
        <v>2772.0000000000005</v>
      </c>
      <c r="AA19" s="600">
        <f t="shared" si="9"/>
        <v>2722.0000000000005</v>
      </c>
      <c r="AB19" s="595">
        <f t="shared" si="10"/>
        <v>98.196248196248206</v>
      </c>
      <c r="AC19" s="596">
        <f t="shared" si="11"/>
        <v>1.8037518037517941</v>
      </c>
      <c r="AD19" s="555">
        <f t="shared" si="12"/>
        <v>1902</v>
      </c>
    </row>
    <row r="20" spans="1:30" ht="25.5" thickBot="1" x14ac:dyDescent="0.25">
      <c r="A20" s="577"/>
      <c r="B20" s="601" t="s">
        <v>234</v>
      </c>
      <c r="C20" s="602"/>
      <c r="D20" s="603"/>
      <c r="E20" s="603"/>
      <c r="F20" s="603"/>
      <c r="G20" s="604"/>
      <c r="H20" s="582">
        <f t="shared" si="0"/>
        <v>0</v>
      </c>
      <c r="I20" s="583">
        <f t="shared" si="1"/>
        <v>0</v>
      </c>
      <c r="J20" s="584" t="str">
        <f t="shared" si="2"/>
        <v>-</v>
      </c>
      <c r="K20" s="585" t="str">
        <f t="shared" si="3"/>
        <v>-</v>
      </c>
      <c r="L20" s="605"/>
      <c r="M20" s="606"/>
      <c r="N20" s="606"/>
      <c r="O20" s="606"/>
      <c r="P20" s="607"/>
      <c r="Q20" s="582">
        <f t="shared" si="4"/>
        <v>0</v>
      </c>
      <c r="R20" s="582">
        <f t="shared" si="5"/>
        <v>0</v>
      </c>
      <c r="S20" s="584" t="str">
        <f t="shared" si="6"/>
        <v>-</v>
      </c>
      <c r="T20" s="585" t="str">
        <f t="shared" si="7"/>
        <v>-</v>
      </c>
      <c r="U20" s="602"/>
      <c r="V20" s="603"/>
      <c r="W20" s="603"/>
      <c r="X20" s="603"/>
      <c r="Y20" s="604"/>
      <c r="Z20" s="582">
        <f t="shared" si="8"/>
        <v>0</v>
      </c>
      <c r="AA20" s="582">
        <f t="shared" si="9"/>
        <v>0</v>
      </c>
      <c r="AB20" s="584" t="str">
        <f t="shared" si="10"/>
        <v>-</v>
      </c>
      <c r="AC20" s="585" t="str">
        <f t="shared" si="11"/>
        <v>-</v>
      </c>
      <c r="AD20" s="555">
        <f t="shared" si="12"/>
        <v>0</v>
      </c>
    </row>
    <row r="21" spans="1:30" x14ac:dyDescent="0.2">
      <c r="A21" s="564" t="s">
        <v>161</v>
      </c>
      <c r="B21" s="590" t="s">
        <v>233</v>
      </c>
      <c r="C21" s="591">
        <v>2</v>
      </c>
      <c r="D21" s="592">
        <v>4000</v>
      </c>
      <c r="E21" s="592">
        <v>899</v>
      </c>
      <c r="F21" s="592">
        <v>6721</v>
      </c>
      <c r="G21" s="593">
        <v>6588</v>
      </c>
      <c r="H21" s="600">
        <f t="shared" si="0"/>
        <v>15600</v>
      </c>
      <c r="I21" s="594">
        <f t="shared" si="1"/>
        <v>7980</v>
      </c>
      <c r="J21" s="595">
        <f t="shared" si="2"/>
        <v>51.153846153846153</v>
      </c>
      <c r="K21" s="596">
        <f t="shared" si="3"/>
        <v>48.846153846153847</v>
      </c>
      <c r="L21" s="597">
        <v>2</v>
      </c>
      <c r="M21" s="598">
        <v>4000</v>
      </c>
      <c r="N21" s="598">
        <v>359</v>
      </c>
      <c r="O21" s="598">
        <v>25</v>
      </c>
      <c r="P21" s="599"/>
      <c r="Q21" s="600">
        <f t="shared" si="4"/>
        <v>19584</v>
      </c>
      <c r="R21" s="600">
        <f t="shared" si="5"/>
        <v>19559</v>
      </c>
      <c r="S21" s="595">
        <f t="shared" si="6"/>
        <v>99.872344771241828</v>
      </c>
      <c r="T21" s="596">
        <f t="shared" si="7"/>
        <v>0.12765522875817226</v>
      </c>
      <c r="U21" s="591">
        <v>4</v>
      </c>
      <c r="V21" s="592">
        <v>16950</v>
      </c>
      <c r="W21" s="592">
        <v>575</v>
      </c>
      <c r="X21" s="592">
        <v>333</v>
      </c>
      <c r="Y21" s="593">
        <v>214</v>
      </c>
      <c r="Z21" s="600">
        <f t="shared" si="8"/>
        <v>78309.000000000015</v>
      </c>
      <c r="AA21" s="600">
        <f t="shared" si="9"/>
        <v>77401.000000000015</v>
      </c>
      <c r="AB21" s="595">
        <f t="shared" si="10"/>
        <v>98.840490875889117</v>
      </c>
      <c r="AC21" s="596">
        <f t="shared" si="11"/>
        <v>1.1595091241108832</v>
      </c>
      <c r="AD21" s="555">
        <f t="shared" si="12"/>
        <v>24958</v>
      </c>
    </row>
    <row r="22" spans="1:30" ht="25.5" thickBot="1" x14ac:dyDescent="0.25">
      <c r="A22" s="577"/>
      <c r="B22" s="601" t="s">
        <v>234</v>
      </c>
      <c r="C22" s="602"/>
      <c r="D22" s="603"/>
      <c r="E22" s="603"/>
      <c r="F22" s="603"/>
      <c r="G22" s="604"/>
      <c r="H22" s="582">
        <f t="shared" si="0"/>
        <v>0</v>
      </c>
      <c r="I22" s="583">
        <f t="shared" si="1"/>
        <v>0</v>
      </c>
      <c r="J22" s="584" t="str">
        <f t="shared" si="2"/>
        <v>-</v>
      </c>
      <c r="K22" s="585" t="str">
        <f t="shared" si="3"/>
        <v>-</v>
      </c>
      <c r="L22" s="605"/>
      <c r="M22" s="606"/>
      <c r="N22" s="606"/>
      <c r="O22" s="606"/>
      <c r="P22" s="607"/>
      <c r="Q22" s="582">
        <f t="shared" si="4"/>
        <v>0</v>
      </c>
      <c r="R22" s="582">
        <f t="shared" si="5"/>
        <v>0</v>
      </c>
      <c r="S22" s="584" t="str">
        <f t="shared" si="6"/>
        <v>-</v>
      </c>
      <c r="T22" s="585" t="str">
        <f t="shared" si="7"/>
        <v>-</v>
      </c>
      <c r="U22" s="602"/>
      <c r="V22" s="603"/>
      <c r="W22" s="603"/>
      <c r="X22" s="603"/>
      <c r="Y22" s="604"/>
      <c r="Z22" s="582">
        <f t="shared" si="8"/>
        <v>0</v>
      </c>
      <c r="AA22" s="582">
        <f t="shared" si="9"/>
        <v>0</v>
      </c>
      <c r="AB22" s="584" t="str">
        <f t="shared" si="10"/>
        <v>-</v>
      </c>
      <c r="AC22" s="585" t="str">
        <f t="shared" si="11"/>
        <v>-</v>
      </c>
      <c r="AD22" s="555">
        <f t="shared" si="12"/>
        <v>0</v>
      </c>
    </row>
    <row r="23" spans="1:30" x14ac:dyDescent="0.2">
      <c r="A23" s="564" t="s">
        <v>218</v>
      </c>
      <c r="B23" s="590" t="s">
        <v>233</v>
      </c>
      <c r="C23" s="591">
        <v>3</v>
      </c>
      <c r="D23" s="592">
        <v>1220</v>
      </c>
      <c r="E23" s="592">
        <v>196</v>
      </c>
      <c r="F23" s="592">
        <v>1204</v>
      </c>
      <c r="G23" s="593">
        <v>953</v>
      </c>
      <c r="H23" s="600">
        <f t="shared" si="0"/>
        <v>4758</v>
      </c>
      <c r="I23" s="594">
        <f t="shared" si="1"/>
        <v>3358</v>
      </c>
      <c r="J23" s="595">
        <f t="shared" si="2"/>
        <v>70.575872215216478</v>
      </c>
      <c r="K23" s="596">
        <f t="shared" si="3"/>
        <v>29.424127784783522</v>
      </c>
      <c r="L23" s="612"/>
      <c r="M23" s="613"/>
      <c r="N23" s="613"/>
      <c r="O23" s="613"/>
      <c r="P23" s="614"/>
      <c r="Q23" s="600">
        <f t="shared" si="4"/>
        <v>0</v>
      </c>
      <c r="R23" s="600">
        <f t="shared" si="5"/>
        <v>0</v>
      </c>
      <c r="S23" s="595" t="str">
        <f t="shared" si="6"/>
        <v>-</v>
      </c>
      <c r="T23" s="596" t="str">
        <f t="shared" si="7"/>
        <v>-</v>
      </c>
      <c r="U23" s="591">
        <v>1</v>
      </c>
      <c r="V23" s="592">
        <v>2000</v>
      </c>
      <c r="W23" s="592"/>
      <c r="X23" s="592"/>
      <c r="Y23" s="593"/>
      <c r="Z23" s="600">
        <f t="shared" si="8"/>
        <v>9240.0000000000018</v>
      </c>
      <c r="AA23" s="600">
        <f t="shared" si="9"/>
        <v>9240.0000000000018</v>
      </c>
      <c r="AB23" s="595">
        <f t="shared" si="10"/>
        <v>100</v>
      </c>
      <c r="AC23" s="596">
        <f t="shared" si="11"/>
        <v>0</v>
      </c>
      <c r="AD23" s="555">
        <f t="shared" si="12"/>
        <v>3224</v>
      </c>
    </row>
    <row r="24" spans="1:30" ht="25.5" thickBot="1" x14ac:dyDescent="0.25">
      <c r="A24" s="577"/>
      <c r="B24" s="601" t="s">
        <v>234</v>
      </c>
      <c r="C24" s="602"/>
      <c r="D24" s="603"/>
      <c r="E24" s="603"/>
      <c r="F24" s="603"/>
      <c r="G24" s="604"/>
      <c r="H24" s="582">
        <f t="shared" si="0"/>
        <v>0</v>
      </c>
      <c r="I24" s="583">
        <f t="shared" si="1"/>
        <v>0</v>
      </c>
      <c r="J24" s="584" t="str">
        <f t="shared" si="2"/>
        <v>-</v>
      </c>
      <c r="K24" s="585" t="str">
        <f t="shared" si="3"/>
        <v>-</v>
      </c>
      <c r="L24" s="615"/>
      <c r="M24" s="616"/>
      <c r="N24" s="616"/>
      <c r="O24" s="616"/>
      <c r="P24" s="617"/>
      <c r="Q24" s="582">
        <f t="shared" si="4"/>
        <v>0</v>
      </c>
      <c r="R24" s="582">
        <f t="shared" si="5"/>
        <v>0</v>
      </c>
      <c r="S24" s="584" t="str">
        <f t="shared" si="6"/>
        <v>-</v>
      </c>
      <c r="T24" s="585" t="str">
        <f t="shared" si="7"/>
        <v>-</v>
      </c>
      <c r="U24" s="602"/>
      <c r="V24" s="603"/>
      <c r="W24" s="603"/>
      <c r="X24" s="603"/>
      <c r="Y24" s="604"/>
      <c r="Z24" s="582">
        <f t="shared" si="8"/>
        <v>0</v>
      </c>
      <c r="AA24" s="582">
        <f t="shared" si="9"/>
        <v>0</v>
      </c>
      <c r="AB24" s="584" t="str">
        <f t="shared" si="10"/>
        <v>-</v>
      </c>
      <c r="AC24" s="585" t="str">
        <f t="shared" si="11"/>
        <v>-</v>
      </c>
      <c r="AD24" s="555">
        <f t="shared" si="12"/>
        <v>0</v>
      </c>
    </row>
    <row r="25" spans="1:30" s="627" customFormat="1" ht="26.25" x14ac:dyDescent="0.2">
      <c r="A25" s="618" t="s">
        <v>187</v>
      </c>
      <c r="B25" s="619" t="s">
        <v>233</v>
      </c>
      <c r="C25" s="620">
        <f>SUM(C5+C7+C9+C11+C13+C15+C17+C19+C21+C23)</f>
        <v>35</v>
      </c>
      <c r="D25" s="620">
        <f t="shared" ref="D25:G25" si="13">SUM(D5+D7+D9+D11+D13+D15+D17+D19+D21+D23)</f>
        <v>22820</v>
      </c>
      <c r="E25" s="620">
        <f t="shared" si="13"/>
        <v>8868</v>
      </c>
      <c r="F25" s="620">
        <f t="shared" si="13"/>
        <v>27438</v>
      </c>
      <c r="G25" s="620">
        <f t="shared" si="13"/>
        <v>27701</v>
      </c>
      <c r="H25" s="621">
        <f>(D25*0.65*0.5*2*6)</f>
        <v>88998</v>
      </c>
      <c r="I25" s="622">
        <f>H25-(F25+E25)</f>
        <v>52692</v>
      </c>
      <c r="J25" s="623">
        <f t="shared" si="2"/>
        <v>59.205824849996631</v>
      </c>
      <c r="K25" s="624">
        <f t="shared" si="3"/>
        <v>40.794175150003369</v>
      </c>
      <c r="L25" s="620">
        <f>SUM(L5+L7+L9+L11+L13+L15+L17+L19+L21+L23)</f>
        <v>6</v>
      </c>
      <c r="M25" s="620">
        <f t="shared" ref="M25:P25" si="14">SUM(M5+M7+M9+M11+M13+M15+M17+M19+M21+M23)</f>
        <v>6860</v>
      </c>
      <c r="N25" s="620">
        <f t="shared" si="14"/>
        <v>1533</v>
      </c>
      <c r="O25" s="620">
        <f t="shared" si="14"/>
        <v>8195</v>
      </c>
      <c r="P25" s="620">
        <f t="shared" si="14"/>
        <v>6090</v>
      </c>
      <c r="Q25" s="625">
        <f t="shared" si="4"/>
        <v>33586.559999999998</v>
      </c>
      <c r="R25" s="625">
        <f t="shared" si="5"/>
        <v>25391.559999999998</v>
      </c>
      <c r="S25" s="623">
        <f t="shared" si="6"/>
        <v>75.600359191295567</v>
      </c>
      <c r="T25" s="624">
        <f t="shared" si="7"/>
        <v>24.399640808704433</v>
      </c>
      <c r="U25" s="620">
        <f>SUM(U5+U7+U9+U11+U13+U15+U17+U19+U21+U23)</f>
        <v>16</v>
      </c>
      <c r="V25" s="620">
        <f t="shared" ref="V25:Y25" si="15">SUM(V5+V7+V9+V11+V13+V15+V17+V19+V21+V23)</f>
        <v>128870</v>
      </c>
      <c r="W25" s="620">
        <f t="shared" si="15"/>
        <v>15488</v>
      </c>
      <c r="X25" s="620">
        <f t="shared" si="15"/>
        <v>147705</v>
      </c>
      <c r="Y25" s="620">
        <f t="shared" si="15"/>
        <v>155529</v>
      </c>
      <c r="Z25" s="626">
        <f t="shared" si="8"/>
        <v>595379.4</v>
      </c>
      <c r="AA25" s="626">
        <f t="shared" si="9"/>
        <v>432186.4</v>
      </c>
      <c r="AB25" s="623">
        <f t="shared" si="10"/>
        <v>72.590082895041377</v>
      </c>
      <c r="AC25" s="624">
        <f t="shared" si="11"/>
        <v>27.409917104958623</v>
      </c>
    </row>
    <row r="26" spans="1:30" s="627" customFormat="1" ht="26.25" x14ac:dyDescent="0.2">
      <c r="A26" s="628"/>
      <c r="B26" s="629" t="s">
        <v>21</v>
      </c>
      <c r="C26" s="630"/>
      <c r="D26" s="631"/>
      <c r="E26" s="632"/>
      <c r="F26" s="633"/>
      <c r="G26" s="634"/>
      <c r="H26" s="635"/>
      <c r="I26" s="636"/>
      <c r="J26" s="637" t="str">
        <f t="shared" si="2"/>
        <v>-</v>
      </c>
      <c r="K26" s="638" t="str">
        <f t="shared" si="3"/>
        <v>-</v>
      </c>
      <c r="L26" s="639"/>
      <c r="M26" s="631"/>
      <c r="N26" s="631"/>
      <c r="O26" s="631"/>
      <c r="P26" s="632"/>
      <c r="Q26" s="635">
        <f t="shared" si="4"/>
        <v>0</v>
      </c>
      <c r="R26" s="635">
        <f t="shared" si="5"/>
        <v>0</v>
      </c>
      <c r="S26" s="637" t="str">
        <f t="shared" si="6"/>
        <v>-</v>
      </c>
      <c r="T26" s="638" t="str">
        <f t="shared" si="7"/>
        <v>-</v>
      </c>
      <c r="U26" s="630"/>
      <c r="V26" s="631"/>
      <c r="W26" s="631"/>
      <c r="X26" s="631"/>
      <c r="Y26" s="632"/>
      <c r="Z26" s="640">
        <f t="shared" si="8"/>
        <v>0</v>
      </c>
      <c r="AA26" s="640">
        <f t="shared" si="9"/>
        <v>0</v>
      </c>
      <c r="AB26" s="637" t="str">
        <f t="shared" si="10"/>
        <v>-</v>
      </c>
      <c r="AC26" s="638" t="str">
        <f t="shared" si="11"/>
        <v>-</v>
      </c>
    </row>
    <row r="27" spans="1:30" s="627" customFormat="1" ht="27" thickBot="1" x14ac:dyDescent="0.25">
      <c r="A27" s="641"/>
      <c r="B27" s="642" t="s">
        <v>235</v>
      </c>
      <c r="C27" s="643">
        <f>C6+C8+C10+C12+C14+C16+C18+C20+C22+C24</f>
        <v>0</v>
      </c>
      <c r="D27" s="643">
        <f t="shared" ref="D27:G27" si="16">D6+D8+D10+D12+D14+D16+D18+D20+D22+D24</f>
        <v>0</v>
      </c>
      <c r="E27" s="643">
        <f t="shared" si="16"/>
        <v>0</v>
      </c>
      <c r="F27" s="643">
        <f t="shared" si="16"/>
        <v>0</v>
      </c>
      <c r="G27" s="643">
        <f t="shared" si="16"/>
        <v>0</v>
      </c>
      <c r="H27" s="644">
        <f>(D27*0.65*0.5*2*6)</f>
        <v>0</v>
      </c>
      <c r="I27" s="645">
        <f>H27-(F27+E27)</f>
        <v>0</v>
      </c>
      <c r="J27" s="646" t="str">
        <f t="shared" si="2"/>
        <v>-</v>
      </c>
      <c r="K27" s="647" t="str">
        <f t="shared" si="3"/>
        <v>-</v>
      </c>
      <c r="L27" s="643">
        <f>L6+L8+L10+L12+L14+L16+L18+L20+L22+L24</f>
        <v>0</v>
      </c>
      <c r="M27" s="643">
        <f t="shared" ref="M27:P27" si="17">M6+M8+M10+M12+M14+M16+M18+M20+M22+M24</f>
        <v>0</v>
      </c>
      <c r="N27" s="643">
        <f t="shared" si="17"/>
        <v>0</v>
      </c>
      <c r="O27" s="643">
        <f t="shared" si="17"/>
        <v>0</v>
      </c>
      <c r="P27" s="643">
        <f t="shared" si="17"/>
        <v>0</v>
      </c>
      <c r="Q27" s="648">
        <f t="shared" si="4"/>
        <v>0</v>
      </c>
      <c r="R27" s="648">
        <f t="shared" si="5"/>
        <v>0</v>
      </c>
      <c r="S27" s="646" t="str">
        <f t="shared" si="6"/>
        <v>-</v>
      </c>
      <c r="T27" s="647" t="str">
        <f t="shared" si="7"/>
        <v>-</v>
      </c>
      <c r="U27" s="643">
        <f>U6+U8+U10+U12+U14+U16+U18+U20+U22+U24</f>
        <v>1</v>
      </c>
      <c r="V27" s="643">
        <f t="shared" ref="V27:Y27" si="18">V6+V8+V10+V12+V14+V16+V18+V20+V22+V24</f>
        <v>250000</v>
      </c>
      <c r="W27" s="643">
        <f t="shared" si="18"/>
        <v>0</v>
      </c>
      <c r="X27" s="643">
        <f t="shared" si="18"/>
        <v>0</v>
      </c>
      <c r="Y27" s="643">
        <f t="shared" si="18"/>
        <v>0</v>
      </c>
      <c r="Z27" s="644">
        <f t="shared" si="8"/>
        <v>1155000.0000000002</v>
      </c>
      <c r="AA27" s="644">
        <f t="shared" si="9"/>
        <v>1155000.0000000002</v>
      </c>
      <c r="AB27" s="646">
        <f t="shared" si="10"/>
        <v>100</v>
      </c>
      <c r="AC27" s="647">
        <f t="shared" si="11"/>
        <v>0</v>
      </c>
    </row>
    <row r="28" spans="1:30" ht="24.75" customHeight="1" x14ac:dyDescent="0.2">
      <c r="A28" s="649" t="s">
        <v>236</v>
      </c>
      <c r="B28" s="649"/>
      <c r="C28" s="649"/>
      <c r="D28" s="649"/>
      <c r="E28" s="649"/>
      <c r="F28" s="649"/>
      <c r="G28" s="649"/>
      <c r="H28" s="649"/>
      <c r="I28" s="649"/>
      <c r="J28" s="649"/>
      <c r="K28" s="649"/>
      <c r="L28" s="649"/>
      <c r="M28" s="649"/>
      <c r="N28" s="649"/>
      <c r="O28" s="649"/>
      <c r="P28" s="649"/>
      <c r="Q28" s="649"/>
      <c r="R28" s="649"/>
      <c r="S28" s="649"/>
      <c r="T28" s="649"/>
      <c r="U28" s="649"/>
      <c r="V28" s="649"/>
      <c r="W28" s="649"/>
      <c r="X28" s="649"/>
      <c r="Y28" s="649"/>
      <c r="Z28" s="649"/>
      <c r="AA28" s="649"/>
      <c r="AB28" s="649"/>
      <c r="AC28" s="649"/>
    </row>
    <row r="29" spans="1:30" ht="24.75" customHeight="1" x14ac:dyDescent="0.2">
      <c r="A29" s="649"/>
      <c r="B29" s="649"/>
      <c r="C29" s="649"/>
      <c r="D29" s="649"/>
      <c r="E29" s="649"/>
      <c r="F29" s="649"/>
      <c r="G29" s="649"/>
      <c r="H29" s="649"/>
      <c r="I29" s="649"/>
      <c r="J29" s="649"/>
      <c r="K29" s="649"/>
      <c r="L29" s="649"/>
      <c r="M29" s="649"/>
      <c r="N29" s="649"/>
      <c r="O29" s="649"/>
      <c r="P29" s="649"/>
      <c r="Q29" s="649"/>
      <c r="R29" s="649"/>
      <c r="S29" s="649"/>
      <c r="T29" s="649"/>
      <c r="U29" s="649"/>
      <c r="V29" s="649"/>
      <c r="W29" s="649"/>
      <c r="X29" s="649"/>
      <c r="Y29" s="649"/>
      <c r="Z29" s="649"/>
      <c r="AA29" s="649"/>
      <c r="AB29" s="649"/>
      <c r="AC29" s="649"/>
    </row>
    <row r="30" spans="1:30" ht="24.75" customHeight="1" x14ac:dyDescent="0.2">
      <c r="A30" s="650"/>
      <c r="B30" s="650"/>
      <c r="C30" s="650"/>
      <c r="D30" s="650"/>
      <c r="E30" s="650"/>
      <c r="F30" s="650"/>
      <c r="G30" s="650"/>
      <c r="H30" s="650"/>
      <c r="I30" s="650"/>
      <c r="J30" s="650"/>
      <c r="K30" s="650"/>
      <c r="L30" s="650"/>
      <c r="M30" s="650"/>
      <c r="N30" s="650"/>
      <c r="O30" s="650"/>
      <c r="P30" s="650"/>
      <c r="Q30" s="650"/>
      <c r="R30" s="650"/>
      <c r="S30" s="650"/>
      <c r="T30" s="650"/>
      <c r="U30" s="650"/>
      <c r="V30" s="650"/>
      <c r="W30" s="650"/>
      <c r="X30" s="650"/>
      <c r="Y30" s="650"/>
      <c r="Z30" s="650"/>
      <c r="AA30" s="650"/>
      <c r="AB30" s="650"/>
      <c r="AC30" s="650"/>
    </row>
    <row r="31" spans="1:30" ht="24.75" customHeight="1" x14ac:dyDescent="0.2">
      <c r="A31" s="650"/>
      <c r="B31" s="650"/>
      <c r="C31" s="650"/>
      <c r="D31" s="650"/>
      <c r="E31" s="650"/>
      <c r="F31" s="650"/>
      <c r="G31" s="650"/>
      <c r="H31" s="650"/>
      <c r="I31" s="650"/>
      <c r="J31" s="650"/>
      <c r="K31" s="650"/>
      <c r="L31" s="650"/>
      <c r="M31" s="650"/>
      <c r="N31" s="650"/>
      <c r="O31" s="650"/>
      <c r="P31" s="650"/>
      <c r="Q31" s="650"/>
      <c r="R31" s="650"/>
      <c r="S31" s="650"/>
      <c r="T31" s="650"/>
      <c r="U31" s="650"/>
      <c r="V31" s="650"/>
      <c r="W31" s="650"/>
      <c r="X31" s="650"/>
      <c r="Y31" s="650"/>
      <c r="Z31" s="650"/>
      <c r="AA31" s="650"/>
      <c r="AB31" s="650"/>
      <c r="AC31" s="650"/>
    </row>
    <row r="32" spans="1:30" s="651" customFormat="1" ht="25.5" x14ac:dyDescent="0.2">
      <c r="A32" s="650"/>
      <c r="B32" s="650"/>
      <c r="C32" s="650"/>
      <c r="D32" s="650"/>
      <c r="E32" s="650"/>
      <c r="F32" s="650"/>
      <c r="G32" s="650"/>
      <c r="H32" s="650"/>
      <c r="I32" s="650"/>
      <c r="J32" s="650"/>
      <c r="K32" s="650"/>
      <c r="L32" s="650"/>
      <c r="M32" s="650"/>
      <c r="N32" s="650"/>
      <c r="O32" s="650"/>
      <c r="P32" s="650"/>
      <c r="Q32" s="650"/>
      <c r="R32" s="650"/>
      <c r="S32" s="650"/>
      <c r="T32" s="650"/>
      <c r="U32" s="650"/>
      <c r="V32" s="650"/>
      <c r="W32" s="650"/>
      <c r="X32" s="650"/>
      <c r="Y32" s="650"/>
      <c r="Z32" s="650"/>
      <c r="AA32" s="650"/>
      <c r="AB32" s="650"/>
      <c r="AC32" s="650"/>
    </row>
    <row r="33" spans="1:29" s="651" customFormat="1" ht="25.5" x14ac:dyDescent="0.2">
      <c r="A33" s="650"/>
      <c r="B33" s="650"/>
      <c r="C33" s="650"/>
      <c r="D33" s="650"/>
      <c r="E33" s="650"/>
      <c r="F33" s="650"/>
      <c r="G33" s="650"/>
      <c r="H33" s="650"/>
      <c r="I33" s="650"/>
      <c r="J33" s="650"/>
      <c r="K33" s="650"/>
      <c r="L33" s="650"/>
      <c r="M33" s="650"/>
      <c r="N33" s="650"/>
      <c r="O33" s="650"/>
      <c r="P33" s="650"/>
      <c r="Q33" s="650"/>
      <c r="R33" s="650"/>
      <c r="S33" s="650"/>
      <c r="T33" s="650"/>
      <c r="U33" s="650"/>
      <c r="V33" s="650"/>
      <c r="W33" s="650"/>
      <c r="X33" s="650"/>
      <c r="Y33" s="650"/>
      <c r="Z33" s="650"/>
      <c r="AA33" s="650"/>
      <c r="AB33" s="650"/>
      <c r="AC33" s="652"/>
    </row>
    <row r="34" spans="1:29" s="651" customFormat="1" ht="24.75" customHeight="1" x14ac:dyDescent="0.2">
      <c r="A34" s="653"/>
      <c r="B34" s="653"/>
      <c r="C34" s="653"/>
      <c r="D34" s="653"/>
      <c r="E34" s="653"/>
      <c r="F34" s="653"/>
      <c r="G34" s="653"/>
      <c r="H34" s="653"/>
      <c r="I34" s="653"/>
      <c r="J34" s="653"/>
      <c r="K34" s="653"/>
      <c r="L34" s="653"/>
      <c r="M34" s="653"/>
      <c r="N34" s="653"/>
      <c r="O34" s="653"/>
      <c r="P34" s="653"/>
      <c r="Q34" s="653"/>
      <c r="R34" s="653"/>
      <c r="S34" s="653"/>
      <c r="T34" s="653"/>
      <c r="U34" s="653"/>
      <c r="V34" s="653"/>
      <c r="W34" s="653"/>
      <c r="X34" s="653"/>
      <c r="Y34" s="654"/>
      <c r="Z34" s="654"/>
      <c r="AA34" s="654"/>
      <c r="AB34" s="654"/>
      <c r="AC34" s="655"/>
    </row>
    <row r="35" spans="1:29" s="651" customFormat="1" ht="49.5" customHeight="1" x14ac:dyDescent="0.2">
      <c r="A35" s="656"/>
      <c r="B35" s="656"/>
      <c r="C35" s="656"/>
      <c r="D35" s="656"/>
      <c r="E35" s="656"/>
      <c r="F35" s="656"/>
      <c r="G35" s="656"/>
      <c r="H35" s="656"/>
      <c r="I35" s="656"/>
      <c r="J35" s="656"/>
      <c r="K35" s="656"/>
      <c r="L35" s="656"/>
      <c r="M35" s="656"/>
      <c r="N35" s="656"/>
      <c r="O35" s="656"/>
      <c r="P35" s="656"/>
      <c r="Q35" s="656"/>
      <c r="R35" s="656"/>
      <c r="S35" s="656"/>
      <c r="T35" s="656"/>
      <c r="U35" s="656"/>
      <c r="V35" s="656"/>
      <c r="W35" s="656"/>
      <c r="X35" s="656"/>
      <c r="Y35" s="654"/>
      <c r="Z35" s="654"/>
      <c r="AA35" s="654"/>
      <c r="AB35" s="654"/>
    </row>
    <row r="36" spans="1:29" s="651" customFormat="1" x14ac:dyDescent="0.2">
      <c r="A36" s="657"/>
    </row>
    <row r="37" spans="1:29" s="651" customFormat="1" ht="49.5" customHeight="1" x14ac:dyDescent="0.2">
      <c r="A37" s="657"/>
    </row>
    <row r="38" spans="1:29" s="651" customFormat="1" x14ac:dyDescent="0.2">
      <c r="A38" s="658"/>
    </row>
    <row r="39" spans="1:29" x14ac:dyDescent="0.2">
      <c r="A39" s="658"/>
    </row>
    <row r="40" spans="1:29" x14ac:dyDescent="0.2">
      <c r="A40" s="658"/>
    </row>
    <row r="41" spans="1:29" x14ac:dyDescent="0.2">
      <c r="A41" s="658"/>
      <c r="P41" s="506"/>
      <c r="Q41" s="506"/>
      <c r="R41" s="506"/>
      <c r="S41" s="506"/>
      <c r="T41" s="506"/>
      <c r="U41" s="506"/>
      <c r="V41" s="506"/>
      <c r="W41" s="506"/>
      <c r="X41" s="506"/>
      <c r="Y41" s="506"/>
      <c r="Z41" s="506"/>
    </row>
    <row r="42" spans="1:29" ht="26.25" x14ac:dyDescent="0.2">
      <c r="A42" s="386"/>
      <c r="B42" s="386"/>
      <c r="C42" s="386"/>
      <c r="D42" s="386"/>
      <c r="E42" s="386"/>
      <c r="F42" s="386"/>
      <c r="G42" s="386"/>
      <c r="H42" s="386"/>
      <c r="I42" s="386"/>
      <c r="J42" s="659"/>
      <c r="P42" s="506"/>
      <c r="Q42" s="386"/>
      <c r="R42" s="386"/>
      <c r="S42" s="386"/>
      <c r="T42" s="386"/>
      <c r="U42" s="386"/>
      <c r="V42" s="386"/>
      <c r="W42" s="386"/>
      <c r="X42" s="386"/>
      <c r="Y42" s="386"/>
      <c r="Z42" s="386"/>
    </row>
    <row r="43" spans="1:29" ht="24.75" customHeight="1" x14ac:dyDescent="0.2">
      <c r="A43" s="386"/>
      <c r="B43" s="386"/>
      <c r="C43" s="386"/>
      <c r="D43" s="386"/>
      <c r="E43" s="386"/>
      <c r="F43" s="386"/>
      <c r="G43" s="386"/>
      <c r="H43" s="386"/>
      <c r="I43" s="386"/>
      <c r="J43" s="660"/>
      <c r="P43" s="506"/>
    </row>
    <row r="44" spans="1:29" x14ac:dyDescent="0.2">
      <c r="A44" s="386"/>
      <c r="B44" s="386"/>
      <c r="C44" s="386"/>
      <c r="D44" s="386"/>
      <c r="E44" s="386"/>
      <c r="F44" s="386"/>
      <c r="G44" s="386"/>
      <c r="H44" s="386"/>
      <c r="I44" s="386"/>
      <c r="J44" s="660"/>
      <c r="P44" s="506"/>
    </row>
    <row r="45" spans="1:29" x14ac:dyDescent="0.2">
      <c r="A45" s="386"/>
      <c r="B45" s="386"/>
      <c r="C45" s="386"/>
      <c r="D45" s="386"/>
      <c r="E45" s="386"/>
      <c r="F45" s="386"/>
      <c r="G45" s="386"/>
      <c r="H45" s="386"/>
      <c r="I45" s="386"/>
      <c r="J45" s="660"/>
      <c r="P45" s="506"/>
    </row>
    <row r="46" spans="1:29" x14ac:dyDescent="0.2">
      <c r="A46" s="386"/>
      <c r="B46" s="386"/>
      <c r="C46" s="386"/>
      <c r="D46" s="386"/>
      <c r="E46" s="386"/>
      <c r="F46" s="386"/>
      <c r="G46" s="386"/>
      <c r="H46" s="386"/>
      <c r="I46" s="386"/>
      <c r="J46" s="660"/>
      <c r="P46" s="506"/>
    </row>
    <row r="47" spans="1:29" x14ac:dyDescent="0.2">
      <c r="A47" s="386"/>
      <c r="B47" s="386"/>
      <c r="C47" s="386"/>
      <c r="D47" s="386"/>
      <c r="E47" s="386"/>
      <c r="F47" s="386"/>
      <c r="G47" s="386"/>
      <c r="H47" s="386"/>
      <c r="I47" s="386"/>
      <c r="J47" s="660"/>
      <c r="P47" s="506"/>
    </row>
    <row r="48" spans="1:29" ht="24.75" customHeight="1" x14ac:dyDescent="0.2">
      <c r="A48" s="386"/>
      <c r="B48" s="386"/>
      <c r="C48" s="386"/>
      <c r="D48" s="386"/>
      <c r="E48" s="386"/>
      <c r="F48" s="386"/>
      <c r="G48" s="386"/>
      <c r="H48" s="386"/>
      <c r="I48" s="386"/>
      <c r="J48" s="660"/>
      <c r="P48" s="506"/>
    </row>
    <row r="49" spans="1:26" ht="26.25" x14ac:dyDescent="0.2">
      <c r="A49" s="386"/>
      <c r="B49" s="386"/>
      <c r="C49" s="386"/>
      <c r="D49" s="386"/>
      <c r="E49" s="386"/>
      <c r="F49" s="386"/>
      <c r="G49" s="386"/>
      <c r="H49" s="386"/>
      <c r="I49" s="386"/>
      <c r="J49" s="661"/>
      <c r="P49" s="506"/>
    </row>
    <row r="50" spans="1:26" ht="24.75" customHeight="1" x14ac:dyDescent="0.2">
      <c r="A50" s="662"/>
      <c r="B50" s="662"/>
      <c r="C50" s="662"/>
      <c r="D50" s="662"/>
      <c r="E50" s="662"/>
      <c r="F50" s="662"/>
      <c r="G50" s="662"/>
      <c r="H50" s="662"/>
      <c r="I50" s="662"/>
      <c r="J50" s="662"/>
      <c r="P50" s="506"/>
    </row>
    <row r="51" spans="1:26" ht="24.75" customHeight="1" x14ac:dyDescent="0.2">
      <c r="A51" s="662"/>
      <c r="B51" s="662"/>
      <c r="C51" s="662"/>
      <c r="D51" s="662"/>
      <c r="E51" s="662"/>
      <c r="F51" s="662"/>
      <c r="G51" s="662"/>
      <c r="H51" s="662"/>
      <c r="I51" s="662"/>
      <c r="J51" s="662"/>
      <c r="P51" s="506"/>
    </row>
    <row r="52" spans="1:26" ht="24.75" customHeight="1" x14ac:dyDescent="0.2">
      <c r="A52" s="662"/>
      <c r="B52" s="662"/>
      <c r="C52" s="662"/>
      <c r="D52" s="662"/>
      <c r="E52" s="662"/>
      <c r="F52" s="662"/>
      <c r="G52" s="662"/>
      <c r="H52" s="662"/>
      <c r="I52" s="662"/>
      <c r="J52" s="662"/>
      <c r="P52" s="506"/>
    </row>
    <row r="53" spans="1:26" ht="24.75" customHeight="1" x14ac:dyDescent="0.2">
      <c r="A53" s="662"/>
      <c r="B53" s="662"/>
      <c r="C53" s="662"/>
      <c r="D53" s="662"/>
      <c r="E53" s="662"/>
      <c r="F53" s="662"/>
      <c r="G53" s="662"/>
      <c r="H53" s="662"/>
      <c r="I53" s="662"/>
      <c r="J53" s="662"/>
      <c r="P53" s="506"/>
    </row>
    <row r="54" spans="1:26" x14ac:dyDescent="0.2">
      <c r="P54" s="506"/>
    </row>
    <row r="55" spans="1:26" x14ac:dyDescent="0.2">
      <c r="P55" s="506"/>
      <c r="Q55" s="386"/>
      <c r="R55" s="386"/>
      <c r="S55" s="386"/>
      <c r="T55" s="386"/>
      <c r="U55" s="386"/>
      <c r="V55" s="386"/>
      <c r="W55" s="386"/>
      <c r="X55" s="386"/>
      <c r="Y55" s="386"/>
      <c r="Z55" s="386"/>
    </row>
    <row r="56" spans="1:26" x14ac:dyDescent="0.2">
      <c r="P56" s="506"/>
      <c r="Q56" s="386"/>
      <c r="R56" s="386"/>
      <c r="S56" s="386"/>
      <c r="T56" s="386"/>
      <c r="U56" s="386"/>
      <c r="V56" s="386"/>
      <c r="W56" s="386"/>
      <c r="X56" s="386"/>
      <c r="Y56" s="386"/>
      <c r="Z56" s="386"/>
    </row>
    <row r="57" spans="1:26" x14ac:dyDescent="0.2">
      <c r="P57" s="506"/>
    </row>
    <row r="58" spans="1:26" x14ac:dyDescent="0.2">
      <c r="P58" s="506"/>
    </row>
    <row r="59" spans="1:26" x14ac:dyDescent="0.2">
      <c r="P59" s="506"/>
    </row>
    <row r="60" spans="1:26" x14ac:dyDescent="0.2">
      <c r="P60" s="506"/>
    </row>
    <row r="61" spans="1:26" x14ac:dyDescent="0.2">
      <c r="P61" s="506"/>
    </row>
    <row r="62" spans="1:26" x14ac:dyDescent="0.2">
      <c r="P62" s="506"/>
    </row>
    <row r="63" spans="1:26" x14ac:dyDescent="0.2">
      <c r="P63" s="506"/>
    </row>
    <row r="64" spans="1:26" x14ac:dyDescent="0.2">
      <c r="P64" s="506"/>
    </row>
  </sheetData>
  <mergeCells count="32">
    <mergeCell ref="A52:J52"/>
    <mergeCell ref="A53:J53"/>
    <mergeCell ref="A35:X35"/>
    <mergeCell ref="A36:A37"/>
    <mergeCell ref="A38:A39"/>
    <mergeCell ref="A40:A41"/>
    <mergeCell ref="A50:J50"/>
    <mergeCell ref="A51:J51"/>
    <mergeCell ref="A29:AC29"/>
    <mergeCell ref="A30:AC30"/>
    <mergeCell ref="A31:AC31"/>
    <mergeCell ref="A32:AC32"/>
    <mergeCell ref="A33:AB33"/>
    <mergeCell ref="A34:X34"/>
    <mergeCell ref="A17:A18"/>
    <mergeCell ref="A19:A20"/>
    <mergeCell ref="A21:A22"/>
    <mergeCell ref="A23:A24"/>
    <mergeCell ref="A25:A27"/>
    <mergeCell ref="A28:AC28"/>
    <mergeCell ref="A5:A6"/>
    <mergeCell ref="A7:A8"/>
    <mergeCell ref="A9:A10"/>
    <mergeCell ref="A11:A12"/>
    <mergeCell ref="A13:A14"/>
    <mergeCell ref="A15:A16"/>
    <mergeCell ref="A1:AC1"/>
    <mergeCell ref="A3:A4"/>
    <mergeCell ref="B3:B4"/>
    <mergeCell ref="C3:K3"/>
    <mergeCell ref="L3:T3"/>
    <mergeCell ref="U3:AC3"/>
  </mergeCells>
  <conditionalFormatting sqref="L5:P24">
    <cfRule type="cellIs" dxfId="194" priority="1" operator="lessThan">
      <formula>0</formula>
    </cfRule>
    <cfRule type="cellIs" dxfId="193" priority="2" operator="equal">
      <formula>0</formula>
    </cfRule>
  </conditionalFormatting>
  <printOptions horizontalCentered="1"/>
  <pageMargins left="0.19685039370078741" right="0.19685039370078741" top="0.59055118110236227" bottom="0.78740157480314965" header="0.19685039370078741" footer="0.19685039370078741"/>
  <pageSetup paperSize="9" scale="41" fitToHeight="0" orientation="landscape" r:id="rId1"/>
  <headerFooter>
    <oddFooter>&amp;L&amp;"B Nazanin,Regular"نام و امضاء مدیرعامل                  &amp;"-,Regular"  &amp;C&amp;"B Nazanin,Regular"&amp;P&amp;R&amp;"B Nazanin,Regular"          نام و امضاء معاون / مدیر مالی
          نام و امضاء مدیر / مسئول بودجه</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F8BCC-6722-4EFE-A6E9-97A2FFA62DC5}">
  <sheetPr codeName="Sheet96">
    <tabColor rgb="FF458B74"/>
    <pageSetUpPr fitToPage="1"/>
  </sheetPr>
  <dimension ref="A1:DF20"/>
  <sheetViews>
    <sheetView showGridLines="0" rightToLeft="1" tabSelected="1" topLeftCell="BC1" zoomScale="70" zoomScaleNormal="70" workbookViewId="0">
      <selection activeCell="X6" sqref="X6"/>
    </sheetView>
  </sheetViews>
  <sheetFormatPr defaultColWidth="8" defaultRowHeight="14.25" x14ac:dyDescent="0.2"/>
  <cols>
    <col min="1" max="1" width="33.125" style="675" bestFit="1" customWidth="1"/>
    <col min="2" max="6" width="18" style="675" customWidth="1"/>
    <col min="7" max="7" width="10.75" style="675" customWidth="1"/>
    <col min="8" max="8" width="33.125" style="675" bestFit="1" customWidth="1"/>
    <col min="9" max="13" width="18" style="675" customWidth="1"/>
    <col min="14" max="14" width="8" style="675" customWidth="1"/>
    <col min="15" max="15" width="33.125" style="675" bestFit="1" customWidth="1"/>
    <col min="16" max="20" width="18" style="675" customWidth="1"/>
    <col min="21" max="21" width="8" style="675" customWidth="1"/>
    <col min="22" max="22" width="33.125" style="675" bestFit="1" customWidth="1"/>
    <col min="23" max="27" width="18" style="675" customWidth="1"/>
    <col min="28" max="28" width="8" style="675" customWidth="1"/>
    <col min="29" max="29" width="33.125" style="675" bestFit="1" customWidth="1"/>
    <col min="30" max="34" width="18" style="675" customWidth="1"/>
    <col min="35" max="35" width="8" style="675" customWidth="1"/>
    <col min="36" max="36" width="33.125" style="675" bestFit="1" customWidth="1"/>
    <col min="37" max="41" width="18" style="675" customWidth="1"/>
    <col min="42" max="42" width="8" style="675" customWidth="1"/>
    <col min="43" max="43" width="33.125" style="675" bestFit="1" customWidth="1"/>
    <col min="44" max="48" width="18" style="675" customWidth="1"/>
    <col min="49" max="49" width="8" style="675" customWidth="1"/>
    <col min="50" max="50" width="33.125" style="675" bestFit="1" customWidth="1"/>
    <col min="51" max="55" width="18" style="675" customWidth="1"/>
    <col min="56" max="56" width="8" style="675" customWidth="1"/>
    <col min="57" max="57" width="33.125" style="675" bestFit="1" customWidth="1"/>
    <col min="58" max="62" width="18" style="675" customWidth="1"/>
    <col min="63" max="63" width="8" style="675" customWidth="1"/>
    <col min="64" max="64" width="33.125" style="675" bestFit="1" customWidth="1"/>
    <col min="65" max="69" width="18" style="675" customWidth="1"/>
    <col min="70" max="70" width="8" style="675" customWidth="1"/>
    <col min="71" max="71" width="33.125" style="675" bestFit="1" customWidth="1"/>
    <col min="72" max="76" width="18" style="675" customWidth="1"/>
    <col min="77" max="82" width="8" style="675" customWidth="1"/>
    <col min="83" max="16384" width="8" style="675"/>
  </cols>
  <sheetData>
    <row r="1" spans="1:110" s="665" customFormat="1" ht="24" customHeight="1" x14ac:dyDescent="0.6">
      <c r="A1" s="663" t="str">
        <f>[1]روکش!D4</f>
        <v>انبارهای عمومی و خدمات گمرکی ایران</v>
      </c>
      <c r="B1" s="663"/>
      <c r="C1" s="663"/>
      <c r="D1" s="663"/>
      <c r="E1" s="663"/>
      <c r="F1" s="663"/>
      <c r="G1" s="664"/>
      <c r="H1" s="663">
        <f>[1]روکش!K4</f>
        <v>0</v>
      </c>
      <c r="I1" s="663"/>
      <c r="J1" s="663"/>
      <c r="K1" s="663"/>
      <c r="L1" s="663"/>
      <c r="M1" s="663"/>
      <c r="N1" s="664"/>
      <c r="O1" s="663">
        <f>[1]روکش!R4</f>
        <v>0</v>
      </c>
      <c r="P1" s="663"/>
      <c r="Q1" s="663"/>
      <c r="R1" s="663"/>
      <c r="S1" s="663"/>
      <c r="T1" s="663"/>
      <c r="U1" s="664"/>
      <c r="V1" s="663">
        <f>[1]روکش!Y4</f>
        <v>0</v>
      </c>
      <c r="W1" s="663"/>
      <c r="X1" s="663"/>
      <c r="Y1" s="663"/>
      <c r="Z1" s="663"/>
      <c r="AA1" s="663"/>
      <c r="AB1" s="664"/>
      <c r="AC1" s="663">
        <f>[1]روکش!AF4</f>
        <v>0</v>
      </c>
      <c r="AD1" s="663"/>
      <c r="AE1" s="663"/>
      <c r="AF1" s="663"/>
      <c r="AG1" s="663"/>
      <c r="AH1" s="663"/>
      <c r="AI1" s="664"/>
      <c r="AJ1" s="663">
        <f>[1]روکش!AM4</f>
        <v>0</v>
      </c>
      <c r="AK1" s="663"/>
      <c r="AL1" s="663"/>
      <c r="AM1" s="663"/>
      <c r="AN1" s="663"/>
      <c r="AO1" s="663"/>
      <c r="AP1" s="664"/>
      <c r="AQ1" s="663">
        <f>[1]روکش!AT4</f>
        <v>0</v>
      </c>
      <c r="AR1" s="663"/>
      <c r="AS1" s="663"/>
      <c r="AT1" s="663"/>
      <c r="AU1" s="663"/>
      <c r="AV1" s="663"/>
      <c r="AW1" s="664"/>
      <c r="AX1" s="663">
        <f>[1]روکش!BA4</f>
        <v>0</v>
      </c>
      <c r="AY1" s="663"/>
      <c r="AZ1" s="663"/>
      <c r="BA1" s="663"/>
      <c r="BB1" s="663"/>
      <c r="BC1" s="663"/>
      <c r="BD1" s="664"/>
      <c r="BE1" s="663">
        <f>[1]روکش!BH4</f>
        <v>0</v>
      </c>
      <c r="BF1" s="663"/>
      <c r="BG1" s="663"/>
      <c r="BH1" s="663"/>
      <c r="BI1" s="663"/>
      <c r="BJ1" s="663"/>
      <c r="BK1" s="664"/>
      <c r="BL1" s="663">
        <f>[1]روکش!BO4</f>
        <v>0</v>
      </c>
      <c r="BM1" s="663"/>
      <c r="BN1" s="663"/>
      <c r="BO1" s="663"/>
      <c r="BP1" s="663"/>
      <c r="BQ1" s="663"/>
      <c r="BR1" s="664"/>
      <c r="BS1" s="663">
        <f>[1]روکش!BV4</f>
        <v>0</v>
      </c>
      <c r="BT1" s="663"/>
      <c r="BU1" s="663"/>
      <c r="BV1" s="663"/>
      <c r="BW1" s="663"/>
      <c r="BX1" s="663"/>
      <c r="BY1" s="664"/>
      <c r="BZ1" s="664"/>
      <c r="CA1" s="664"/>
      <c r="CB1" s="664"/>
      <c r="CC1" s="664"/>
      <c r="CD1" s="664"/>
      <c r="CE1" s="664"/>
      <c r="CF1" s="664"/>
      <c r="CG1" s="664"/>
      <c r="CH1" s="664"/>
      <c r="CI1" s="664"/>
      <c r="CJ1" s="664"/>
      <c r="CK1" s="664"/>
      <c r="CL1" s="664"/>
      <c r="CM1" s="664"/>
      <c r="CN1" s="664"/>
      <c r="CO1" s="664"/>
      <c r="CP1" s="664"/>
      <c r="CQ1" s="664"/>
      <c r="CR1" s="664"/>
      <c r="CS1" s="664"/>
      <c r="CT1" s="664"/>
      <c r="CU1" s="664"/>
      <c r="CV1" s="664"/>
      <c r="CW1" s="664"/>
      <c r="CX1" s="664"/>
      <c r="CY1" s="664"/>
      <c r="CZ1" s="664"/>
      <c r="DA1" s="664"/>
      <c r="DB1" s="664"/>
      <c r="DC1" s="664"/>
      <c r="DD1" s="664"/>
      <c r="DE1" s="664"/>
      <c r="DF1" s="664"/>
    </row>
    <row r="2" spans="1:110" s="670" customFormat="1" ht="28.5" customHeight="1" thickBot="1" x14ac:dyDescent="0.25">
      <c r="A2" s="666" t="s">
        <v>237</v>
      </c>
      <c r="B2" s="666"/>
      <c r="C2" s="666"/>
      <c r="D2" s="666"/>
      <c r="E2" s="666"/>
      <c r="F2" s="666"/>
      <c r="G2" s="667"/>
      <c r="H2" s="668" t="str">
        <f>" گزارش مقایسه درآمد، هزینه، سود ( زیان) مجتمع خراسان/ شعبه "&amp;N2</f>
        <v xml:space="preserve"> گزارش مقایسه درآمد، هزینه، سود ( زیان) مجتمع خراسان/ شعبه شهید کاوه</v>
      </c>
      <c r="I2" s="668"/>
      <c r="J2" s="668"/>
      <c r="K2" s="668"/>
      <c r="L2" s="668"/>
      <c r="M2" s="668"/>
      <c r="N2" s="669" t="str">
        <f>[1]واردات!$AA$42</f>
        <v>شهید کاوه</v>
      </c>
      <c r="O2" s="668" t="str">
        <f>" گزارش مقایسه درآمد، هزینه، سود ( زیان) مجتمع خراسان/ شعبه "&amp;U2</f>
        <v xml:space="preserve"> گزارش مقایسه درآمد، هزینه، سود ( زیان) مجتمع خراسان/ شعبه مطهری</v>
      </c>
      <c r="P2" s="668"/>
      <c r="Q2" s="668"/>
      <c r="R2" s="668"/>
      <c r="S2" s="668"/>
      <c r="T2" s="668"/>
      <c r="U2" s="669" t="str">
        <f>[1]واردات!$AA$43</f>
        <v>مطهری</v>
      </c>
      <c r="V2" s="668" t="str">
        <f>" گزارش مقایسه درآمد، هزینه، سود ( زیان) مجتمع خراسان/ شعبه "&amp;AB2</f>
        <v xml:space="preserve"> گزارش مقایسه درآمد، هزینه، سود ( زیان) مجتمع خراسان/ شعبه سرخس</v>
      </c>
      <c r="W2" s="668"/>
      <c r="X2" s="668"/>
      <c r="Y2" s="668"/>
      <c r="Z2" s="668"/>
      <c r="AA2" s="668"/>
      <c r="AB2" s="669" t="str">
        <f>[1]واردات!$AA$44</f>
        <v>سرخس</v>
      </c>
      <c r="AC2" s="668" t="str">
        <f>" گزارش مقایسه درآمد، هزینه، سود ( زیان) مجتمع خراسان/ شعبه "&amp;AI2</f>
        <v xml:space="preserve"> گزارش مقایسه درآمد، هزینه، سود ( زیان) مجتمع خراسان/ شعبه لطف آباد</v>
      </c>
      <c r="AD2" s="668"/>
      <c r="AE2" s="668"/>
      <c r="AF2" s="668"/>
      <c r="AG2" s="668"/>
      <c r="AH2" s="668"/>
      <c r="AI2" s="669" t="str">
        <f>[1]واردات!$AA$45</f>
        <v>لطف آباد</v>
      </c>
      <c r="AJ2" s="668" t="str">
        <f>" گزارش مقایسه درآمد، هزینه، سود ( زیان) مجتمع خراسان/ شعبه "&amp;AP2</f>
        <v xml:space="preserve"> گزارش مقایسه درآمد، هزینه، سود ( زیان) مجتمع خراسان/ شعبه نیشابور</v>
      </c>
      <c r="AK2" s="668"/>
      <c r="AL2" s="668"/>
      <c r="AM2" s="668"/>
      <c r="AN2" s="668"/>
      <c r="AO2" s="668"/>
      <c r="AP2" s="669" t="str">
        <f>[1]واردات!$AA$46</f>
        <v>نیشابور</v>
      </c>
      <c r="AQ2" s="668" t="str">
        <f>" گزارش مقایسه درآمد، هزینه، سود ( زیان) مجتمع خراسان/ شعبه "&amp;AW2</f>
        <v xml:space="preserve"> گزارش مقایسه درآمد، هزینه، سود ( زیان) مجتمع خراسان/ شعبه ماهیرود</v>
      </c>
      <c r="AR2" s="668"/>
      <c r="AS2" s="668"/>
      <c r="AT2" s="668"/>
      <c r="AU2" s="668"/>
      <c r="AV2" s="668"/>
      <c r="AW2" s="669" t="str">
        <f>[1]واردات!$AA$47</f>
        <v>ماهیرود</v>
      </c>
      <c r="AX2" s="668" t="str">
        <f>" گزارش مقایسه درآمد، هزینه، سود ( زیان) مجتمع خراسان/ شعبه "&amp;BD2</f>
        <v xml:space="preserve"> گزارش مقایسه درآمد، هزینه، سود ( زیان) مجتمع خراسان/ شعبه دوغارون</v>
      </c>
      <c r="AY2" s="668"/>
      <c r="AZ2" s="668"/>
      <c r="BA2" s="668"/>
      <c r="BB2" s="668"/>
      <c r="BC2" s="668"/>
      <c r="BD2" s="669" t="str">
        <f>[1]واردات!$AA$48</f>
        <v>دوغارون</v>
      </c>
      <c r="BE2" s="668" t="str">
        <f>" گزارش مقایسه درآمد، هزینه، سود ( زیان) مجتمع خراسان/ شعبه "&amp;BK2</f>
        <v xml:space="preserve"> گزارش مقایسه درآمد، هزینه، سود ( زیان) مجتمع خراسان/ شعبه بجنورد</v>
      </c>
      <c r="BF2" s="668"/>
      <c r="BG2" s="668"/>
      <c r="BH2" s="668"/>
      <c r="BI2" s="668"/>
      <c r="BJ2" s="668"/>
      <c r="BK2" s="669" t="str">
        <f>[1]واردات!$AA$49</f>
        <v>بجنورد</v>
      </c>
      <c r="BL2" s="668" t="str">
        <f>" گزارش مقایسه درآمد، هزینه، سود ( زیان) مجتمع خراسان/ شعبه "&amp;BR2</f>
        <v xml:space="preserve"> گزارش مقایسه درآمد، هزینه، سود ( زیان) مجتمع خراسان/ شعبه بیرجند</v>
      </c>
      <c r="BM2" s="668"/>
      <c r="BN2" s="668"/>
      <c r="BO2" s="668"/>
      <c r="BP2" s="668"/>
      <c r="BQ2" s="668"/>
      <c r="BR2" s="669" t="str">
        <f>[1]واردات!$AA$50</f>
        <v>بیرجند</v>
      </c>
      <c r="BS2" s="668" t="str">
        <f>" گزارش مقایسه درآمد، هزینه، سود ( زیان) مجتمع خراسان/ شعبه "&amp;BY2</f>
        <v xml:space="preserve"> گزارش مقایسه درآمد، هزینه، سود ( زیان) مجتمع خراسان/ شعبه باجگیران</v>
      </c>
      <c r="BT2" s="668"/>
      <c r="BU2" s="668"/>
      <c r="BV2" s="668"/>
      <c r="BW2" s="668"/>
      <c r="BX2" s="668"/>
      <c r="BY2" s="669" t="str">
        <f>[1]واردات!$AA$51</f>
        <v>باجگیران</v>
      </c>
      <c r="BZ2" s="667"/>
      <c r="CA2" s="667"/>
      <c r="CB2" s="667"/>
      <c r="CC2" s="667"/>
      <c r="CD2" s="667"/>
      <c r="CE2" s="667"/>
      <c r="CF2" s="667"/>
      <c r="CG2" s="667"/>
      <c r="CH2" s="667"/>
      <c r="CI2" s="667"/>
      <c r="CJ2" s="667"/>
      <c r="CK2" s="667"/>
      <c r="CL2" s="667"/>
      <c r="CM2" s="667"/>
      <c r="CN2" s="667"/>
      <c r="CO2" s="667"/>
      <c r="CP2" s="667"/>
      <c r="CQ2" s="667"/>
      <c r="CR2" s="667"/>
      <c r="CS2" s="667"/>
      <c r="CT2" s="667"/>
      <c r="CU2" s="667"/>
      <c r="CV2" s="667"/>
      <c r="CW2" s="667"/>
      <c r="CX2" s="667"/>
      <c r="CY2" s="667"/>
      <c r="CZ2" s="667"/>
      <c r="DA2" s="667"/>
      <c r="DB2" s="667"/>
      <c r="DC2" s="667"/>
      <c r="DD2" s="667"/>
      <c r="DE2" s="667"/>
      <c r="DF2" s="667"/>
    </row>
    <row r="3" spans="1:110" ht="72" x14ac:dyDescent="0.2">
      <c r="A3" s="671" t="s">
        <v>43</v>
      </c>
      <c r="B3" s="672" t="s">
        <v>238</v>
      </c>
      <c r="C3" s="673" t="s">
        <v>45</v>
      </c>
      <c r="D3" s="673" t="s">
        <v>46</v>
      </c>
      <c r="E3" s="673" t="s">
        <v>239</v>
      </c>
      <c r="F3" s="674" t="s">
        <v>240</v>
      </c>
      <c r="H3" s="671" t="s">
        <v>43</v>
      </c>
      <c r="I3" s="672" t="s">
        <v>238</v>
      </c>
      <c r="J3" s="673" t="s">
        <v>45</v>
      </c>
      <c r="K3" s="673" t="s">
        <v>46</v>
      </c>
      <c r="L3" s="673" t="s">
        <v>239</v>
      </c>
      <c r="M3" s="674" t="s">
        <v>240</v>
      </c>
      <c r="O3" s="671" t="s">
        <v>43</v>
      </c>
      <c r="P3" s="672" t="s">
        <v>238</v>
      </c>
      <c r="Q3" s="673" t="s">
        <v>45</v>
      </c>
      <c r="R3" s="673" t="s">
        <v>46</v>
      </c>
      <c r="S3" s="673" t="s">
        <v>239</v>
      </c>
      <c r="T3" s="674" t="s">
        <v>240</v>
      </c>
      <c r="V3" s="671" t="s">
        <v>43</v>
      </c>
      <c r="W3" s="672" t="s">
        <v>238</v>
      </c>
      <c r="X3" s="673" t="s">
        <v>45</v>
      </c>
      <c r="Y3" s="673" t="s">
        <v>46</v>
      </c>
      <c r="Z3" s="673" t="s">
        <v>239</v>
      </c>
      <c r="AA3" s="674" t="s">
        <v>240</v>
      </c>
      <c r="AC3" s="671" t="s">
        <v>43</v>
      </c>
      <c r="AD3" s="672" t="s">
        <v>238</v>
      </c>
      <c r="AE3" s="673" t="s">
        <v>45</v>
      </c>
      <c r="AF3" s="673" t="s">
        <v>46</v>
      </c>
      <c r="AG3" s="673" t="s">
        <v>239</v>
      </c>
      <c r="AH3" s="674" t="s">
        <v>240</v>
      </c>
      <c r="AJ3" s="671" t="s">
        <v>43</v>
      </c>
      <c r="AK3" s="672" t="s">
        <v>238</v>
      </c>
      <c r="AL3" s="673" t="s">
        <v>45</v>
      </c>
      <c r="AM3" s="673" t="s">
        <v>46</v>
      </c>
      <c r="AN3" s="673" t="s">
        <v>239</v>
      </c>
      <c r="AO3" s="674" t="s">
        <v>240</v>
      </c>
      <c r="AQ3" s="671" t="s">
        <v>43</v>
      </c>
      <c r="AR3" s="672" t="s">
        <v>238</v>
      </c>
      <c r="AS3" s="673" t="s">
        <v>45</v>
      </c>
      <c r="AT3" s="673" t="s">
        <v>46</v>
      </c>
      <c r="AU3" s="673" t="s">
        <v>239</v>
      </c>
      <c r="AV3" s="674" t="s">
        <v>240</v>
      </c>
      <c r="AX3" s="671" t="s">
        <v>43</v>
      </c>
      <c r="AY3" s="672" t="s">
        <v>238</v>
      </c>
      <c r="AZ3" s="673" t="s">
        <v>45</v>
      </c>
      <c r="BA3" s="673" t="s">
        <v>46</v>
      </c>
      <c r="BB3" s="673" t="s">
        <v>239</v>
      </c>
      <c r="BC3" s="674" t="s">
        <v>240</v>
      </c>
      <c r="BE3" s="671" t="s">
        <v>43</v>
      </c>
      <c r="BF3" s="672" t="s">
        <v>238</v>
      </c>
      <c r="BG3" s="673" t="s">
        <v>45</v>
      </c>
      <c r="BH3" s="673" t="s">
        <v>46</v>
      </c>
      <c r="BI3" s="673" t="s">
        <v>239</v>
      </c>
      <c r="BJ3" s="674" t="s">
        <v>240</v>
      </c>
      <c r="BL3" s="671" t="s">
        <v>43</v>
      </c>
      <c r="BM3" s="672" t="s">
        <v>238</v>
      </c>
      <c r="BN3" s="673" t="s">
        <v>45</v>
      </c>
      <c r="BO3" s="673" t="s">
        <v>46</v>
      </c>
      <c r="BP3" s="673" t="s">
        <v>239</v>
      </c>
      <c r="BQ3" s="674" t="s">
        <v>240</v>
      </c>
      <c r="BS3" s="671" t="s">
        <v>43</v>
      </c>
      <c r="BT3" s="672" t="s">
        <v>238</v>
      </c>
      <c r="BU3" s="673" t="s">
        <v>45</v>
      </c>
      <c r="BV3" s="673" t="s">
        <v>46</v>
      </c>
      <c r="BW3" s="673" t="s">
        <v>239</v>
      </c>
      <c r="BX3" s="674" t="s">
        <v>240</v>
      </c>
    </row>
    <row r="4" spans="1:110" ht="38.25" customHeight="1" x14ac:dyDescent="0.2">
      <c r="A4" s="676" t="s">
        <v>241</v>
      </c>
      <c r="B4" s="677">
        <f>SUM(I4,P4,W4,AD4,AK4,AR4,AY4,BF4,BM4,BT4)</f>
        <v>1091418</v>
      </c>
      <c r="C4" s="678">
        <f t="shared" ref="C4:D5" si="0">SUM(J4,Q4,X4,AE4,AL4,AS4,AZ4,BG4,BN4,BU4)</f>
        <v>1753136</v>
      </c>
      <c r="D4" s="679">
        <f t="shared" si="0"/>
        <v>2698410</v>
      </c>
      <c r="E4" s="680">
        <f>IFERROR(D4*100/C4,"")</f>
        <v>153.9190342335107</v>
      </c>
      <c r="F4" s="681">
        <f>IFERROR((D4-B4)*100/ABS(B4),"")</f>
        <v>147.23891304706353</v>
      </c>
      <c r="H4" s="676" t="s">
        <v>241</v>
      </c>
      <c r="I4" s="677">
        <f>SUMIFS('[1]جدول فروش خدمات'!$U$25:$FT$25,'[1]جدول فروش خدمات'!$U$1:$FT$1,N2,'[1]جدول فروش خدمات'!$U$26:$FT$26,1)</f>
        <v>107877</v>
      </c>
      <c r="J4" s="678">
        <f>SUMIFS('[1]جدول فروش خدمات'!$U$25:$FT$25,'[1]جدول فروش خدمات'!$U$1:$FT$1,N2,'[1]جدول فروش خدمات'!$U$26:$FT$26,2)</f>
        <v>388812</v>
      </c>
      <c r="K4" s="679">
        <f>SUMIFS('[1]جدول فروش خدمات'!$U$25:$FT$25,'[1]جدول فروش خدمات'!$U$1:$FT$1,N2,'[1]جدول فروش خدمات'!$U$26:$FT$26,3)</f>
        <v>52103</v>
      </c>
      <c r="L4" s="680">
        <f>IFERROR(K4*100/J4,"")</f>
        <v>13.400563768607965</v>
      </c>
      <c r="M4" s="682">
        <f>IFERROR((K4-I4)*100/ABS(I4),"")</f>
        <v>-51.701474827813158</v>
      </c>
      <c r="O4" s="676" t="s">
        <v>241</v>
      </c>
      <c r="P4" s="677">
        <f>SUMIFS('[1]جدول فروش خدمات'!$U$25:$FT$25,'[1]جدول فروش خدمات'!$U$1:$FT$1,U2,'[1]جدول فروش خدمات'!$U$26:$FT$26,1)</f>
        <v>97432</v>
      </c>
      <c r="Q4" s="678">
        <f>SUMIFS('[1]جدول فروش خدمات'!$U$25:$FT$25,'[1]جدول فروش خدمات'!$U$1:$FT$1,U2,'[1]جدول فروش خدمات'!$U$26:$FT$26,2)</f>
        <v>190176</v>
      </c>
      <c r="R4" s="679">
        <f>SUMIFS('[1]جدول فروش خدمات'!$U$25:$FT$25,'[1]جدول فروش خدمات'!$U$1:$FT$1,U2,'[1]جدول فروش خدمات'!$U$26:$FT$26,3)</f>
        <v>1056293</v>
      </c>
      <c r="S4" s="680">
        <f>IFERROR(R4*100/Q4,"")</f>
        <v>555.42918138987045</v>
      </c>
      <c r="T4" s="682">
        <f>IFERROR((R4-P4)*100/ABS(P4),"")</f>
        <v>984.13354955250838</v>
      </c>
      <c r="V4" s="676" t="s">
        <v>241</v>
      </c>
      <c r="W4" s="677">
        <f>SUMIFS('[1]جدول فروش خدمات'!$U$25:$FT$25,'[1]جدول فروش خدمات'!$U$1:$FT$1,AB2,'[1]جدول فروش خدمات'!$U$26:$FT$26,1)</f>
        <v>84888</v>
      </c>
      <c r="X4" s="678">
        <f>SUMIFS('[1]جدول فروش خدمات'!$U$25:$FT$25,'[1]جدول فروش خدمات'!$U$1:$FT$1,AB2,'[1]جدول فروش خدمات'!$U$26:$FT$26,2)</f>
        <v>139616</v>
      </c>
      <c r="Y4" s="679">
        <f>SUMIFS('[1]جدول فروش خدمات'!$U$25:$FT$25,'[1]جدول فروش خدمات'!$U$1:$FT$1,AB2,'[1]جدول فروش خدمات'!$U$26:$FT$26,3)</f>
        <v>122672</v>
      </c>
      <c r="Z4" s="680">
        <f>IFERROR(Y4*100/X4,"")</f>
        <v>87.863855145542061</v>
      </c>
      <c r="AA4" s="682">
        <f>IFERROR((Y4-W4)*100/ABS(W4),"")</f>
        <v>44.510413721609652</v>
      </c>
      <c r="AC4" s="676" t="s">
        <v>241</v>
      </c>
      <c r="AD4" s="677">
        <f>SUMIFS('[1]جدول فروش خدمات'!$U$25:$FT$25,'[1]جدول فروش خدمات'!$U$1:$FT$1,AI2,'[1]جدول فروش خدمات'!$U$26:$FT$26,1)</f>
        <v>463426</v>
      </c>
      <c r="AE4" s="678">
        <f>SUMIFS('[1]جدول فروش خدمات'!$U$25:$FT$25,'[1]جدول فروش خدمات'!$U$1:$FT$1,AI2,'[1]جدول فروش خدمات'!$U$26:$FT$26,2)</f>
        <v>615028</v>
      </c>
      <c r="AF4" s="679">
        <f>SUMIFS('[1]جدول فروش خدمات'!$U$25:$FT$25,'[1]جدول فروش خدمات'!$U$1:$FT$1,AI2,'[1]جدول فروش خدمات'!$U$26:$FT$26,3)</f>
        <v>839456</v>
      </c>
      <c r="AG4" s="680">
        <f>IFERROR(AF4*100/AE4,"")</f>
        <v>136.49069635853976</v>
      </c>
      <c r="AH4" s="682">
        <f>IFERROR((AF4-AD4)*100/ABS(AD4),"")</f>
        <v>81.141325691696196</v>
      </c>
      <c r="AJ4" s="676" t="s">
        <v>241</v>
      </c>
      <c r="AK4" s="677">
        <f>SUMIFS('[1]جدول فروش خدمات'!$U$25:$FT$25,'[1]جدول فروش خدمات'!$U$1:$FT$1,AP2,'[1]جدول فروش خدمات'!$U$26:$FT$26,1)</f>
        <v>115959</v>
      </c>
      <c r="AL4" s="678">
        <f>SUMIFS('[1]جدول فروش خدمات'!$U$25:$FT$25,'[1]جدول فروش خدمات'!$U$1:$FT$1,AP2,'[1]جدول فروش خدمات'!$U$26:$FT$26,2)</f>
        <v>98232</v>
      </c>
      <c r="AM4" s="679">
        <f>SUMIFS('[1]جدول فروش خدمات'!$U$25:$FT$25,'[1]جدول فروش خدمات'!$U$1:$FT$1,AP2,'[1]جدول فروش خدمات'!$U$26:$FT$26,3)</f>
        <v>170890</v>
      </c>
      <c r="AN4" s="680">
        <f>IFERROR(AM4*100/AL4,"")</f>
        <v>173.96571382034367</v>
      </c>
      <c r="AO4" s="682">
        <f>IFERROR((AM4-AK4)*100/ABS(AK4),"")</f>
        <v>47.371053562034859</v>
      </c>
      <c r="AQ4" s="676" t="s">
        <v>241</v>
      </c>
      <c r="AR4" s="677">
        <f>SUMIFS('[1]جدول فروش خدمات'!$U$25:$FT$25,'[1]جدول فروش خدمات'!$U$1:$FT$1,AW2,'[1]جدول فروش خدمات'!$U$26:$FT$26,1)</f>
        <v>9367</v>
      </c>
      <c r="AS4" s="678">
        <f>SUMIFS('[1]جدول فروش خدمات'!$U$25:$FT$25,'[1]جدول فروش خدمات'!$U$1:$FT$1,AW2,'[1]جدول فروش خدمات'!$U$26:$FT$26,2)</f>
        <v>5444</v>
      </c>
      <c r="AT4" s="679">
        <f>SUMIFS('[1]جدول فروش خدمات'!$U$25:$FT$25,'[1]جدول فروش خدمات'!$U$1:$FT$1,AW2,'[1]جدول فروش خدمات'!$U$26:$FT$26,3)</f>
        <v>26005</v>
      </c>
      <c r="AU4" s="680">
        <f>IFERROR(AT4*100/AS4,"")</f>
        <v>477.68185157972079</v>
      </c>
      <c r="AV4" s="682">
        <f>IFERROR((AT4-AR4)*100/ABS(AR4),"")</f>
        <v>177.62357211487137</v>
      </c>
      <c r="AX4" s="676" t="s">
        <v>241</v>
      </c>
      <c r="AY4" s="677">
        <f>SUMIFS('[1]جدول فروش خدمات'!$U$25:$FT$25,'[1]جدول فروش خدمات'!$U$1:$FT$1,BD2,'[1]جدول فروش خدمات'!$U$26:$FT$26,1)</f>
        <v>204072</v>
      </c>
      <c r="AZ4" s="678">
        <f>SUMIFS('[1]جدول فروش خدمات'!$U$25:$FT$25,'[1]جدول فروش خدمات'!$U$1:$FT$1,BD2,'[1]جدول فروش خدمات'!$U$26:$FT$26,2)</f>
        <v>274150</v>
      </c>
      <c r="BA4" s="679">
        <f>SUMIFS('[1]جدول فروش خدمات'!$U$25:$FT$25,'[1]جدول فروش خدمات'!$U$1:$FT$1,BD2,'[1]جدول فروش خدمات'!$U$26:$FT$26,3)</f>
        <v>389082</v>
      </c>
      <c r="BB4" s="680">
        <f>IFERROR(BA4*100/AZ4,"")</f>
        <v>141.92303483494436</v>
      </c>
      <c r="BC4" s="682">
        <f>IFERROR((BA4-AY4)*100/ABS(AY4),"")</f>
        <v>90.65917911325414</v>
      </c>
      <c r="BE4" s="676" t="s">
        <v>241</v>
      </c>
      <c r="BF4" s="677">
        <f>SUMIFS('[1]جدول فروش خدمات'!$U$25:$FT$25,'[1]جدول فروش خدمات'!$U$1:$FT$1,BK2,'[1]جدول فروش خدمات'!$U$26:$FT$26,1)</f>
        <v>5472</v>
      </c>
      <c r="BG4" s="678">
        <f>SUMIFS('[1]جدول فروش خدمات'!$U$25:$FT$25,'[1]جدول فروش خدمات'!$U$1:$FT$1,BK2,'[1]جدول فروش خدمات'!$U$26:$FT$26,2)</f>
        <v>28968</v>
      </c>
      <c r="BH4" s="679">
        <f>SUMIFS('[1]جدول فروش خدمات'!$U$25:$FT$25,'[1]جدول فروش خدمات'!$U$1:$FT$1,BK2,'[1]جدول فروش خدمات'!$U$26:$FT$26,3)</f>
        <v>812</v>
      </c>
      <c r="BI4" s="680">
        <f>IFERROR(BH4*100/BG4,"")</f>
        <v>2.8030930682132009</v>
      </c>
      <c r="BJ4" s="682">
        <f>IFERROR((BH4-BF4)*100/ABS(BF4),"")</f>
        <v>-85.160818713450297</v>
      </c>
      <c r="BL4" s="676" t="s">
        <v>241</v>
      </c>
      <c r="BM4" s="677">
        <f>SUMIFS('[1]جدول فروش خدمات'!$U$25:$FT$25,'[1]جدول فروش خدمات'!$U$1:$FT$1,BR2,'[1]جدول فروش خدمات'!$U$26:$FT$26,1)</f>
        <v>2925</v>
      </c>
      <c r="BN4" s="678">
        <f>SUMIFS('[1]جدول فروش خدمات'!$U$25:$FT$25,'[1]جدول فروش خدمات'!$U$1:$FT$1,BR2,'[1]جدول فروش خدمات'!$U$26:$FT$26,2)</f>
        <v>12710</v>
      </c>
      <c r="BO4" s="679">
        <f>SUMIFS('[1]جدول فروش خدمات'!$U$25:$FT$25,'[1]جدول فروش خدمات'!$U$1:$FT$1,BR2,'[1]جدول فروش خدمات'!$U$26:$FT$26,3)</f>
        <v>37848</v>
      </c>
      <c r="BP4" s="680">
        <f>IFERROR(BO4*100/BN4,"")</f>
        <v>297.78127458693945</v>
      </c>
      <c r="BQ4" s="682">
        <f>IFERROR((BO4-BM4)*100/ABS(BM4),"")</f>
        <v>1193.948717948718</v>
      </c>
      <c r="BS4" s="676" t="s">
        <v>241</v>
      </c>
      <c r="BT4" s="677">
        <f>SUMIFS('[1]جدول فروش خدمات'!$U$25:$FT$25,'[1]جدول فروش خدمات'!$U$1:$FT$1,BY2,'[1]جدول فروش خدمات'!$U$26:$FT$26,1)</f>
        <v>0</v>
      </c>
      <c r="BU4" s="678">
        <f>SUMIFS('[1]جدول فروش خدمات'!$U$25:$FT$25,'[1]جدول فروش خدمات'!$U$1:$FT$1,BY2,'[1]جدول فروش خدمات'!$U$26:$FT$26,2)</f>
        <v>0</v>
      </c>
      <c r="BV4" s="679">
        <f>SUMIFS('[1]جدول فروش خدمات'!$U$25:$FT$25,'[1]جدول فروش خدمات'!$U$1:$FT$1,BY2,'[1]جدول فروش خدمات'!$U$26:$FT$26,3)</f>
        <v>3249</v>
      </c>
      <c r="BW4" s="680" t="str">
        <f>IFERROR(BV4*100/BU4,"")</f>
        <v/>
      </c>
      <c r="BX4" s="682" t="str">
        <f>IFERROR((BV4-BT4)*100/ABS(BT4),"")</f>
        <v/>
      </c>
    </row>
    <row r="5" spans="1:110" ht="38.25" customHeight="1" x14ac:dyDescent="0.2">
      <c r="A5" s="683" t="s">
        <v>242</v>
      </c>
      <c r="B5" s="684">
        <f>SUM(I5,P5,W5,AD5,AK5,AR5,AY5,BF5,BM5,BT5)</f>
        <v>-1271898</v>
      </c>
      <c r="C5" s="685">
        <f t="shared" si="0"/>
        <v>-2007348</v>
      </c>
      <c r="D5" s="686">
        <f t="shared" si="0"/>
        <v>-2950579</v>
      </c>
      <c r="E5" s="680">
        <f>IFERROR(D5*100/C5,"")</f>
        <v>146.98891273461302</v>
      </c>
      <c r="F5" s="682">
        <f t="shared" ref="F5:F12" si="1">IFERROR((D5-B5)*100/ABS(B5),"")</f>
        <v>-131.98236022070952</v>
      </c>
      <c r="H5" s="683" t="s">
        <v>242</v>
      </c>
      <c r="I5" s="687">
        <v>-122962</v>
      </c>
      <c r="J5" s="687">
        <v>-176122</v>
      </c>
      <c r="K5" s="688">
        <v>-262637</v>
      </c>
      <c r="L5" s="680">
        <f>IFERROR(K5*100/J5,"")</f>
        <v>149.12219938451756</v>
      </c>
      <c r="M5" s="682">
        <f t="shared" ref="M5:M12" si="2">IFERROR((K5-I5)*100/ABS(I5),"")</f>
        <v>-113.59200403376653</v>
      </c>
      <c r="O5" s="683" t="s">
        <v>242</v>
      </c>
      <c r="P5" s="687">
        <v>-266845</v>
      </c>
      <c r="Q5" s="687">
        <v>-445118</v>
      </c>
      <c r="R5" s="688">
        <v>-1255074</v>
      </c>
      <c r="S5" s="680">
        <f>IFERROR(R5*100/Q5,"")</f>
        <v>281.9643330532578</v>
      </c>
      <c r="T5" s="682">
        <f t="shared" ref="T5:T12" si="3">IFERROR((R5-P5)*100/ABS(P5),"")</f>
        <v>-370.33821132117896</v>
      </c>
      <c r="V5" s="683" t="s">
        <v>242</v>
      </c>
      <c r="W5" s="687">
        <v>-131538</v>
      </c>
      <c r="X5" s="687">
        <v>-215372</v>
      </c>
      <c r="Y5" s="688">
        <v>-228781</v>
      </c>
      <c r="Z5" s="680">
        <f>IFERROR(Y5*100/X5,"")</f>
        <v>106.22597180692011</v>
      </c>
      <c r="AA5" s="682">
        <f t="shared" ref="AA5:AA12" si="4">IFERROR((Y5-W5)*100/ABS(W5),"")</f>
        <v>-73.927686295975306</v>
      </c>
      <c r="AC5" s="683" t="s">
        <v>242</v>
      </c>
      <c r="AD5" s="687">
        <v>-234961</v>
      </c>
      <c r="AE5" s="687">
        <v>-382929</v>
      </c>
      <c r="AF5" s="688">
        <v>-368311</v>
      </c>
      <c r="AG5" s="680">
        <f>IFERROR(AF5*100/AE5,"")</f>
        <v>96.182582149693545</v>
      </c>
      <c r="AH5" s="682">
        <f t="shared" ref="AH5:AH12" si="5">IFERROR((AF5-AD5)*100/ABS(AD5),"")</f>
        <v>-56.754099616532102</v>
      </c>
      <c r="AJ5" s="683" t="s">
        <v>242</v>
      </c>
      <c r="AK5" s="687">
        <v>-110499</v>
      </c>
      <c r="AL5" s="687">
        <v>-130913</v>
      </c>
      <c r="AM5" s="688">
        <v>-150415</v>
      </c>
      <c r="AN5" s="680">
        <f>IFERROR(AM5*100/AL5,"")</f>
        <v>114.89691627263907</v>
      </c>
      <c r="AO5" s="682">
        <f t="shared" ref="AO5:AO12" si="6">IFERROR((AM5-AK5)*100/ABS(AK5),"")</f>
        <v>-36.123403831708885</v>
      </c>
      <c r="AQ5" s="683" t="s">
        <v>242</v>
      </c>
      <c r="AR5" s="687">
        <v>-51997</v>
      </c>
      <c r="AS5" s="687">
        <v>-69469</v>
      </c>
      <c r="AT5" s="688">
        <v>-75572</v>
      </c>
      <c r="AU5" s="680">
        <f>IFERROR(AT5*100/AS5,"")</f>
        <v>108.78521354848925</v>
      </c>
      <c r="AV5" s="682">
        <f t="shared" ref="AV5:AV12" si="7">IFERROR((AT5-AR5)*100/ABS(AR5),"")</f>
        <v>-45.339154181972035</v>
      </c>
      <c r="AX5" s="683" t="s">
        <v>242</v>
      </c>
      <c r="AY5" s="687">
        <v>-330519</v>
      </c>
      <c r="AZ5" s="687">
        <v>-553424</v>
      </c>
      <c r="BA5" s="688">
        <v>-541536</v>
      </c>
      <c r="BB5" s="680">
        <f>IFERROR(BA5*100/AZ5,"")</f>
        <v>97.851918239902858</v>
      </c>
      <c r="BC5" s="682">
        <f t="shared" ref="BC5:BC12" si="8">IFERROR((BA5-AY5)*100/ABS(AY5),"")</f>
        <v>-63.844136040590705</v>
      </c>
      <c r="BE5" s="683" t="s">
        <v>242</v>
      </c>
      <c r="BF5" s="677">
        <v>-14919</v>
      </c>
      <c r="BG5" s="678">
        <v>-22136</v>
      </c>
      <c r="BH5" s="679">
        <v>-28389</v>
      </c>
      <c r="BI5" s="680">
        <f>IFERROR(BH5*100/BG5,"")</f>
        <v>128.24810263823636</v>
      </c>
      <c r="BJ5" s="682">
        <f t="shared" ref="BJ5:BJ12" si="9">IFERROR((BH5-BF5)*100/ABS(BF5),"")</f>
        <v>-90.28755278503921</v>
      </c>
      <c r="BL5" s="683" t="s">
        <v>242</v>
      </c>
      <c r="BM5" s="677">
        <v>-7658</v>
      </c>
      <c r="BN5" s="678">
        <v>-11865</v>
      </c>
      <c r="BO5" s="679">
        <v>-39081</v>
      </c>
      <c r="BP5" s="680">
        <f>IFERROR(BO5*100/BN5,"")</f>
        <v>329.3805309734513</v>
      </c>
      <c r="BQ5" s="682">
        <f t="shared" ref="BQ5:BQ12" si="10">IFERROR((BO5-BM5)*100/ABS(BM5),"")</f>
        <v>-410.32906764168189</v>
      </c>
      <c r="BS5" s="683" t="s">
        <v>242</v>
      </c>
      <c r="BT5" s="677"/>
      <c r="BU5" s="678"/>
      <c r="BV5" s="679">
        <v>-783</v>
      </c>
      <c r="BW5" s="680" t="str">
        <f>IFERROR(BV5*100/BU5,"")</f>
        <v/>
      </c>
      <c r="BX5" s="682" t="str">
        <f t="shared" ref="BX5:BX12" si="11">IFERROR((BV5-BT5)*100/ABS(BT5),"")</f>
        <v/>
      </c>
    </row>
    <row r="6" spans="1:110" ht="38.25" customHeight="1" x14ac:dyDescent="0.2">
      <c r="A6" s="689" t="s">
        <v>243</v>
      </c>
      <c r="B6" s="690">
        <f>SUM(B4:B5)</f>
        <v>-180480</v>
      </c>
      <c r="C6" s="691">
        <f>SUM(C4:C5)</f>
        <v>-254212</v>
      </c>
      <c r="D6" s="691">
        <f>SUM(D4:D5)</f>
        <v>-252169</v>
      </c>
      <c r="E6" s="680">
        <f t="shared" ref="E6:E12" si="12">IFERROR(D6*100/C6,"")</f>
        <v>99.196340062624898</v>
      </c>
      <c r="F6" s="682">
        <f t="shared" si="1"/>
        <v>-39.721298758865245</v>
      </c>
      <c r="H6" s="689" t="s">
        <v>243</v>
      </c>
      <c r="I6" s="690">
        <f>SUM(I4:I5)</f>
        <v>-15085</v>
      </c>
      <c r="J6" s="691">
        <f>SUM(J4:J5)</f>
        <v>212690</v>
      </c>
      <c r="K6" s="691">
        <f>SUM(K4:K5)</f>
        <v>-210534</v>
      </c>
      <c r="L6" s="680">
        <f t="shared" ref="L6:L12" si="13">IFERROR(K6*100/J6,"")</f>
        <v>-98.986318115567258</v>
      </c>
      <c r="M6" s="682">
        <f t="shared" si="2"/>
        <v>-1295.6513092475971</v>
      </c>
      <c r="O6" s="689" t="s">
        <v>243</v>
      </c>
      <c r="P6" s="690">
        <f>SUM(P4:P5)</f>
        <v>-169413</v>
      </c>
      <c r="Q6" s="691">
        <f>SUM(Q4:Q5)</f>
        <v>-254942</v>
      </c>
      <c r="R6" s="691">
        <f>SUM(R4:R5)</f>
        <v>-198781</v>
      </c>
      <c r="S6" s="680">
        <f t="shared" ref="S6:S12" si="14">IFERROR(R6*100/Q6,"")</f>
        <v>77.971067929176044</v>
      </c>
      <c r="T6" s="682">
        <f t="shared" si="3"/>
        <v>-17.335151375632332</v>
      </c>
      <c r="V6" s="689" t="s">
        <v>243</v>
      </c>
      <c r="W6" s="690">
        <f>SUM(W4:W5)</f>
        <v>-46650</v>
      </c>
      <c r="X6" s="691">
        <f>SUM(X4:X5)</f>
        <v>-75756</v>
      </c>
      <c r="Y6" s="691">
        <f>SUM(Y4:Y5)</f>
        <v>-106109</v>
      </c>
      <c r="Z6" s="680">
        <f t="shared" ref="Z6:Z12" si="15">IFERROR(Y6*100/X6,"")</f>
        <v>140.06679338930249</v>
      </c>
      <c r="AA6" s="682">
        <f t="shared" si="4"/>
        <v>-127.45766345123258</v>
      </c>
      <c r="AC6" s="689" t="s">
        <v>243</v>
      </c>
      <c r="AD6" s="690">
        <f>SUM(AD4:AD5)</f>
        <v>228465</v>
      </c>
      <c r="AE6" s="691">
        <f>SUM(AE4:AE5)</f>
        <v>232099</v>
      </c>
      <c r="AF6" s="691">
        <f>SUM(AF4:AF5)</f>
        <v>471145</v>
      </c>
      <c r="AG6" s="680">
        <f t="shared" ref="AG6:AG12" si="16">IFERROR(AF6*100/AE6,"")</f>
        <v>202.99311931546453</v>
      </c>
      <c r="AH6" s="682">
        <f t="shared" si="5"/>
        <v>106.22195959993873</v>
      </c>
      <c r="AJ6" s="689" t="s">
        <v>243</v>
      </c>
      <c r="AK6" s="690">
        <f>SUM(AK4:AK5)</f>
        <v>5460</v>
      </c>
      <c r="AL6" s="691">
        <f>SUM(AL4:AL5)</f>
        <v>-32681</v>
      </c>
      <c r="AM6" s="691">
        <f>SUM(AM4:AM5)</f>
        <v>20475</v>
      </c>
      <c r="AN6" s="680">
        <f t="shared" ref="AN6:AN12" si="17">IFERROR(AM6*100/AL6,"")</f>
        <v>-62.651081668247606</v>
      </c>
      <c r="AO6" s="682">
        <f t="shared" si="6"/>
        <v>275</v>
      </c>
      <c r="AQ6" s="689" t="s">
        <v>243</v>
      </c>
      <c r="AR6" s="690">
        <f>SUM(AR4:AR5)</f>
        <v>-42630</v>
      </c>
      <c r="AS6" s="691">
        <f>SUM(AS4:AS5)</f>
        <v>-64025</v>
      </c>
      <c r="AT6" s="691">
        <f>SUM(AT4:AT5)</f>
        <v>-49567</v>
      </c>
      <c r="AU6" s="680">
        <f t="shared" ref="AU6:AU12" si="18">IFERROR(AT6*100/AS6,"")</f>
        <v>77.41819601718079</v>
      </c>
      <c r="AV6" s="682">
        <f t="shared" si="7"/>
        <v>-16.272577996715928</v>
      </c>
      <c r="AX6" s="689" t="s">
        <v>243</v>
      </c>
      <c r="AY6" s="690">
        <f>SUM(AY4:AY5)</f>
        <v>-126447</v>
      </c>
      <c r="AZ6" s="691">
        <f>SUM(AZ4:AZ5)</f>
        <v>-279274</v>
      </c>
      <c r="BA6" s="691">
        <f>SUM(BA4:BA5)</f>
        <v>-152454</v>
      </c>
      <c r="BB6" s="680">
        <f t="shared" ref="BB6:BB12" si="19">IFERROR(BA6*100/AZ6,"")</f>
        <v>54.589399657683849</v>
      </c>
      <c r="BC6" s="682">
        <f t="shared" si="8"/>
        <v>-20.567510498469716</v>
      </c>
      <c r="BE6" s="689" t="s">
        <v>243</v>
      </c>
      <c r="BF6" s="690">
        <f>SUM(BF4:BF5)</f>
        <v>-9447</v>
      </c>
      <c r="BG6" s="691">
        <f>SUM(BG4:BG5)</f>
        <v>6832</v>
      </c>
      <c r="BH6" s="691">
        <f>SUM(BH4:BH5)</f>
        <v>-27577</v>
      </c>
      <c r="BI6" s="680">
        <f t="shared" ref="BI6:BI12" si="20">IFERROR(BH6*100/BG6,"")</f>
        <v>-403.64461358313815</v>
      </c>
      <c r="BJ6" s="682">
        <f t="shared" si="9"/>
        <v>-191.91277654281782</v>
      </c>
      <c r="BL6" s="689" t="s">
        <v>243</v>
      </c>
      <c r="BM6" s="690">
        <f>SUM(BM4:BM5)</f>
        <v>-4733</v>
      </c>
      <c r="BN6" s="691">
        <f>SUM(BN4:BN5)</f>
        <v>845</v>
      </c>
      <c r="BO6" s="691">
        <f>SUM(BO4:BO5)</f>
        <v>-1233</v>
      </c>
      <c r="BP6" s="680">
        <f t="shared" ref="BP6:BP12" si="21">IFERROR(BO6*100/BN6,"")</f>
        <v>-145.91715976331361</v>
      </c>
      <c r="BQ6" s="682">
        <f t="shared" si="10"/>
        <v>73.948869638706952</v>
      </c>
      <c r="BS6" s="689" t="s">
        <v>243</v>
      </c>
      <c r="BT6" s="690">
        <f>SUM(BT4:BT5)</f>
        <v>0</v>
      </c>
      <c r="BU6" s="691">
        <f>SUM(BU4:BU5)</f>
        <v>0</v>
      </c>
      <c r="BV6" s="691">
        <f>SUM(BV4:BV5)</f>
        <v>2466</v>
      </c>
      <c r="BW6" s="680" t="str">
        <f t="shared" ref="BW6:BW12" si="22">IFERROR(BV6*100/BU6,"")</f>
        <v/>
      </c>
      <c r="BX6" s="682" t="str">
        <f t="shared" si="11"/>
        <v/>
      </c>
    </row>
    <row r="7" spans="1:110" ht="38.25" customHeight="1" x14ac:dyDescent="0.2">
      <c r="A7" s="683" t="s">
        <v>244</v>
      </c>
      <c r="B7" s="677">
        <f t="shared" ref="B7:D9" si="23">SUM(I7,P7,W7,AD7,AK7,AR7,AY7,BF7,BM7,BT7)</f>
        <v>-158356</v>
      </c>
      <c r="C7" s="678">
        <f t="shared" si="23"/>
        <v>-241263</v>
      </c>
      <c r="D7" s="679">
        <f t="shared" si="23"/>
        <v>-264469</v>
      </c>
      <c r="E7" s="680">
        <f t="shared" si="12"/>
        <v>109.61854905227905</v>
      </c>
      <c r="F7" s="682">
        <f t="shared" si="1"/>
        <v>-67.009143954128675</v>
      </c>
      <c r="H7" s="683" t="s">
        <v>244</v>
      </c>
      <c r="I7" s="687">
        <v>-102673</v>
      </c>
      <c r="J7" s="687">
        <v>-151121</v>
      </c>
      <c r="K7" s="688">
        <v>-160157</v>
      </c>
      <c r="L7" s="680">
        <f t="shared" si="13"/>
        <v>105.97931458897175</v>
      </c>
      <c r="M7" s="682">
        <f t="shared" si="2"/>
        <v>-55.987455319314719</v>
      </c>
      <c r="O7" s="683" t="s">
        <v>244</v>
      </c>
      <c r="P7" s="687">
        <v>-5805</v>
      </c>
      <c r="Q7" s="687">
        <v>-7023</v>
      </c>
      <c r="R7" s="688">
        <v>-1255</v>
      </c>
      <c r="S7" s="680">
        <f t="shared" si="14"/>
        <v>17.869856186814751</v>
      </c>
      <c r="T7" s="682">
        <f t="shared" si="3"/>
        <v>78.380706287683026</v>
      </c>
      <c r="V7" s="683" t="s">
        <v>244</v>
      </c>
      <c r="W7" s="687">
        <v>-12492</v>
      </c>
      <c r="X7" s="687">
        <v>-21204</v>
      </c>
      <c r="Y7" s="688">
        <v>-22790</v>
      </c>
      <c r="Z7" s="680">
        <f t="shared" si="15"/>
        <v>107.47972080739483</v>
      </c>
      <c r="AA7" s="682">
        <f t="shared" si="4"/>
        <v>-82.436759526096708</v>
      </c>
      <c r="AC7" s="683" t="s">
        <v>244</v>
      </c>
      <c r="AD7" s="687">
        <v>-10136</v>
      </c>
      <c r="AE7" s="687">
        <v>-19732</v>
      </c>
      <c r="AF7" s="688">
        <v>-44738</v>
      </c>
      <c r="AG7" s="680">
        <f t="shared" si="16"/>
        <v>226.72815730792621</v>
      </c>
      <c r="AH7" s="682">
        <f t="shared" si="5"/>
        <v>-341.3772691397001</v>
      </c>
      <c r="AJ7" s="683" t="s">
        <v>244</v>
      </c>
      <c r="AK7" s="687">
        <v>-6</v>
      </c>
      <c r="AL7" s="687">
        <v>-86</v>
      </c>
      <c r="AM7" s="688">
        <v>-16</v>
      </c>
      <c r="AN7" s="680">
        <f t="shared" si="17"/>
        <v>18.604651162790699</v>
      </c>
      <c r="AO7" s="682">
        <f t="shared" si="6"/>
        <v>-166.66666666666666</v>
      </c>
      <c r="AQ7" s="683" t="s">
        <v>244</v>
      </c>
      <c r="AR7" s="687">
        <v>-771</v>
      </c>
      <c r="AS7" s="687">
        <v>-636</v>
      </c>
      <c r="AT7" s="688">
        <v>-562</v>
      </c>
      <c r="AU7" s="680">
        <f t="shared" si="18"/>
        <v>88.364779874213838</v>
      </c>
      <c r="AV7" s="682">
        <f t="shared" si="7"/>
        <v>27.107652399481193</v>
      </c>
      <c r="AX7" s="683" t="s">
        <v>244</v>
      </c>
      <c r="AY7" s="677">
        <v>-23770</v>
      </c>
      <c r="AZ7" s="678">
        <v>-37600</v>
      </c>
      <c r="BA7" s="679">
        <v>-34913</v>
      </c>
      <c r="BB7" s="680">
        <f t="shared" si="19"/>
        <v>92.853723404255319</v>
      </c>
      <c r="BC7" s="682">
        <f t="shared" si="8"/>
        <v>-46.87841817416912</v>
      </c>
      <c r="BE7" s="683" t="s">
        <v>244</v>
      </c>
      <c r="BF7" s="677">
        <v>-2519</v>
      </c>
      <c r="BG7" s="678">
        <v>-2927</v>
      </c>
      <c r="BH7" s="679">
        <v>-29</v>
      </c>
      <c r="BI7" s="680">
        <f t="shared" si="20"/>
        <v>0.99077553809361119</v>
      </c>
      <c r="BJ7" s="682">
        <f t="shared" si="9"/>
        <v>98.848749503771344</v>
      </c>
      <c r="BL7" s="683" t="s">
        <v>244</v>
      </c>
      <c r="BM7" s="677">
        <v>-184</v>
      </c>
      <c r="BN7" s="678">
        <v>-934</v>
      </c>
      <c r="BO7" s="679">
        <v>-8</v>
      </c>
      <c r="BP7" s="680">
        <f t="shared" si="21"/>
        <v>0.85653104925053536</v>
      </c>
      <c r="BQ7" s="682">
        <f t="shared" si="10"/>
        <v>95.652173913043484</v>
      </c>
      <c r="BS7" s="683" t="s">
        <v>244</v>
      </c>
      <c r="BT7" s="677"/>
      <c r="BU7" s="678"/>
      <c r="BV7" s="679">
        <v>-1</v>
      </c>
      <c r="BW7" s="680" t="str">
        <f t="shared" si="22"/>
        <v/>
      </c>
      <c r="BX7" s="682" t="str">
        <f t="shared" si="11"/>
        <v/>
      </c>
    </row>
    <row r="8" spans="1:110" ht="38.25" customHeight="1" x14ac:dyDescent="0.2">
      <c r="A8" s="676" t="s">
        <v>245</v>
      </c>
      <c r="B8" s="677">
        <f t="shared" si="23"/>
        <v>692240</v>
      </c>
      <c r="C8" s="678">
        <f t="shared" si="23"/>
        <v>922004</v>
      </c>
      <c r="D8" s="679">
        <f t="shared" si="23"/>
        <v>1042459</v>
      </c>
      <c r="E8" s="680">
        <f t="shared" si="12"/>
        <v>113.0644769437009</v>
      </c>
      <c r="F8" s="682">
        <f t="shared" si="1"/>
        <v>50.592135675488272</v>
      </c>
      <c r="H8" s="676" t="s">
        <v>245</v>
      </c>
      <c r="I8" s="677">
        <f>1678+24065</f>
        <v>25743</v>
      </c>
      <c r="J8" s="678">
        <v>66586</v>
      </c>
      <c r="K8" s="679">
        <f>600+17987</f>
        <v>18587</v>
      </c>
      <c r="L8" s="680">
        <f t="shared" si="13"/>
        <v>27.914276274291893</v>
      </c>
      <c r="M8" s="682">
        <f t="shared" si="2"/>
        <v>-27.797847958668378</v>
      </c>
      <c r="O8" s="676" t="s">
        <v>245</v>
      </c>
      <c r="P8" s="677">
        <f>114672+3089</f>
        <v>117761</v>
      </c>
      <c r="Q8" s="678">
        <v>260167</v>
      </c>
      <c r="R8" s="679">
        <f>83574+9083</f>
        <v>92657</v>
      </c>
      <c r="S8" s="680">
        <f t="shared" si="14"/>
        <v>35.614432268504459</v>
      </c>
      <c r="T8" s="682">
        <f t="shared" si="3"/>
        <v>-21.317753755487811</v>
      </c>
      <c r="V8" s="676" t="s">
        <v>245</v>
      </c>
      <c r="W8" s="677">
        <f>75140+7542</f>
        <v>82682</v>
      </c>
      <c r="X8" s="678">
        <v>88672</v>
      </c>
      <c r="Y8" s="679">
        <f>110956+15291</f>
        <v>126247</v>
      </c>
      <c r="Z8" s="680">
        <f t="shared" si="15"/>
        <v>142.37527066041142</v>
      </c>
      <c r="AA8" s="682">
        <f t="shared" si="4"/>
        <v>52.689823661740164</v>
      </c>
      <c r="AC8" s="676" t="s">
        <v>245</v>
      </c>
      <c r="AD8" s="677">
        <f>179348+18355</f>
        <v>197703</v>
      </c>
      <c r="AE8" s="678">
        <v>196847</v>
      </c>
      <c r="AF8" s="679">
        <f>326274+34754</f>
        <v>361028</v>
      </c>
      <c r="AG8" s="680">
        <f t="shared" si="16"/>
        <v>183.40538590885308</v>
      </c>
      <c r="AH8" s="682">
        <f t="shared" si="5"/>
        <v>82.61129067338382</v>
      </c>
      <c r="AJ8" s="676" t="s">
        <v>245</v>
      </c>
      <c r="AK8" s="677">
        <f>2102+6557</f>
        <v>8659</v>
      </c>
      <c r="AL8" s="678">
        <v>11231</v>
      </c>
      <c r="AM8" s="679">
        <f>3007+24780</f>
        <v>27787</v>
      </c>
      <c r="AN8" s="680">
        <f t="shared" si="17"/>
        <v>247.41340931350726</v>
      </c>
      <c r="AO8" s="682">
        <f t="shared" si="6"/>
        <v>220.90310659429494</v>
      </c>
      <c r="AQ8" s="676" t="s">
        <v>245</v>
      </c>
      <c r="AR8" s="677">
        <f>25512+560</f>
        <v>26072</v>
      </c>
      <c r="AS8" s="678">
        <v>20855</v>
      </c>
      <c r="AT8" s="679">
        <f>61762+5406</f>
        <v>67168</v>
      </c>
      <c r="AU8" s="680">
        <f t="shared" si="18"/>
        <v>322.07144569647568</v>
      </c>
      <c r="AV8" s="682">
        <f t="shared" si="7"/>
        <v>157.62503835532371</v>
      </c>
      <c r="AX8" s="676" t="s">
        <v>245</v>
      </c>
      <c r="AY8" s="677">
        <f>216647+15713</f>
        <v>232360</v>
      </c>
      <c r="AZ8" s="678">
        <v>274985</v>
      </c>
      <c r="BA8" s="679">
        <f>295274+46204</f>
        <v>341478</v>
      </c>
      <c r="BB8" s="680">
        <f t="shared" si="19"/>
        <v>124.18059166863647</v>
      </c>
      <c r="BC8" s="682">
        <f t="shared" si="8"/>
        <v>46.960750559476672</v>
      </c>
      <c r="BE8" s="676" t="s">
        <v>245</v>
      </c>
      <c r="BF8" s="677">
        <f>18+939</f>
        <v>957</v>
      </c>
      <c r="BG8" s="678">
        <v>2246</v>
      </c>
      <c r="BH8" s="679">
        <f>8+121</f>
        <v>129</v>
      </c>
      <c r="BI8" s="680">
        <f t="shared" si="20"/>
        <v>5.7435440783615315</v>
      </c>
      <c r="BJ8" s="682">
        <f t="shared" si="9"/>
        <v>-86.520376175548591</v>
      </c>
      <c r="BL8" s="676" t="s">
        <v>245</v>
      </c>
      <c r="BM8" s="677">
        <f>303</f>
        <v>303</v>
      </c>
      <c r="BN8" s="678">
        <v>415</v>
      </c>
      <c r="BO8" s="679">
        <f>5827</f>
        <v>5827</v>
      </c>
      <c r="BP8" s="680">
        <f t="shared" si="21"/>
        <v>1404.0963855421687</v>
      </c>
      <c r="BQ8" s="682">
        <f t="shared" si="10"/>
        <v>1823.102310231023</v>
      </c>
      <c r="BS8" s="676" t="s">
        <v>245</v>
      </c>
      <c r="BT8" s="677"/>
      <c r="BU8" s="678"/>
      <c r="BV8" s="679">
        <f>1551</f>
        <v>1551</v>
      </c>
      <c r="BW8" s="680" t="str">
        <f t="shared" si="22"/>
        <v/>
      </c>
      <c r="BX8" s="682" t="str">
        <f t="shared" si="11"/>
        <v/>
      </c>
    </row>
    <row r="9" spans="1:110" ht="38.25" customHeight="1" x14ac:dyDescent="0.2">
      <c r="A9" s="676" t="s">
        <v>246</v>
      </c>
      <c r="B9" s="677">
        <f t="shared" si="23"/>
        <v>0</v>
      </c>
      <c r="C9" s="678">
        <f t="shared" si="23"/>
        <v>0</v>
      </c>
      <c r="D9" s="679">
        <f t="shared" si="23"/>
        <v>0</v>
      </c>
      <c r="E9" s="680" t="str">
        <f t="shared" si="12"/>
        <v/>
      </c>
      <c r="F9" s="682" t="str">
        <f t="shared" si="1"/>
        <v/>
      </c>
      <c r="H9" s="676" t="s">
        <v>246</v>
      </c>
      <c r="I9" s="677"/>
      <c r="J9" s="678"/>
      <c r="K9" s="679"/>
      <c r="L9" s="680" t="str">
        <f t="shared" si="13"/>
        <v/>
      </c>
      <c r="M9" s="682" t="str">
        <f t="shared" si="2"/>
        <v/>
      </c>
      <c r="O9" s="676" t="s">
        <v>246</v>
      </c>
      <c r="P9" s="677"/>
      <c r="Q9" s="678"/>
      <c r="R9" s="679"/>
      <c r="S9" s="680" t="str">
        <f t="shared" si="14"/>
        <v/>
      </c>
      <c r="T9" s="682" t="str">
        <f t="shared" si="3"/>
        <v/>
      </c>
      <c r="V9" s="676" t="s">
        <v>246</v>
      </c>
      <c r="W9" s="677"/>
      <c r="X9" s="678"/>
      <c r="Y9" s="679"/>
      <c r="Z9" s="680" t="str">
        <f t="shared" si="15"/>
        <v/>
      </c>
      <c r="AA9" s="682" t="str">
        <f t="shared" si="4"/>
        <v/>
      </c>
      <c r="AC9" s="676" t="s">
        <v>246</v>
      </c>
      <c r="AD9" s="677"/>
      <c r="AE9" s="678"/>
      <c r="AF9" s="679"/>
      <c r="AG9" s="680" t="str">
        <f t="shared" si="16"/>
        <v/>
      </c>
      <c r="AH9" s="682" t="str">
        <f t="shared" si="5"/>
        <v/>
      </c>
      <c r="AJ9" s="676" t="s">
        <v>246</v>
      </c>
      <c r="AK9" s="677"/>
      <c r="AL9" s="678"/>
      <c r="AM9" s="679"/>
      <c r="AN9" s="680" t="str">
        <f t="shared" si="17"/>
        <v/>
      </c>
      <c r="AO9" s="682" t="str">
        <f t="shared" si="6"/>
        <v/>
      </c>
      <c r="AQ9" s="676" t="s">
        <v>246</v>
      </c>
      <c r="AR9" s="677"/>
      <c r="AS9" s="678"/>
      <c r="AT9" s="679"/>
      <c r="AU9" s="680" t="str">
        <f t="shared" si="18"/>
        <v/>
      </c>
      <c r="AV9" s="682" t="str">
        <f t="shared" si="7"/>
        <v/>
      </c>
      <c r="AX9" s="676" t="s">
        <v>246</v>
      </c>
      <c r="AY9" s="677"/>
      <c r="AZ9" s="678"/>
      <c r="BA9" s="679"/>
      <c r="BB9" s="680" t="str">
        <f t="shared" si="19"/>
        <v/>
      </c>
      <c r="BC9" s="682" t="str">
        <f t="shared" si="8"/>
        <v/>
      </c>
      <c r="BE9" s="676" t="s">
        <v>246</v>
      </c>
      <c r="BF9" s="677"/>
      <c r="BG9" s="678"/>
      <c r="BH9" s="679"/>
      <c r="BI9" s="680" t="str">
        <f t="shared" si="20"/>
        <v/>
      </c>
      <c r="BJ9" s="682" t="str">
        <f t="shared" si="9"/>
        <v/>
      </c>
      <c r="BL9" s="676" t="s">
        <v>246</v>
      </c>
      <c r="BM9" s="677"/>
      <c r="BN9" s="678"/>
      <c r="BO9" s="679"/>
      <c r="BP9" s="680" t="str">
        <f t="shared" si="21"/>
        <v/>
      </c>
      <c r="BQ9" s="682" t="str">
        <f t="shared" si="10"/>
        <v/>
      </c>
      <c r="BS9" s="676" t="s">
        <v>246</v>
      </c>
      <c r="BT9" s="677"/>
      <c r="BU9" s="678"/>
      <c r="BV9" s="679"/>
      <c r="BW9" s="680" t="str">
        <f t="shared" si="22"/>
        <v/>
      </c>
      <c r="BX9" s="682" t="str">
        <f t="shared" si="11"/>
        <v/>
      </c>
    </row>
    <row r="10" spans="1:110" ht="38.25" customHeight="1" x14ac:dyDescent="0.2">
      <c r="A10" s="689" t="s">
        <v>247</v>
      </c>
      <c r="B10" s="692">
        <f>SUM(B6:B9)</f>
        <v>353404</v>
      </c>
      <c r="C10" s="679">
        <f>SUM(C6:C9)</f>
        <v>426529</v>
      </c>
      <c r="D10" s="679">
        <f>SUM(D6:D9)</f>
        <v>525821</v>
      </c>
      <c r="E10" s="680">
        <f t="shared" si="12"/>
        <v>123.27907363860371</v>
      </c>
      <c r="F10" s="682">
        <f t="shared" si="1"/>
        <v>48.787506649613476</v>
      </c>
      <c r="H10" s="689" t="s">
        <v>247</v>
      </c>
      <c r="I10" s="692">
        <f>SUM(I6:I9)</f>
        <v>-92015</v>
      </c>
      <c r="J10" s="679">
        <f>SUM(J6:J9)</f>
        <v>128155</v>
      </c>
      <c r="K10" s="679">
        <f>SUM(K6:K9)</f>
        <v>-352104</v>
      </c>
      <c r="L10" s="680">
        <f t="shared" si="13"/>
        <v>-274.74854668175254</v>
      </c>
      <c r="M10" s="682">
        <f t="shared" si="2"/>
        <v>-282.65934901918166</v>
      </c>
      <c r="O10" s="689" t="s">
        <v>247</v>
      </c>
      <c r="P10" s="692">
        <f>SUM(P6:P9)</f>
        <v>-57457</v>
      </c>
      <c r="Q10" s="679">
        <f>SUM(Q6:Q9)</f>
        <v>-1798</v>
      </c>
      <c r="R10" s="679">
        <f>SUM(R6:R9)</f>
        <v>-107379</v>
      </c>
      <c r="S10" s="680">
        <f t="shared" si="14"/>
        <v>5972.1357063403784</v>
      </c>
      <c r="T10" s="682">
        <f t="shared" si="3"/>
        <v>-86.88584506674556</v>
      </c>
      <c r="V10" s="689" t="s">
        <v>247</v>
      </c>
      <c r="W10" s="692">
        <f>SUM(W6:W9)</f>
        <v>23540</v>
      </c>
      <c r="X10" s="679">
        <f>SUM(X6:X9)</f>
        <v>-8288</v>
      </c>
      <c r="Y10" s="679">
        <f>SUM(Y6:Y9)</f>
        <v>-2652</v>
      </c>
      <c r="Z10" s="680">
        <f t="shared" si="15"/>
        <v>31.998069498069498</v>
      </c>
      <c r="AA10" s="682">
        <f t="shared" si="4"/>
        <v>-111.26593033135089</v>
      </c>
      <c r="AC10" s="689" t="s">
        <v>247</v>
      </c>
      <c r="AD10" s="692">
        <f>SUM(AD6:AD9)</f>
        <v>416032</v>
      </c>
      <c r="AE10" s="679">
        <f>SUM(AE6:AE9)</f>
        <v>409214</v>
      </c>
      <c r="AF10" s="679">
        <f>SUM(AF6:AF9)</f>
        <v>787435</v>
      </c>
      <c r="AG10" s="680">
        <f t="shared" si="16"/>
        <v>192.42621220192856</v>
      </c>
      <c r="AH10" s="682">
        <f t="shared" si="5"/>
        <v>89.272700176909467</v>
      </c>
      <c r="AJ10" s="689" t="s">
        <v>247</v>
      </c>
      <c r="AK10" s="692">
        <f>SUM(AK6:AK9)</f>
        <v>14113</v>
      </c>
      <c r="AL10" s="679">
        <f>SUM(AL6:AL9)</f>
        <v>-21536</v>
      </c>
      <c r="AM10" s="679">
        <f>SUM(AM6:AM9)</f>
        <v>48246</v>
      </c>
      <c r="AN10" s="680">
        <f t="shared" si="17"/>
        <v>-224.02488855869242</v>
      </c>
      <c r="AO10" s="682">
        <f t="shared" si="6"/>
        <v>241.85502727981293</v>
      </c>
      <c r="AQ10" s="689" t="s">
        <v>247</v>
      </c>
      <c r="AR10" s="692">
        <f>SUM(AR6:AR9)</f>
        <v>-17329</v>
      </c>
      <c r="AS10" s="679">
        <f>SUM(AS6:AS9)</f>
        <v>-43806</v>
      </c>
      <c r="AT10" s="679">
        <f>SUM(AT6:AT9)</f>
        <v>17039</v>
      </c>
      <c r="AU10" s="680">
        <f t="shared" si="18"/>
        <v>-38.896498196594074</v>
      </c>
      <c r="AV10" s="682">
        <f t="shared" si="7"/>
        <v>198.32650470309886</v>
      </c>
      <c r="AX10" s="689" t="s">
        <v>247</v>
      </c>
      <c r="AY10" s="692">
        <f>SUM(AY6:AY9)</f>
        <v>82143</v>
      </c>
      <c r="AZ10" s="679">
        <f>SUM(AZ6:AZ9)</f>
        <v>-41889</v>
      </c>
      <c r="BA10" s="679">
        <f>SUM(BA6:BA9)</f>
        <v>154111</v>
      </c>
      <c r="BB10" s="680">
        <f t="shared" si="19"/>
        <v>-367.9032681610924</v>
      </c>
      <c r="BC10" s="682">
        <f t="shared" si="8"/>
        <v>87.61306502075648</v>
      </c>
      <c r="BE10" s="689" t="s">
        <v>247</v>
      </c>
      <c r="BF10" s="692">
        <f>SUM(BF6:BF9)</f>
        <v>-11009</v>
      </c>
      <c r="BG10" s="679">
        <f>SUM(BG6:BG9)</f>
        <v>6151</v>
      </c>
      <c r="BH10" s="679">
        <f>SUM(BH6:BH9)</f>
        <v>-27477</v>
      </c>
      <c r="BI10" s="680">
        <f t="shared" si="20"/>
        <v>-446.70785238172652</v>
      </c>
      <c r="BJ10" s="682">
        <f t="shared" si="9"/>
        <v>-149.58670178944499</v>
      </c>
      <c r="BL10" s="689" t="s">
        <v>247</v>
      </c>
      <c r="BM10" s="692">
        <f>SUM(BM6:BM9)</f>
        <v>-4614</v>
      </c>
      <c r="BN10" s="679">
        <f>SUM(BN6:BN9)</f>
        <v>326</v>
      </c>
      <c r="BO10" s="679">
        <f>SUM(BO6:BO9)</f>
        <v>4586</v>
      </c>
      <c r="BP10" s="680">
        <f t="shared" si="21"/>
        <v>1406.7484662576687</v>
      </c>
      <c r="BQ10" s="682">
        <f t="shared" si="10"/>
        <v>199.39315127871694</v>
      </c>
      <c r="BS10" s="689" t="s">
        <v>247</v>
      </c>
      <c r="BT10" s="692">
        <f>SUM(BT6:BT9)</f>
        <v>0</v>
      </c>
      <c r="BU10" s="679">
        <f>SUM(BU6:BU9)</f>
        <v>0</v>
      </c>
      <c r="BV10" s="679">
        <f>SUM(BV6:BV9)</f>
        <v>4016</v>
      </c>
      <c r="BW10" s="680" t="str">
        <f t="shared" si="22"/>
        <v/>
      </c>
      <c r="BX10" s="682" t="str">
        <f t="shared" si="11"/>
        <v/>
      </c>
      <c r="CM10" s="693"/>
    </row>
    <row r="11" spans="1:110" ht="38.25" customHeight="1" x14ac:dyDescent="0.2">
      <c r="A11" s="676" t="s">
        <v>248</v>
      </c>
      <c r="B11" s="677">
        <f t="shared" ref="B11:D11" si="24">SUM(I11,P11,W11,AD11,AK11,AR11,AY11,BF11,BM11,BT11)</f>
        <v>4</v>
      </c>
      <c r="C11" s="678">
        <f t="shared" si="24"/>
        <v>3</v>
      </c>
      <c r="D11" s="679">
        <f t="shared" si="24"/>
        <v>100</v>
      </c>
      <c r="E11" s="680">
        <f t="shared" si="12"/>
        <v>3333.3333333333335</v>
      </c>
      <c r="F11" s="682">
        <f t="shared" si="1"/>
        <v>2400</v>
      </c>
      <c r="H11" s="676" t="s">
        <v>248</v>
      </c>
      <c r="I11" s="677">
        <v>1</v>
      </c>
      <c r="J11" s="678">
        <v>2</v>
      </c>
      <c r="K11" s="679"/>
      <c r="L11" s="680">
        <f t="shared" si="13"/>
        <v>0</v>
      </c>
      <c r="M11" s="682">
        <f t="shared" si="2"/>
        <v>-100</v>
      </c>
      <c r="O11" s="676" t="s">
        <v>248</v>
      </c>
      <c r="P11" s="677"/>
      <c r="Q11" s="678"/>
      <c r="R11" s="679"/>
      <c r="S11" s="680" t="str">
        <f t="shared" si="14"/>
        <v/>
      </c>
      <c r="T11" s="682" t="str">
        <f t="shared" si="3"/>
        <v/>
      </c>
      <c r="V11" s="676" t="s">
        <v>248</v>
      </c>
      <c r="W11" s="677">
        <v>2</v>
      </c>
      <c r="X11" s="678"/>
      <c r="Y11" s="679">
        <v>100</v>
      </c>
      <c r="Z11" s="680" t="str">
        <f t="shared" si="15"/>
        <v/>
      </c>
      <c r="AA11" s="682">
        <f t="shared" si="4"/>
        <v>4900</v>
      </c>
      <c r="AC11" s="676" t="s">
        <v>248</v>
      </c>
      <c r="AD11" s="677">
        <v>1</v>
      </c>
      <c r="AE11" s="678">
        <v>1</v>
      </c>
      <c r="AF11" s="679"/>
      <c r="AG11" s="680">
        <f t="shared" si="16"/>
        <v>0</v>
      </c>
      <c r="AH11" s="682">
        <f t="shared" si="5"/>
        <v>-100</v>
      </c>
      <c r="AJ11" s="676" t="s">
        <v>248</v>
      </c>
      <c r="AK11" s="677"/>
      <c r="AL11" s="678"/>
      <c r="AM11" s="679"/>
      <c r="AN11" s="680" t="str">
        <f t="shared" si="17"/>
        <v/>
      </c>
      <c r="AO11" s="682" t="str">
        <f t="shared" si="6"/>
        <v/>
      </c>
      <c r="AQ11" s="676" t="s">
        <v>248</v>
      </c>
      <c r="AR11" s="677"/>
      <c r="AS11" s="678"/>
      <c r="AT11" s="679"/>
      <c r="AU11" s="680" t="str">
        <f t="shared" si="18"/>
        <v/>
      </c>
      <c r="AV11" s="682" t="str">
        <f t="shared" si="7"/>
        <v/>
      </c>
      <c r="AX11" s="676" t="s">
        <v>248</v>
      </c>
      <c r="AY11" s="677"/>
      <c r="AZ11" s="678"/>
      <c r="BA11" s="679"/>
      <c r="BB11" s="680" t="str">
        <f t="shared" si="19"/>
        <v/>
      </c>
      <c r="BC11" s="682" t="str">
        <f t="shared" si="8"/>
        <v/>
      </c>
      <c r="BE11" s="676" t="s">
        <v>248</v>
      </c>
      <c r="BF11" s="677"/>
      <c r="BG11" s="678"/>
      <c r="BH11" s="679"/>
      <c r="BI11" s="680" t="str">
        <f t="shared" si="20"/>
        <v/>
      </c>
      <c r="BJ11" s="682" t="str">
        <f t="shared" si="9"/>
        <v/>
      </c>
      <c r="BL11" s="676" t="s">
        <v>248</v>
      </c>
      <c r="BM11" s="677"/>
      <c r="BN11" s="678"/>
      <c r="BO11" s="679"/>
      <c r="BP11" s="680" t="str">
        <f t="shared" si="21"/>
        <v/>
      </c>
      <c r="BQ11" s="682" t="str">
        <f t="shared" si="10"/>
        <v/>
      </c>
      <c r="BS11" s="676" t="s">
        <v>248</v>
      </c>
      <c r="BT11" s="677"/>
      <c r="BU11" s="678"/>
      <c r="BV11" s="679"/>
      <c r="BW11" s="680" t="str">
        <f t="shared" si="22"/>
        <v/>
      </c>
      <c r="BX11" s="682" t="str">
        <f t="shared" si="11"/>
        <v/>
      </c>
    </row>
    <row r="12" spans="1:110" ht="38.25" customHeight="1" thickBot="1" x14ac:dyDescent="0.25">
      <c r="A12" s="694" t="s">
        <v>249</v>
      </c>
      <c r="B12" s="695">
        <f>SUM(B10:B11)</f>
        <v>353408</v>
      </c>
      <c r="C12" s="696">
        <f>SUM(C10:C11)</f>
        <v>426532</v>
      </c>
      <c r="D12" s="696">
        <f>SUM(D10:D11)</f>
        <v>525921</v>
      </c>
      <c r="E12" s="697">
        <f t="shared" si="12"/>
        <v>123.30165145874166</v>
      </c>
      <c r="F12" s="698">
        <f t="shared" si="1"/>
        <v>48.814118525896411</v>
      </c>
      <c r="H12" s="694" t="s">
        <v>249</v>
      </c>
      <c r="I12" s="695">
        <f>SUM(I10:I11)</f>
        <v>-92014</v>
      </c>
      <c r="J12" s="696">
        <f>SUM(J10:J11)</f>
        <v>128157</v>
      </c>
      <c r="K12" s="696">
        <f>SUM(K10:K11)</f>
        <v>-352104</v>
      </c>
      <c r="L12" s="697">
        <f t="shared" si="13"/>
        <v>-274.74425899482668</v>
      </c>
      <c r="M12" s="698">
        <f t="shared" si="2"/>
        <v>-282.663507727085</v>
      </c>
      <c r="O12" s="694" t="s">
        <v>249</v>
      </c>
      <c r="P12" s="695">
        <f>SUM(P10:P11)</f>
        <v>-57457</v>
      </c>
      <c r="Q12" s="696">
        <f>SUM(Q10:Q11)</f>
        <v>-1798</v>
      </c>
      <c r="R12" s="696">
        <f>SUM(R10:R11)</f>
        <v>-107379</v>
      </c>
      <c r="S12" s="697">
        <f t="shared" si="14"/>
        <v>5972.1357063403784</v>
      </c>
      <c r="T12" s="698">
        <f t="shared" si="3"/>
        <v>-86.88584506674556</v>
      </c>
      <c r="V12" s="694" t="s">
        <v>249</v>
      </c>
      <c r="W12" s="695">
        <f>SUM(W10:W11)</f>
        <v>23542</v>
      </c>
      <c r="X12" s="696">
        <f>SUM(X10:X11)</f>
        <v>-8288</v>
      </c>
      <c r="Y12" s="696">
        <f>SUM(Y10:Y11)</f>
        <v>-2552</v>
      </c>
      <c r="Z12" s="697">
        <f t="shared" si="15"/>
        <v>30.791505791505791</v>
      </c>
      <c r="AA12" s="698">
        <f t="shared" si="4"/>
        <v>-110.84020049273639</v>
      </c>
      <c r="AC12" s="694" t="s">
        <v>249</v>
      </c>
      <c r="AD12" s="695">
        <f>SUM(AD10:AD11)</f>
        <v>416033</v>
      </c>
      <c r="AE12" s="696">
        <f>SUM(AE10:AE11)</f>
        <v>409215</v>
      </c>
      <c r="AF12" s="696">
        <f>SUM(AF10:AF11)</f>
        <v>787435</v>
      </c>
      <c r="AG12" s="697">
        <f t="shared" si="16"/>
        <v>192.4257419693804</v>
      </c>
      <c r="AH12" s="698">
        <f t="shared" si="5"/>
        <v>89.272245230546616</v>
      </c>
      <c r="AJ12" s="694" t="s">
        <v>249</v>
      </c>
      <c r="AK12" s="695">
        <f>SUM(AK10:AK11)</f>
        <v>14113</v>
      </c>
      <c r="AL12" s="696">
        <f>SUM(AL10:AL11)</f>
        <v>-21536</v>
      </c>
      <c r="AM12" s="696">
        <f>SUM(AM10:AM11)</f>
        <v>48246</v>
      </c>
      <c r="AN12" s="697">
        <f t="shared" si="17"/>
        <v>-224.02488855869242</v>
      </c>
      <c r="AO12" s="698">
        <f t="shared" si="6"/>
        <v>241.85502727981293</v>
      </c>
      <c r="AQ12" s="694" t="s">
        <v>249</v>
      </c>
      <c r="AR12" s="695">
        <f>SUM(AR10:AR11)</f>
        <v>-17329</v>
      </c>
      <c r="AS12" s="696">
        <f>SUM(AS10:AS11)</f>
        <v>-43806</v>
      </c>
      <c r="AT12" s="696">
        <f>SUM(AT10:AT11)</f>
        <v>17039</v>
      </c>
      <c r="AU12" s="697">
        <f t="shared" si="18"/>
        <v>-38.896498196594074</v>
      </c>
      <c r="AV12" s="698">
        <f t="shared" si="7"/>
        <v>198.32650470309886</v>
      </c>
      <c r="AX12" s="694" t="s">
        <v>249</v>
      </c>
      <c r="AY12" s="695">
        <f>SUM(AY10:AY11)</f>
        <v>82143</v>
      </c>
      <c r="AZ12" s="696">
        <f>SUM(AZ10:AZ11)</f>
        <v>-41889</v>
      </c>
      <c r="BA12" s="696">
        <f>SUM(BA10:BA11)</f>
        <v>154111</v>
      </c>
      <c r="BB12" s="697">
        <f t="shared" si="19"/>
        <v>-367.9032681610924</v>
      </c>
      <c r="BC12" s="698">
        <f t="shared" si="8"/>
        <v>87.61306502075648</v>
      </c>
      <c r="BE12" s="694" t="s">
        <v>249</v>
      </c>
      <c r="BF12" s="695">
        <f>SUM(BF10:BF11)</f>
        <v>-11009</v>
      </c>
      <c r="BG12" s="696">
        <f>SUM(BG10:BG11)</f>
        <v>6151</v>
      </c>
      <c r="BH12" s="696">
        <f>SUM(BH10:BH11)</f>
        <v>-27477</v>
      </c>
      <c r="BI12" s="697">
        <f t="shared" si="20"/>
        <v>-446.70785238172652</v>
      </c>
      <c r="BJ12" s="698">
        <f t="shared" si="9"/>
        <v>-149.58670178944499</v>
      </c>
      <c r="BL12" s="694" t="s">
        <v>249</v>
      </c>
      <c r="BM12" s="695">
        <f>SUM(BM10:BM11)</f>
        <v>-4614</v>
      </c>
      <c r="BN12" s="696">
        <f>SUM(BN10:BN11)</f>
        <v>326</v>
      </c>
      <c r="BO12" s="696">
        <f>SUM(BO10:BO11)</f>
        <v>4586</v>
      </c>
      <c r="BP12" s="697">
        <f t="shared" si="21"/>
        <v>1406.7484662576687</v>
      </c>
      <c r="BQ12" s="698">
        <f t="shared" si="10"/>
        <v>199.39315127871694</v>
      </c>
      <c r="BS12" s="694" t="s">
        <v>249</v>
      </c>
      <c r="BT12" s="695">
        <f>SUM(BT10:BT11)</f>
        <v>0</v>
      </c>
      <c r="BU12" s="696">
        <f>SUM(BU10:BU11)</f>
        <v>0</v>
      </c>
      <c r="BV12" s="696">
        <f>SUM(BV10:BV11)</f>
        <v>4016</v>
      </c>
      <c r="BW12" s="697" t="str">
        <f t="shared" si="22"/>
        <v/>
      </c>
      <c r="BX12" s="698" t="str">
        <f t="shared" si="11"/>
        <v/>
      </c>
    </row>
    <row r="13" spans="1:110" s="700" customFormat="1" ht="24" thickBot="1" x14ac:dyDescent="0.25">
      <c r="A13" s="699"/>
      <c r="B13" s="699"/>
      <c r="C13" s="699"/>
      <c r="D13" s="699"/>
      <c r="E13" s="699"/>
      <c r="F13" s="699"/>
      <c r="H13" s="699"/>
      <c r="I13" s="699"/>
      <c r="J13" s="699"/>
      <c r="K13" s="699"/>
      <c r="L13" s="699"/>
      <c r="M13" s="699"/>
      <c r="O13" s="699"/>
      <c r="P13" s="699"/>
      <c r="Q13" s="699"/>
      <c r="R13" s="699"/>
      <c r="S13" s="699"/>
      <c r="T13" s="699"/>
      <c r="V13" s="699"/>
      <c r="W13" s="699"/>
      <c r="X13" s="699"/>
      <c r="Y13" s="699"/>
      <c r="Z13" s="699"/>
      <c r="AA13" s="699"/>
      <c r="AC13" s="699"/>
      <c r="AD13" s="699"/>
      <c r="AE13" s="699"/>
      <c r="AF13" s="699"/>
      <c r="AG13" s="699"/>
      <c r="AH13" s="699"/>
      <c r="AJ13" s="699"/>
      <c r="AK13" s="699"/>
      <c r="AL13" s="699"/>
      <c r="AM13" s="699"/>
      <c r="AN13" s="699"/>
      <c r="AO13" s="699"/>
      <c r="AQ13" s="699"/>
      <c r="AR13" s="699"/>
      <c r="AS13" s="699"/>
      <c r="AT13" s="699"/>
      <c r="AU13" s="699"/>
      <c r="AV13" s="699"/>
      <c r="AX13" s="699"/>
      <c r="AY13" s="699"/>
      <c r="AZ13" s="699"/>
      <c r="BA13" s="699"/>
      <c r="BB13" s="699"/>
      <c r="BC13" s="699"/>
      <c r="BE13" s="699"/>
      <c r="BF13" s="699"/>
      <c r="BG13" s="699"/>
      <c r="BH13" s="699"/>
      <c r="BI13" s="699"/>
      <c r="BJ13" s="699"/>
      <c r="BL13" s="699"/>
      <c r="BM13" s="699"/>
      <c r="BN13" s="699"/>
      <c r="BO13" s="699"/>
      <c r="BP13" s="699"/>
      <c r="BQ13" s="699"/>
      <c r="BS13" s="699"/>
      <c r="BT13" s="699"/>
      <c r="BU13" s="699"/>
      <c r="BV13" s="699"/>
      <c r="BW13" s="699"/>
      <c r="BX13" s="699"/>
    </row>
    <row r="14" spans="1:110" ht="72" x14ac:dyDescent="0.2">
      <c r="A14" s="671" t="s">
        <v>43</v>
      </c>
      <c r="B14" s="672" t="s">
        <v>238</v>
      </c>
      <c r="C14" s="673" t="s">
        <v>45</v>
      </c>
      <c r="D14" s="673" t="s">
        <v>46</v>
      </c>
      <c r="E14" s="673" t="s">
        <v>239</v>
      </c>
      <c r="F14" s="674" t="s">
        <v>240</v>
      </c>
      <c r="H14" s="671" t="s">
        <v>43</v>
      </c>
      <c r="I14" s="672" t="s">
        <v>238</v>
      </c>
      <c r="J14" s="673" t="s">
        <v>45</v>
      </c>
      <c r="K14" s="673" t="s">
        <v>46</v>
      </c>
      <c r="L14" s="673" t="s">
        <v>239</v>
      </c>
      <c r="M14" s="674" t="s">
        <v>240</v>
      </c>
      <c r="O14" s="671" t="s">
        <v>43</v>
      </c>
      <c r="P14" s="672" t="s">
        <v>238</v>
      </c>
      <c r="Q14" s="673" t="s">
        <v>45</v>
      </c>
      <c r="R14" s="673" t="s">
        <v>46</v>
      </c>
      <c r="S14" s="673" t="s">
        <v>239</v>
      </c>
      <c r="T14" s="674" t="s">
        <v>240</v>
      </c>
      <c r="V14" s="671" t="s">
        <v>43</v>
      </c>
      <c r="W14" s="672" t="s">
        <v>238</v>
      </c>
      <c r="X14" s="673" t="s">
        <v>45</v>
      </c>
      <c r="Y14" s="673" t="s">
        <v>46</v>
      </c>
      <c r="Z14" s="673" t="s">
        <v>239</v>
      </c>
      <c r="AA14" s="674" t="s">
        <v>240</v>
      </c>
      <c r="AC14" s="671" t="s">
        <v>43</v>
      </c>
      <c r="AD14" s="672" t="s">
        <v>238</v>
      </c>
      <c r="AE14" s="673" t="s">
        <v>45</v>
      </c>
      <c r="AF14" s="673" t="s">
        <v>46</v>
      </c>
      <c r="AG14" s="673" t="s">
        <v>239</v>
      </c>
      <c r="AH14" s="674" t="s">
        <v>240</v>
      </c>
      <c r="AJ14" s="671" t="s">
        <v>43</v>
      </c>
      <c r="AK14" s="672" t="s">
        <v>238</v>
      </c>
      <c r="AL14" s="673" t="s">
        <v>45</v>
      </c>
      <c r="AM14" s="673" t="s">
        <v>46</v>
      </c>
      <c r="AN14" s="673" t="s">
        <v>239</v>
      </c>
      <c r="AO14" s="674" t="s">
        <v>240</v>
      </c>
      <c r="AQ14" s="671" t="s">
        <v>43</v>
      </c>
      <c r="AR14" s="672" t="s">
        <v>238</v>
      </c>
      <c r="AS14" s="673" t="s">
        <v>45</v>
      </c>
      <c r="AT14" s="673" t="s">
        <v>46</v>
      </c>
      <c r="AU14" s="673" t="s">
        <v>239</v>
      </c>
      <c r="AV14" s="674" t="s">
        <v>240</v>
      </c>
      <c r="AX14" s="671" t="s">
        <v>43</v>
      </c>
      <c r="AY14" s="672" t="s">
        <v>238</v>
      </c>
      <c r="AZ14" s="673" t="s">
        <v>45</v>
      </c>
      <c r="BA14" s="673" t="s">
        <v>46</v>
      </c>
      <c r="BB14" s="673" t="s">
        <v>239</v>
      </c>
      <c r="BC14" s="674" t="s">
        <v>240</v>
      </c>
      <c r="BE14" s="671" t="s">
        <v>43</v>
      </c>
      <c r="BF14" s="672" t="s">
        <v>238</v>
      </c>
      <c r="BG14" s="673" t="s">
        <v>45</v>
      </c>
      <c r="BH14" s="673" t="s">
        <v>46</v>
      </c>
      <c r="BI14" s="673" t="s">
        <v>239</v>
      </c>
      <c r="BJ14" s="674" t="s">
        <v>240</v>
      </c>
      <c r="BL14" s="671" t="s">
        <v>43</v>
      </c>
      <c r="BM14" s="672" t="s">
        <v>238</v>
      </c>
      <c r="BN14" s="673" t="s">
        <v>45</v>
      </c>
      <c r="BO14" s="673" t="s">
        <v>46</v>
      </c>
      <c r="BP14" s="673" t="s">
        <v>239</v>
      </c>
      <c r="BQ14" s="674" t="s">
        <v>240</v>
      </c>
      <c r="BS14" s="671" t="s">
        <v>43</v>
      </c>
      <c r="BT14" s="672" t="s">
        <v>238</v>
      </c>
      <c r="BU14" s="673" t="s">
        <v>45</v>
      </c>
      <c r="BV14" s="673" t="s">
        <v>46</v>
      </c>
      <c r="BW14" s="673" t="s">
        <v>239</v>
      </c>
      <c r="BX14" s="674" t="s">
        <v>240</v>
      </c>
    </row>
    <row r="15" spans="1:110" ht="38.25" customHeight="1" x14ac:dyDescent="0.2">
      <c r="A15" s="689" t="s">
        <v>250</v>
      </c>
      <c r="B15" s="692">
        <f>IF(B11&gt;0,B11+B8+B4,B8+B4)</f>
        <v>1783662</v>
      </c>
      <c r="C15" s="679">
        <f>IF(C11&gt;0,C11+C8+C4,C8+C4)</f>
        <v>2675143</v>
      </c>
      <c r="D15" s="679">
        <f>IF(D11&gt;0,D11+D8+D4,D8+D4)</f>
        <v>3740969</v>
      </c>
      <c r="E15" s="680">
        <f t="shared" ref="E15:E17" si="25">IFERROR(D15*100/C15,"")</f>
        <v>139.84183275436118</v>
      </c>
      <c r="F15" s="682">
        <f t="shared" ref="F15:F17" si="26">IFERROR((D15-B15)*100/ABS(B15),"")</f>
        <v>109.7353085954626</v>
      </c>
      <c r="H15" s="689" t="s">
        <v>250</v>
      </c>
      <c r="I15" s="692">
        <f>IF(I11&gt;0,I11+I8+I4,I8+I4)</f>
        <v>133621</v>
      </c>
      <c r="J15" s="679">
        <f>IF(J11&gt;0,J11+J8+J4,J8+J4)</f>
        <v>455400</v>
      </c>
      <c r="K15" s="679">
        <f>IF(K11&gt;0,K11+K8+K4,K8+K4)</f>
        <v>70690</v>
      </c>
      <c r="L15" s="680">
        <f t="shared" ref="L15:L17" si="27">IFERROR(K15*100/J15,"")</f>
        <v>15.522617479139218</v>
      </c>
      <c r="M15" s="682">
        <f t="shared" ref="M15:M17" si="28">IFERROR((K15-I15)*100/ABS(I15),"")</f>
        <v>-47.096639001354575</v>
      </c>
      <c r="O15" s="689" t="s">
        <v>250</v>
      </c>
      <c r="P15" s="692">
        <f>IF(P11&gt;0,P11+P8+P4,P8+P4)</f>
        <v>215193</v>
      </c>
      <c r="Q15" s="679">
        <f>IF(Q11&gt;0,Q11+Q8+Q4,Q8+Q4)</f>
        <v>450343</v>
      </c>
      <c r="R15" s="679">
        <f>IF(R11&gt;0,R11+R8+R4,R8+R4)</f>
        <v>1148950</v>
      </c>
      <c r="S15" s="680">
        <f t="shared" ref="S15:S17" si="29">IFERROR(R15*100/Q15,"")</f>
        <v>255.12775817543516</v>
      </c>
      <c r="T15" s="682">
        <f t="shared" ref="T15:T17" si="30">IFERROR((R15-P15)*100/ABS(P15),"")</f>
        <v>433.91606604304042</v>
      </c>
      <c r="V15" s="689" t="s">
        <v>250</v>
      </c>
      <c r="W15" s="692">
        <f>IF(W11&gt;0,W11+W8+W4,W8+W4)</f>
        <v>167572</v>
      </c>
      <c r="X15" s="679">
        <f>IF(X11&gt;0,X11+X8+X4,X8+X4)</f>
        <v>228288</v>
      </c>
      <c r="Y15" s="679">
        <f>IF(Y11&gt;0,Y11+Y8+Y4,Y8+Y4)</f>
        <v>249019</v>
      </c>
      <c r="Z15" s="680">
        <f t="shared" ref="Z15:Z17" si="31">IFERROR(Y15*100/X15,"")</f>
        <v>109.08107303055789</v>
      </c>
      <c r="AA15" s="682">
        <f t="shared" ref="AA15:AA17" si="32">IFERROR((Y15-W15)*100/ABS(W15),"")</f>
        <v>48.604182082925547</v>
      </c>
      <c r="AC15" s="689" t="s">
        <v>250</v>
      </c>
      <c r="AD15" s="692">
        <f>IF(AD11&gt;0,AD11+AD8+AD4,AD8+AD4)</f>
        <v>661130</v>
      </c>
      <c r="AE15" s="679">
        <f>IF(AE11&gt;0,AE11+AE8+AE4,AE8+AE4)</f>
        <v>811876</v>
      </c>
      <c r="AF15" s="679">
        <f>IF(AF11&gt;0,AF11+AF8+AF4,AF8+AF4)</f>
        <v>1200484</v>
      </c>
      <c r="AG15" s="680">
        <f t="shared" ref="AG15:AG17" si="33">IFERROR(AF15*100/AE15,"")</f>
        <v>147.8654375791377</v>
      </c>
      <c r="AH15" s="682">
        <f t="shared" ref="AH15:AH17" si="34">IFERROR((AF15-AD15)*100/ABS(AD15),"")</f>
        <v>81.580627108133044</v>
      </c>
      <c r="AJ15" s="689" t="s">
        <v>250</v>
      </c>
      <c r="AK15" s="692">
        <f>IF(AK11&gt;0,AK11+AK8+AK4,AK8+AK4)</f>
        <v>124618</v>
      </c>
      <c r="AL15" s="679">
        <f>IF(AL11&gt;0,AL11+AL8+AL4,AL8+AL4)</f>
        <v>109463</v>
      </c>
      <c r="AM15" s="679">
        <f>IF(AM11&gt;0,AM11+AM8+AM4,AM8+AM4)</f>
        <v>198677</v>
      </c>
      <c r="AN15" s="680">
        <f t="shared" ref="AN15:AN17" si="35">IFERROR(AM15*100/AL15,"")</f>
        <v>181.50151192640436</v>
      </c>
      <c r="AO15" s="682">
        <f t="shared" ref="AO15:AO17" si="36">IFERROR((AM15-AK15)*100/ABS(AK15),"")</f>
        <v>59.428814456980533</v>
      </c>
      <c r="AQ15" s="689" t="s">
        <v>250</v>
      </c>
      <c r="AR15" s="692">
        <f>IF(AR11&gt;0,AR11+AR8+AR4,AR8+AR4)</f>
        <v>35439</v>
      </c>
      <c r="AS15" s="679">
        <f>IF(AS11&gt;0,AS11+AS8+AS4,AS8+AS4)</f>
        <v>26299</v>
      </c>
      <c r="AT15" s="679">
        <f>IF(AT11&gt;0,AT11+AT8+AT4,AT8+AT4)</f>
        <v>93173</v>
      </c>
      <c r="AU15" s="680">
        <f t="shared" ref="AU15:AU17" si="37">IFERROR(AT15*100/AS15,"")</f>
        <v>354.28343283014561</v>
      </c>
      <c r="AV15" s="682">
        <f t="shared" ref="AV15:AV17" si="38">IFERROR((AT15-AR15)*100/ABS(AR15),"")</f>
        <v>162.91091735094105</v>
      </c>
      <c r="AX15" s="689" t="s">
        <v>250</v>
      </c>
      <c r="AY15" s="692">
        <f>IF(AY11&gt;0,AY11+AY8+AY4,AY8+AY4)</f>
        <v>436432</v>
      </c>
      <c r="AZ15" s="679">
        <f>IF(AZ11&gt;0,AZ11+AZ8+AZ4,AZ8+AZ4)</f>
        <v>549135</v>
      </c>
      <c r="BA15" s="679">
        <f>IF(BA11&gt;0,BA11+BA8+BA4,BA8+BA4)</f>
        <v>730560</v>
      </c>
      <c r="BB15" s="680">
        <f t="shared" ref="BB15:BB17" si="39">IFERROR(BA15*100/AZ15,"")</f>
        <v>133.03832390942119</v>
      </c>
      <c r="BC15" s="682">
        <f t="shared" ref="BC15:BC17" si="40">IFERROR((BA15-AY15)*100/ABS(AY15),"")</f>
        <v>67.393774975253876</v>
      </c>
      <c r="BE15" s="689" t="s">
        <v>250</v>
      </c>
      <c r="BF15" s="692">
        <f>IF(BF11&gt;0,BF11+BF8+BF4,BF8+BF4)</f>
        <v>6429</v>
      </c>
      <c r="BG15" s="679">
        <f>IF(BG11&gt;0,BG11+BG8+BG4,BG8+BG4)</f>
        <v>31214</v>
      </c>
      <c r="BH15" s="679">
        <f>IF(BH11&gt;0,BH11+BH8+BH4,BH8+BH4)</f>
        <v>941</v>
      </c>
      <c r="BI15" s="680">
        <f t="shared" ref="BI15:BI17" si="41">IFERROR(BH15*100/BG15,"")</f>
        <v>3.0146729031844686</v>
      </c>
      <c r="BJ15" s="682">
        <f t="shared" ref="BJ15:BJ17" si="42">IFERROR((BH15-BF15)*100/ABS(BF15),"")</f>
        <v>-85.363198009021616</v>
      </c>
      <c r="BL15" s="689" t="s">
        <v>250</v>
      </c>
      <c r="BM15" s="692">
        <f>IF(BM11&gt;0,BM11+BM8+BM4,BM8+BM4)</f>
        <v>3228</v>
      </c>
      <c r="BN15" s="679">
        <f>IF(BN11&gt;0,BN11+BN8+BN4,BN8+BN4)</f>
        <v>13125</v>
      </c>
      <c r="BO15" s="679">
        <f>IF(BO11&gt;0,BO11+BO8+BO4,BO8+BO4)</f>
        <v>43675</v>
      </c>
      <c r="BP15" s="680">
        <f t="shared" ref="BP15:BP17" si="43">IFERROR(BO15*100/BN15,"")</f>
        <v>332.76190476190476</v>
      </c>
      <c r="BQ15" s="682">
        <f t="shared" ref="BQ15:BQ17" si="44">IFERROR((BO15-BM15)*100/ABS(BM15),"")</f>
        <v>1253.004956629492</v>
      </c>
      <c r="BS15" s="689" t="s">
        <v>250</v>
      </c>
      <c r="BT15" s="692">
        <f>IF(BT11&gt;0,BT11+BT8+BT4,BT8+BT4)</f>
        <v>0</v>
      </c>
      <c r="BU15" s="679">
        <f>IF(BU11&gt;0,BU11+BU8+BU4,BU8+BU4)</f>
        <v>0</v>
      </c>
      <c r="BV15" s="679">
        <f>IF(BV11&gt;0,BV11+BV8+BV4,BV8+BV4)</f>
        <v>4800</v>
      </c>
      <c r="BW15" s="680" t="str">
        <f t="shared" ref="BW15:BW17" si="45">IFERROR(BV15*100/BU15,"")</f>
        <v/>
      </c>
      <c r="BX15" s="682" t="str">
        <f t="shared" ref="BX15:BX17" si="46">IFERROR((BV15-BT15)*100/ABS(BT15),"")</f>
        <v/>
      </c>
      <c r="CM15" s="693"/>
    </row>
    <row r="16" spans="1:110" ht="38.25" customHeight="1" x14ac:dyDescent="0.2">
      <c r="A16" s="676" t="s">
        <v>251</v>
      </c>
      <c r="B16" s="692">
        <f>IF(B11&lt;0,B11+B9+B7+B5,B9+B7+B5)</f>
        <v>-1430254</v>
      </c>
      <c r="C16" s="679">
        <f>IF(C11&lt;0,C11+C9+C7+C5,C9+C7+C5)</f>
        <v>-2248611</v>
      </c>
      <c r="D16" s="679">
        <f>IF(D11&lt;0,D11+D9+D7+D5,D9+D7+D5)</f>
        <v>-3215048</v>
      </c>
      <c r="E16" s="680">
        <f t="shared" si="25"/>
        <v>142.97928810274431</v>
      </c>
      <c r="F16" s="682">
        <f t="shared" si="26"/>
        <v>-124.78860398222973</v>
      </c>
      <c r="H16" s="676" t="s">
        <v>251</v>
      </c>
      <c r="I16" s="692">
        <f>IF(I11&lt;0,I11+I9+I7+I5,I9+I7+I5)</f>
        <v>-225635</v>
      </c>
      <c r="J16" s="679">
        <f>IF(J11&lt;0,J11+J9+J7+J5,J9+J7+J5)</f>
        <v>-327243</v>
      </c>
      <c r="K16" s="679">
        <f>IF(K11&lt;0,K11+K9+K7+K5,K9+K7+K5)</f>
        <v>-422794</v>
      </c>
      <c r="L16" s="680">
        <f t="shared" si="27"/>
        <v>129.19879111241494</v>
      </c>
      <c r="M16" s="682">
        <f t="shared" si="28"/>
        <v>-87.379617523877059</v>
      </c>
      <c r="O16" s="676" t="s">
        <v>251</v>
      </c>
      <c r="P16" s="692">
        <f>IF(P11&lt;0,P11+P9+P7+P5,P9+P7+P5)</f>
        <v>-272650</v>
      </c>
      <c r="Q16" s="679">
        <f>IF(Q11&lt;0,Q11+Q9+Q7+Q5,Q9+Q7+Q5)</f>
        <v>-452141</v>
      </c>
      <c r="R16" s="679">
        <f>IF(R11&lt;0,R11+R9+R7+R5,R9+R7+R5)</f>
        <v>-1256329</v>
      </c>
      <c r="S16" s="680">
        <f t="shared" si="29"/>
        <v>277.86221554780479</v>
      </c>
      <c r="T16" s="682">
        <f t="shared" si="30"/>
        <v>-360.78452228131306</v>
      </c>
      <c r="V16" s="676" t="s">
        <v>251</v>
      </c>
      <c r="W16" s="692">
        <f>IF(W11&lt;0,W11+W9+W7+W5,W9+W7+W5)</f>
        <v>-144030</v>
      </c>
      <c r="X16" s="679">
        <f>IF(X11&lt;0,X11+X9+X7+X5,X9+X7+X5)</f>
        <v>-236576</v>
      </c>
      <c r="Y16" s="679">
        <f>IF(Y11&lt;0,Y11+Y9+Y7+Y5,Y9+Y7+Y5)</f>
        <v>-251571</v>
      </c>
      <c r="Z16" s="680">
        <f t="shared" si="31"/>
        <v>106.33834370350331</v>
      </c>
      <c r="AA16" s="682">
        <f t="shared" si="32"/>
        <v>-74.665694646948552</v>
      </c>
      <c r="AC16" s="676" t="s">
        <v>251</v>
      </c>
      <c r="AD16" s="692">
        <f>IF(AD11&lt;0,AD11+AD9+AD7+AD5,AD9+AD7+AD5)</f>
        <v>-245097</v>
      </c>
      <c r="AE16" s="679">
        <f>IF(AE11&lt;0,AE11+AE9+AE7+AE5,AE9+AE7+AE5)</f>
        <v>-402661</v>
      </c>
      <c r="AF16" s="679">
        <f>IF(AF11&lt;0,AF11+AF9+AF7+AF5,AF9+AF7+AF5)</f>
        <v>-413049</v>
      </c>
      <c r="AG16" s="680">
        <f t="shared" si="33"/>
        <v>102.57983763016533</v>
      </c>
      <c r="AH16" s="682">
        <f t="shared" si="34"/>
        <v>-68.524706544755745</v>
      </c>
      <c r="AJ16" s="676" t="s">
        <v>251</v>
      </c>
      <c r="AK16" s="692">
        <f>IF(AK11&lt;0,AK11+AK9+AK7+AK5,AK9+AK7+AK5)</f>
        <v>-110505</v>
      </c>
      <c r="AL16" s="679">
        <f>IF(AL11&lt;0,AL11+AL9+AL7+AL5,AL9+AL7+AL5)</f>
        <v>-130999</v>
      </c>
      <c r="AM16" s="679">
        <f>IF(AM11&lt;0,AM11+AM9+AM7+AM5,AM9+AM7+AM5)</f>
        <v>-150431</v>
      </c>
      <c r="AN16" s="680">
        <f t="shared" si="35"/>
        <v>114.83370102061848</v>
      </c>
      <c r="AO16" s="682">
        <f t="shared" si="36"/>
        <v>-36.130491832948735</v>
      </c>
      <c r="AQ16" s="676" t="s">
        <v>251</v>
      </c>
      <c r="AR16" s="692">
        <f>IF(AR11&lt;0,AR11+AR9+AR7+AR5,AR9+AR7+AR5)</f>
        <v>-52768</v>
      </c>
      <c r="AS16" s="679">
        <f>IF(AS11&lt;0,AS11+AS9+AS7+AS5,AS9+AS7+AS5)</f>
        <v>-70105</v>
      </c>
      <c r="AT16" s="679">
        <f>IF(AT11&lt;0,AT11+AT9+AT7+AT5,AT9+AT7+AT5)</f>
        <v>-76134</v>
      </c>
      <c r="AU16" s="680">
        <f t="shared" si="37"/>
        <v>108.59995720704657</v>
      </c>
      <c r="AV16" s="682">
        <f t="shared" si="38"/>
        <v>-44.280624620982415</v>
      </c>
      <c r="AX16" s="676" t="s">
        <v>251</v>
      </c>
      <c r="AY16" s="692">
        <f>IF(AY11&lt;0,AY11+AY9+AY7+AY5,AY9+AY7+AY5)</f>
        <v>-354289</v>
      </c>
      <c r="AZ16" s="679">
        <f>IF(AZ11&lt;0,AZ11+AZ9+AZ7+AZ5,AZ9+AZ7+AZ5)</f>
        <v>-591024</v>
      </c>
      <c r="BA16" s="679">
        <f>IF(BA11&lt;0,BA11+BA9+BA7+BA5,BA9+BA7+BA5)</f>
        <v>-576449</v>
      </c>
      <c r="BB16" s="680">
        <f t="shared" si="39"/>
        <v>97.533941092070705</v>
      </c>
      <c r="BC16" s="682">
        <f t="shared" si="40"/>
        <v>-62.705870066527609</v>
      </c>
      <c r="BE16" s="676" t="s">
        <v>251</v>
      </c>
      <c r="BF16" s="692">
        <f>IF(BF11&lt;0,BF11+BF9+BF7+BF5,BF9+BF7+BF5)</f>
        <v>-17438</v>
      </c>
      <c r="BG16" s="679">
        <f>IF(BG11&lt;0,BG11+BG9+BG7+BG5,BG9+BG7+BG5)</f>
        <v>-25063</v>
      </c>
      <c r="BH16" s="679">
        <f>IF(BH11&lt;0,BH11+BH9+BH7+BH5,BH9+BH7+BH5)</f>
        <v>-28418</v>
      </c>
      <c r="BI16" s="680">
        <f t="shared" si="41"/>
        <v>113.38626660814747</v>
      </c>
      <c r="BJ16" s="682">
        <f t="shared" si="42"/>
        <v>-62.965936460603281</v>
      </c>
      <c r="BL16" s="676" t="s">
        <v>251</v>
      </c>
      <c r="BM16" s="692">
        <f>IF(BM11&lt;0,BM11+BM9+BM7+BM5,BM9+BM7+BM5)</f>
        <v>-7842</v>
      </c>
      <c r="BN16" s="679">
        <f>IF(BN11&lt;0,BN11+BN9+BN7+BN5,BN9+BN7+BN5)</f>
        <v>-12799</v>
      </c>
      <c r="BO16" s="679">
        <f>IF(BO11&lt;0,BO11+BO9+BO7+BO5,BO9+BO7+BO5)</f>
        <v>-39089</v>
      </c>
      <c r="BP16" s="680">
        <f t="shared" si="43"/>
        <v>305.40667239628095</v>
      </c>
      <c r="BQ16" s="682">
        <f t="shared" si="44"/>
        <v>-398.45702626880899</v>
      </c>
      <c r="BS16" s="676" t="s">
        <v>251</v>
      </c>
      <c r="BT16" s="692">
        <f>IF(BT11&lt;0,BT11+BT9+BT7+BT5,BT9+BT7+BT5)</f>
        <v>0</v>
      </c>
      <c r="BU16" s="679">
        <f>IF(BU11&lt;0,BU11+BU9+BU7+BU5,BU9+BU7+BU5)</f>
        <v>0</v>
      </c>
      <c r="BV16" s="679">
        <f>IF(BV11&lt;0,BV11+BV9+BV7+BV5,BV9+BV7+BV5)</f>
        <v>-784</v>
      </c>
      <c r="BW16" s="680" t="str">
        <f t="shared" si="45"/>
        <v/>
      </c>
      <c r="BX16" s="682" t="str">
        <f t="shared" si="46"/>
        <v/>
      </c>
    </row>
    <row r="17" spans="1:76" ht="38.25" customHeight="1" thickBot="1" x14ac:dyDescent="0.25">
      <c r="A17" s="694" t="s">
        <v>249</v>
      </c>
      <c r="B17" s="695">
        <f>SUM(B15:B16)</f>
        <v>353408</v>
      </c>
      <c r="C17" s="696">
        <f>SUM(C15:C16)</f>
        <v>426532</v>
      </c>
      <c r="D17" s="696">
        <f>SUM(D15:D16)</f>
        <v>525921</v>
      </c>
      <c r="E17" s="697">
        <f t="shared" si="25"/>
        <v>123.30165145874166</v>
      </c>
      <c r="F17" s="698">
        <f t="shared" si="26"/>
        <v>48.814118525896411</v>
      </c>
      <c r="H17" s="694" t="s">
        <v>249</v>
      </c>
      <c r="I17" s="695">
        <f>SUM(I15:I16)</f>
        <v>-92014</v>
      </c>
      <c r="J17" s="696">
        <f>SUM(J15:J16)</f>
        <v>128157</v>
      </c>
      <c r="K17" s="696">
        <f>SUM(K15:K16)</f>
        <v>-352104</v>
      </c>
      <c r="L17" s="697">
        <f t="shared" si="27"/>
        <v>-274.74425899482668</v>
      </c>
      <c r="M17" s="698">
        <f t="shared" si="28"/>
        <v>-282.663507727085</v>
      </c>
      <c r="O17" s="694" t="s">
        <v>249</v>
      </c>
      <c r="P17" s="695">
        <f>SUM(P15:P16)</f>
        <v>-57457</v>
      </c>
      <c r="Q17" s="696">
        <f>SUM(Q15:Q16)</f>
        <v>-1798</v>
      </c>
      <c r="R17" s="696">
        <f>SUM(R15:R16)</f>
        <v>-107379</v>
      </c>
      <c r="S17" s="697">
        <f t="shared" si="29"/>
        <v>5972.1357063403784</v>
      </c>
      <c r="T17" s="698">
        <f t="shared" si="30"/>
        <v>-86.88584506674556</v>
      </c>
      <c r="V17" s="694" t="s">
        <v>249</v>
      </c>
      <c r="W17" s="695">
        <f>SUM(W15:W16)</f>
        <v>23542</v>
      </c>
      <c r="X17" s="696">
        <f>SUM(X15:X16)</f>
        <v>-8288</v>
      </c>
      <c r="Y17" s="696">
        <f>SUM(Y15:Y16)</f>
        <v>-2552</v>
      </c>
      <c r="Z17" s="697">
        <f t="shared" si="31"/>
        <v>30.791505791505791</v>
      </c>
      <c r="AA17" s="698">
        <f t="shared" si="32"/>
        <v>-110.84020049273639</v>
      </c>
      <c r="AC17" s="694" t="s">
        <v>249</v>
      </c>
      <c r="AD17" s="695">
        <f>SUM(AD15:AD16)</f>
        <v>416033</v>
      </c>
      <c r="AE17" s="696">
        <f>SUM(AE15:AE16)</f>
        <v>409215</v>
      </c>
      <c r="AF17" s="696">
        <f>SUM(AF15:AF16)</f>
        <v>787435</v>
      </c>
      <c r="AG17" s="697">
        <f t="shared" si="33"/>
        <v>192.4257419693804</v>
      </c>
      <c r="AH17" s="698">
        <f t="shared" si="34"/>
        <v>89.272245230546616</v>
      </c>
      <c r="AJ17" s="694" t="s">
        <v>249</v>
      </c>
      <c r="AK17" s="695">
        <f>SUM(AK15:AK16)</f>
        <v>14113</v>
      </c>
      <c r="AL17" s="696">
        <f>SUM(AL15:AL16)</f>
        <v>-21536</v>
      </c>
      <c r="AM17" s="696">
        <f>SUM(AM15:AM16)</f>
        <v>48246</v>
      </c>
      <c r="AN17" s="697">
        <f t="shared" si="35"/>
        <v>-224.02488855869242</v>
      </c>
      <c r="AO17" s="698">
        <f t="shared" si="36"/>
        <v>241.85502727981293</v>
      </c>
      <c r="AQ17" s="694" t="s">
        <v>249</v>
      </c>
      <c r="AR17" s="695">
        <f>SUM(AR15:AR16)</f>
        <v>-17329</v>
      </c>
      <c r="AS17" s="696">
        <f>SUM(AS15:AS16)</f>
        <v>-43806</v>
      </c>
      <c r="AT17" s="696">
        <f>SUM(AT15:AT16)</f>
        <v>17039</v>
      </c>
      <c r="AU17" s="697">
        <f t="shared" si="37"/>
        <v>-38.896498196594074</v>
      </c>
      <c r="AV17" s="698">
        <f t="shared" si="38"/>
        <v>198.32650470309886</v>
      </c>
      <c r="AX17" s="694" t="s">
        <v>249</v>
      </c>
      <c r="AY17" s="695">
        <f>SUM(AY15:AY16)</f>
        <v>82143</v>
      </c>
      <c r="AZ17" s="696">
        <f>SUM(AZ15:AZ16)</f>
        <v>-41889</v>
      </c>
      <c r="BA17" s="696">
        <f>SUM(BA15:BA16)</f>
        <v>154111</v>
      </c>
      <c r="BB17" s="697">
        <f t="shared" si="39"/>
        <v>-367.9032681610924</v>
      </c>
      <c r="BC17" s="698">
        <f t="shared" si="40"/>
        <v>87.61306502075648</v>
      </c>
      <c r="BE17" s="694" t="s">
        <v>249</v>
      </c>
      <c r="BF17" s="695">
        <f>SUM(BF15:BF16)</f>
        <v>-11009</v>
      </c>
      <c r="BG17" s="696">
        <f>SUM(BG15:BG16)</f>
        <v>6151</v>
      </c>
      <c r="BH17" s="696">
        <f>SUM(BH15:BH16)</f>
        <v>-27477</v>
      </c>
      <c r="BI17" s="697">
        <f t="shared" si="41"/>
        <v>-446.70785238172652</v>
      </c>
      <c r="BJ17" s="698">
        <f t="shared" si="42"/>
        <v>-149.58670178944499</v>
      </c>
      <c r="BL17" s="694" t="s">
        <v>249</v>
      </c>
      <c r="BM17" s="695">
        <f>SUM(BM15:BM16)</f>
        <v>-4614</v>
      </c>
      <c r="BN17" s="696">
        <f>SUM(BN15:BN16)</f>
        <v>326</v>
      </c>
      <c r="BO17" s="696">
        <f>SUM(BO15:BO16)</f>
        <v>4586</v>
      </c>
      <c r="BP17" s="697">
        <f t="shared" si="43"/>
        <v>1406.7484662576687</v>
      </c>
      <c r="BQ17" s="698">
        <f t="shared" si="44"/>
        <v>199.39315127871694</v>
      </c>
      <c r="BS17" s="694" t="s">
        <v>249</v>
      </c>
      <c r="BT17" s="695">
        <f>SUM(BT15:BT16)</f>
        <v>0</v>
      </c>
      <c r="BU17" s="696">
        <f>SUM(BU15:BU16)</f>
        <v>0</v>
      </c>
      <c r="BV17" s="696">
        <f>SUM(BV15:BV16)</f>
        <v>4016</v>
      </c>
      <c r="BW17" s="697" t="str">
        <f t="shared" si="45"/>
        <v/>
      </c>
      <c r="BX17" s="698" t="str">
        <f t="shared" si="46"/>
        <v/>
      </c>
    </row>
    <row r="18" spans="1:76" s="700" customFormat="1" x14ac:dyDescent="0.2"/>
    <row r="19" spans="1:76" s="700" customFormat="1" ht="15" thickBot="1" x14ac:dyDescent="0.25"/>
    <row r="20" spans="1:76" s="700" customFormat="1" ht="191.25" customHeight="1" thickBot="1" x14ac:dyDescent="0.25">
      <c r="A20" s="701" t="s">
        <v>252</v>
      </c>
      <c r="B20" s="702"/>
      <c r="C20" s="702"/>
      <c r="D20" s="702"/>
      <c r="E20" s="702"/>
      <c r="F20" s="703"/>
      <c r="H20" s="704" t="s">
        <v>253</v>
      </c>
      <c r="I20" s="705"/>
      <c r="J20" s="705"/>
      <c r="K20" s="705"/>
      <c r="L20" s="705"/>
      <c r="M20" s="706"/>
      <c r="O20" s="701" t="s">
        <v>254</v>
      </c>
      <c r="P20" s="702"/>
      <c r="Q20" s="702"/>
      <c r="R20" s="702"/>
      <c r="S20" s="702"/>
      <c r="T20" s="703"/>
      <c r="V20" s="701" t="s">
        <v>255</v>
      </c>
      <c r="W20" s="702"/>
      <c r="X20" s="702"/>
      <c r="Y20" s="702"/>
      <c r="Z20" s="702"/>
      <c r="AA20" s="703"/>
      <c r="AC20" s="704" t="s">
        <v>256</v>
      </c>
      <c r="AD20" s="705"/>
      <c r="AE20" s="705"/>
      <c r="AF20" s="705"/>
      <c r="AG20" s="705"/>
      <c r="AH20" s="706"/>
      <c r="AJ20" s="701" t="s">
        <v>257</v>
      </c>
      <c r="AK20" s="702"/>
      <c r="AL20" s="702"/>
      <c r="AM20" s="702"/>
      <c r="AN20" s="702"/>
      <c r="AO20" s="703"/>
      <c r="AQ20" s="701" t="s">
        <v>258</v>
      </c>
      <c r="AR20" s="702"/>
      <c r="AS20" s="702"/>
      <c r="AT20" s="702"/>
      <c r="AU20" s="702"/>
      <c r="AV20" s="703"/>
      <c r="AX20" s="701" t="s">
        <v>259</v>
      </c>
      <c r="AY20" s="702"/>
      <c r="AZ20" s="702"/>
      <c r="BA20" s="702"/>
      <c r="BB20" s="702"/>
      <c r="BC20" s="703"/>
      <c r="BE20" s="701" t="s">
        <v>260</v>
      </c>
      <c r="BF20" s="702"/>
      <c r="BG20" s="702"/>
      <c r="BH20" s="702"/>
      <c r="BI20" s="702"/>
      <c r="BJ20" s="703"/>
      <c r="BL20" s="701" t="s">
        <v>261</v>
      </c>
      <c r="BM20" s="702"/>
      <c r="BN20" s="702"/>
      <c r="BO20" s="702"/>
      <c r="BP20" s="702"/>
      <c r="BQ20" s="703"/>
      <c r="BS20" s="701" t="s">
        <v>252</v>
      </c>
      <c r="BT20" s="702"/>
      <c r="BU20" s="702"/>
      <c r="BV20" s="702"/>
      <c r="BW20" s="702"/>
      <c r="BX20" s="703"/>
    </row>
  </sheetData>
  <mergeCells count="33">
    <mergeCell ref="AQ20:AV20"/>
    <mergeCell ref="AX20:BC20"/>
    <mergeCell ref="BE20:BJ20"/>
    <mergeCell ref="BL20:BQ20"/>
    <mergeCell ref="BS20:BX20"/>
    <mergeCell ref="A20:F20"/>
    <mergeCell ref="H20:M20"/>
    <mergeCell ref="O20:T20"/>
    <mergeCell ref="V20:AA20"/>
    <mergeCell ref="AC20:AH20"/>
    <mergeCell ref="AJ20:AO20"/>
    <mergeCell ref="AJ2:AO2"/>
    <mergeCell ref="AQ2:AV2"/>
    <mergeCell ref="AX2:BC2"/>
    <mergeCell ref="BE2:BJ2"/>
    <mergeCell ref="BL2:BQ2"/>
    <mergeCell ref="BS2:BX2"/>
    <mergeCell ref="AQ1:AV1"/>
    <mergeCell ref="AX1:BC1"/>
    <mergeCell ref="BE1:BJ1"/>
    <mergeCell ref="BL1:BQ1"/>
    <mergeCell ref="BS1:BX1"/>
    <mergeCell ref="A2:F2"/>
    <mergeCell ref="H2:M2"/>
    <mergeCell ref="O2:T2"/>
    <mergeCell ref="V2:AA2"/>
    <mergeCell ref="AC2:AH2"/>
    <mergeCell ref="A1:F1"/>
    <mergeCell ref="H1:M1"/>
    <mergeCell ref="O1:T1"/>
    <mergeCell ref="V1:AA1"/>
    <mergeCell ref="AC1:AH1"/>
    <mergeCell ref="AJ1:AO1"/>
  </mergeCells>
  <conditionalFormatting sqref="A1:XFD4 A6:XFD6 A5:H5 J5 A9:XFD10 A7:H8 J8 A12:XFD1048576 A11:H11 J11:V11 L5:O5 L7:O8 Q8 S5:V5 S7:V8 X8 X11 Z5:AC5 Z7:AC8 Z11:AC11 AE8 AE11:XFD11 AG5:AJ5 AG7:AJ8 AN5:AQ5 AL8 AN7:AQ8 AS8 AU5:AX5 AU7:AX8 AZ8 BB5:BE5 BB7:BE8 BG8 BI5:BL5 BI8:XFD8 BI7:BL7 BP5:BS5 BP7:BS7 BW5:XFD5 BW7:XFD7">
    <cfRule type="cellIs" dxfId="192" priority="192" operator="equal">
      <formula>0</formula>
    </cfRule>
    <cfRule type="cellIs" dxfId="191" priority="193" operator="lessThan">
      <formula>0</formula>
    </cfRule>
  </conditionalFormatting>
  <conditionalFormatting sqref="E4:E12 E15:E17">
    <cfRule type="cellIs" dxfId="190" priority="190" operator="lessThan">
      <formula>90</formula>
    </cfRule>
    <cfRule type="cellIs" dxfId="189" priority="191" operator="greaterThan">
      <formula>110</formula>
    </cfRule>
  </conditionalFormatting>
  <conditionalFormatting sqref="F4:F12 F15:F17">
    <cfRule type="cellIs" dxfId="188" priority="189" operator="greaterThan">
      <formula>20</formula>
    </cfRule>
  </conditionalFormatting>
  <conditionalFormatting sqref="L4:L12 L15:L17">
    <cfRule type="cellIs" dxfId="187" priority="187" operator="lessThan">
      <formula>90</formula>
    </cfRule>
    <cfRule type="cellIs" dxfId="186" priority="188" operator="greaterThan">
      <formula>110</formula>
    </cfRule>
  </conditionalFormatting>
  <conditionalFormatting sqref="M4:M12 M15:M17">
    <cfRule type="cellIs" dxfId="185" priority="186" operator="greaterThan">
      <formula>20</formula>
    </cfRule>
  </conditionalFormatting>
  <conditionalFormatting sqref="S4:S12 S15:S17">
    <cfRule type="cellIs" dxfId="184" priority="184" operator="lessThan">
      <formula>90</formula>
    </cfRule>
    <cfRule type="cellIs" dxfId="183" priority="185" operator="greaterThan">
      <formula>110</formula>
    </cfRule>
  </conditionalFormatting>
  <conditionalFormatting sqref="T4:T12 T15:T17">
    <cfRule type="cellIs" dxfId="182" priority="183" operator="greaterThan">
      <formula>20</formula>
    </cfRule>
  </conditionalFormatting>
  <conditionalFormatting sqref="Z4:Z12 Z15:Z17">
    <cfRule type="cellIs" dxfId="181" priority="181" operator="lessThan">
      <formula>90</formula>
    </cfRule>
    <cfRule type="cellIs" dxfId="180" priority="182" operator="greaterThan">
      <formula>110</formula>
    </cfRule>
  </conditionalFormatting>
  <conditionalFormatting sqref="AA4:AA12 AA15:AA17">
    <cfRule type="cellIs" dxfId="179" priority="180" operator="greaterThan">
      <formula>20</formula>
    </cfRule>
  </conditionalFormatting>
  <conditionalFormatting sqref="AG4:AG12 AG15:AG17">
    <cfRule type="cellIs" dxfId="178" priority="178" operator="lessThan">
      <formula>90</formula>
    </cfRule>
    <cfRule type="cellIs" dxfId="177" priority="179" operator="greaterThan">
      <formula>110</formula>
    </cfRule>
  </conditionalFormatting>
  <conditionalFormatting sqref="AH4:AH12 AH15:AH17">
    <cfRule type="cellIs" dxfId="176" priority="177" operator="greaterThan">
      <formula>20</formula>
    </cfRule>
  </conditionalFormatting>
  <conditionalFormatting sqref="AN4:AN12 AN15:AN17">
    <cfRule type="cellIs" dxfId="175" priority="175" operator="lessThan">
      <formula>90</formula>
    </cfRule>
    <cfRule type="cellIs" dxfId="174" priority="176" operator="greaterThan">
      <formula>110</formula>
    </cfRule>
  </conditionalFormatting>
  <conditionalFormatting sqref="AO4:AO12 AO15:AO17">
    <cfRule type="cellIs" dxfId="173" priority="174" operator="greaterThan">
      <formula>20</formula>
    </cfRule>
  </conditionalFormatting>
  <conditionalFormatting sqref="AU4:AU12 AU15:AU17">
    <cfRule type="cellIs" dxfId="172" priority="172" operator="lessThan">
      <formula>90</formula>
    </cfRule>
    <cfRule type="cellIs" dxfId="171" priority="173" operator="greaterThan">
      <formula>110</formula>
    </cfRule>
  </conditionalFormatting>
  <conditionalFormatting sqref="AV4:AV12 AV15:AV17">
    <cfRule type="cellIs" dxfId="170" priority="171" operator="greaterThan">
      <formula>20</formula>
    </cfRule>
  </conditionalFormatting>
  <conditionalFormatting sqref="BB4:BB12 BB15:BB17">
    <cfRule type="cellIs" dxfId="169" priority="169" operator="lessThan">
      <formula>90</formula>
    </cfRule>
    <cfRule type="cellIs" dxfId="168" priority="170" operator="greaterThan">
      <formula>110</formula>
    </cfRule>
  </conditionalFormatting>
  <conditionalFormatting sqref="BC4:BC12 BC15:BC17">
    <cfRule type="cellIs" dxfId="167" priority="168" operator="greaterThan">
      <formula>20</formula>
    </cfRule>
  </conditionalFormatting>
  <conditionalFormatting sqref="BI4:BI12 BI15:BI17">
    <cfRule type="cellIs" dxfId="166" priority="166" operator="lessThan">
      <formula>90</formula>
    </cfRule>
    <cfRule type="cellIs" dxfId="165" priority="167" operator="greaterThan">
      <formula>110</formula>
    </cfRule>
  </conditionalFormatting>
  <conditionalFormatting sqref="BJ4:BJ12 BJ15:BJ17">
    <cfRule type="cellIs" dxfId="164" priority="165" operator="greaterThan">
      <formula>20</formula>
    </cfRule>
  </conditionalFormatting>
  <conditionalFormatting sqref="BP4:BP12 BP15:BP17">
    <cfRule type="cellIs" dxfId="163" priority="163" operator="lessThan">
      <formula>90</formula>
    </cfRule>
    <cfRule type="cellIs" dxfId="162" priority="164" operator="greaterThan">
      <formula>110</formula>
    </cfRule>
  </conditionalFormatting>
  <conditionalFormatting sqref="BQ4:BQ12 BQ15:BQ17">
    <cfRule type="cellIs" dxfId="161" priority="162" operator="greaterThan">
      <formula>20</formula>
    </cfRule>
  </conditionalFormatting>
  <conditionalFormatting sqref="BW4:BW12 BW15:BW17">
    <cfRule type="cellIs" dxfId="160" priority="160" operator="lessThan">
      <formula>90</formula>
    </cfRule>
    <cfRule type="cellIs" dxfId="159" priority="161" operator="greaterThan">
      <formula>110</formula>
    </cfRule>
  </conditionalFormatting>
  <conditionalFormatting sqref="BX4:BX12 BX15:BX17">
    <cfRule type="cellIs" dxfId="158" priority="159" operator="greaterThan">
      <formula>20</formula>
    </cfRule>
  </conditionalFormatting>
  <conditionalFormatting sqref="I8">
    <cfRule type="cellIs" dxfId="157" priority="157" operator="equal">
      <formula>0</formula>
    </cfRule>
    <cfRule type="cellIs" dxfId="156" priority="158" operator="lessThan">
      <formula>0</formula>
    </cfRule>
  </conditionalFormatting>
  <conditionalFormatting sqref="I11">
    <cfRule type="cellIs" dxfId="155" priority="155" operator="equal">
      <formula>0</formula>
    </cfRule>
    <cfRule type="cellIs" dxfId="154" priority="156" operator="lessThan">
      <formula>0</formula>
    </cfRule>
  </conditionalFormatting>
  <conditionalFormatting sqref="K5">
    <cfRule type="cellIs" dxfId="153" priority="153" operator="equal">
      <formula>0</formula>
    </cfRule>
    <cfRule type="cellIs" dxfId="152" priority="154" operator="lessThan">
      <formula>0</formula>
    </cfRule>
  </conditionalFormatting>
  <conditionalFormatting sqref="K8">
    <cfRule type="cellIs" dxfId="151" priority="151" operator="equal">
      <formula>0</formula>
    </cfRule>
    <cfRule type="cellIs" dxfId="150" priority="152" operator="lessThan">
      <formula>0</formula>
    </cfRule>
  </conditionalFormatting>
  <conditionalFormatting sqref="P8">
    <cfRule type="cellIs" dxfId="149" priority="149" operator="equal">
      <formula>0</formula>
    </cfRule>
    <cfRule type="cellIs" dxfId="148" priority="150" operator="lessThan">
      <formula>0</formula>
    </cfRule>
  </conditionalFormatting>
  <conditionalFormatting sqref="R8">
    <cfRule type="cellIs" dxfId="147" priority="147" operator="equal">
      <formula>0</formula>
    </cfRule>
    <cfRule type="cellIs" dxfId="146" priority="148" operator="lessThan">
      <formula>0</formula>
    </cfRule>
  </conditionalFormatting>
  <conditionalFormatting sqref="W8">
    <cfRule type="cellIs" dxfId="145" priority="145" operator="equal">
      <formula>0</formula>
    </cfRule>
    <cfRule type="cellIs" dxfId="144" priority="146" operator="lessThan">
      <formula>0</formula>
    </cfRule>
  </conditionalFormatting>
  <conditionalFormatting sqref="W11">
    <cfRule type="cellIs" dxfId="143" priority="143" operator="equal">
      <formula>0</formula>
    </cfRule>
    <cfRule type="cellIs" dxfId="142" priority="144" operator="lessThan">
      <formula>0</formula>
    </cfRule>
  </conditionalFormatting>
  <conditionalFormatting sqref="Y8">
    <cfRule type="cellIs" dxfId="141" priority="141" operator="equal">
      <formula>0</formula>
    </cfRule>
    <cfRule type="cellIs" dxfId="140" priority="142" operator="lessThan">
      <formula>0</formula>
    </cfRule>
  </conditionalFormatting>
  <conditionalFormatting sqref="Y11">
    <cfRule type="cellIs" dxfId="139" priority="139" operator="equal">
      <formula>0</formula>
    </cfRule>
    <cfRule type="cellIs" dxfId="138" priority="140" operator="lessThan">
      <formula>0</formula>
    </cfRule>
  </conditionalFormatting>
  <conditionalFormatting sqref="AD8">
    <cfRule type="cellIs" dxfId="137" priority="137" operator="equal">
      <formula>0</formula>
    </cfRule>
    <cfRule type="cellIs" dxfId="136" priority="138" operator="lessThan">
      <formula>0</formula>
    </cfRule>
  </conditionalFormatting>
  <conditionalFormatting sqref="AD11">
    <cfRule type="cellIs" dxfId="135" priority="135" operator="equal">
      <formula>0</formula>
    </cfRule>
    <cfRule type="cellIs" dxfId="134" priority="136" operator="lessThan">
      <formula>0</formula>
    </cfRule>
  </conditionalFormatting>
  <conditionalFormatting sqref="AF8">
    <cfRule type="cellIs" dxfId="133" priority="133" operator="equal">
      <formula>0</formula>
    </cfRule>
    <cfRule type="cellIs" dxfId="132" priority="134" operator="lessThan">
      <formula>0</formula>
    </cfRule>
  </conditionalFormatting>
  <conditionalFormatting sqref="AK8">
    <cfRule type="cellIs" dxfId="131" priority="131" operator="equal">
      <formula>0</formula>
    </cfRule>
    <cfRule type="cellIs" dxfId="130" priority="132" operator="lessThan">
      <formula>0</formula>
    </cfRule>
  </conditionalFormatting>
  <conditionalFormatting sqref="AM8">
    <cfRule type="cellIs" dxfId="129" priority="129" operator="equal">
      <formula>0</formula>
    </cfRule>
    <cfRule type="cellIs" dxfId="128" priority="130" operator="lessThan">
      <formula>0</formula>
    </cfRule>
  </conditionalFormatting>
  <conditionalFormatting sqref="AR8">
    <cfRule type="cellIs" dxfId="127" priority="127" operator="equal">
      <formula>0</formula>
    </cfRule>
    <cfRule type="cellIs" dxfId="126" priority="128" operator="lessThan">
      <formula>0</formula>
    </cfRule>
  </conditionalFormatting>
  <conditionalFormatting sqref="AT8">
    <cfRule type="cellIs" dxfId="125" priority="125" operator="equal">
      <formula>0</formula>
    </cfRule>
    <cfRule type="cellIs" dxfId="124" priority="126" operator="lessThan">
      <formula>0</formula>
    </cfRule>
  </conditionalFormatting>
  <conditionalFormatting sqref="AY8">
    <cfRule type="cellIs" dxfId="123" priority="123" operator="equal">
      <formula>0</formula>
    </cfRule>
    <cfRule type="cellIs" dxfId="122" priority="124" operator="lessThan">
      <formula>0</formula>
    </cfRule>
  </conditionalFormatting>
  <conditionalFormatting sqref="BA8">
    <cfRule type="cellIs" dxfId="121" priority="121" operator="equal">
      <formula>0</formula>
    </cfRule>
    <cfRule type="cellIs" dxfId="120" priority="122" operator="lessThan">
      <formula>0</formula>
    </cfRule>
  </conditionalFormatting>
  <conditionalFormatting sqref="BF8">
    <cfRule type="cellIs" dxfId="119" priority="119" operator="equal">
      <formula>0</formula>
    </cfRule>
    <cfRule type="cellIs" dxfId="118" priority="120" operator="lessThan">
      <formula>0</formula>
    </cfRule>
  </conditionalFormatting>
  <conditionalFormatting sqref="BH8">
    <cfRule type="cellIs" dxfId="117" priority="117" operator="equal">
      <formula>0</formula>
    </cfRule>
    <cfRule type="cellIs" dxfId="116" priority="118" operator="lessThan">
      <formula>0</formula>
    </cfRule>
  </conditionalFormatting>
  <conditionalFormatting sqref="I5">
    <cfRule type="cellIs" dxfId="115" priority="115" operator="equal">
      <formula>0</formula>
    </cfRule>
    <cfRule type="cellIs" dxfId="114" priority="116" operator="lessThan">
      <formula>0</formula>
    </cfRule>
  </conditionalFormatting>
  <conditionalFormatting sqref="J7">
    <cfRule type="cellIs" dxfId="113" priority="113" operator="equal">
      <formula>0</formula>
    </cfRule>
    <cfRule type="cellIs" dxfId="112" priority="114" operator="lessThan">
      <formula>0</formula>
    </cfRule>
  </conditionalFormatting>
  <conditionalFormatting sqref="K7">
    <cfRule type="cellIs" dxfId="111" priority="111" operator="equal">
      <formula>0</formula>
    </cfRule>
    <cfRule type="cellIs" dxfId="110" priority="112" operator="lessThan">
      <formula>0</formula>
    </cfRule>
  </conditionalFormatting>
  <conditionalFormatting sqref="I7">
    <cfRule type="cellIs" dxfId="109" priority="109" operator="equal">
      <formula>0</formula>
    </cfRule>
    <cfRule type="cellIs" dxfId="108" priority="110" operator="lessThan">
      <formula>0</formula>
    </cfRule>
  </conditionalFormatting>
  <conditionalFormatting sqref="Q5">
    <cfRule type="cellIs" dxfId="107" priority="107" operator="equal">
      <formula>0</formula>
    </cfRule>
    <cfRule type="cellIs" dxfId="106" priority="108" operator="lessThan">
      <formula>0</formula>
    </cfRule>
  </conditionalFormatting>
  <conditionalFormatting sqref="R5">
    <cfRule type="cellIs" dxfId="105" priority="105" operator="equal">
      <formula>0</formula>
    </cfRule>
    <cfRule type="cellIs" dxfId="104" priority="106" operator="lessThan">
      <formula>0</formula>
    </cfRule>
  </conditionalFormatting>
  <conditionalFormatting sqref="P5">
    <cfRule type="cellIs" dxfId="103" priority="103" operator="equal">
      <formula>0</formula>
    </cfRule>
    <cfRule type="cellIs" dxfId="102" priority="104" operator="lessThan">
      <formula>0</formula>
    </cfRule>
  </conditionalFormatting>
  <conditionalFormatting sqref="Q7">
    <cfRule type="cellIs" dxfId="101" priority="101" operator="equal">
      <formula>0</formula>
    </cfRule>
    <cfRule type="cellIs" dxfId="100" priority="102" operator="lessThan">
      <formula>0</formula>
    </cfRule>
  </conditionalFormatting>
  <conditionalFormatting sqref="R7">
    <cfRule type="cellIs" dxfId="99" priority="99" operator="equal">
      <formula>0</formula>
    </cfRule>
    <cfRule type="cellIs" dxfId="98" priority="100" operator="lessThan">
      <formula>0</formula>
    </cfRule>
  </conditionalFormatting>
  <conditionalFormatting sqref="P7">
    <cfRule type="cellIs" dxfId="97" priority="97" operator="equal">
      <formula>0</formula>
    </cfRule>
    <cfRule type="cellIs" dxfId="96" priority="98" operator="lessThan">
      <formula>0</formula>
    </cfRule>
  </conditionalFormatting>
  <conditionalFormatting sqref="X5">
    <cfRule type="cellIs" dxfId="95" priority="95" operator="equal">
      <formula>0</formula>
    </cfRule>
    <cfRule type="cellIs" dxfId="94" priority="96" operator="lessThan">
      <formula>0</formula>
    </cfRule>
  </conditionalFormatting>
  <conditionalFormatting sqref="Y5">
    <cfRule type="cellIs" dxfId="93" priority="93" operator="equal">
      <formula>0</formula>
    </cfRule>
    <cfRule type="cellIs" dxfId="92" priority="94" operator="lessThan">
      <formula>0</formula>
    </cfRule>
  </conditionalFormatting>
  <conditionalFormatting sqref="W5">
    <cfRule type="cellIs" dxfId="91" priority="91" operator="equal">
      <formula>0</formula>
    </cfRule>
    <cfRule type="cellIs" dxfId="90" priority="92" operator="lessThan">
      <formula>0</formula>
    </cfRule>
  </conditionalFormatting>
  <conditionalFormatting sqref="X7">
    <cfRule type="cellIs" dxfId="89" priority="89" operator="equal">
      <formula>0</formula>
    </cfRule>
    <cfRule type="cellIs" dxfId="88" priority="90" operator="lessThan">
      <formula>0</formula>
    </cfRule>
  </conditionalFormatting>
  <conditionalFormatting sqref="Y7">
    <cfRule type="cellIs" dxfId="87" priority="87" operator="equal">
      <formula>0</formula>
    </cfRule>
    <cfRule type="cellIs" dxfId="86" priority="88" operator="lessThan">
      <formula>0</formula>
    </cfRule>
  </conditionalFormatting>
  <conditionalFormatting sqref="W7">
    <cfRule type="cellIs" dxfId="85" priority="85" operator="equal">
      <formula>0</formula>
    </cfRule>
    <cfRule type="cellIs" dxfId="84" priority="86" operator="lessThan">
      <formula>0</formula>
    </cfRule>
  </conditionalFormatting>
  <conditionalFormatting sqref="AE5">
    <cfRule type="cellIs" dxfId="83" priority="83" operator="equal">
      <formula>0</formula>
    </cfRule>
    <cfRule type="cellIs" dxfId="82" priority="84" operator="lessThan">
      <formula>0</formula>
    </cfRule>
  </conditionalFormatting>
  <conditionalFormatting sqref="AF5">
    <cfRule type="cellIs" dxfId="81" priority="81" operator="equal">
      <formula>0</formula>
    </cfRule>
    <cfRule type="cellIs" dxfId="80" priority="82" operator="lessThan">
      <formula>0</formula>
    </cfRule>
  </conditionalFormatting>
  <conditionalFormatting sqref="AD5">
    <cfRule type="cellIs" dxfId="79" priority="79" operator="equal">
      <formula>0</formula>
    </cfRule>
    <cfRule type="cellIs" dxfId="78" priority="80" operator="lessThan">
      <formula>0</formula>
    </cfRule>
  </conditionalFormatting>
  <conditionalFormatting sqref="AE7">
    <cfRule type="cellIs" dxfId="77" priority="77" operator="equal">
      <formula>0</formula>
    </cfRule>
    <cfRule type="cellIs" dxfId="76" priority="78" operator="lessThan">
      <formula>0</formula>
    </cfRule>
  </conditionalFormatting>
  <conditionalFormatting sqref="AF7">
    <cfRule type="cellIs" dxfId="75" priority="75" operator="equal">
      <formula>0</formula>
    </cfRule>
    <cfRule type="cellIs" dxfId="74" priority="76" operator="lessThan">
      <formula>0</formula>
    </cfRule>
  </conditionalFormatting>
  <conditionalFormatting sqref="AD7">
    <cfRule type="cellIs" dxfId="73" priority="73" operator="equal">
      <formula>0</formula>
    </cfRule>
    <cfRule type="cellIs" dxfId="72" priority="74" operator="lessThan">
      <formula>0</formula>
    </cfRule>
  </conditionalFormatting>
  <conditionalFormatting sqref="AL5">
    <cfRule type="cellIs" dxfId="71" priority="71" operator="equal">
      <formula>0</formula>
    </cfRule>
    <cfRule type="cellIs" dxfId="70" priority="72" operator="lessThan">
      <formula>0</formula>
    </cfRule>
  </conditionalFormatting>
  <conditionalFormatting sqref="AM5">
    <cfRule type="cellIs" dxfId="69" priority="69" operator="equal">
      <formula>0</formula>
    </cfRule>
    <cfRule type="cellIs" dxfId="68" priority="70" operator="lessThan">
      <formula>0</formula>
    </cfRule>
  </conditionalFormatting>
  <conditionalFormatting sqref="AK5">
    <cfRule type="cellIs" dxfId="67" priority="67" operator="equal">
      <formula>0</formula>
    </cfRule>
    <cfRule type="cellIs" dxfId="66" priority="68" operator="lessThan">
      <formula>0</formula>
    </cfRule>
  </conditionalFormatting>
  <conditionalFormatting sqref="AL7">
    <cfRule type="cellIs" dxfId="65" priority="65" operator="equal">
      <formula>0</formula>
    </cfRule>
    <cfRule type="cellIs" dxfId="64" priority="66" operator="lessThan">
      <formula>0</formula>
    </cfRule>
  </conditionalFormatting>
  <conditionalFormatting sqref="AM7">
    <cfRule type="cellIs" dxfId="63" priority="63" operator="equal">
      <formula>0</formula>
    </cfRule>
    <cfRule type="cellIs" dxfId="62" priority="64" operator="lessThan">
      <formula>0</formula>
    </cfRule>
  </conditionalFormatting>
  <conditionalFormatting sqref="AK7">
    <cfRule type="cellIs" dxfId="61" priority="61" operator="equal">
      <formula>0</formula>
    </cfRule>
    <cfRule type="cellIs" dxfId="60" priority="62" operator="lessThan">
      <formula>0</formula>
    </cfRule>
  </conditionalFormatting>
  <conditionalFormatting sqref="AS5">
    <cfRule type="cellIs" dxfId="59" priority="59" operator="equal">
      <formula>0</formula>
    </cfRule>
    <cfRule type="cellIs" dxfId="58" priority="60" operator="lessThan">
      <formula>0</formula>
    </cfRule>
  </conditionalFormatting>
  <conditionalFormatting sqref="AT5">
    <cfRule type="cellIs" dxfId="57" priority="57" operator="equal">
      <formula>0</formula>
    </cfRule>
    <cfRule type="cellIs" dxfId="56" priority="58" operator="lessThan">
      <formula>0</formula>
    </cfRule>
  </conditionalFormatting>
  <conditionalFormatting sqref="AR5">
    <cfRule type="cellIs" dxfId="55" priority="55" operator="equal">
      <formula>0</formula>
    </cfRule>
    <cfRule type="cellIs" dxfId="54" priority="56" operator="lessThan">
      <formula>0</formula>
    </cfRule>
  </conditionalFormatting>
  <conditionalFormatting sqref="AS7">
    <cfRule type="cellIs" dxfId="53" priority="53" operator="equal">
      <formula>0</formula>
    </cfRule>
    <cfRule type="cellIs" dxfId="52" priority="54" operator="lessThan">
      <formula>0</formula>
    </cfRule>
  </conditionalFormatting>
  <conditionalFormatting sqref="AT7">
    <cfRule type="cellIs" dxfId="51" priority="51" operator="equal">
      <formula>0</formula>
    </cfRule>
    <cfRule type="cellIs" dxfId="50" priority="52" operator="lessThan">
      <formula>0</formula>
    </cfRule>
  </conditionalFormatting>
  <conditionalFormatting sqref="AR7">
    <cfRule type="cellIs" dxfId="49" priority="49" operator="equal">
      <formula>0</formula>
    </cfRule>
    <cfRule type="cellIs" dxfId="48" priority="50" operator="lessThan">
      <formula>0</formula>
    </cfRule>
  </conditionalFormatting>
  <conditionalFormatting sqref="AZ5">
    <cfRule type="cellIs" dxfId="47" priority="47" operator="equal">
      <formula>0</formula>
    </cfRule>
    <cfRule type="cellIs" dxfId="46" priority="48" operator="lessThan">
      <formula>0</formula>
    </cfRule>
  </conditionalFormatting>
  <conditionalFormatting sqref="BA5">
    <cfRule type="cellIs" dxfId="45" priority="45" operator="equal">
      <formula>0</formula>
    </cfRule>
    <cfRule type="cellIs" dxfId="44" priority="46" operator="lessThan">
      <formula>0</formula>
    </cfRule>
  </conditionalFormatting>
  <conditionalFormatting sqref="AY5">
    <cfRule type="cellIs" dxfId="43" priority="43" operator="equal">
      <formula>0</formula>
    </cfRule>
    <cfRule type="cellIs" dxfId="42" priority="44" operator="lessThan">
      <formula>0</formula>
    </cfRule>
  </conditionalFormatting>
  <conditionalFormatting sqref="AZ7">
    <cfRule type="cellIs" dxfId="41" priority="41" operator="equal">
      <formula>0</formula>
    </cfRule>
    <cfRule type="cellIs" dxfId="40" priority="42" operator="lessThan">
      <formula>0</formula>
    </cfRule>
  </conditionalFormatting>
  <conditionalFormatting sqref="AY7">
    <cfRule type="cellIs" dxfId="39" priority="39" operator="equal">
      <formula>0</formula>
    </cfRule>
    <cfRule type="cellIs" dxfId="38" priority="40" operator="lessThan">
      <formula>0</formula>
    </cfRule>
  </conditionalFormatting>
  <conditionalFormatting sqref="BA7">
    <cfRule type="cellIs" dxfId="37" priority="37" operator="equal">
      <formula>0</formula>
    </cfRule>
    <cfRule type="cellIs" dxfId="36" priority="38" operator="lessThan">
      <formula>0</formula>
    </cfRule>
  </conditionalFormatting>
  <conditionalFormatting sqref="BG5">
    <cfRule type="cellIs" dxfId="35" priority="35" operator="equal">
      <formula>0</formula>
    </cfRule>
    <cfRule type="cellIs" dxfId="34" priority="36" operator="lessThan">
      <formula>0</formula>
    </cfRule>
  </conditionalFormatting>
  <conditionalFormatting sqref="BF5">
    <cfRule type="cellIs" dxfId="33" priority="33" operator="equal">
      <formula>0</formula>
    </cfRule>
    <cfRule type="cellIs" dxfId="32" priority="34" operator="lessThan">
      <formula>0</formula>
    </cfRule>
  </conditionalFormatting>
  <conditionalFormatting sqref="BH5">
    <cfRule type="cellIs" dxfId="31" priority="31" operator="equal">
      <formula>0</formula>
    </cfRule>
    <cfRule type="cellIs" dxfId="30" priority="32" operator="lessThan">
      <formula>0</formula>
    </cfRule>
  </conditionalFormatting>
  <conditionalFormatting sqref="BG7">
    <cfRule type="cellIs" dxfId="29" priority="29" operator="equal">
      <formula>0</formula>
    </cfRule>
    <cfRule type="cellIs" dxfId="28" priority="30" operator="lessThan">
      <formula>0</formula>
    </cfRule>
  </conditionalFormatting>
  <conditionalFormatting sqref="BF7">
    <cfRule type="cellIs" dxfId="27" priority="27" operator="equal">
      <formula>0</formula>
    </cfRule>
    <cfRule type="cellIs" dxfId="26" priority="28" operator="lessThan">
      <formula>0</formula>
    </cfRule>
  </conditionalFormatting>
  <conditionalFormatting sqref="BH7">
    <cfRule type="cellIs" dxfId="25" priority="25" operator="equal">
      <formula>0</formula>
    </cfRule>
    <cfRule type="cellIs" dxfId="24" priority="26" operator="lessThan">
      <formula>0</formula>
    </cfRule>
  </conditionalFormatting>
  <conditionalFormatting sqref="BN5">
    <cfRule type="cellIs" dxfId="23" priority="23" operator="equal">
      <formula>0</formula>
    </cfRule>
    <cfRule type="cellIs" dxfId="22" priority="24" operator="lessThan">
      <formula>0</formula>
    </cfRule>
  </conditionalFormatting>
  <conditionalFormatting sqref="BM5">
    <cfRule type="cellIs" dxfId="21" priority="21" operator="equal">
      <formula>0</formula>
    </cfRule>
    <cfRule type="cellIs" dxfId="20" priority="22" operator="lessThan">
      <formula>0</formula>
    </cfRule>
  </conditionalFormatting>
  <conditionalFormatting sqref="BO5">
    <cfRule type="cellIs" dxfId="19" priority="19" operator="equal">
      <formula>0</formula>
    </cfRule>
    <cfRule type="cellIs" dxfId="18" priority="20" operator="lessThan">
      <formula>0</formula>
    </cfRule>
  </conditionalFormatting>
  <conditionalFormatting sqref="BN7">
    <cfRule type="cellIs" dxfId="17" priority="17" operator="equal">
      <formula>0</formula>
    </cfRule>
    <cfRule type="cellIs" dxfId="16" priority="18" operator="lessThan">
      <formula>0</formula>
    </cfRule>
  </conditionalFormatting>
  <conditionalFormatting sqref="BM7">
    <cfRule type="cellIs" dxfId="15" priority="15" operator="equal">
      <formula>0</formula>
    </cfRule>
    <cfRule type="cellIs" dxfId="14" priority="16" operator="lessThan">
      <formula>0</formula>
    </cfRule>
  </conditionalFormatting>
  <conditionalFormatting sqref="BO7">
    <cfRule type="cellIs" dxfId="13" priority="13" operator="equal">
      <formula>0</formula>
    </cfRule>
    <cfRule type="cellIs" dxfId="12" priority="14" operator="lessThan">
      <formula>0</formula>
    </cfRule>
  </conditionalFormatting>
  <conditionalFormatting sqref="BU5">
    <cfRule type="cellIs" dxfId="11" priority="11" operator="equal">
      <formula>0</formula>
    </cfRule>
    <cfRule type="cellIs" dxfId="10" priority="12" operator="lessThan">
      <formula>0</formula>
    </cfRule>
  </conditionalFormatting>
  <conditionalFormatting sqref="BT5">
    <cfRule type="cellIs" dxfId="9" priority="9" operator="equal">
      <formula>0</formula>
    </cfRule>
    <cfRule type="cellIs" dxfId="8" priority="10" operator="lessThan">
      <formula>0</formula>
    </cfRule>
  </conditionalFormatting>
  <conditionalFormatting sqref="BV5">
    <cfRule type="cellIs" dxfId="7" priority="7" operator="equal">
      <formula>0</formula>
    </cfRule>
    <cfRule type="cellIs" dxfId="6" priority="8" operator="lessThan">
      <formula>0</formula>
    </cfRule>
  </conditionalFormatting>
  <conditionalFormatting sqref="BU7">
    <cfRule type="cellIs" dxfId="5" priority="5" operator="equal">
      <formula>0</formula>
    </cfRule>
    <cfRule type="cellIs" dxfId="4" priority="6" operator="lessThan">
      <formula>0</formula>
    </cfRule>
  </conditionalFormatting>
  <conditionalFormatting sqref="BT7">
    <cfRule type="cellIs" dxfId="3" priority="3" operator="equal">
      <formula>0</formula>
    </cfRule>
    <cfRule type="cellIs" dxfId="2" priority="4" operator="lessThan">
      <formula>0</formula>
    </cfRule>
  </conditionalFormatting>
  <conditionalFormatting sqref="BV7">
    <cfRule type="cellIs" dxfId="1" priority="1" operator="equal">
      <formula>0</formula>
    </cfRule>
    <cfRule type="cellIs" dxfId="0" priority="2" operator="lessThan">
      <formula>0</formula>
    </cfRule>
  </conditionalFormatting>
  <printOptions horizontalCentered="1"/>
  <pageMargins left="0.19685039370078741" right="0.19685039370078741" top="0.59055118110236227" bottom="0.78740157480314965" header="0.19685039370078741" footer="0.19685039370078741"/>
  <pageSetup paperSize="9" fitToHeight="0" orientation="landscape" r:id="rId1"/>
  <headerFooter>
    <oddFooter>&amp;L&amp;"B Nazanin,Regular"نام و امضاء مدیرعامل                  &amp;"-,Regular"  &amp;C&amp;"B Nazanin,Regular"&amp;P&amp;R&amp;"B Nazanin,Regular"          نام و امضاء معاون / مدیر مالی
          نام و امضاء مدیر / مسئول بودجه</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10</vt:i4>
      </vt:variant>
    </vt:vector>
  </HeadingPairs>
  <TitlesOfParts>
    <vt:vector size="17" baseType="lpstr">
      <vt:lpstr>جدول فروش خدمات</vt:lpstr>
      <vt:lpstr>تعداد پرسنل</vt:lpstr>
      <vt:lpstr>هزینه پرسنلی مستقیم خدمات</vt:lpstr>
      <vt:lpstr>پروژه ها</vt:lpstr>
      <vt:lpstr>ماشین آلات </vt:lpstr>
      <vt:lpstr>ظرفیت انبارها</vt:lpstr>
      <vt:lpstr>جدول درآمد-هزینه-سود شرکتها</vt:lpstr>
      <vt:lpstr>'پروژه ها'!Print_Area</vt:lpstr>
      <vt:lpstr>'تعداد پرسنل'!Print_Area</vt:lpstr>
      <vt:lpstr>'جدول درآمد-هزینه-سود شرکتها'!Print_Area</vt:lpstr>
      <vt:lpstr>'جدول فروش خدمات'!Print_Area</vt:lpstr>
      <vt:lpstr>'ظرفیت انبارها'!Print_Area</vt:lpstr>
      <vt:lpstr>'ماشین آلات '!Print_Area</vt:lpstr>
      <vt:lpstr>'هزینه پرسنلی مستقیم خدمات'!Print_Area</vt:lpstr>
      <vt:lpstr>'پروژه ها'!Print_Titles</vt:lpstr>
      <vt:lpstr>'ظرفیت انبارها'!Print_Titles</vt:lpstr>
      <vt:lpstr>'هزینه پرسنلی مستقیم خدمات'!Print_Titles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meysam anjidani</dc:creator>
  <cp:lastModifiedBy>meysam anjidani</cp:lastModifiedBy>
  <dcterms:created xsi:type="dcterms:W3CDTF">2026-10-05T04:21:21Z</dcterms:created>
  <dcterms:modified xsi:type="dcterms:W3CDTF">2026-10-05T04:22:30Z</dcterms:modified>
</cp:coreProperties>
</file>