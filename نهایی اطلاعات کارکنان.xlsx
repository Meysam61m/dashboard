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filterPrivacy="1"/>
  <xr:revisionPtr revIDLastSave="0" documentId="13_ncr:1_{E86DFA77-7164-4842-9C3A-EE28A586559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مرداد 1405" sheetId="35" r:id="rId1"/>
  </sheets>
  <definedNames>
    <definedName name="_xlnm._FilterDatabase" localSheetId="0" hidden="1">'مرداد 1405'!$A$4:$DD$245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B48" i="35" l="1"/>
  <c r="AB49" i="35"/>
  <c r="AG215" i="35"/>
  <c r="AK6" i="35"/>
  <c r="AJ6" i="35" s="1"/>
  <c r="AK7" i="35"/>
  <c r="AK8" i="35"/>
  <c r="AK9" i="35"/>
  <c r="AJ9" i="35" s="1"/>
  <c r="AK10" i="35"/>
  <c r="AJ10" i="35" s="1"/>
  <c r="AK11" i="35"/>
  <c r="AJ11" i="35" s="1"/>
  <c r="AK12" i="35"/>
  <c r="AJ12" i="35" s="1"/>
  <c r="AK13" i="35"/>
  <c r="AI13" i="35" s="1"/>
  <c r="AK14" i="35"/>
  <c r="AJ14" i="35" s="1"/>
  <c r="AK15" i="35"/>
  <c r="AK16" i="35"/>
  <c r="AK17" i="35"/>
  <c r="AJ17" i="35" s="1"/>
  <c r="AK18" i="35"/>
  <c r="AJ18" i="35" s="1"/>
  <c r="AK19" i="35"/>
  <c r="AJ19" i="35" s="1"/>
  <c r="AK20" i="35"/>
  <c r="AJ20" i="35" s="1"/>
  <c r="AK21" i="35"/>
  <c r="AI21" i="35" s="1"/>
  <c r="AK22" i="35"/>
  <c r="AJ22" i="35" s="1"/>
  <c r="AK23" i="35"/>
  <c r="AK24" i="35"/>
  <c r="AK25" i="35"/>
  <c r="AJ25" i="35" s="1"/>
  <c r="AK26" i="35"/>
  <c r="AI26" i="35" s="1"/>
  <c r="AK27" i="35"/>
  <c r="AJ27" i="35" s="1"/>
  <c r="AK28" i="35"/>
  <c r="AJ28" i="35" s="1"/>
  <c r="AK29" i="35"/>
  <c r="AI29" i="35" s="1"/>
  <c r="AK30" i="35"/>
  <c r="AJ30" i="35" s="1"/>
  <c r="AK31" i="35"/>
  <c r="AK32" i="35"/>
  <c r="AK33" i="35"/>
  <c r="AJ33" i="35" s="1"/>
  <c r="AK34" i="35"/>
  <c r="AJ34" i="35" s="1"/>
  <c r="AK35" i="35"/>
  <c r="AJ35" i="35" s="1"/>
  <c r="AK36" i="35"/>
  <c r="AI36" i="35" s="1"/>
  <c r="AK37" i="35"/>
  <c r="AI37" i="35" s="1"/>
  <c r="AK38" i="35"/>
  <c r="AJ38" i="35" s="1"/>
  <c r="AK39" i="35"/>
  <c r="AK40" i="35"/>
  <c r="AK41" i="35"/>
  <c r="AJ41" i="35" s="1"/>
  <c r="AK42" i="35"/>
  <c r="AI42" i="35" s="1"/>
  <c r="AK43" i="35"/>
  <c r="AJ43" i="35" s="1"/>
  <c r="AK44" i="35"/>
  <c r="AI44" i="35" s="1"/>
  <c r="AK45" i="35"/>
  <c r="AI45" i="35" s="1"/>
  <c r="AK46" i="35"/>
  <c r="AJ46" i="35" s="1"/>
  <c r="AK47" i="35"/>
  <c r="AK48" i="35"/>
  <c r="AK49" i="35"/>
  <c r="AJ49" i="35" s="1"/>
  <c r="AK50" i="35"/>
  <c r="AI50" i="35" s="1"/>
  <c r="AK51" i="35"/>
  <c r="AI51" i="35" s="1"/>
  <c r="AK52" i="35"/>
  <c r="AJ52" i="35" s="1"/>
  <c r="AK53" i="35"/>
  <c r="AI53" i="35" s="1"/>
  <c r="AK54" i="35"/>
  <c r="AJ54" i="35" s="1"/>
  <c r="AK55" i="35"/>
  <c r="AK56" i="35"/>
  <c r="AK57" i="35"/>
  <c r="AJ57" i="35" s="1"/>
  <c r="AK58" i="35"/>
  <c r="AJ58" i="35" s="1"/>
  <c r="AK59" i="35"/>
  <c r="AJ59" i="35" s="1"/>
  <c r="AK60" i="35"/>
  <c r="AI60" i="35" s="1"/>
  <c r="AK61" i="35"/>
  <c r="AI61" i="35" s="1"/>
  <c r="AK62" i="35"/>
  <c r="AJ62" i="35" s="1"/>
  <c r="AK63" i="35"/>
  <c r="AK64" i="35"/>
  <c r="AK65" i="35"/>
  <c r="AJ65" i="35" s="1"/>
  <c r="AK66" i="35"/>
  <c r="AJ66" i="35" s="1"/>
  <c r="AK67" i="35"/>
  <c r="AJ67" i="35" s="1"/>
  <c r="AK68" i="35"/>
  <c r="AJ68" i="35" s="1"/>
  <c r="AK69" i="35"/>
  <c r="AI69" i="35" s="1"/>
  <c r="AK70" i="35"/>
  <c r="AJ70" i="35" s="1"/>
  <c r="AK71" i="35"/>
  <c r="AK72" i="35"/>
  <c r="AK73" i="35"/>
  <c r="AJ73" i="35" s="1"/>
  <c r="AK74" i="35"/>
  <c r="AJ74" i="35" s="1"/>
  <c r="AK75" i="35"/>
  <c r="AJ75" i="35" s="1"/>
  <c r="AK76" i="35"/>
  <c r="AJ76" i="35" s="1"/>
  <c r="AK77" i="35"/>
  <c r="AI77" i="35" s="1"/>
  <c r="AK78" i="35"/>
  <c r="AJ78" i="35" s="1"/>
  <c r="AK79" i="35"/>
  <c r="AK80" i="35"/>
  <c r="AK81" i="35"/>
  <c r="AJ81" i="35" s="1"/>
  <c r="AK82" i="35"/>
  <c r="AI82" i="35" s="1"/>
  <c r="AK83" i="35"/>
  <c r="AJ83" i="35" s="1"/>
  <c r="AK84" i="35"/>
  <c r="AI84" i="35" s="1"/>
  <c r="AK85" i="35"/>
  <c r="AI85" i="35" s="1"/>
  <c r="AK86" i="35"/>
  <c r="AJ86" i="35" s="1"/>
  <c r="AK87" i="35"/>
  <c r="AK88" i="35"/>
  <c r="AK89" i="35"/>
  <c r="AJ89" i="35" s="1"/>
  <c r="AK90" i="35"/>
  <c r="AJ90" i="35" s="1"/>
  <c r="AK91" i="35"/>
  <c r="AJ91" i="35" s="1"/>
  <c r="AK92" i="35"/>
  <c r="AI92" i="35" s="1"/>
  <c r="AK93" i="35"/>
  <c r="AI93" i="35" s="1"/>
  <c r="AK94" i="35"/>
  <c r="AJ94" i="35" s="1"/>
  <c r="AK95" i="35"/>
  <c r="AK96" i="35"/>
  <c r="AK97" i="35"/>
  <c r="AJ97" i="35" s="1"/>
  <c r="AK98" i="35"/>
  <c r="AI98" i="35" s="1"/>
  <c r="AK99" i="35"/>
  <c r="AI99" i="35" s="1"/>
  <c r="AK100" i="35"/>
  <c r="AJ100" i="35" s="1"/>
  <c r="AK101" i="35"/>
  <c r="AI101" i="35" s="1"/>
  <c r="AK102" i="35"/>
  <c r="AJ102" i="35" s="1"/>
  <c r="AK103" i="35"/>
  <c r="AK104" i="35"/>
  <c r="AK105" i="35"/>
  <c r="AJ105" i="35" s="1"/>
  <c r="AK106" i="35"/>
  <c r="AI106" i="35" s="1"/>
  <c r="AK107" i="35"/>
  <c r="AJ107" i="35" s="1"/>
  <c r="AK108" i="35"/>
  <c r="AJ108" i="35" s="1"/>
  <c r="AK109" i="35"/>
  <c r="AI109" i="35" s="1"/>
  <c r="AK110" i="35"/>
  <c r="AJ110" i="35" s="1"/>
  <c r="AK111" i="35"/>
  <c r="AK112" i="35"/>
  <c r="AK113" i="35"/>
  <c r="AJ113" i="35" s="1"/>
  <c r="AK114" i="35"/>
  <c r="AJ114" i="35" s="1"/>
  <c r="AK115" i="35"/>
  <c r="AI115" i="35" s="1"/>
  <c r="AK116" i="35"/>
  <c r="AI116" i="35" s="1"/>
  <c r="AK117" i="35"/>
  <c r="AI117" i="35" s="1"/>
  <c r="AK118" i="35"/>
  <c r="AJ118" i="35" s="1"/>
  <c r="AK119" i="35"/>
  <c r="AK120" i="35"/>
  <c r="AK121" i="35"/>
  <c r="AJ121" i="35" s="1"/>
  <c r="AK122" i="35"/>
  <c r="AJ122" i="35" s="1"/>
  <c r="AK123" i="35"/>
  <c r="AJ123" i="35" s="1"/>
  <c r="AK124" i="35"/>
  <c r="AJ124" i="35" s="1"/>
  <c r="AK125" i="35"/>
  <c r="AI125" i="35" s="1"/>
  <c r="AK126" i="35"/>
  <c r="AJ126" i="35" s="1"/>
  <c r="AK127" i="35"/>
  <c r="AK128" i="35"/>
  <c r="AK129" i="35"/>
  <c r="AJ129" i="35" s="1"/>
  <c r="AK130" i="35"/>
  <c r="AI130" i="35" s="1"/>
  <c r="AK131" i="35"/>
  <c r="AJ131" i="35" s="1"/>
  <c r="AK132" i="35"/>
  <c r="AI132" i="35" s="1"/>
  <c r="AK133" i="35"/>
  <c r="AI133" i="35" s="1"/>
  <c r="AK134" i="35"/>
  <c r="AJ134" i="35" s="1"/>
  <c r="AK135" i="35"/>
  <c r="AK136" i="35"/>
  <c r="AK137" i="35"/>
  <c r="AJ137" i="35" s="1"/>
  <c r="AK138" i="35"/>
  <c r="AJ138" i="35" s="1"/>
  <c r="AK139" i="35"/>
  <c r="AJ139" i="35" s="1"/>
  <c r="AK140" i="35"/>
  <c r="AI140" i="35" s="1"/>
  <c r="AK141" i="35"/>
  <c r="AI141" i="35" s="1"/>
  <c r="AK142" i="35"/>
  <c r="AJ142" i="35" s="1"/>
  <c r="AK143" i="35"/>
  <c r="AK144" i="35"/>
  <c r="AK145" i="35"/>
  <c r="AJ145" i="35" s="1"/>
  <c r="AK146" i="35"/>
  <c r="AJ146" i="35" s="1"/>
  <c r="AK147" i="35"/>
  <c r="AI147" i="35" s="1"/>
  <c r="AK148" i="35"/>
  <c r="AJ148" i="35" s="1"/>
  <c r="AK149" i="35"/>
  <c r="AI149" i="35" s="1"/>
  <c r="AK150" i="35"/>
  <c r="AJ150" i="35" s="1"/>
  <c r="AK151" i="35"/>
  <c r="AK152" i="35"/>
  <c r="AK153" i="35"/>
  <c r="AJ153" i="35" s="1"/>
  <c r="AK154" i="35"/>
  <c r="AI154" i="35" s="1"/>
  <c r="AK155" i="35"/>
  <c r="AJ155" i="35" s="1"/>
  <c r="AK156" i="35"/>
  <c r="AJ156" i="35" s="1"/>
  <c r="AK157" i="35"/>
  <c r="AI157" i="35" s="1"/>
  <c r="AK158" i="35"/>
  <c r="AJ158" i="35" s="1"/>
  <c r="AK159" i="35"/>
  <c r="AK160" i="35"/>
  <c r="AK161" i="35"/>
  <c r="AJ161" i="35" s="1"/>
  <c r="AK162" i="35"/>
  <c r="AJ162" i="35" s="1"/>
  <c r="AK163" i="35"/>
  <c r="AJ163" i="35" s="1"/>
  <c r="AK164" i="35"/>
  <c r="AJ164" i="35" s="1"/>
  <c r="AK165" i="35"/>
  <c r="AI165" i="35" s="1"/>
  <c r="AK166" i="35"/>
  <c r="AJ166" i="35" s="1"/>
  <c r="AK167" i="35"/>
  <c r="AK168" i="35"/>
  <c r="AK169" i="35"/>
  <c r="AJ169" i="35" s="1"/>
  <c r="AK170" i="35"/>
  <c r="AI170" i="35" s="1"/>
  <c r="AK171" i="35"/>
  <c r="AJ171" i="35" s="1"/>
  <c r="AK172" i="35"/>
  <c r="AI172" i="35" s="1"/>
  <c r="AK173" i="35"/>
  <c r="AI173" i="35" s="1"/>
  <c r="AK174" i="35"/>
  <c r="AJ174" i="35" s="1"/>
  <c r="AK175" i="35"/>
  <c r="AK176" i="35"/>
  <c r="AK177" i="35"/>
  <c r="AJ177" i="35" s="1"/>
  <c r="AK178" i="35"/>
  <c r="AI178" i="35" s="1"/>
  <c r="AK179" i="35"/>
  <c r="AI179" i="35" s="1"/>
  <c r="AK180" i="35"/>
  <c r="AI180" i="35" s="1"/>
  <c r="AK181" i="35"/>
  <c r="AI181" i="35" s="1"/>
  <c r="AK182" i="35"/>
  <c r="AJ182" i="35" s="1"/>
  <c r="AK183" i="35"/>
  <c r="AK184" i="35"/>
  <c r="AK185" i="35"/>
  <c r="AJ185" i="35" s="1"/>
  <c r="AK186" i="35"/>
  <c r="AJ186" i="35" s="1"/>
  <c r="AK187" i="35"/>
  <c r="AJ187" i="35" s="1"/>
  <c r="AK188" i="35"/>
  <c r="AJ188" i="35" s="1"/>
  <c r="AK189" i="35"/>
  <c r="AI189" i="35" s="1"/>
  <c r="AK190" i="35"/>
  <c r="AJ190" i="35" s="1"/>
  <c r="AK191" i="35"/>
  <c r="AK192" i="35"/>
  <c r="AK193" i="35"/>
  <c r="AJ193" i="35" s="1"/>
  <c r="AK194" i="35"/>
  <c r="AJ194" i="35" s="1"/>
  <c r="AK195" i="35"/>
  <c r="AJ195" i="35" s="1"/>
  <c r="AK196" i="35"/>
  <c r="AI196" i="35" s="1"/>
  <c r="AK197" i="35"/>
  <c r="AI197" i="35" s="1"/>
  <c r="AK198" i="35"/>
  <c r="AJ198" i="35" s="1"/>
  <c r="AK199" i="35"/>
  <c r="AI199" i="35" s="1"/>
  <c r="AK200" i="35"/>
  <c r="AK201" i="35"/>
  <c r="AJ201" i="35" s="1"/>
  <c r="AK202" i="35"/>
  <c r="AJ202" i="35" s="1"/>
  <c r="AK203" i="35"/>
  <c r="AI203" i="35" s="1"/>
  <c r="AK204" i="35"/>
  <c r="AJ204" i="35" s="1"/>
  <c r="AK205" i="35"/>
  <c r="AI205" i="35" s="1"/>
  <c r="AK206" i="35"/>
  <c r="AJ206" i="35" s="1"/>
  <c r="AK207" i="35"/>
  <c r="AI207" i="35" s="1"/>
  <c r="AK208" i="35"/>
  <c r="AK209" i="35"/>
  <c r="AJ209" i="35" s="1"/>
  <c r="AK210" i="35"/>
  <c r="AI210" i="35" s="1"/>
  <c r="AK211" i="35"/>
  <c r="AI211" i="35" s="1"/>
  <c r="AK212" i="35"/>
  <c r="AJ212" i="35" s="1"/>
  <c r="AK213" i="35"/>
  <c r="AI213" i="35" s="1"/>
  <c r="AK214" i="35"/>
  <c r="AJ214" i="35" s="1"/>
  <c r="AK215" i="35"/>
  <c r="AI215" i="35" s="1"/>
  <c r="AK216" i="35"/>
  <c r="AK217" i="35"/>
  <c r="AJ217" i="35" s="1"/>
  <c r="AK218" i="35"/>
  <c r="AI218" i="35" s="1"/>
  <c r="AK219" i="35"/>
  <c r="AI219" i="35" s="1"/>
  <c r="AK220" i="35"/>
  <c r="AI220" i="35" s="1"/>
  <c r="AK221" i="35"/>
  <c r="AI221" i="35" s="1"/>
  <c r="AK222" i="35"/>
  <c r="AJ222" i="35" s="1"/>
  <c r="AK223" i="35"/>
  <c r="AI223" i="35" s="1"/>
  <c r="AK224" i="35"/>
  <c r="AK225" i="35"/>
  <c r="AJ225" i="35" s="1"/>
  <c r="AK226" i="35"/>
  <c r="AJ226" i="35" s="1"/>
  <c r="AK227" i="35"/>
  <c r="AJ227" i="35" s="1"/>
  <c r="AK228" i="35"/>
  <c r="AI228" i="35" s="1"/>
  <c r="AK229" i="35"/>
  <c r="AJ229" i="35" s="1"/>
  <c r="AK230" i="35"/>
  <c r="AI230" i="35" s="1"/>
  <c r="AK231" i="35"/>
  <c r="AK232" i="35"/>
  <c r="AJ232" i="35" s="1"/>
  <c r="AK233" i="35"/>
  <c r="AJ233" i="35" s="1"/>
  <c r="AK234" i="35"/>
  <c r="AI234" i="35" s="1"/>
  <c r="AK235" i="35"/>
  <c r="AI235" i="35" s="1"/>
  <c r="AK236" i="35"/>
  <c r="AI236" i="35" s="1"/>
  <c r="AK237" i="35"/>
  <c r="AJ237" i="35" s="1"/>
  <c r="AK238" i="35"/>
  <c r="AI238" i="35" s="1"/>
  <c r="AK239" i="35"/>
  <c r="AK240" i="35"/>
  <c r="AJ240" i="35" s="1"/>
  <c r="AK241" i="35"/>
  <c r="AI241" i="35" s="1"/>
  <c r="AK242" i="35"/>
  <c r="AI242" i="35" s="1"/>
  <c r="AK243" i="35"/>
  <c r="AJ243" i="35" s="1"/>
  <c r="AK244" i="35"/>
  <c r="AI244" i="35" s="1"/>
  <c r="AK245" i="35"/>
  <c r="AJ245" i="35" s="1"/>
  <c r="AK5" i="35"/>
  <c r="AI227" i="35" l="1"/>
  <c r="AI122" i="35"/>
  <c r="AI74" i="35"/>
  <c r="AI20" i="35"/>
  <c r="AJ133" i="35"/>
  <c r="AJ116" i="35"/>
  <c r="AJ109" i="35"/>
  <c r="AJ84" i="35"/>
  <c r="AI52" i="35"/>
  <c r="AI34" i="35"/>
  <c r="AJ149" i="35"/>
  <c r="AJ223" i="35"/>
  <c r="AI164" i="35"/>
  <c r="AJ61" i="35"/>
  <c r="AJ181" i="35"/>
  <c r="AJ44" i="35"/>
  <c r="AJ189" i="35"/>
  <c r="AJ154" i="35"/>
  <c r="AJ29" i="35"/>
  <c r="AI162" i="35"/>
  <c r="AI66" i="35"/>
  <c r="AJ220" i="35"/>
  <c r="AJ82" i="35"/>
  <c r="AI212" i="35"/>
  <c r="AI155" i="35"/>
  <c r="AI114" i="35"/>
  <c r="AI59" i="35"/>
  <c r="AI12" i="35"/>
  <c r="AJ213" i="35"/>
  <c r="AJ178" i="35"/>
  <c r="AJ141" i="35"/>
  <c r="AJ106" i="35"/>
  <c r="AJ77" i="35"/>
  <c r="AJ36" i="35"/>
  <c r="AJ42" i="35"/>
  <c r="AI204" i="35"/>
  <c r="AI108" i="35"/>
  <c r="AI58" i="35"/>
  <c r="AJ242" i="35"/>
  <c r="AJ211" i="35"/>
  <c r="AJ172" i="35"/>
  <c r="AJ140" i="35"/>
  <c r="AJ101" i="35"/>
  <c r="AI138" i="35"/>
  <c r="AJ210" i="35"/>
  <c r="AI194" i="35"/>
  <c r="AI134" i="35"/>
  <c r="AI100" i="35"/>
  <c r="AJ235" i="35"/>
  <c r="AJ132" i="35"/>
  <c r="AJ98" i="35"/>
  <c r="AJ60" i="35"/>
  <c r="AJ26" i="35"/>
  <c r="AI195" i="35"/>
  <c r="AJ241" i="35"/>
  <c r="AJ170" i="35"/>
  <c r="AJ99" i="35"/>
  <c r="AJ228" i="35"/>
  <c r="AJ196" i="35"/>
  <c r="AJ130" i="35"/>
  <c r="AJ92" i="35"/>
  <c r="AJ53" i="35"/>
  <c r="AJ21" i="35"/>
  <c r="AI233" i="35"/>
  <c r="AI76" i="35"/>
  <c r="AJ157" i="35"/>
  <c r="AJ85" i="35"/>
  <c r="AJ50" i="35"/>
  <c r="AI171" i="35"/>
  <c r="AI97" i="35"/>
  <c r="AI19" i="35"/>
  <c r="AJ115" i="35"/>
  <c r="AI226" i="35"/>
  <c r="AI188" i="35"/>
  <c r="AI148" i="35"/>
  <c r="AI131" i="35"/>
  <c r="AI110" i="35"/>
  <c r="AI73" i="35"/>
  <c r="AI57" i="35"/>
  <c r="AI35" i="35"/>
  <c r="AI18" i="35"/>
  <c r="AJ236" i="35"/>
  <c r="AJ221" i="35"/>
  <c r="AJ205" i="35"/>
  <c r="AJ165" i="35"/>
  <c r="AJ93" i="35"/>
  <c r="AJ37" i="35"/>
  <c r="AI187" i="35"/>
  <c r="AI91" i="35"/>
  <c r="AI70" i="35"/>
  <c r="AJ147" i="35"/>
  <c r="AI225" i="35"/>
  <c r="AI202" i="35"/>
  <c r="AI186" i="35"/>
  <c r="AI163" i="35"/>
  <c r="AI146" i="35"/>
  <c r="AI124" i="35"/>
  <c r="AI107" i="35"/>
  <c r="AI90" i="35"/>
  <c r="AI68" i="35"/>
  <c r="AI33" i="35"/>
  <c r="AI10" i="35"/>
  <c r="AJ234" i="35"/>
  <c r="AJ219" i="35"/>
  <c r="AJ180" i="35"/>
  <c r="AJ125" i="35"/>
  <c r="AJ69" i="35"/>
  <c r="AI237" i="35"/>
  <c r="AI201" i="35"/>
  <c r="AI123" i="35"/>
  <c r="AI67" i="35"/>
  <c r="AI46" i="35"/>
  <c r="AI28" i="35"/>
  <c r="AI9" i="35"/>
  <c r="AJ218" i="35"/>
  <c r="AJ197" i="35"/>
  <c r="AJ179" i="35"/>
  <c r="AJ51" i="35"/>
  <c r="AJ13" i="35"/>
  <c r="AI198" i="35"/>
  <c r="AI161" i="35"/>
  <c r="AI83" i="35"/>
  <c r="AI27" i="35"/>
  <c r="AI6" i="35"/>
  <c r="AI174" i="35"/>
  <c r="AI156" i="35"/>
  <c r="AI137" i="35"/>
  <c r="AI121" i="35"/>
  <c r="AI43" i="35"/>
  <c r="AJ244" i="35"/>
  <c r="AJ173" i="35"/>
  <c r="AJ117" i="35"/>
  <c r="AJ45" i="35"/>
  <c r="AI243" i="35"/>
  <c r="AJ239" i="35"/>
  <c r="AI239" i="35"/>
  <c r="AJ208" i="35"/>
  <c r="AI208" i="35"/>
  <c r="AJ184" i="35"/>
  <c r="AI184" i="35"/>
  <c r="AJ136" i="35"/>
  <c r="AI136" i="35"/>
  <c r="AJ80" i="35"/>
  <c r="AI80" i="35"/>
  <c r="AJ8" i="35"/>
  <c r="AI8" i="35"/>
  <c r="AJ175" i="35"/>
  <c r="AI175" i="35"/>
  <c r="AJ159" i="35"/>
  <c r="AI159" i="35"/>
  <c r="AJ143" i="35"/>
  <c r="AI143" i="35"/>
  <c r="AJ127" i="35"/>
  <c r="AI127" i="35"/>
  <c r="AJ95" i="35"/>
  <c r="AI95" i="35"/>
  <c r="AJ79" i="35"/>
  <c r="AI79" i="35"/>
  <c r="AJ63" i="35"/>
  <c r="AI63" i="35"/>
  <c r="AJ23" i="35"/>
  <c r="AI23" i="35"/>
  <c r="AJ7" i="35"/>
  <c r="AI7" i="35"/>
  <c r="AI245" i="35"/>
  <c r="AI145" i="35"/>
  <c r="AJ224" i="35"/>
  <c r="AI224" i="35"/>
  <c r="AJ192" i="35"/>
  <c r="AI192" i="35"/>
  <c r="AJ168" i="35"/>
  <c r="AI168" i="35"/>
  <c r="AJ152" i="35"/>
  <c r="AI152" i="35"/>
  <c r="AJ120" i="35"/>
  <c r="AI120" i="35"/>
  <c r="AJ112" i="35"/>
  <c r="AI112" i="35"/>
  <c r="AJ88" i="35"/>
  <c r="AI88" i="35"/>
  <c r="AJ64" i="35"/>
  <c r="AI64" i="35"/>
  <c r="AJ48" i="35"/>
  <c r="AI48" i="35"/>
  <c r="AJ32" i="35"/>
  <c r="AI32" i="35"/>
  <c r="AJ191" i="35"/>
  <c r="AI191" i="35"/>
  <c r="AJ47" i="35"/>
  <c r="AI47" i="35"/>
  <c r="AJ231" i="35"/>
  <c r="AI231" i="35"/>
  <c r="AJ200" i="35"/>
  <c r="AI200" i="35"/>
  <c r="AJ176" i="35"/>
  <c r="AI176" i="35"/>
  <c r="AJ160" i="35"/>
  <c r="AI160" i="35"/>
  <c r="AJ128" i="35"/>
  <c r="AI128" i="35"/>
  <c r="AJ96" i="35"/>
  <c r="AI96" i="35"/>
  <c r="AJ72" i="35"/>
  <c r="AI72" i="35"/>
  <c r="AJ56" i="35"/>
  <c r="AI56" i="35"/>
  <c r="AJ40" i="35"/>
  <c r="AI40" i="35"/>
  <c r="AJ16" i="35"/>
  <c r="AI16" i="35"/>
  <c r="AJ111" i="35"/>
  <c r="AI111" i="35"/>
  <c r="AI158" i="35"/>
  <c r="AI94" i="35"/>
  <c r="AI209" i="35"/>
  <c r="AI118" i="35"/>
  <c r="AI54" i="35"/>
  <c r="AI17" i="35"/>
  <c r="AI169" i="35"/>
  <c r="AI142" i="35"/>
  <c r="AI105" i="35"/>
  <c r="AI41" i="35"/>
  <c r="AI65" i="35"/>
  <c r="AI38" i="35"/>
  <c r="AJ215" i="35"/>
  <c r="AJ5" i="35"/>
  <c r="AI5" i="35"/>
  <c r="AJ151" i="35"/>
  <c r="AI151" i="35"/>
  <c r="AJ39" i="35"/>
  <c r="AI39" i="35"/>
  <c r="AI222" i="35"/>
  <c r="AI185" i="35"/>
  <c r="AI30" i="35"/>
  <c r="AJ207" i="35"/>
  <c r="AI182" i="35"/>
  <c r="AI81" i="35"/>
  <c r="AJ230" i="35"/>
  <c r="AI232" i="35"/>
  <c r="AI206" i="35"/>
  <c r="AI78" i="35"/>
  <c r="AI14" i="35"/>
  <c r="AI229" i="35"/>
  <c r="AI193" i="35"/>
  <c r="AI166" i="35"/>
  <c r="AI129" i="35"/>
  <c r="AI102" i="35"/>
  <c r="AJ203" i="35"/>
  <c r="AI217" i="35"/>
  <c r="AI190" i="35"/>
  <c r="AI153" i="35"/>
  <c r="AI139" i="35"/>
  <c r="AI126" i="35"/>
  <c r="AI89" i="35"/>
  <c r="AI75" i="35"/>
  <c r="AI62" i="35"/>
  <c r="AI25" i="35"/>
  <c r="AI11" i="35"/>
  <c r="AJ238" i="35"/>
  <c r="AJ216" i="35"/>
  <c r="AI216" i="35"/>
  <c r="AJ144" i="35"/>
  <c r="AI144" i="35"/>
  <c r="AJ104" i="35"/>
  <c r="AI104" i="35"/>
  <c r="AJ24" i="35"/>
  <c r="AI24" i="35"/>
  <c r="AJ183" i="35"/>
  <c r="AI183" i="35"/>
  <c r="AJ167" i="35"/>
  <c r="AI167" i="35"/>
  <c r="AJ135" i="35"/>
  <c r="AI135" i="35"/>
  <c r="AJ119" i="35"/>
  <c r="AI119" i="35"/>
  <c r="AJ103" i="35"/>
  <c r="AI103" i="35"/>
  <c r="AJ87" i="35"/>
  <c r="AI87" i="35"/>
  <c r="AJ71" i="35"/>
  <c r="AI71" i="35"/>
  <c r="AJ55" i="35"/>
  <c r="AI55" i="35"/>
  <c r="AJ31" i="35"/>
  <c r="AI31" i="35"/>
  <c r="AJ15" i="35"/>
  <c r="AI15" i="35"/>
  <c r="AI240" i="35"/>
  <c r="AI214" i="35"/>
  <c r="AI177" i="35"/>
  <c r="AI150" i="35"/>
  <c r="AI113" i="35"/>
  <c r="AI86" i="35"/>
  <c r="AI49" i="35"/>
  <c r="AI22" i="35"/>
  <c r="AJ199" i="35"/>
  <c r="Y5" i="35"/>
  <c r="X6" i="35"/>
  <c r="X7" i="35"/>
  <c r="X8" i="35"/>
  <c r="X9" i="35"/>
  <c r="X10" i="35"/>
  <c r="X11" i="35"/>
  <c r="X12" i="35"/>
  <c r="X13" i="35"/>
  <c r="X14" i="35"/>
  <c r="X15" i="35"/>
  <c r="X16" i="35"/>
  <c r="X17" i="35"/>
  <c r="X18" i="35"/>
  <c r="X19" i="35"/>
  <c r="X20" i="35"/>
  <c r="X21" i="35"/>
  <c r="X22" i="35"/>
  <c r="X23" i="35"/>
  <c r="X24" i="35"/>
  <c r="X25" i="35"/>
  <c r="X26" i="35"/>
  <c r="X27" i="35"/>
  <c r="X28" i="35"/>
  <c r="X29" i="35"/>
  <c r="X30" i="35"/>
  <c r="X31" i="35"/>
  <c r="X32" i="35"/>
  <c r="X33" i="35"/>
  <c r="X34" i="35"/>
  <c r="X35" i="35"/>
  <c r="X36" i="35"/>
  <c r="X37" i="35"/>
  <c r="X38" i="35"/>
  <c r="X39" i="35"/>
  <c r="X40" i="35"/>
  <c r="X41" i="35"/>
  <c r="X42" i="35"/>
  <c r="X43" i="35"/>
  <c r="X44" i="35"/>
  <c r="X45" i="35"/>
  <c r="X46" i="35"/>
  <c r="X47" i="35"/>
  <c r="X48" i="35"/>
  <c r="X49" i="35"/>
  <c r="X50" i="35"/>
  <c r="X51" i="35"/>
  <c r="X52" i="35"/>
  <c r="X53" i="35"/>
  <c r="X54" i="35"/>
  <c r="X55" i="35"/>
  <c r="X56" i="35"/>
  <c r="X57" i="35"/>
  <c r="X58" i="35"/>
  <c r="X59" i="35"/>
  <c r="X60" i="35"/>
  <c r="X61" i="35"/>
  <c r="X62" i="35"/>
  <c r="X63" i="35"/>
  <c r="X64" i="35"/>
  <c r="X65" i="35"/>
  <c r="X66" i="35"/>
  <c r="X67" i="35"/>
  <c r="X68" i="35"/>
  <c r="X69" i="35"/>
  <c r="X70" i="35"/>
  <c r="X71" i="35"/>
  <c r="X72" i="35"/>
  <c r="X73" i="35"/>
  <c r="X74" i="35"/>
  <c r="X75" i="35"/>
  <c r="X76" i="35"/>
  <c r="X77" i="35"/>
  <c r="X78" i="35"/>
  <c r="X79" i="35"/>
  <c r="X80" i="35"/>
  <c r="X81" i="35"/>
  <c r="X82" i="35"/>
  <c r="X83" i="35"/>
  <c r="X84" i="35"/>
  <c r="X85" i="35"/>
  <c r="X86" i="35"/>
  <c r="X87" i="35"/>
  <c r="X88" i="35"/>
  <c r="X89" i="35"/>
  <c r="X90" i="35"/>
  <c r="X91" i="35"/>
  <c r="X92" i="35"/>
  <c r="X93" i="35"/>
  <c r="X94" i="35"/>
  <c r="X95" i="35"/>
  <c r="X96" i="35"/>
  <c r="X97" i="35"/>
  <c r="X98" i="35"/>
  <c r="X99" i="35"/>
  <c r="X100" i="35"/>
  <c r="X101" i="35"/>
  <c r="X102" i="35"/>
  <c r="X103" i="35"/>
  <c r="X104" i="35"/>
  <c r="X105" i="35"/>
  <c r="X106" i="35"/>
  <c r="X107" i="35"/>
  <c r="X108" i="35"/>
  <c r="X109" i="35"/>
  <c r="X110" i="35"/>
  <c r="X111" i="35"/>
  <c r="X112" i="35"/>
  <c r="X113" i="35"/>
  <c r="X114" i="35"/>
  <c r="X115" i="35"/>
  <c r="X116" i="35"/>
  <c r="X117" i="35"/>
  <c r="X118" i="35"/>
  <c r="X119" i="35"/>
  <c r="X120" i="35"/>
  <c r="X121" i="35"/>
  <c r="X122" i="35"/>
  <c r="X123" i="35"/>
  <c r="X124" i="35"/>
  <c r="X125" i="35"/>
  <c r="X126" i="35"/>
  <c r="X127" i="35"/>
  <c r="X128" i="35"/>
  <c r="X129" i="35"/>
  <c r="X130" i="35"/>
  <c r="X131" i="35"/>
  <c r="X132" i="35"/>
  <c r="X133" i="35"/>
  <c r="X134" i="35"/>
  <c r="X135" i="35"/>
  <c r="X136" i="35"/>
  <c r="X137" i="35"/>
  <c r="X138" i="35"/>
  <c r="X139" i="35"/>
  <c r="X140" i="35"/>
  <c r="X141" i="35"/>
  <c r="X142" i="35"/>
  <c r="X143" i="35"/>
  <c r="X144" i="35"/>
  <c r="X145" i="35"/>
  <c r="X146" i="35"/>
  <c r="X147" i="35"/>
  <c r="X148" i="35"/>
  <c r="X149" i="35"/>
  <c r="X150" i="35"/>
  <c r="X151" i="35"/>
  <c r="X152" i="35"/>
  <c r="X153" i="35"/>
  <c r="X154" i="35"/>
  <c r="X155" i="35"/>
  <c r="X156" i="35"/>
  <c r="X157" i="35"/>
  <c r="X158" i="35"/>
  <c r="X159" i="35"/>
  <c r="X160" i="35"/>
  <c r="X161" i="35"/>
  <c r="X162" i="35"/>
  <c r="X163" i="35"/>
  <c r="X164" i="35"/>
  <c r="X165" i="35"/>
  <c r="X166" i="35"/>
  <c r="X167" i="35"/>
  <c r="X168" i="35"/>
  <c r="X169" i="35"/>
  <c r="X170" i="35"/>
  <c r="X171" i="35"/>
  <c r="X172" i="35"/>
  <c r="X173" i="35"/>
  <c r="X174" i="35"/>
  <c r="X175" i="35"/>
  <c r="X176" i="35"/>
  <c r="X177" i="35"/>
  <c r="X178" i="35"/>
  <c r="X179" i="35"/>
  <c r="X180" i="35"/>
  <c r="X181" i="35"/>
  <c r="X182" i="35"/>
  <c r="X183" i="35"/>
  <c r="X184" i="35"/>
  <c r="X185" i="35"/>
  <c r="X186" i="35"/>
  <c r="X187" i="35"/>
  <c r="X188" i="35"/>
  <c r="X189" i="35"/>
  <c r="X190" i="35"/>
  <c r="X191" i="35"/>
  <c r="X192" i="35"/>
  <c r="X193" i="35"/>
  <c r="X194" i="35"/>
  <c r="X195" i="35"/>
  <c r="X196" i="35"/>
  <c r="X197" i="35"/>
  <c r="X198" i="35"/>
  <c r="X199" i="35"/>
  <c r="X200" i="35"/>
  <c r="X201" i="35"/>
  <c r="X202" i="35"/>
  <c r="X203" i="35"/>
  <c r="X204" i="35"/>
  <c r="X205" i="35"/>
  <c r="X206" i="35"/>
  <c r="X207" i="35"/>
  <c r="X208" i="35"/>
  <c r="X209" i="35"/>
  <c r="X210" i="35"/>
  <c r="X211" i="35"/>
  <c r="X212" i="35"/>
  <c r="X213" i="35"/>
  <c r="X214" i="35"/>
  <c r="X215" i="35"/>
  <c r="X216" i="35"/>
  <c r="X217" i="35"/>
  <c r="X218" i="35"/>
  <c r="X219" i="35"/>
  <c r="X220" i="35"/>
  <c r="X221" i="35"/>
  <c r="X222" i="35"/>
  <c r="X223" i="35"/>
  <c r="X224" i="35"/>
  <c r="X225" i="35"/>
  <c r="X226" i="35"/>
  <c r="X227" i="35"/>
  <c r="X228" i="35"/>
  <c r="X229" i="35"/>
  <c r="X230" i="35"/>
  <c r="X231" i="35"/>
  <c r="X232" i="35"/>
  <c r="X233" i="35"/>
  <c r="X234" i="35"/>
  <c r="X235" i="35"/>
  <c r="X236" i="35"/>
  <c r="X237" i="35"/>
  <c r="X238" i="35"/>
  <c r="X239" i="35"/>
  <c r="X240" i="35"/>
  <c r="X241" i="35"/>
  <c r="X242" i="35"/>
  <c r="X243" i="35"/>
  <c r="X244" i="35"/>
  <c r="X245" i="35"/>
  <c r="X5" i="35"/>
  <c r="Y6" i="35"/>
  <c r="Y7" i="35"/>
  <c r="Y8" i="35"/>
  <c r="Y9" i="35"/>
  <c r="Y10" i="35"/>
  <c r="Y11" i="35"/>
  <c r="Y12" i="35"/>
  <c r="Y13" i="35"/>
  <c r="Y14" i="35"/>
  <c r="Y15" i="35"/>
  <c r="Y16" i="35"/>
  <c r="Y17" i="35"/>
  <c r="Y18" i="35"/>
  <c r="Y19" i="35"/>
  <c r="Y20" i="35"/>
  <c r="Y21" i="35"/>
  <c r="Y22" i="35"/>
  <c r="Y23" i="35"/>
  <c r="Y24" i="35"/>
  <c r="Y25" i="35"/>
  <c r="Y26" i="35"/>
  <c r="Y27" i="35"/>
  <c r="Y28" i="35"/>
  <c r="Y29" i="35"/>
  <c r="Y30" i="35"/>
  <c r="Y31" i="35"/>
  <c r="Y32" i="35"/>
  <c r="Y33" i="35"/>
  <c r="Y34" i="35"/>
  <c r="Y35" i="35"/>
  <c r="Y36" i="35"/>
  <c r="Y37" i="35"/>
  <c r="Y38" i="35"/>
  <c r="Y39" i="35"/>
  <c r="Y40" i="35"/>
  <c r="Y41" i="35"/>
  <c r="Y42" i="35"/>
  <c r="Y43" i="35"/>
  <c r="Y44" i="35"/>
  <c r="Y45" i="35"/>
  <c r="Y46" i="35"/>
  <c r="Y47" i="35"/>
  <c r="Y48" i="35"/>
  <c r="Y49" i="35"/>
  <c r="Y50" i="35"/>
  <c r="Y51" i="35"/>
  <c r="Y52" i="35"/>
  <c r="Y53" i="35"/>
  <c r="Y54" i="35"/>
  <c r="Y55" i="35"/>
  <c r="Y56" i="35"/>
  <c r="Y57" i="35"/>
  <c r="Y58" i="35"/>
  <c r="Y59" i="35"/>
  <c r="Y60" i="35"/>
  <c r="Y61" i="35"/>
  <c r="Y62" i="35"/>
  <c r="Y63" i="35"/>
  <c r="Y64" i="35"/>
  <c r="Y65" i="35"/>
  <c r="Y66" i="35"/>
  <c r="Y67" i="35"/>
  <c r="Y68" i="35"/>
  <c r="Y69" i="35"/>
  <c r="Y70" i="35"/>
  <c r="Y71" i="35"/>
  <c r="Y72" i="35"/>
  <c r="Y73" i="35"/>
  <c r="Y74" i="35"/>
  <c r="Y75" i="35"/>
  <c r="Y76" i="35"/>
  <c r="Y77" i="35"/>
  <c r="Y78" i="35"/>
  <c r="Y79" i="35"/>
  <c r="Y80" i="35"/>
  <c r="Y81" i="35"/>
  <c r="Y82" i="35"/>
  <c r="Y83" i="35"/>
  <c r="Y84" i="35"/>
  <c r="Y85" i="35"/>
  <c r="Y86" i="35"/>
  <c r="Y87" i="35"/>
  <c r="Y88" i="35"/>
  <c r="Y89" i="35"/>
  <c r="Y90" i="35"/>
  <c r="Y91" i="35"/>
  <c r="Y92" i="35"/>
  <c r="Y93" i="35"/>
  <c r="Y94" i="35"/>
  <c r="Y95" i="35"/>
  <c r="Y96" i="35"/>
  <c r="Y97" i="35"/>
  <c r="Y98" i="35"/>
  <c r="Y99" i="35"/>
  <c r="Y100" i="35"/>
  <c r="Y101" i="35"/>
  <c r="Y102" i="35"/>
  <c r="Y103" i="35"/>
  <c r="Y104" i="35"/>
  <c r="Y105" i="35"/>
  <c r="Y106" i="35"/>
  <c r="Y107" i="35"/>
  <c r="Y108" i="35"/>
  <c r="Y109" i="35"/>
  <c r="Y110" i="35"/>
  <c r="Y111" i="35"/>
  <c r="Y112" i="35"/>
  <c r="Y113" i="35"/>
  <c r="Y114" i="35"/>
  <c r="Y115" i="35"/>
  <c r="Y116" i="35"/>
  <c r="Y117" i="35"/>
  <c r="Y118" i="35"/>
  <c r="Y119" i="35"/>
  <c r="Y120" i="35"/>
  <c r="Y121" i="35"/>
  <c r="Y122" i="35"/>
  <c r="Y123" i="35"/>
  <c r="Y124" i="35"/>
  <c r="Y125" i="35"/>
  <c r="Y126" i="35"/>
  <c r="Y127" i="35"/>
  <c r="Y128" i="35"/>
  <c r="Y129" i="35"/>
  <c r="Y130" i="35"/>
  <c r="Y131" i="35"/>
  <c r="Y132" i="35"/>
  <c r="Y133" i="35"/>
  <c r="Y134" i="35"/>
  <c r="Y135" i="35"/>
  <c r="Y136" i="35"/>
  <c r="Y137" i="35"/>
  <c r="Y138" i="35"/>
  <c r="Y139" i="35"/>
  <c r="Y140" i="35"/>
  <c r="Y141" i="35"/>
  <c r="Y142" i="35"/>
  <c r="Y143" i="35"/>
  <c r="Y144" i="35"/>
  <c r="Y145" i="35"/>
  <c r="Y146" i="35"/>
  <c r="Y147" i="35"/>
  <c r="Y148" i="35"/>
  <c r="Y149" i="35"/>
  <c r="Y150" i="35"/>
  <c r="Y151" i="35"/>
  <c r="Y152" i="35"/>
  <c r="Y153" i="35"/>
  <c r="Y154" i="35"/>
  <c r="Y155" i="35"/>
  <c r="Y156" i="35"/>
  <c r="Y157" i="35"/>
  <c r="Y158" i="35"/>
  <c r="Y159" i="35"/>
  <c r="Y160" i="35"/>
  <c r="Y161" i="35"/>
  <c r="Y162" i="35"/>
  <c r="Y163" i="35"/>
  <c r="Y164" i="35"/>
  <c r="Y165" i="35"/>
  <c r="Y166" i="35"/>
  <c r="Y167" i="35"/>
  <c r="Y168" i="35"/>
  <c r="Y169" i="35"/>
  <c r="Y170" i="35"/>
  <c r="Y171" i="35"/>
  <c r="Y172" i="35"/>
  <c r="Y173" i="35"/>
  <c r="Y174" i="35"/>
  <c r="Y175" i="35"/>
  <c r="Y176" i="35"/>
  <c r="Y177" i="35"/>
  <c r="Y178" i="35"/>
  <c r="Y179" i="35"/>
  <c r="Y180" i="35"/>
  <c r="Y181" i="35"/>
  <c r="Y182" i="35"/>
  <c r="Y183" i="35"/>
  <c r="Y184" i="35"/>
  <c r="Y185" i="35"/>
  <c r="Y186" i="35"/>
  <c r="Y187" i="35"/>
  <c r="Y188" i="35"/>
  <c r="Y189" i="35"/>
  <c r="Y190" i="35"/>
  <c r="Y191" i="35"/>
  <c r="Y192" i="35"/>
  <c r="Y193" i="35"/>
  <c r="Y194" i="35"/>
  <c r="Y195" i="35"/>
  <c r="Y196" i="35"/>
  <c r="Y197" i="35"/>
  <c r="Y198" i="35"/>
  <c r="Y199" i="35"/>
  <c r="Y200" i="35"/>
  <c r="Y201" i="35"/>
  <c r="Y202" i="35"/>
  <c r="Y203" i="35"/>
  <c r="Y204" i="35"/>
  <c r="Y205" i="35"/>
  <c r="Y206" i="35"/>
  <c r="Y207" i="35"/>
  <c r="Y208" i="35"/>
  <c r="Y209" i="35"/>
  <c r="Y210" i="35"/>
  <c r="Y211" i="35"/>
  <c r="Y212" i="35"/>
  <c r="Y213" i="35"/>
  <c r="Y214" i="35"/>
  <c r="Y215" i="35"/>
  <c r="Y216" i="35"/>
  <c r="Y217" i="35"/>
  <c r="Y218" i="35"/>
  <c r="Y219" i="35"/>
  <c r="Y220" i="35"/>
  <c r="Y221" i="35"/>
  <c r="Y222" i="35"/>
  <c r="Y223" i="35"/>
  <c r="Y224" i="35"/>
  <c r="Y225" i="35"/>
  <c r="Y226" i="35"/>
  <c r="Y227" i="35"/>
  <c r="Y228" i="35"/>
  <c r="Y229" i="35"/>
  <c r="Y230" i="35"/>
  <c r="Y231" i="35"/>
  <c r="Y232" i="35"/>
  <c r="Y233" i="35"/>
  <c r="Y234" i="35"/>
  <c r="Y235" i="35"/>
  <c r="Y236" i="35"/>
  <c r="Y237" i="35"/>
  <c r="Y238" i="35"/>
  <c r="Y239" i="35"/>
  <c r="Y240" i="35"/>
  <c r="Y241" i="35"/>
  <c r="Y242" i="35"/>
  <c r="Y243" i="35"/>
  <c r="Y244" i="35"/>
  <c r="Y245" i="35"/>
  <c r="Z243" i="35" l="1"/>
  <c r="Z227" i="35"/>
  <c r="AA227" i="35" s="1"/>
  <c r="Z220" i="35"/>
  <c r="AB220" i="35" s="1"/>
  <c r="Z204" i="35"/>
  <c r="AA204" i="35" s="1"/>
  <c r="Z196" i="35"/>
  <c r="AL196" i="35" s="1"/>
  <c r="AD196" i="35" s="1"/>
  <c r="Z148" i="35"/>
  <c r="AB148" i="35" s="1"/>
  <c r="Z140" i="35"/>
  <c r="AA140" i="35" s="1"/>
  <c r="Z132" i="35"/>
  <c r="AB132" i="35" s="1"/>
  <c r="Z124" i="35"/>
  <c r="AL124" i="35" s="1"/>
  <c r="AD124" i="35" s="1"/>
  <c r="Z116" i="35"/>
  <c r="AL116" i="35" s="1"/>
  <c r="AD116" i="35" s="1"/>
  <c r="Z108" i="35"/>
  <c r="AL108" i="35" s="1"/>
  <c r="AD108" i="35" s="1"/>
  <c r="Z100" i="35"/>
  <c r="AL100" i="35" s="1"/>
  <c r="AD100" i="35" s="1"/>
  <c r="Z92" i="35"/>
  <c r="AB92" i="35" s="1"/>
  <c r="Z235" i="35"/>
  <c r="AB235" i="35" s="1"/>
  <c r="Z212" i="35"/>
  <c r="AB212" i="35" s="1"/>
  <c r="AL212" i="35"/>
  <c r="AD212" i="35" s="1"/>
  <c r="Z239" i="35"/>
  <c r="AB239" i="35" s="1"/>
  <c r="Z231" i="35"/>
  <c r="AB231" i="35" s="1"/>
  <c r="Z224" i="35"/>
  <c r="AL224" i="35" s="1"/>
  <c r="AD224" i="35" s="1"/>
  <c r="Z216" i="35"/>
  <c r="AA216" i="35" s="1"/>
  <c r="Z208" i="35"/>
  <c r="AB208" i="35" s="1"/>
  <c r="Z200" i="35"/>
  <c r="AB200" i="35" s="1"/>
  <c r="Z192" i="35"/>
  <c r="Z184" i="35"/>
  <c r="AB184" i="35" s="1"/>
  <c r="Z176" i="35"/>
  <c r="AB176" i="35" s="1"/>
  <c r="Z168" i="35"/>
  <c r="AB168" i="35" s="1"/>
  <c r="Z160" i="35"/>
  <c r="AB160" i="35" s="1"/>
  <c r="Z152" i="35"/>
  <c r="AB152" i="35" s="1"/>
  <c r="Z144" i="35"/>
  <c r="AB144" i="35" s="1"/>
  <c r="Z136" i="35"/>
  <c r="Z128" i="35"/>
  <c r="AB128" i="35" s="1"/>
  <c r="Z120" i="35"/>
  <c r="AB120" i="35" s="1"/>
  <c r="Z112" i="35"/>
  <c r="AB112" i="35" s="1"/>
  <c r="Z104" i="35"/>
  <c r="AB104" i="35" s="1"/>
  <c r="Z96" i="35"/>
  <c r="AB96" i="35" s="1"/>
  <c r="Z88" i="35"/>
  <c r="AB88" i="35" s="1"/>
  <c r="Z80" i="35"/>
  <c r="AB80" i="35" s="1"/>
  <c r="Z72" i="35"/>
  <c r="AB72" i="35" s="1"/>
  <c r="Z64" i="35"/>
  <c r="AB64" i="35" s="1"/>
  <c r="Z56" i="35"/>
  <c r="AB56" i="35" s="1"/>
  <c r="Z48" i="35"/>
  <c r="AA48" i="35" s="1"/>
  <c r="Z40" i="35"/>
  <c r="AB40" i="35" s="1"/>
  <c r="Z32" i="35"/>
  <c r="Z244" i="35"/>
  <c r="AB244" i="35" s="1"/>
  <c r="Z236" i="35"/>
  <c r="AB236" i="35" s="1"/>
  <c r="Z228" i="35"/>
  <c r="AL228" i="35" s="1"/>
  <c r="Z133" i="35"/>
  <c r="AB133" i="35" s="1"/>
  <c r="Z69" i="35"/>
  <c r="AB69" i="35" s="1"/>
  <c r="Z24" i="35"/>
  <c r="Z16" i="35"/>
  <c r="AB16" i="35" s="1"/>
  <c r="Z8" i="35"/>
  <c r="AB8" i="35" s="1"/>
  <c r="Z230" i="35"/>
  <c r="Z215" i="35"/>
  <c r="AB215" i="35" s="1"/>
  <c r="AH215" i="35" s="1"/>
  <c r="Z207" i="35"/>
  <c r="AB207" i="35" s="1"/>
  <c r="Z199" i="35"/>
  <c r="AB199" i="35" s="1"/>
  <c r="Z191" i="35"/>
  <c r="Z175" i="35"/>
  <c r="Z151" i="35"/>
  <c r="AB151" i="35" s="1"/>
  <c r="Z127" i="35"/>
  <c r="AB127" i="35" s="1"/>
  <c r="Z111" i="35"/>
  <c r="AB111" i="35" s="1"/>
  <c r="Z87" i="35"/>
  <c r="AA87" i="35" s="1"/>
  <c r="Z71" i="35"/>
  <c r="Z47" i="35"/>
  <c r="AB47" i="35" s="1"/>
  <c r="Z39" i="35"/>
  <c r="AB39" i="35" s="1"/>
  <c r="Z23" i="35"/>
  <c r="Z15" i="35"/>
  <c r="Z7" i="35"/>
  <c r="Z238" i="35"/>
  <c r="AL238" i="35" s="1"/>
  <c r="AD238" i="35" s="1"/>
  <c r="Z223" i="35"/>
  <c r="AL223" i="35" s="1"/>
  <c r="AD223" i="35" s="1"/>
  <c r="Z183" i="35"/>
  <c r="AB183" i="35" s="1"/>
  <c r="Z167" i="35"/>
  <c r="AB167" i="35" s="1"/>
  <c r="Z159" i="35"/>
  <c r="Z143" i="35"/>
  <c r="Z135" i="35"/>
  <c r="AA135" i="35" s="1"/>
  <c r="Z119" i="35"/>
  <c r="AA119" i="35" s="1"/>
  <c r="Z103" i="35"/>
  <c r="AA103" i="35" s="1"/>
  <c r="Z95" i="35"/>
  <c r="Z79" i="35"/>
  <c r="AA79" i="35" s="1"/>
  <c r="Z63" i="35"/>
  <c r="AA63" i="35" s="1"/>
  <c r="Z55" i="35"/>
  <c r="AA55" i="35" s="1"/>
  <c r="Z31" i="35"/>
  <c r="Z245" i="35"/>
  <c r="Z237" i="35"/>
  <c r="Z229" i="35"/>
  <c r="AL229" i="35" s="1"/>
  <c r="Z222" i="35"/>
  <c r="Z214" i="35"/>
  <c r="AL214" i="35" s="1"/>
  <c r="AC214" i="35" s="1"/>
  <c r="Z206" i="35"/>
  <c r="AL206" i="35" s="1"/>
  <c r="AC206" i="35" s="1"/>
  <c r="Z198" i="35"/>
  <c r="AL198" i="35" s="1"/>
  <c r="Z190" i="35"/>
  <c r="Z182" i="35"/>
  <c r="AA182" i="35" s="1"/>
  <c r="Z174" i="35"/>
  <c r="AB174" i="35" s="1"/>
  <c r="Z166" i="35"/>
  <c r="Z158" i="35"/>
  <c r="AL158" i="35" s="1"/>
  <c r="AD158" i="35" s="1"/>
  <c r="Z150" i="35"/>
  <c r="AB150" i="35" s="1"/>
  <c r="Z142" i="35"/>
  <c r="Z134" i="35"/>
  <c r="AB134" i="35" s="1"/>
  <c r="Z126" i="35"/>
  <c r="Z118" i="35"/>
  <c r="Z110" i="35"/>
  <c r="AB110" i="35" s="1"/>
  <c r="Z102" i="35"/>
  <c r="Z94" i="35"/>
  <c r="AB94" i="35" s="1"/>
  <c r="Z86" i="35"/>
  <c r="Z78" i="35"/>
  <c r="Z70" i="35"/>
  <c r="Z62" i="35"/>
  <c r="Z54" i="35"/>
  <c r="AL54" i="35" s="1"/>
  <c r="AC54" i="35" s="1"/>
  <c r="Z46" i="35"/>
  <c r="Z38" i="35"/>
  <c r="AB38" i="35" s="1"/>
  <c r="Z30" i="35"/>
  <c r="Z22" i="35"/>
  <c r="Z14" i="35"/>
  <c r="AB14" i="35" s="1"/>
  <c r="Z6" i="35"/>
  <c r="Z242" i="35"/>
  <c r="AL242" i="35" s="1"/>
  <c r="AD242" i="35" s="1"/>
  <c r="Z219" i="35"/>
  <c r="AB219" i="35" s="1"/>
  <c r="Z211" i="35"/>
  <c r="AB211" i="35" s="1"/>
  <c r="Z203" i="35"/>
  <c r="AB203" i="35" s="1"/>
  <c r="Z195" i="35"/>
  <c r="AB195" i="35" s="1"/>
  <c r="Z187" i="35"/>
  <c r="AB187" i="35" s="1"/>
  <c r="Z179" i="35"/>
  <c r="AA179" i="35" s="1"/>
  <c r="Z171" i="35"/>
  <c r="AA171" i="35" s="1"/>
  <c r="Z163" i="35"/>
  <c r="Z155" i="35"/>
  <c r="AB155" i="35" s="1"/>
  <c r="Z147" i="35"/>
  <c r="AB147" i="35" s="1"/>
  <c r="Z139" i="35"/>
  <c r="AB139" i="35" s="1"/>
  <c r="Z131" i="35"/>
  <c r="AB131" i="35" s="1"/>
  <c r="Z123" i="35"/>
  <c r="AB123" i="35" s="1"/>
  <c r="Z115" i="35"/>
  <c r="AB115" i="35" s="1"/>
  <c r="Z107" i="35"/>
  <c r="AA107" i="35" s="1"/>
  <c r="Z99" i="35"/>
  <c r="Z91" i="35"/>
  <c r="AB91" i="35" s="1"/>
  <c r="Z83" i="35"/>
  <c r="AA83" i="35" s="1"/>
  <c r="Z75" i="35"/>
  <c r="AB75" i="35" s="1"/>
  <c r="Z67" i="35"/>
  <c r="AB67" i="35" s="1"/>
  <c r="Z59" i="35"/>
  <c r="AA59" i="35" s="1"/>
  <c r="Z51" i="35"/>
  <c r="AA51" i="35" s="1"/>
  <c r="Z43" i="35"/>
  <c r="AB43" i="35" s="1"/>
  <c r="Z35" i="35"/>
  <c r="Z27" i="35"/>
  <c r="AA27" i="35" s="1"/>
  <c r="Z19" i="35"/>
  <c r="AB19" i="35" s="1"/>
  <c r="Z11" i="35"/>
  <c r="Z234" i="35"/>
  <c r="AB234" i="35" s="1"/>
  <c r="AA150" i="35"/>
  <c r="Z188" i="35"/>
  <c r="Z180" i="35"/>
  <c r="AL180" i="35" s="1"/>
  <c r="Z172" i="35"/>
  <c r="AB172" i="35" s="1"/>
  <c r="Z164" i="35"/>
  <c r="Z156" i="35"/>
  <c r="AB156" i="35" s="1"/>
  <c r="Z5" i="35"/>
  <c r="AL5" i="35" s="1"/>
  <c r="AC5" i="35" s="1"/>
  <c r="Z28" i="35"/>
  <c r="AB28" i="35" s="1"/>
  <c r="Z226" i="35"/>
  <c r="AL226" i="35" s="1"/>
  <c r="Z197" i="35"/>
  <c r="AB197" i="35" s="1"/>
  <c r="Z84" i="35"/>
  <c r="AL84" i="35" s="1"/>
  <c r="Z76" i="35"/>
  <c r="AL76" i="35" s="1"/>
  <c r="Z68" i="35"/>
  <c r="AL68" i="35" s="1"/>
  <c r="AD68" i="35" s="1"/>
  <c r="Z60" i="35"/>
  <c r="AL60" i="35" s="1"/>
  <c r="AC60" i="35" s="1"/>
  <c r="Z52" i="35"/>
  <c r="AL52" i="35" s="1"/>
  <c r="Z44" i="35"/>
  <c r="AL44" i="35" s="1"/>
  <c r="Z36" i="35"/>
  <c r="AL36" i="35" s="1"/>
  <c r="AD36" i="35" s="1"/>
  <c r="Z20" i="35"/>
  <c r="AL20" i="35" s="1"/>
  <c r="AD20" i="35" s="1"/>
  <c r="Z12" i="35"/>
  <c r="AL12" i="35" s="1"/>
  <c r="Z240" i="35"/>
  <c r="AL240" i="35" s="1"/>
  <c r="AD240" i="35" s="1"/>
  <c r="Z232" i="35"/>
  <c r="AL232" i="35" s="1"/>
  <c r="AD232" i="35" s="1"/>
  <c r="Z225" i="35"/>
  <c r="AB225" i="35" s="1"/>
  <c r="Z217" i="35"/>
  <c r="AL217" i="35" s="1"/>
  <c r="Z209" i="35"/>
  <c r="AL209" i="35" s="1"/>
  <c r="AD209" i="35" s="1"/>
  <c r="Z201" i="35"/>
  <c r="Z193" i="35"/>
  <c r="AL193" i="35" s="1"/>
  <c r="AD193" i="35" s="1"/>
  <c r="Z185" i="35"/>
  <c r="AL185" i="35" s="1"/>
  <c r="Z177" i="35"/>
  <c r="AL177" i="35" s="1"/>
  <c r="AD177" i="35" s="1"/>
  <c r="Z221" i="35"/>
  <c r="AB221" i="35" s="1"/>
  <c r="Z213" i="35"/>
  <c r="AB213" i="35" s="1"/>
  <c r="Z205" i="35"/>
  <c r="Z189" i="35"/>
  <c r="AL189" i="35" s="1"/>
  <c r="AC189" i="35" s="1"/>
  <c r="Z181" i="35"/>
  <c r="AL181" i="35" s="1"/>
  <c r="Z173" i="35"/>
  <c r="AL173" i="35" s="1"/>
  <c r="AC173" i="35" s="1"/>
  <c r="Z165" i="35"/>
  <c r="AL165" i="35" s="1"/>
  <c r="Z157" i="35"/>
  <c r="AL157" i="35" s="1"/>
  <c r="Z149" i="35"/>
  <c r="AL149" i="35" s="1"/>
  <c r="Z141" i="35"/>
  <c r="AL141" i="35" s="1"/>
  <c r="Z125" i="35"/>
  <c r="AL125" i="35" s="1"/>
  <c r="Z117" i="35"/>
  <c r="AL117" i="35" s="1"/>
  <c r="Z109" i="35"/>
  <c r="AL109" i="35" s="1"/>
  <c r="AC109" i="35" s="1"/>
  <c r="Z101" i="35"/>
  <c r="AL101" i="35" s="1"/>
  <c r="Z93" i="35"/>
  <c r="AL93" i="35" s="1"/>
  <c r="Z85" i="35"/>
  <c r="AL85" i="35" s="1"/>
  <c r="Z77" i="35"/>
  <c r="AL77" i="35" s="1"/>
  <c r="AC77" i="35" s="1"/>
  <c r="Z61" i="35"/>
  <c r="AL61" i="35" s="1"/>
  <c r="Z53" i="35"/>
  <c r="AL53" i="35" s="1"/>
  <c r="Z45" i="35"/>
  <c r="AL45" i="35" s="1"/>
  <c r="AC45" i="35" s="1"/>
  <c r="Z37" i="35"/>
  <c r="AL37" i="35" s="1"/>
  <c r="AC37" i="35" s="1"/>
  <c r="Z29" i="35"/>
  <c r="AL29" i="35" s="1"/>
  <c r="Z21" i="35"/>
  <c r="AL21" i="35" s="1"/>
  <c r="Z13" i="35"/>
  <c r="AL13" i="35" s="1"/>
  <c r="AC13" i="35" s="1"/>
  <c r="AG13" i="35" s="1"/>
  <c r="Z169" i="35"/>
  <c r="AL169" i="35" s="1"/>
  <c r="AD169" i="35" s="1"/>
  <c r="Z161" i="35"/>
  <c r="AL161" i="35" s="1"/>
  <c r="AC161" i="35" s="1"/>
  <c r="Z153" i="35"/>
  <c r="AL153" i="35" s="1"/>
  <c r="Z145" i="35"/>
  <c r="AL145" i="35" s="1"/>
  <c r="AD145" i="35" s="1"/>
  <c r="Z137" i="35"/>
  <c r="AL137" i="35" s="1"/>
  <c r="AD137" i="35" s="1"/>
  <c r="Z129" i="35"/>
  <c r="AL129" i="35" s="1"/>
  <c r="AC129" i="35" s="1"/>
  <c r="Z121" i="35"/>
  <c r="AL121" i="35" s="1"/>
  <c r="AC121" i="35" s="1"/>
  <c r="AG121" i="35" s="1"/>
  <c r="Z113" i="35"/>
  <c r="AL113" i="35" s="1"/>
  <c r="AD113" i="35" s="1"/>
  <c r="Z105" i="35"/>
  <c r="AL105" i="35" s="1"/>
  <c r="AD105" i="35" s="1"/>
  <c r="Z97" i="35"/>
  <c r="AL97" i="35" s="1"/>
  <c r="AD97" i="35" s="1"/>
  <c r="Z89" i="35"/>
  <c r="AL89" i="35" s="1"/>
  <c r="Z81" i="35"/>
  <c r="AL81" i="35" s="1"/>
  <c r="AD81" i="35" s="1"/>
  <c r="Z73" i="35"/>
  <c r="AL73" i="35" s="1"/>
  <c r="AD73" i="35" s="1"/>
  <c r="Z65" i="35"/>
  <c r="AL65" i="35" s="1"/>
  <c r="AD65" i="35" s="1"/>
  <c r="Z57" i="35"/>
  <c r="AL57" i="35" s="1"/>
  <c r="AD57" i="35" s="1"/>
  <c r="Z49" i="35"/>
  <c r="AL49" i="35" s="1"/>
  <c r="AD49" i="35" s="1"/>
  <c r="Z41" i="35"/>
  <c r="AL41" i="35" s="1"/>
  <c r="AD41" i="35" s="1"/>
  <c r="Z33" i="35"/>
  <c r="AL33" i="35" s="1"/>
  <c r="AC33" i="35" s="1"/>
  <c r="Z25" i="35"/>
  <c r="AL25" i="35" s="1"/>
  <c r="AD25" i="35" s="1"/>
  <c r="Z17" i="35"/>
  <c r="AL17" i="35" s="1"/>
  <c r="AD17" i="35" s="1"/>
  <c r="Z9" i="35"/>
  <c r="AL9" i="35" s="1"/>
  <c r="AD9" i="35" s="1"/>
  <c r="Z233" i="35"/>
  <c r="AB233" i="35" s="1"/>
  <c r="Z218" i="35"/>
  <c r="Z202" i="35"/>
  <c r="Z186" i="35"/>
  <c r="AL186" i="35" s="1"/>
  <c r="Z170" i="35"/>
  <c r="AL170" i="35" s="1"/>
  <c r="AC170" i="35" s="1"/>
  <c r="Z154" i="35"/>
  <c r="AL154" i="35" s="1"/>
  <c r="AC154" i="35" s="1"/>
  <c r="AG154" i="35" s="1"/>
  <c r="Z138" i="35"/>
  <c r="AL138" i="35" s="1"/>
  <c r="AD138" i="35" s="1"/>
  <c r="Z122" i="35"/>
  <c r="AL122" i="35" s="1"/>
  <c r="Z106" i="35"/>
  <c r="AL106" i="35" s="1"/>
  <c r="Z90" i="35"/>
  <c r="AL90" i="35" s="1"/>
  <c r="AC90" i="35" s="1"/>
  <c r="Z74" i="35"/>
  <c r="AL74" i="35" s="1"/>
  <c r="AD74" i="35" s="1"/>
  <c r="Z58" i="35"/>
  <c r="AL58" i="35" s="1"/>
  <c r="Z34" i="35"/>
  <c r="AL34" i="35" s="1"/>
  <c r="Z18" i="35"/>
  <c r="AL18" i="35" s="1"/>
  <c r="Z241" i="35"/>
  <c r="AL241" i="35" s="1"/>
  <c r="AD241" i="35" s="1"/>
  <c r="Z210" i="35"/>
  <c r="AB210" i="35" s="1"/>
  <c r="Z194" i="35"/>
  <c r="AL194" i="35" s="1"/>
  <c r="AD194" i="35" s="1"/>
  <c r="Z178" i="35"/>
  <c r="AL178" i="35" s="1"/>
  <c r="Z162" i="35"/>
  <c r="AL162" i="35" s="1"/>
  <c r="AC162" i="35" s="1"/>
  <c r="Z146" i="35"/>
  <c r="AL146" i="35" s="1"/>
  <c r="AD146" i="35" s="1"/>
  <c r="Z130" i="35"/>
  <c r="AL130" i="35" s="1"/>
  <c r="Z114" i="35"/>
  <c r="AL114" i="35" s="1"/>
  <c r="AD114" i="35" s="1"/>
  <c r="Z98" i="35"/>
  <c r="AL98" i="35" s="1"/>
  <c r="AD98" i="35" s="1"/>
  <c r="Z82" i="35"/>
  <c r="AL82" i="35" s="1"/>
  <c r="Z66" i="35"/>
  <c r="AL66" i="35" s="1"/>
  <c r="Z50" i="35"/>
  <c r="AL50" i="35" s="1"/>
  <c r="AD50" i="35" s="1"/>
  <c r="Z42" i="35"/>
  <c r="AL42" i="35" s="1"/>
  <c r="Z26" i="35"/>
  <c r="AL26" i="35" s="1"/>
  <c r="Z10" i="35"/>
  <c r="AL10" i="35" s="1"/>
  <c r="AB227" i="35" l="1"/>
  <c r="AL239" i="35"/>
  <c r="AD239" i="35" s="1"/>
  <c r="AB124" i="35"/>
  <c r="AH124" i="35" s="1"/>
  <c r="AB243" i="35"/>
  <c r="AH243" i="35" s="1"/>
  <c r="AA243" i="35"/>
  <c r="AG243" i="35" s="1"/>
  <c r="AL148" i="35"/>
  <c r="AD148" i="35" s="1"/>
  <c r="AH148" i="35" s="1"/>
  <c r="AL140" i="35"/>
  <c r="AD140" i="35" s="1"/>
  <c r="AL204" i="35"/>
  <c r="AD204" i="35" s="1"/>
  <c r="AL120" i="35"/>
  <c r="AC120" i="35" s="1"/>
  <c r="AG120" i="35" s="1"/>
  <c r="AB204" i="35"/>
  <c r="AB100" i="35"/>
  <c r="AH100" i="35" s="1"/>
  <c r="AB116" i="35"/>
  <c r="AL132" i="35"/>
  <c r="AD132" i="35" s="1"/>
  <c r="AH132" i="35" s="1"/>
  <c r="AC108" i="35"/>
  <c r="AG108" i="35" s="1"/>
  <c r="AL220" i="35"/>
  <c r="AC220" i="35" s="1"/>
  <c r="AB196" i="35"/>
  <c r="AH196" i="35" s="1"/>
  <c r="AL227" i="35"/>
  <c r="AD227" i="35" s="1"/>
  <c r="AB83" i="35"/>
  <c r="AL243" i="35"/>
  <c r="AB180" i="35"/>
  <c r="AL244" i="35"/>
  <c r="AC244" i="35" s="1"/>
  <c r="AB108" i="35"/>
  <c r="AH108" i="35" s="1"/>
  <c r="AC105" i="35"/>
  <c r="AB140" i="35"/>
  <c r="AL92" i="35"/>
  <c r="AC92" i="35" s="1"/>
  <c r="AG92" i="35" s="1"/>
  <c r="AC212" i="35"/>
  <c r="AA235" i="35"/>
  <c r="AL128" i="35"/>
  <c r="AC128" i="35" s="1"/>
  <c r="AG128" i="35" s="1"/>
  <c r="AL235" i="35"/>
  <c r="AC235" i="35" s="1"/>
  <c r="AA132" i="35"/>
  <c r="AA152" i="35"/>
  <c r="AC41" i="35"/>
  <c r="AL234" i="35"/>
  <c r="AD234" i="35" s="1"/>
  <c r="AL216" i="35"/>
  <c r="AD216" i="35" s="1"/>
  <c r="AB216" i="35"/>
  <c r="AL174" i="35"/>
  <c r="AL183" i="35"/>
  <c r="AD183" i="35" s="1"/>
  <c r="AH183" i="35" s="1"/>
  <c r="AC124" i="35"/>
  <c r="AG124" i="35" s="1"/>
  <c r="AL147" i="35"/>
  <c r="AD147" i="35" s="1"/>
  <c r="AH147" i="35" s="1"/>
  <c r="AA64" i="35"/>
  <c r="AL219" i="35"/>
  <c r="AD219" i="35" s="1"/>
  <c r="AC232" i="35"/>
  <c r="AC240" i="35"/>
  <c r="AC196" i="35"/>
  <c r="AG196" i="35" s="1"/>
  <c r="AC113" i="35"/>
  <c r="AG113" i="35" s="1"/>
  <c r="AC158" i="35"/>
  <c r="AC193" i="35"/>
  <c r="AC181" i="35"/>
  <c r="AD181" i="35"/>
  <c r="AD229" i="35"/>
  <c r="AC229" i="35"/>
  <c r="AL14" i="35"/>
  <c r="AC14" i="35" s="1"/>
  <c r="AG14" i="35" s="1"/>
  <c r="AL88" i="35"/>
  <c r="AL150" i="35"/>
  <c r="AC150" i="35" s="1"/>
  <c r="AG150" i="35" s="1"/>
  <c r="AL152" i="35"/>
  <c r="AL75" i="35"/>
  <c r="AL83" i="35"/>
  <c r="AD83" i="35" s="1"/>
  <c r="AL211" i="35"/>
  <c r="AD211" i="35" s="1"/>
  <c r="AA72" i="35"/>
  <c r="AL72" i="35"/>
  <c r="AD214" i="35"/>
  <c r="AL144" i="35"/>
  <c r="AC224" i="35"/>
  <c r="AL28" i="35"/>
  <c r="AD28" i="35" s="1"/>
  <c r="AH28" i="35" s="1"/>
  <c r="AL168" i="35"/>
  <c r="AC169" i="35"/>
  <c r="AC97" i="35"/>
  <c r="AG97" i="35" s="1"/>
  <c r="AC116" i="35"/>
  <c r="AL176" i="35"/>
  <c r="AL59" i="35"/>
  <c r="AD59" i="35" s="1"/>
  <c r="AL135" i="35"/>
  <c r="AD135" i="35" s="1"/>
  <c r="AD162" i="35"/>
  <c r="AC117" i="35"/>
  <c r="AG117" i="35" s="1"/>
  <c r="AD117" i="35"/>
  <c r="AL103" i="35"/>
  <c r="AL115" i="35"/>
  <c r="AC98" i="35"/>
  <c r="AL80" i="35"/>
  <c r="AD58" i="35"/>
  <c r="AC58" i="35"/>
  <c r="AG58" i="35" s="1"/>
  <c r="AL56" i="35"/>
  <c r="AC56" i="35" s="1"/>
  <c r="AG56" i="35" s="1"/>
  <c r="AC65" i="35"/>
  <c r="AL55" i="35"/>
  <c r="AD55" i="35" s="1"/>
  <c r="AL63" i="35"/>
  <c r="AD37" i="35"/>
  <c r="AL27" i="35"/>
  <c r="AC25" i="35"/>
  <c r="AG25" i="35" s="1"/>
  <c r="AD13" i="35"/>
  <c r="AL8" i="35"/>
  <c r="AD82" i="35"/>
  <c r="AC82" i="35"/>
  <c r="AG82" i="35" s="1"/>
  <c r="AC101" i="35"/>
  <c r="AD101" i="35"/>
  <c r="AB35" i="35"/>
  <c r="AL35" i="35"/>
  <c r="AB163" i="35"/>
  <c r="AL163" i="35"/>
  <c r="AB126" i="35"/>
  <c r="AL126" i="35"/>
  <c r="AA23" i="35"/>
  <c r="AL23" i="35"/>
  <c r="AC198" i="35"/>
  <c r="AD198" i="35"/>
  <c r="AC130" i="35"/>
  <c r="AD130" i="35"/>
  <c r="AC89" i="35"/>
  <c r="AD89" i="35"/>
  <c r="AD153" i="35"/>
  <c r="AC153" i="35"/>
  <c r="AC53" i="35"/>
  <c r="AD53" i="35"/>
  <c r="AC125" i="35"/>
  <c r="AG125" i="35" s="1"/>
  <c r="AD125" i="35"/>
  <c r="AB205" i="35"/>
  <c r="AL205" i="35"/>
  <c r="AC217" i="35"/>
  <c r="AD217" i="35"/>
  <c r="AD52" i="35"/>
  <c r="AC52" i="35"/>
  <c r="AG52" i="35" s="1"/>
  <c r="AC228" i="35"/>
  <c r="AD228" i="35"/>
  <c r="AD154" i="35"/>
  <c r="AD106" i="35"/>
  <c r="AC106" i="35"/>
  <c r="AB190" i="35"/>
  <c r="AL190" i="35"/>
  <c r="AA190" i="35"/>
  <c r="AB143" i="35"/>
  <c r="AL143" i="35"/>
  <c r="AB24" i="35"/>
  <c r="AL24" i="35"/>
  <c r="AD122" i="35"/>
  <c r="AC122" i="35"/>
  <c r="AG122" i="35" s="1"/>
  <c r="AC44" i="35"/>
  <c r="AD44" i="35"/>
  <c r="AC242" i="35"/>
  <c r="AD10" i="35"/>
  <c r="AC10" i="35"/>
  <c r="AG10" i="35" s="1"/>
  <c r="AD18" i="35"/>
  <c r="AC18" i="35"/>
  <c r="AC26" i="35"/>
  <c r="AD26" i="35"/>
  <c r="AC34" i="35"/>
  <c r="AD34" i="35"/>
  <c r="AD61" i="35"/>
  <c r="AC61" i="35"/>
  <c r="AC141" i="35"/>
  <c r="AG141" i="35" s="1"/>
  <c r="AD141" i="35"/>
  <c r="AD54" i="35"/>
  <c r="AC29" i="35"/>
  <c r="AG29" i="35" s="1"/>
  <c r="AD29" i="35"/>
  <c r="AB188" i="35"/>
  <c r="AL188" i="35"/>
  <c r="AB99" i="35"/>
  <c r="AL99" i="35"/>
  <c r="AB62" i="35"/>
  <c r="AL62" i="35"/>
  <c r="AB31" i="35"/>
  <c r="AL31" i="35"/>
  <c r="AB175" i="35"/>
  <c r="AL175" i="35"/>
  <c r="AC149" i="35"/>
  <c r="AD149" i="35"/>
  <c r="AD178" i="35"/>
  <c r="AC178" i="35"/>
  <c r="AG178" i="35" s="1"/>
  <c r="AC85" i="35"/>
  <c r="AG85" i="35" s="1"/>
  <c r="AD85" i="35"/>
  <c r="AC157" i="35"/>
  <c r="AD157" i="35"/>
  <c r="AD76" i="35"/>
  <c r="AC76" i="35"/>
  <c r="AC42" i="35"/>
  <c r="AD42" i="35"/>
  <c r="AD186" i="35"/>
  <c r="AC186" i="35"/>
  <c r="AD66" i="35"/>
  <c r="AC66" i="35"/>
  <c r="AG66" i="35" s="1"/>
  <c r="AC21" i="35"/>
  <c r="AD21" i="35"/>
  <c r="AC93" i="35"/>
  <c r="AG93" i="35" s="1"/>
  <c r="AD93" i="35"/>
  <c r="AC165" i="35"/>
  <c r="AG165" i="35" s="1"/>
  <c r="AD165" i="35"/>
  <c r="AC185" i="35"/>
  <c r="AD185" i="35"/>
  <c r="AC12" i="35"/>
  <c r="AD12" i="35"/>
  <c r="AD84" i="35"/>
  <c r="AC84" i="35"/>
  <c r="AC226" i="35"/>
  <c r="AD226" i="35"/>
  <c r="AD180" i="35"/>
  <c r="AC180" i="35"/>
  <c r="AG180" i="35" s="1"/>
  <c r="AA159" i="35"/>
  <c r="AL159" i="35"/>
  <c r="AB191" i="35"/>
  <c r="AL191" i="35"/>
  <c r="AD109" i="35"/>
  <c r="AB78" i="35"/>
  <c r="AL78" i="35"/>
  <c r="AB142" i="35"/>
  <c r="AL142" i="35"/>
  <c r="AC9" i="35"/>
  <c r="AC137" i="35"/>
  <c r="AD5" i="35"/>
  <c r="AC238" i="35"/>
  <c r="AC57" i="35"/>
  <c r="AC74" i="35"/>
  <c r="AC50" i="35"/>
  <c r="AC114" i="35"/>
  <c r="AG114" i="35" s="1"/>
  <c r="AC241" i="35"/>
  <c r="AD60" i="35"/>
  <c r="AD206" i="35"/>
  <c r="AL197" i="35"/>
  <c r="AL40" i="35"/>
  <c r="AL48" i="35"/>
  <c r="AL172" i="35"/>
  <c r="AL38" i="35"/>
  <c r="AL79" i="35"/>
  <c r="AL151" i="35"/>
  <c r="AL155" i="35"/>
  <c r="AB32" i="35"/>
  <c r="AL32" i="35"/>
  <c r="AA224" i="35"/>
  <c r="AB224" i="35"/>
  <c r="AB6" i="35"/>
  <c r="AL6" i="35"/>
  <c r="AB70" i="35"/>
  <c r="AL70" i="35"/>
  <c r="AL156" i="35"/>
  <c r="AB202" i="35"/>
  <c r="AL202" i="35"/>
  <c r="AB22" i="35"/>
  <c r="AL22" i="35"/>
  <c r="AB86" i="35"/>
  <c r="AL86" i="35"/>
  <c r="AB71" i="35"/>
  <c r="AL71" i="35"/>
  <c r="AD45" i="35"/>
  <c r="AC17" i="35"/>
  <c r="AG17" i="35" s="1"/>
  <c r="AC145" i="35"/>
  <c r="AG145" i="35" s="1"/>
  <c r="AC138" i="35"/>
  <c r="AD170" i="35"/>
  <c r="AL69" i="35"/>
  <c r="AL133" i="35"/>
  <c r="AL64" i="35"/>
  <c r="AL160" i="35"/>
  <c r="AL11" i="35"/>
  <c r="AL19" i="35"/>
  <c r="AL87" i="35"/>
  <c r="AL167" i="35"/>
  <c r="AL123" i="35"/>
  <c r="AL104" i="35"/>
  <c r="AL195" i="35"/>
  <c r="AB218" i="35"/>
  <c r="AL218" i="35"/>
  <c r="AB222" i="35"/>
  <c r="AL222" i="35"/>
  <c r="AD121" i="35"/>
  <c r="AA104" i="35"/>
  <c r="AB164" i="35"/>
  <c r="AL164" i="35"/>
  <c r="AB102" i="35"/>
  <c r="AL102" i="35"/>
  <c r="AB166" i="35"/>
  <c r="AL166" i="35"/>
  <c r="AB230" i="35"/>
  <c r="AL230" i="35"/>
  <c r="AD77" i="35"/>
  <c r="AC49" i="35"/>
  <c r="AG49" i="35" s="1"/>
  <c r="AC177" i="35"/>
  <c r="AD161" i="35"/>
  <c r="AC68" i="35"/>
  <c r="AD129" i="35"/>
  <c r="AC194" i="35"/>
  <c r="AC223" i="35"/>
  <c r="AL221" i="35"/>
  <c r="AB136" i="35"/>
  <c r="AL136" i="35"/>
  <c r="AL43" i="35"/>
  <c r="AL107" i="35"/>
  <c r="AL131" i="35"/>
  <c r="AL94" i="35"/>
  <c r="AL111" i="35"/>
  <c r="AL199" i="35"/>
  <c r="AL179" i="35"/>
  <c r="AL184" i="35"/>
  <c r="AB30" i="35"/>
  <c r="AL30" i="35"/>
  <c r="AB95" i="35"/>
  <c r="AL95" i="35"/>
  <c r="AD33" i="35"/>
  <c r="AC20" i="35"/>
  <c r="AG20" i="35" s="1"/>
  <c r="AD90" i="35"/>
  <c r="AB46" i="35"/>
  <c r="AL46" i="35"/>
  <c r="AB237" i="35"/>
  <c r="AL237" i="35"/>
  <c r="AB7" i="35"/>
  <c r="AL7" i="35"/>
  <c r="AD173" i="35"/>
  <c r="AC73" i="35"/>
  <c r="AG73" i="35" s="1"/>
  <c r="AD189" i="35"/>
  <c r="AC146" i="35"/>
  <c r="AC100" i="35"/>
  <c r="AG100" i="35" s="1"/>
  <c r="AC36" i="35"/>
  <c r="AG36" i="35" s="1"/>
  <c r="AL96" i="35"/>
  <c r="AL200" i="35"/>
  <c r="AA208" i="35"/>
  <c r="AL208" i="35"/>
  <c r="AL51" i="35"/>
  <c r="AL139" i="35"/>
  <c r="AL171" i="35"/>
  <c r="AL110" i="35"/>
  <c r="AL39" i="35"/>
  <c r="AL119" i="35"/>
  <c r="AL207" i="35"/>
  <c r="AL231" i="35"/>
  <c r="AL91" i="35"/>
  <c r="AL213" i="35"/>
  <c r="AL225" i="35"/>
  <c r="AB192" i="35"/>
  <c r="AL192" i="35"/>
  <c r="AB201" i="35"/>
  <c r="AL201" i="35"/>
  <c r="AA168" i="35"/>
  <c r="AB118" i="35"/>
  <c r="AL118" i="35"/>
  <c r="AB182" i="35"/>
  <c r="AL182" i="35"/>
  <c r="AB245" i="35"/>
  <c r="AL245" i="35"/>
  <c r="AA15" i="35"/>
  <c r="AL15" i="35"/>
  <c r="AC81" i="35"/>
  <c r="AC209" i="35"/>
  <c r="AL236" i="35"/>
  <c r="AL112" i="35"/>
  <c r="AL233" i="35"/>
  <c r="AL67" i="35"/>
  <c r="AL187" i="35"/>
  <c r="AL203" i="35"/>
  <c r="AL134" i="35"/>
  <c r="AL47" i="35"/>
  <c r="AL127" i="35"/>
  <c r="AL215" i="35"/>
  <c r="AL16" i="35"/>
  <c r="AL210" i="35"/>
  <c r="AA139" i="35"/>
  <c r="AB135" i="35"/>
  <c r="AA24" i="35"/>
  <c r="AA35" i="35"/>
  <c r="AB228" i="35"/>
  <c r="AA228" i="35"/>
  <c r="AA232" i="35"/>
  <c r="AB232" i="35"/>
  <c r="AA226" i="35"/>
  <c r="AB226" i="35"/>
  <c r="AA223" i="35"/>
  <c r="AB223" i="35"/>
  <c r="AH223" i="35" s="1"/>
  <c r="AA206" i="35"/>
  <c r="AB206" i="35"/>
  <c r="AA238" i="35"/>
  <c r="AB238" i="35"/>
  <c r="AA217" i="35"/>
  <c r="AB217" i="35"/>
  <c r="AA214" i="35"/>
  <c r="AG214" i="35" s="1"/>
  <c r="AB214" i="35"/>
  <c r="AB87" i="35"/>
  <c r="AA240" i="35"/>
  <c r="AB240" i="35"/>
  <c r="AB229" i="35"/>
  <c r="AA229" i="35"/>
  <c r="AA11" i="35"/>
  <c r="AB63" i="35"/>
  <c r="AB103" i="35"/>
  <c r="AA242" i="35"/>
  <c r="AB242" i="35"/>
  <c r="AB79" i="35"/>
  <c r="AA75" i="35"/>
  <c r="AA22" i="35"/>
  <c r="AA38" i="35"/>
  <c r="AA241" i="35"/>
  <c r="AB241" i="35"/>
  <c r="AA209" i="35"/>
  <c r="AB209" i="35"/>
  <c r="AA102" i="35"/>
  <c r="AA126" i="35"/>
  <c r="AA198" i="35"/>
  <c r="AB198" i="35"/>
  <c r="AB179" i="35"/>
  <c r="AA6" i="35"/>
  <c r="AB171" i="35"/>
  <c r="AB59" i="35"/>
  <c r="AA78" i="35"/>
  <c r="AB51" i="35"/>
  <c r="AB159" i="35"/>
  <c r="AB23" i="35"/>
  <c r="AB54" i="35"/>
  <c r="AA54" i="35"/>
  <c r="AG54" i="35" s="1"/>
  <c r="AA118" i="35"/>
  <c r="AA134" i="35"/>
  <c r="AA46" i="35"/>
  <c r="AB107" i="35"/>
  <c r="AB27" i="35"/>
  <c r="AB55" i="35"/>
  <c r="AB158" i="35"/>
  <c r="AH158" i="35" s="1"/>
  <c r="AA158" i="35"/>
  <c r="AB119" i="35"/>
  <c r="AB15" i="35"/>
  <c r="AA5" i="35"/>
  <c r="AG5" i="35" s="1"/>
  <c r="AB5" i="35"/>
  <c r="AB178" i="35"/>
  <c r="AH49" i="35"/>
  <c r="AB85" i="35"/>
  <c r="AB10" i="35"/>
  <c r="AB18" i="35"/>
  <c r="AB25" i="35"/>
  <c r="AH25" i="35" s="1"/>
  <c r="AB53" i="35"/>
  <c r="AA53" i="35"/>
  <c r="AB52" i="35"/>
  <c r="AA26" i="35"/>
  <c r="AB26" i="35"/>
  <c r="AA146" i="35"/>
  <c r="AG146" i="35" s="1"/>
  <c r="AB146" i="35"/>
  <c r="AH146" i="35" s="1"/>
  <c r="AA34" i="35"/>
  <c r="AB34" i="35"/>
  <c r="AB170" i="35"/>
  <c r="AA33" i="35"/>
  <c r="AG33" i="35" s="1"/>
  <c r="AB33" i="35"/>
  <c r="AB97" i="35"/>
  <c r="AH97" i="35" s="1"/>
  <c r="AB161" i="35"/>
  <c r="AB61" i="35"/>
  <c r="AA61" i="35"/>
  <c r="AB141" i="35"/>
  <c r="AH141" i="35" s="1"/>
  <c r="AB60" i="35"/>
  <c r="AA42" i="35"/>
  <c r="AB42" i="35"/>
  <c r="AB162" i="35"/>
  <c r="AB58" i="35"/>
  <c r="AA186" i="35"/>
  <c r="AB186" i="35"/>
  <c r="AA41" i="35"/>
  <c r="AB41" i="35"/>
  <c r="AH41" i="35" s="1"/>
  <c r="AA105" i="35"/>
  <c r="AB105" i="35"/>
  <c r="AH105" i="35" s="1"/>
  <c r="AA169" i="35"/>
  <c r="AB169" i="35"/>
  <c r="AB77" i="35"/>
  <c r="AA77" i="35"/>
  <c r="AG77" i="35" s="1"/>
  <c r="AB149" i="35"/>
  <c r="AB68" i="35"/>
  <c r="AA68" i="35"/>
  <c r="AB13" i="35"/>
  <c r="AB66" i="35"/>
  <c r="AB93" i="35"/>
  <c r="AB113" i="35"/>
  <c r="AH113" i="35" s="1"/>
  <c r="AA90" i="35"/>
  <c r="AG90" i="35" s="1"/>
  <c r="AB90" i="35"/>
  <c r="AB121" i="35"/>
  <c r="AB185" i="35"/>
  <c r="AB84" i="35"/>
  <c r="AA84" i="35"/>
  <c r="AB129" i="35"/>
  <c r="AA129" i="35"/>
  <c r="AG129" i="35" s="1"/>
  <c r="AB173" i="35"/>
  <c r="AA173" i="35"/>
  <c r="AB122" i="35"/>
  <c r="AA50" i="35"/>
  <c r="AG50" i="35" s="1"/>
  <c r="AB50" i="35"/>
  <c r="AH50" i="35" s="1"/>
  <c r="AB157" i="35"/>
  <c r="AA157" i="35"/>
  <c r="AB76" i="35"/>
  <c r="AA76" i="35"/>
  <c r="AA194" i="35"/>
  <c r="AB194" i="35"/>
  <c r="AH194" i="35" s="1"/>
  <c r="AA57" i="35"/>
  <c r="AB57" i="35"/>
  <c r="AH57" i="35" s="1"/>
  <c r="AB165" i="35"/>
  <c r="AB82" i="35"/>
  <c r="AA106" i="35"/>
  <c r="AG106" i="35" s="1"/>
  <c r="AB106" i="35"/>
  <c r="AH106" i="35" s="1"/>
  <c r="AB65" i="35"/>
  <c r="AB29" i="35"/>
  <c r="AB101" i="35"/>
  <c r="AB193" i="35"/>
  <c r="AH193" i="35" s="1"/>
  <c r="AA193" i="35"/>
  <c r="AB20" i="35"/>
  <c r="AH20" i="35" s="1"/>
  <c r="AA98" i="35"/>
  <c r="AB98" i="35"/>
  <c r="AH98" i="35" s="1"/>
  <c r="AB9" i="35"/>
  <c r="AH9" i="35" s="1"/>
  <c r="AA9" i="35"/>
  <c r="AB73" i="35"/>
  <c r="AH73" i="35" s="1"/>
  <c r="AB137" i="35"/>
  <c r="AH137" i="35" s="1"/>
  <c r="AA137" i="35"/>
  <c r="AB37" i="35"/>
  <c r="AA37" i="35"/>
  <c r="AG37" i="35" s="1"/>
  <c r="AB109" i="35"/>
  <c r="AA109" i="35"/>
  <c r="AG109" i="35" s="1"/>
  <c r="AB181" i="35"/>
  <c r="AA181" i="35"/>
  <c r="AB36" i="35"/>
  <c r="AH36" i="35" s="1"/>
  <c r="AB114" i="35"/>
  <c r="AH114" i="35" s="1"/>
  <c r="AB138" i="35"/>
  <c r="AB17" i="35"/>
  <c r="AH17" i="35" s="1"/>
  <c r="AA81" i="35"/>
  <c r="AB81" i="35"/>
  <c r="AB145" i="35"/>
  <c r="AH145" i="35" s="1"/>
  <c r="AB45" i="35"/>
  <c r="AA45" i="35"/>
  <c r="AB117" i="35"/>
  <c r="AB189" i="35"/>
  <c r="AA189" i="35"/>
  <c r="AG189" i="35" s="1"/>
  <c r="AB44" i="35"/>
  <c r="AA74" i="35"/>
  <c r="AB74" i="35"/>
  <c r="AH74" i="35" s="1"/>
  <c r="AB177" i="35"/>
  <c r="AB130" i="35"/>
  <c r="AB154" i="35"/>
  <c r="AH154" i="35" s="1"/>
  <c r="AB89" i="35"/>
  <c r="AB153" i="35"/>
  <c r="AB125" i="35"/>
  <c r="AG74" i="35" l="1"/>
  <c r="AH122" i="35"/>
  <c r="AH186" i="35"/>
  <c r="AH37" i="35"/>
  <c r="AH82" i="35"/>
  <c r="AH189" i="35"/>
  <c r="AH117" i="35"/>
  <c r="AG157" i="35"/>
  <c r="AH66" i="35"/>
  <c r="AC239" i="35"/>
  <c r="AH90" i="35"/>
  <c r="AH58" i="35"/>
  <c r="AH93" i="35"/>
  <c r="AG9" i="35"/>
  <c r="AG26" i="35"/>
  <c r="AH214" i="35"/>
  <c r="AG34" i="35"/>
  <c r="AC148" i="35"/>
  <c r="AG148" i="35" s="1"/>
  <c r="AH84" i="35"/>
  <c r="AG193" i="35"/>
  <c r="AH157" i="35"/>
  <c r="AH54" i="35"/>
  <c r="AG98" i="35"/>
  <c r="AG84" i="35"/>
  <c r="AG105" i="35"/>
  <c r="AH29" i="35"/>
  <c r="AG194" i="35"/>
  <c r="AG186" i="35"/>
  <c r="AH165" i="35"/>
  <c r="AH10" i="35"/>
  <c r="AH85" i="35"/>
  <c r="AH13" i="35"/>
  <c r="AH77" i="35"/>
  <c r="AG181" i="35"/>
  <c r="AH181" i="35"/>
  <c r="AG57" i="35"/>
  <c r="AH125" i="35"/>
  <c r="AG41" i="35"/>
  <c r="AH42" i="35"/>
  <c r="AH33" i="35"/>
  <c r="AD220" i="35"/>
  <c r="AG223" i="35"/>
  <c r="AH109" i="35"/>
  <c r="AH121" i="35"/>
  <c r="AH5" i="35"/>
  <c r="AH34" i="35"/>
  <c r="AH204" i="35"/>
  <c r="AH140" i="35"/>
  <c r="AG42" i="35"/>
  <c r="AH52" i="35"/>
  <c r="AH178" i="35"/>
  <c r="AH180" i="35"/>
  <c r="AG235" i="35"/>
  <c r="AH59" i="35"/>
  <c r="AH83" i="35"/>
  <c r="AG137" i="35"/>
  <c r="AH129" i="35"/>
  <c r="AG158" i="35"/>
  <c r="AH26" i="35"/>
  <c r="AC135" i="35"/>
  <c r="AC140" i="35"/>
  <c r="AG140" i="35" s="1"/>
  <c r="AD120" i="35"/>
  <c r="AH120" i="35" s="1"/>
  <c r="AC204" i="35"/>
  <c r="AG204" i="35" s="1"/>
  <c r="AD244" i="35"/>
  <c r="AC234" i="35"/>
  <c r="AC219" i="35"/>
  <c r="AC183" i="35"/>
  <c r="AG183" i="35" s="1"/>
  <c r="AC132" i="35"/>
  <c r="AG132" i="35" s="1"/>
  <c r="AC216" i="35"/>
  <c r="AD235" i="35"/>
  <c r="AH235" i="35" s="1"/>
  <c r="AC227" i="35"/>
  <c r="AD128" i="35"/>
  <c r="AH128" i="35" s="1"/>
  <c r="AD92" i="35"/>
  <c r="AH92" i="35" s="1"/>
  <c r="AC147" i="35"/>
  <c r="AG147" i="35" s="1"/>
  <c r="AD14" i="35"/>
  <c r="AH14" i="35" s="1"/>
  <c r="AC211" i="35"/>
  <c r="AC59" i="35"/>
  <c r="AG59" i="35" s="1"/>
  <c r="AD174" i="35"/>
  <c r="AC174" i="35"/>
  <c r="AC55" i="35"/>
  <c r="AD168" i="35"/>
  <c r="AC168" i="35"/>
  <c r="AC83" i="35"/>
  <c r="AG83" i="35" s="1"/>
  <c r="AD72" i="35"/>
  <c r="AH72" i="35" s="1"/>
  <c r="AC72" i="35"/>
  <c r="AG72" i="35" s="1"/>
  <c r="AC28" i="35"/>
  <c r="AG28" i="35" s="1"/>
  <c r="AD88" i="35"/>
  <c r="AC88" i="35"/>
  <c r="AD56" i="35"/>
  <c r="AH56" i="35" s="1"/>
  <c r="AC144" i="35"/>
  <c r="AG144" i="35" s="1"/>
  <c r="AD144" i="35"/>
  <c r="AH144" i="35" s="1"/>
  <c r="AD150" i="35"/>
  <c r="AH150" i="35" s="1"/>
  <c r="AD176" i="35"/>
  <c r="AC176" i="35"/>
  <c r="AD152" i="35"/>
  <c r="AH152" i="35" s="1"/>
  <c r="AC152" i="35"/>
  <c r="AG152" i="35" s="1"/>
  <c r="AD75" i="35"/>
  <c r="AH75" i="35" s="1"/>
  <c r="AC75" i="35"/>
  <c r="AG75" i="35" s="1"/>
  <c r="AD115" i="35"/>
  <c r="AH115" i="35" s="1"/>
  <c r="AC115" i="35"/>
  <c r="AG115" i="35" s="1"/>
  <c r="AD103" i="35"/>
  <c r="AH103" i="35" s="1"/>
  <c r="AC103" i="35"/>
  <c r="AG103" i="35" s="1"/>
  <c r="AC80" i="35"/>
  <c r="AG80" i="35" s="1"/>
  <c r="AD80" i="35"/>
  <c r="AH80" i="35" s="1"/>
  <c r="AC63" i="35"/>
  <c r="AD63" i="35"/>
  <c r="AD27" i="35"/>
  <c r="AH27" i="35" s="1"/>
  <c r="AC27" i="35"/>
  <c r="AG27" i="35" s="1"/>
  <c r="AD8" i="35"/>
  <c r="AH8" i="35" s="1"/>
  <c r="AC8" i="35"/>
  <c r="AG8" i="35" s="1"/>
  <c r="AD233" i="35"/>
  <c r="AC233" i="35"/>
  <c r="AC118" i="35"/>
  <c r="AG118" i="35" s="1"/>
  <c r="AD118" i="35"/>
  <c r="AH118" i="35" s="1"/>
  <c r="AD95" i="35"/>
  <c r="AH95" i="35" s="1"/>
  <c r="AC95" i="35"/>
  <c r="AG95" i="35" s="1"/>
  <c r="AD11" i="35"/>
  <c r="AH11" i="35" s="1"/>
  <c r="AC11" i="35"/>
  <c r="AG11" i="35" s="1"/>
  <c r="AC188" i="35"/>
  <c r="AD188" i="35"/>
  <c r="AC163" i="35"/>
  <c r="AG163" i="35" s="1"/>
  <c r="AD163" i="35"/>
  <c r="AH163" i="35" s="1"/>
  <c r="AD91" i="35"/>
  <c r="AC91" i="35"/>
  <c r="AD131" i="35"/>
  <c r="AH131" i="35" s="1"/>
  <c r="AC131" i="35"/>
  <c r="AG131" i="35" s="1"/>
  <c r="AD160" i="35"/>
  <c r="AC160" i="35"/>
  <c r="AC172" i="35"/>
  <c r="AD172" i="35"/>
  <c r="AC15" i="35"/>
  <c r="AD15" i="35"/>
  <c r="AD208" i="35"/>
  <c r="AH208" i="35" s="1"/>
  <c r="AC208" i="35"/>
  <c r="AG208" i="35" s="1"/>
  <c r="AC30" i="35"/>
  <c r="AD30" i="35"/>
  <c r="AC195" i="35"/>
  <c r="AD195" i="35"/>
  <c r="AD156" i="35"/>
  <c r="AH156" i="35" s="1"/>
  <c r="AC156" i="35"/>
  <c r="AG156" i="35" s="1"/>
  <c r="AC191" i="35"/>
  <c r="AD191" i="35"/>
  <c r="AD31" i="35"/>
  <c r="AH31" i="35" s="1"/>
  <c r="AC31" i="35"/>
  <c r="AG31" i="35" s="1"/>
  <c r="AC47" i="35"/>
  <c r="AG47" i="35" s="1"/>
  <c r="AD47" i="35"/>
  <c r="AH47" i="35" s="1"/>
  <c r="AD207" i="35"/>
  <c r="AC207" i="35"/>
  <c r="AD46" i="35"/>
  <c r="AH46" i="35" s="1"/>
  <c r="AC46" i="35"/>
  <c r="AG46" i="35" s="1"/>
  <c r="AD43" i="35"/>
  <c r="AH43" i="35" s="1"/>
  <c r="AC43" i="35"/>
  <c r="AG43" i="35" s="1"/>
  <c r="AC230" i="35"/>
  <c r="AD230" i="35"/>
  <c r="AC104" i="35"/>
  <c r="AG104" i="35" s="1"/>
  <c r="AD104" i="35"/>
  <c r="AH104" i="35" s="1"/>
  <c r="AC133" i="35"/>
  <c r="AD133" i="35"/>
  <c r="AC32" i="35"/>
  <c r="AG32" i="35" s="1"/>
  <c r="AD32" i="35"/>
  <c r="AH32" i="35" s="1"/>
  <c r="AD190" i="35"/>
  <c r="AH190" i="35" s="1"/>
  <c r="AC190" i="35"/>
  <c r="AG190" i="35" s="1"/>
  <c r="AD38" i="35"/>
  <c r="AH38" i="35" s="1"/>
  <c r="AC38" i="35"/>
  <c r="AG38" i="35" s="1"/>
  <c r="AD51" i="35"/>
  <c r="AH51" i="35" s="1"/>
  <c r="AC51" i="35"/>
  <c r="AG51" i="35" s="1"/>
  <c r="AD164" i="35"/>
  <c r="AH164" i="35" s="1"/>
  <c r="AC164" i="35"/>
  <c r="AG164" i="35" s="1"/>
  <c r="AC236" i="35"/>
  <c r="AD236" i="35"/>
  <c r="AC48" i="35"/>
  <c r="AG48" i="35" s="1"/>
  <c r="AD48" i="35"/>
  <c r="AH48" i="35" s="1"/>
  <c r="AD200" i="35"/>
  <c r="AC200" i="35"/>
  <c r="AC16" i="35"/>
  <c r="AG16" i="35" s="1"/>
  <c r="AD16" i="35"/>
  <c r="AH16" i="35" s="1"/>
  <c r="AC213" i="35"/>
  <c r="AD213" i="35"/>
  <c r="AC94" i="35"/>
  <c r="AG94" i="35" s="1"/>
  <c r="AD94" i="35"/>
  <c r="AH94" i="35" s="1"/>
  <c r="AC218" i="35"/>
  <c r="AD218" i="35"/>
  <c r="AD202" i="35"/>
  <c r="AC202" i="35"/>
  <c r="AC175" i="35"/>
  <c r="AG175" i="35" s="1"/>
  <c r="AD175" i="35"/>
  <c r="AH175" i="35" s="1"/>
  <c r="AC143" i="35"/>
  <c r="AG143" i="35" s="1"/>
  <c r="AD143" i="35"/>
  <c r="AH143" i="35" s="1"/>
  <c r="AD127" i="35"/>
  <c r="AH127" i="35" s="1"/>
  <c r="AC127" i="35"/>
  <c r="AG127" i="35" s="1"/>
  <c r="AC231" i="35"/>
  <c r="AD231" i="35"/>
  <c r="AD107" i="35"/>
  <c r="AH107" i="35" s="1"/>
  <c r="AC107" i="35"/>
  <c r="AG107" i="35" s="1"/>
  <c r="AC64" i="35"/>
  <c r="AG64" i="35" s="1"/>
  <c r="AD64" i="35"/>
  <c r="AH64" i="35" s="1"/>
  <c r="AC35" i="35"/>
  <c r="AG35" i="35" s="1"/>
  <c r="AD35" i="35"/>
  <c r="AH35" i="35" s="1"/>
  <c r="AC134" i="35"/>
  <c r="AG134" i="35" s="1"/>
  <c r="AD134" i="35"/>
  <c r="AH134" i="35" s="1"/>
  <c r="AC245" i="35"/>
  <c r="AD245" i="35"/>
  <c r="AC119" i="35"/>
  <c r="AG119" i="35" s="1"/>
  <c r="AD119" i="35"/>
  <c r="AH119" i="35" s="1"/>
  <c r="AC136" i="35"/>
  <c r="AG136" i="35" s="1"/>
  <c r="AD136" i="35"/>
  <c r="AH136" i="35" s="1"/>
  <c r="AC69" i="35"/>
  <c r="AG69" i="35" s="1"/>
  <c r="AD69" i="35"/>
  <c r="AH69" i="35" s="1"/>
  <c r="AC40" i="35"/>
  <c r="AG40" i="35" s="1"/>
  <c r="AD40" i="35"/>
  <c r="AH40" i="35" s="1"/>
  <c r="AC159" i="35"/>
  <c r="AG159" i="35" s="1"/>
  <c r="AD159" i="35"/>
  <c r="AH159" i="35" s="1"/>
  <c r="AC39" i="35"/>
  <c r="AG39" i="35" s="1"/>
  <c r="AD39" i="35"/>
  <c r="AH39" i="35" s="1"/>
  <c r="AD179" i="35"/>
  <c r="AH179" i="35" s="1"/>
  <c r="AC179" i="35"/>
  <c r="AG179" i="35" s="1"/>
  <c r="AC70" i="35"/>
  <c r="AG70" i="35" s="1"/>
  <c r="AD70" i="35"/>
  <c r="AH70" i="35" s="1"/>
  <c r="AD155" i="35"/>
  <c r="AH155" i="35" s="1"/>
  <c r="AC155" i="35"/>
  <c r="AG155" i="35" s="1"/>
  <c r="AC142" i="35"/>
  <c r="AG142" i="35" s="1"/>
  <c r="AD142" i="35"/>
  <c r="AH142" i="35" s="1"/>
  <c r="AD187" i="35"/>
  <c r="AC187" i="35"/>
  <c r="AC182" i="35"/>
  <c r="AG182" i="35" s="1"/>
  <c r="AD182" i="35"/>
  <c r="AH182" i="35" s="1"/>
  <c r="AD110" i="35"/>
  <c r="AC110" i="35"/>
  <c r="AC199" i="35"/>
  <c r="AD199" i="35"/>
  <c r="AC221" i="35"/>
  <c r="AD221" i="35"/>
  <c r="AC222" i="35"/>
  <c r="AD222" i="35"/>
  <c r="AD87" i="35"/>
  <c r="AH87" i="35" s="1"/>
  <c r="AC87" i="35"/>
  <c r="AG87" i="35" s="1"/>
  <c r="AC22" i="35"/>
  <c r="AG22" i="35" s="1"/>
  <c r="AD22" i="35"/>
  <c r="AH22" i="35" s="1"/>
  <c r="AC151" i="35"/>
  <c r="AG151" i="35" s="1"/>
  <c r="AD151" i="35"/>
  <c r="AH151" i="35" s="1"/>
  <c r="AC99" i="35"/>
  <c r="AG99" i="35" s="1"/>
  <c r="AD99" i="35"/>
  <c r="AH99" i="35" s="1"/>
  <c r="AD24" i="35"/>
  <c r="AH24" i="35" s="1"/>
  <c r="AC24" i="35"/>
  <c r="AG24" i="35" s="1"/>
  <c r="AC205" i="35"/>
  <c r="AD205" i="35"/>
  <c r="AD126" i="35"/>
  <c r="AC126" i="35"/>
  <c r="AD139" i="35"/>
  <c r="AH139" i="35" s="1"/>
  <c r="AC139" i="35"/>
  <c r="AG139" i="35" s="1"/>
  <c r="AD112" i="35"/>
  <c r="AH112" i="35" s="1"/>
  <c r="AC112" i="35"/>
  <c r="AG112" i="35" s="1"/>
  <c r="AD237" i="35"/>
  <c r="AC237" i="35"/>
  <c r="AD71" i="35"/>
  <c r="AH71" i="35" s="1"/>
  <c r="AC71" i="35"/>
  <c r="AG71" i="35" s="1"/>
  <c r="AD201" i="35"/>
  <c r="AC201" i="35"/>
  <c r="AD184" i="35"/>
  <c r="AH184" i="35" s="1"/>
  <c r="AC184" i="35"/>
  <c r="AG184" i="35" s="1"/>
  <c r="AD123" i="35"/>
  <c r="AH123" i="35" s="1"/>
  <c r="AC123" i="35"/>
  <c r="AG123" i="35" s="1"/>
  <c r="AD86" i="35"/>
  <c r="AH86" i="35" s="1"/>
  <c r="AC86" i="35"/>
  <c r="AG86" i="35" s="1"/>
  <c r="AD62" i="35"/>
  <c r="AH62" i="35" s="1"/>
  <c r="AC62" i="35"/>
  <c r="AG62" i="35" s="1"/>
  <c r="AD23" i="35"/>
  <c r="AH23" i="35" s="1"/>
  <c r="AC23" i="35"/>
  <c r="AG23" i="35" s="1"/>
  <c r="AD203" i="35"/>
  <c r="AC203" i="35"/>
  <c r="AC192" i="35"/>
  <c r="AG192" i="35" s="1"/>
  <c r="AD192" i="35"/>
  <c r="AH192" i="35" s="1"/>
  <c r="AD96" i="35"/>
  <c r="AH96" i="35" s="1"/>
  <c r="AC96" i="35"/>
  <c r="AG96" i="35" s="1"/>
  <c r="AD166" i="35"/>
  <c r="AH166" i="35" s="1"/>
  <c r="AC166" i="35"/>
  <c r="AG166" i="35" s="1"/>
  <c r="AC167" i="35"/>
  <c r="AG167" i="35" s="1"/>
  <c r="AD167" i="35"/>
  <c r="AH167" i="35" s="1"/>
  <c r="AC197" i="35"/>
  <c r="AD197" i="35"/>
  <c r="AD210" i="35"/>
  <c r="AC210" i="35"/>
  <c r="AC67" i="35"/>
  <c r="AD67" i="35"/>
  <c r="AD225" i="35"/>
  <c r="AC225" i="35"/>
  <c r="AD171" i="35"/>
  <c r="AH171" i="35" s="1"/>
  <c r="AC171" i="35"/>
  <c r="AG171" i="35" s="1"/>
  <c r="AC7" i="35"/>
  <c r="AD7" i="35"/>
  <c r="AD111" i="35"/>
  <c r="AC111" i="35"/>
  <c r="AD102" i="35"/>
  <c r="AC102" i="35"/>
  <c r="AD19" i="35"/>
  <c r="AC19" i="35"/>
  <c r="AD6" i="35"/>
  <c r="AH6" i="35" s="1"/>
  <c r="AC6" i="35"/>
  <c r="AG6" i="35" s="1"/>
  <c r="AD79" i="35"/>
  <c r="AH79" i="35" s="1"/>
  <c r="AC79" i="35"/>
  <c r="AG79" i="35" s="1"/>
  <c r="AC78" i="35"/>
  <c r="AG78" i="35" s="1"/>
  <c r="AD78" i="35"/>
  <c r="AH78" i="35" s="1"/>
</calcChain>
</file>

<file path=xl/sharedStrings.xml><?xml version="1.0" encoding="utf-8"?>
<sst xmlns="http://schemas.openxmlformats.org/spreadsheetml/2006/main" count="3916" uniqueCount="1454">
  <si>
    <t>ردیف</t>
  </si>
  <si>
    <t>نام</t>
  </si>
  <si>
    <t>نام خانوادگی</t>
  </si>
  <si>
    <t>کدملی</t>
  </si>
  <si>
    <t>تاریخ تولد</t>
  </si>
  <si>
    <t>سن (سال)</t>
  </si>
  <si>
    <t>نوع قرارداد</t>
  </si>
  <si>
    <t>ابلاغ سرپرستی</t>
  </si>
  <si>
    <t>عنوان ابلاغ</t>
  </si>
  <si>
    <t>مقطع</t>
  </si>
  <si>
    <t>رشته تحصیلی</t>
  </si>
  <si>
    <t>کل</t>
  </si>
  <si>
    <t>قرارداد دائم</t>
  </si>
  <si>
    <t>قرارداد موقت معین (clf)</t>
  </si>
  <si>
    <t>موقت (دوبرگی)</t>
  </si>
  <si>
    <t>روزمزد</t>
  </si>
  <si>
    <t>اقتصادی و مناطق ویژه</t>
  </si>
  <si>
    <t>عملیات</t>
  </si>
  <si>
    <t>انتظامات</t>
  </si>
  <si>
    <t>ایمنی</t>
  </si>
  <si>
    <t>حراست</t>
  </si>
  <si>
    <t>فنی و مهندسی</t>
  </si>
  <si>
    <t>عنوان پست</t>
  </si>
  <si>
    <t>گروه</t>
  </si>
  <si>
    <t>سال</t>
  </si>
  <si>
    <t>ماه</t>
  </si>
  <si>
    <t>دارد</t>
  </si>
  <si>
    <t>ندارد</t>
  </si>
  <si>
    <t>هیات مدیره</t>
  </si>
  <si>
    <t>موظف</t>
  </si>
  <si>
    <t>غیر موظف</t>
  </si>
  <si>
    <t>تلفن همراه</t>
  </si>
  <si>
    <t>سابقه (بر اساس سوابق بیمه تامین اجتماعی)</t>
  </si>
  <si>
    <t>داخل شرکت</t>
  </si>
  <si>
    <t>خارج از شرکت</t>
  </si>
  <si>
    <t>مامور از سایر دستگاه ها و نهادها و ... به انبارهای عمومی</t>
  </si>
  <si>
    <t xml:space="preserve">شرکت </t>
  </si>
  <si>
    <t>شعبه</t>
  </si>
  <si>
    <t>جنسیت</t>
  </si>
  <si>
    <t>مذکر</t>
  </si>
  <si>
    <t>مونث</t>
  </si>
  <si>
    <t>تاریخ استخدام</t>
  </si>
  <si>
    <t>تحصیلات بر اساس آخرین مدرک ارائه شده و دارای استعلام</t>
  </si>
  <si>
    <t>تحصیلات بر اساس قرارداد یا حکم کارگزینی</t>
  </si>
  <si>
    <t>مشاوره ای، پاره وقت، ساعتی و ...</t>
  </si>
  <si>
    <t>پیمانکاری/ شرکتی</t>
  </si>
  <si>
    <t>حقوقی و امور قراردادها</t>
  </si>
  <si>
    <t>هماهنگی و امور مجامع</t>
  </si>
  <si>
    <t>مالی و اداری</t>
  </si>
  <si>
    <t>حوزه مدیرعامل</t>
  </si>
  <si>
    <t>برنامه ریزی و اقتصادی</t>
  </si>
  <si>
    <t>معاونت عملیات</t>
  </si>
  <si>
    <t>مشاوران پاره وقت، ساعتی و ...</t>
  </si>
  <si>
    <t xml:space="preserve">دائم </t>
  </si>
  <si>
    <t>موقت</t>
  </si>
  <si>
    <t>پیمانی</t>
  </si>
  <si>
    <t>مستقیم</t>
  </si>
  <si>
    <t>جانمایی پراکندگی (ستاد)</t>
  </si>
  <si>
    <t>جانمایی پراکندگی (صف)</t>
  </si>
  <si>
    <t>تاریخ شروع ماموریت</t>
  </si>
  <si>
    <t>عنوان پست میدانی (صرفا در صورت مغایرت با حکم کارگزینی تکمیل نمایید)</t>
  </si>
  <si>
    <t>وضعیت تاهل</t>
  </si>
  <si>
    <t>مجرد</t>
  </si>
  <si>
    <t>متاهل</t>
  </si>
  <si>
    <t>معیل</t>
  </si>
  <si>
    <t>مجوز جذب</t>
  </si>
  <si>
    <t>شناسه نامه</t>
  </si>
  <si>
    <t>تاریخ نامه</t>
  </si>
  <si>
    <t>مرجع صادر کننده مجوز</t>
  </si>
  <si>
    <t>در صورت استخدام در سال 1405 و بعد از آن</t>
  </si>
  <si>
    <t>نام سازمان مبداء</t>
  </si>
  <si>
    <t>P</t>
  </si>
  <si>
    <t>عیناً براساس حکم کارگزینی یا قرارداد</t>
  </si>
  <si>
    <t>کارمند عملیات</t>
  </si>
  <si>
    <t>نام شرکت  محل خدمت</t>
  </si>
  <si>
    <t>کارشناسی</t>
  </si>
  <si>
    <t>کاردانی</t>
  </si>
  <si>
    <t>حسابداری</t>
  </si>
  <si>
    <t>مدیریت دولتی</t>
  </si>
  <si>
    <t>نیروی مازاد</t>
  </si>
  <si>
    <t>هرنوع قرارداد دیگر (صرفا در این ستون به جای تیک زدن، نوع قرارداد در سلول درج گردد)</t>
  </si>
  <si>
    <t>نام پدر</t>
  </si>
  <si>
    <t>جمع کل حقوق و مزایا</t>
  </si>
  <si>
    <t>دوغارون</t>
  </si>
  <si>
    <t>لطف آباد</t>
  </si>
  <si>
    <t>ماهیرود</t>
  </si>
  <si>
    <t>سرخس</t>
  </si>
  <si>
    <t>شهید مطهری</t>
  </si>
  <si>
    <t>منطقه ویژه سرخس</t>
  </si>
  <si>
    <t>مجتمع خراسان</t>
  </si>
  <si>
    <t>زائرسرا</t>
  </si>
  <si>
    <t>نیشابور</t>
  </si>
  <si>
    <t>شهيد کاوه</t>
  </si>
  <si>
    <t>بجنورد</t>
  </si>
  <si>
    <t>بیرجند</t>
  </si>
  <si>
    <t>ابوذر</t>
  </si>
  <si>
    <t xml:space="preserve"> الطافی جوزقانی</t>
  </si>
  <si>
    <t>حسین</t>
  </si>
  <si>
    <t>کاظم</t>
  </si>
  <si>
    <t xml:space="preserve"> الوندی بهلولی</t>
  </si>
  <si>
    <t>علی</t>
  </si>
  <si>
    <t>مجتبي</t>
  </si>
  <si>
    <t>ابراهيمي قلجق</t>
  </si>
  <si>
    <t>علي اصغر</t>
  </si>
  <si>
    <t>ميلاد</t>
  </si>
  <si>
    <t>احمدي</t>
  </si>
  <si>
    <t>محمدعلي</t>
  </si>
  <si>
    <t>محمد</t>
  </si>
  <si>
    <t>امرالله</t>
  </si>
  <si>
    <t>ابوالفضل</t>
  </si>
  <si>
    <t>اسحاقی جوزقانی</t>
  </si>
  <si>
    <t>حسن</t>
  </si>
  <si>
    <t>مهدي</t>
  </si>
  <si>
    <t>اسکندري</t>
  </si>
  <si>
    <t>اسکندر</t>
  </si>
  <si>
    <t>علیرضا</t>
  </si>
  <si>
    <t>اصغری</t>
  </si>
  <si>
    <t>اصلاحی نصر آبادی</t>
  </si>
  <si>
    <t>امیرجان</t>
  </si>
  <si>
    <t>محمود</t>
  </si>
  <si>
    <t>اعلم لطف آبادی</t>
  </si>
  <si>
    <t>داریوش</t>
  </si>
  <si>
    <t>امید</t>
  </si>
  <si>
    <t>اقبالی جوزقانی</t>
  </si>
  <si>
    <t>درویش</t>
  </si>
  <si>
    <t>حامد</t>
  </si>
  <si>
    <t>اکسیر</t>
  </si>
  <si>
    <t>رضا</t>
  </si>
  <si>
    <t>امین پور</t>
  </si>
  <si>
    <t>خدابخش</t>
  </si>
  <si>
    <t>ميثم</t>
  </si>
  <si>
    <t>انجيدني</t>
  </si>
  <si>
    <t>دانيال</t>
  </si>
  <si>
    <t>ایماني</t>
  </si>
  <si>
    <t>نوروز</t>
  </si>
  <si>
    <t>محمدجواد</t>
  </si>
  <si>
    <t>آذرپور</t>
  </si>
  <si>
    <t>براتعلی</t>
  </si>
  <si>
    <t>احمد</t>
  </si>
  <si>
    <t>آذری</t>
  </si>
  <si>
    <t>مهدی</t>
  </si>
  <si>
    <t>محسن</t>
  </si>
  <si>
    <t>آرام نبی نیا</t>
  </si>
  <si>
    <t>سعید</t>
  </si>
  <si>
    <t>آقازاده</t>
  </si>
  <si>
    <t>شمسعلی</t>
  </si>
  <si>
    <t>هادی</t>
  </si>
  <si>
    <t>آگاه شهر نوی</t>
  </si>
  <si>
    <t>حجت</t>
  </si>
  <si>
    <t>امیر</t>
  </si>
  <si>
    <t>بابائی پور</t>
  </si>
  <si>
    <t>حبیب اله</t>
  </si>
  <si>
    <t>وحید</t>
  </si>
  <si>
    <t>باخدای ارزنه ئی</t>
  </si>
  <si>
    <t>حمید</t>
  </si>
  <si>
    <t>بادوام بهلولی</t>
  </si>
  <si>
    <t>غلامرضا</t>
  </si>
  <si>
    <t>بخشنده</t>
  </si>
  <si>
    <t>عبدالرحمان</t>
  </si>
  <si>
    <t>براتی یوسف آبادی</t>
  </si>
  <si>
    <t>عبدالحمید</t>
  </si>
  <si>
    <t>محمدحسين</t>
  </si>
  <si>
    <t>براتي</t>
  </si>
  <si>
    <t>علي</t>
  </si>
  <si>
    <t>دانیال</t>
  </si>
  <si>
    <t>بردبار</t>
  </si>
  <si>
    <t>محمد سعید</t>
  </si>
  <si>
    <t>جعفر</t>
  </si>
  <si>
    <t>بندیدن</t>
  </si>
  <si>
    <t>غلام حسن</t>
  </si>
  <si>
    <t>حمزه</t>
  </si>
  <si>
    <t>بهمدی</t>
  </si>
  <si>
    <t>عزیز</t>
  </si>
  <si>
    <t>محمد حسين</t>
  </si>
  <si>
    <t>بیاتی</t>
  </si>
  <si>
    <t>اسداله</t>
  </si>
  <si>
    <t>علی اصغر</t>
  </si>
  <si>
    <t>بیگ زاده بادلو</t>
  </si>
  <si>
    <t>بیگی</t>
  </si>
  <si>
    <t>جواد</t>
  </si>
  <si>
    <t>پردل محسن آباد</t>
  </si>
  <si>
    <t>محمدرضا</t>
  </si>
  <si>
    <t>محمدمهدی</t>
  </si>
  <si>
    <t>پورسامانی</t>
  </si>
  <si>
    <t>مسلم</t>
  </si>
  <si>
    <t>ترابی</t>
  </si>
  <si>
    <t>صادق</t>
  </si>
  <si>
    <t>ترازوي زر</t>
  </si>
  <si>
    <t>رستم</t>
  </si>
  <si>
    <t>نعیم</t>
  </si>
  <si>
    <t>جان بیگی</t>
  </si>
  <si>
    <t>داود</t>
  </si>
  <si>
    <t>جاني پورنادي</t>
  </si>
  <si>
    <t>حسين</t>
  </si>
  <si>
    <t>جشن آبادي</t>
  </si>
  <si>
    <t>صفدر</t>
  </si>
  <si>
    <t>جعفرزاده يزد</t>
  </si>
  <si>
    <t>اکبر</t>
  </si>
  <si>
    <t>جلالی</t>
  </si>
  <si>
    <t>جلالی یازتپه</t>
  </si>
  <si>
    <t>شمس الدین</t>
  </si>
  <si>
    <t>جلمباداني</t>
  </si>
  <si>
    <t>اصغر</t>
  </si>
  <si>
    <t>جلینی</t>
  </si>
  <si>
    <t>عباسعلی</t>
  </si>
  <si>
    <t>ابوالقاسم</t>
  </si>
  <si>
    <t>جمال زاده</t>
  </si>
  <si>
    <t>سعيد</t>
  </si>
  <si>
    <t>جوادي راد</t>
  </si>
  <si>
    <t>مهرداد</t>
  </si>
  <si>
    <t>چراغیان</t>
  </si>
  <si>
    <t>گل محمد</t>
  </si>
  <si>
    <t>چربگو</t>
  </si>
  <si>
    <t>محمدحسن</t>
  </si>
  <si>
    <t>مصطفي</t>
  </si>
  <si>
    <t>چناري</t>
  </si>
  <si>
    <t>امیرحسین</t>
  </si>
  <si>
    <t>چوبدارزاده</t>
  </si>
  <si>
    <t>مصیب</t>
  </si>
  <si>
    <t>حاصل خواه</t>
  </si>
  <si>
    <t>حسنی</t>
  </si>
  <si>
    <t>حسین پور یوسفخانی</t>
  </si>
  <si>
    <t>محمد حسین</t>
  </si>
  <si>
    <t>حسین زاده</t>
  </si>
  <si>
    <t>فیض محمد</t>
  </si>
  <si>
    <t>حضرتي</t>
  </si>
  <si>
    <t>محمدرحيم</t>
  </si>
  <si>
    <t>سجاد</t>
  </si>
  <si>
    <t>حقدادی</t>
  </si>
  <si>
    <t>رمضان</t>
  </si>
  <si>
    <t>حقیقی میر آبادی</t>
  </si>
  <si>
    <t>حسنعلی</t>
  </si>
  <si>
    <t>حمیدی</t>
  </si>
  <si>
    <t>خداوردی</t>
  </si>
  <si>
    <t>حیدری</t>
  </si>
  <si>
    <t>نورعلی</t>
  </si>
  <si>
    <t>حیدریان نائینی</t>
  </si>
  <si>
    <t>یداله</t>
  </si>
  <si>
    <t>محمدتقی</t>
  </si>
  <si>
    <t>خاکزادی</t>
  </si>
  <si>
    <t>خاکساری</t>
  </si>
  <si>
    <t>رمضانعلی</t>
  </si>
  <si>
    <t>خاکشور قره سو</t>
  </si>
  <si>
    <t>خدادادی جوزقانی</t>
  </si>
  <si>
    <t>خدادادی رهنه ئی</t>
  </si>
  <si>
    <t>رحمان</t>
  </si>
  <si>
    <t>امير محمد</t>
  </si>
  <si>
    <t>خدادادي</t>
  </si>
  <si>
    <t>خواجه</t>
  </si>
  <si>
    <t>جلال</t>
  </si>
  <si>
    <t>خوش نیت</t>
  </si>
  <si>
    <t>امين</t>
  </si>
  <si>
    <t>خوشخوي فرخاني</t>
  </si>
  <si>
    <t>ولي</t>
  </si>
  <si>
    <t>شهاب الدین</t>
  </si>
  <si>
    <t>خیراللهی</t>
  </si>
  <si>
    <t>غلام احمد</t>
  </si>
  <si>
    <t>داسي</t>
  </si>
  <si>
    <t>محمد مهدي</t>
  </si>
  <si>
    <t>مجتبی</t>
  </si>
  <si>
    <t>دربا</t>
  </si>
  <si>
    <t>مسعود</t>
  </si>
  <si>
    <t>درویش زاده</t>
  </si>
  <si>
    <t>اميد</t>
  </si>
  <si>
    <t>دولت نژاد</t>
  </si>
  <si>
    <t>محمد اسماعیل</t>
  </si>
  <si>
    <t>رادفر</t>
  </si>
  <si>
    <t>رحمانی</t>
  </si>
  <si>
    <t>اسمعیل</t>
  </si>
  <si>
    <t>عبدالبصیر</t>
  </si>
  <si>
    <t>رحیمی</t>
  </si>
  <si>
    <t>فضل احمد</t>
  </si>
  <si>
    <t>رستمي</t>
  </si>
  <si>
    <t>رسكي</t>
  </si>
  <si>
    <t>حسن رضا</t>
  </si>
  <si>
    <t>رضائی جوزقانی</t>
  </si>
  <si>
    <t>محمدکاظم</t>
  </si>
  <si>
    <t>رضائی رهورد</t>
  </si>
  <si>
    <t>غلامحسین</t>
  </si>
  <si>
    <t>رضائي</t>
  </si>
  <si>
    <t>روحبخش</t>
  </si>
  <si>
    <t>نادر</t>
  </si>
  <si>
    <t>وحيد</t>
  </si>
  <si>
    <t>روحي</t>
  </si>
  <si>
    <t>رهنما</t>
  </si>
  <si>
    <t>حسينعلي</t>
  </si>
  <si>
    <t>ريحاني تربتي</t>
  </si>
  <si>
    <t>زنگنه مقدم</t>
  </si>
  <si>
    <t>محمودفاروق</t>
  </si>
  <si>
    <t>سیدمرتضی</t>
  </si>
  <si>
    <t>زین الدین</t>
  </si>
  <si>
    <t>سیدعلی</t>
  </si>
  <si>
    <t>سیدمحمد</t>
  </si>
  <si>
    <t>زین الدینی</t>
  </si>
  <si>
    <t>سیدحسن</t>
  </si>
  <si>
    <t>محمد ابراهيم</t>
  </si>
  <si>
    <t>زینلی</t>
  </si>
  <si>
    <t>سپهریان</t>
  </si>
  <si>
    <t>مرادعلی</t>
  </si>
  <si>
    <t>سیدمصطفی</t>
  </si>
  <si>
    <t>سجادیان</t>
  </si>
  <si>
    <t>باقر</t>
  </si>
  <si>
    <t>سنگانی</t>
  </si>
  <si>
    <t>محمدزینل</t>
  </si>
  <si>
    <t>سیداحمدی</t>
  </si>
  <si>
    <t>سیدرضا</t>
  </si>
  <si>
    <t>سیدمحسن</t>
  </si>
  <si>
    <t>سیدکابلی</t>
  </si>
  <si>
    <t>سید علی</t>
  </si>
  <si>
    <t>سیدی</t>
  </si>
  <si>
    <t>سيدحسين</t>
  </si>
  <si>
    <t>سیدی بعد</t>
  </si>
  <si>
    <t>سيدمرتضي</t>
  </si>
  <si>
    <t>سیستانی نژاد</t>
  </si>
  <si>
    <t>یاسر</t>
  </si>
  <si>
    <t>شاکری پور</t>
  </si>
  <si>
    <t>یوسفعلی</t>
  </si>
  <si>
    <t>شاه حمزه</t>
  </si>
  <si>
    <t>اسماعيل</t>
  </si>
  <si>
    <t>شاهسونی</t>
  </si>
  <si>
    <t>شايق گشني</t>
  </si>
  <si>
    <t>جانعلي</t>
  </si>
  <si>
    <t>شجاعی</t>
  </si>
  <si>
    <t>علی محمد</t>
  </si>
  <si>
    <t>شرقی قرائی خیرآبادی</t>
  </si>
  <si>
    <t>پوریا</t>
  </si>
  <si>
    <t>شهریان</t>
  </si>
  <si>
    <t>محمد حسن</t>
  </si>
  <si>
    <t>صاحبي</t>
  </si>
  <si>
    <t>یونس</t>
  </si>
  <si>
    <t>صانعی سنگانی</t>
  </si>
  <si>
    <t>شیرمحمد</t>
  </si>
  <si>
    <t>مهران</t>
  </si>
  <si>
    <t>صراف زاده</t>
  </si>
  <si>
    <t>امین اله</t>
  </si>
  <si>
    <t>صفرنژاد</t>
  </si>
  <si>
    <t>قربانعلی</t>
  </si>
  <si>
    <t>شاهرخ</t>
  </si>
  <si>
    <t>صفری کاریزی</t>
  </si>
  <si>
    <t>طالبی فر</t>
  </si>
  <si>
    <t>غلامحسين</t>
  </si>
  <si>
    <t>طبسی</t>
  </si>
  <si>
    <t>طغانی</t>
  </si>
  <si>
    <t>طغانی جوزقانی</t>
  </si>
  <si>
    <t>غلام محمد</t>
  </si>
  <si>
    <t>عابدی نیا</t>
  </si>
  <si>
    <t>غلامعلی</t>
  </si>
  <si>
    <t>عباس زاده</t>
  </si>
  <si>
    <t>امير علي</t>
  </si>
  <si>
    <t>عباسي</t>
  </si>
  <si>
    <t>غلام علي</t>
  </si>
  <si>
    <t>حمیدرضا</t>
  </si>
  <si>
    <t>عبداللهی دقارونی</t>
  </si>
  <si>
    <t>امین</t>
  </si>
  <si>
    <t>عثمانی سردابی</t>
  </si>
  <si>
    <t>عبدالعظیم</t>
  </si>
  <si>
    <t>عرب برزو</t>
  </si>
  <si>
    <t>عباسعلي</t>
  </si>
  <si>
    <t>عرب شیبانی کاریزی</t>
  </si>
  <si>
    <t>محمد علی</t>
  </si>
  <si>
    <t>عزتی</t>
  </si>
  <si>
    <t>مجید</t>
  </si>
  <si>
    <t>عطائی</t>
  </si>
  <si>
    <t>فردین</t>
  </si>
  <si>
    <t>عظیمی احمدآبادی</t>
  </si>
  <si>
    <t>یوسف</t>
  </si>
  <si>
    <t>سیدمهدی</t>
  </si>
  <si>
    <t>عندلیب</t>
  </si>
  <si>
    <t>سیدتراب</t>
  </si>
  <si>
    <t>ابراهیم</t>
  </si>
  <si>
    <t>غفوری فرمان آبادی</t>
  </si>
  <si>
    <t>دوست محمد</t>
  </si>
  <si>
    <t>غلامي آغوي</t>
  </si>
  <si>
    <t>فرزانه</t>
  </si>
  <si>
    <t>هادي</t>
  </si>
  <si>
    <t>قربان</t>
  </si>
  <si>
    <t>فرهادی</t>
  </si>
  <si>
    <t>فرهمند سيد آبادي</t>
  </si>
  <si>
    <t>جمشید</t>
  </si>
  <si>
    <t>فقهی</t>
  </si>
  <si>
    <t>محمدمهدي</t>
  </si>
  <si>
    <t>فيروزآبادي</t>
  </si>
  <si>
    <t>علي اکبر</t>
  </si>
  <si>
    <t>قادری</t>
  </si>
  <si>
    <t>عبدالقیوم</t>
  </si>
  <si>
    <t>سید خلیل اله</t>
  </si>
  <si>
    <t>قادری خیرآبادی</t>
  </si>
  <si>
    <t>سید حسن</t>
  </si>
  <si>
    <t>قدرتی</t>
  </si>
  <si>
    <t>عباس</t>
  </si>
  <si>
    <t>قربانی</t>
  </si>
  <si>
    <t>سید محمد</t>
  </si>
  <si>
    <t>قربانی اشتیوانی</t>
  </si>
  <si>
    <t>غلام رسول</t>
  </si>
  <si>
    <t>کاشاني زاده</t>
  </si>
  <si>
    <t>موسي</t>
  </si>
  <si>
    <t>کامیاب</t>
  </si>
  <si>
    <t>علی اکبر</t>
  </si>
  <si>
    <t>کریمی</t>
  </si>
  <si>
    <t>کریمی داوطلب</t>
  </si>
  <si>
    <t>گل احمد</t>
  </si>
  <si>
    <t>مصطفی</t>
  </si>
  <si>
    <t>کلانی ریزه ئی</t>
  </si>
  <si>
    <t>کول آبادي</t>
  </si>
  <si>
    <t>کيخانژاد</t>
  </si>
  <si>
    <t>صفا</t>
  </si>
  <si>
    <t>گلثومیان</t>
  </si>
  <si>
    <t>صفرعلی</t>
  </si>
  <si>
    <t>رامین</t>
  </si>
  <si>
    <t>گمرکی</t>
  </si>
  <si>
    <t>لطفی احمد آبادی</t>
  </si>
  <si>
    <t>عبداله</t>
  </si>
  <si>
    <t>عيسي</t>
  </si>
  <si>
    <t>لطفي</t>
  </si>
  <si>
    <t>اسماعیل</t>
  </si>
  <si>
    <t>مالدار</t>
  </si>
  <si>
    <t>متولی حبیبی</t>
  </si>
  <si>
    <t>متولي حبيبي</t>
  </si>
  <si>
    <t>منوچهر</t>
  </si>
  <si>
    <t>محمدشاهي</t>
  </si>
  <si>
    <t>محرم</t>
  </si>
  <si>
    <t>محمدی</t>
  </si>
  <si>
    <t>عبدالرزاق</t>
  </si>
  <si>
    <t>یزدانقلی</t>
  </si>
  <si>
    <t>محمودی</t>
  </si>
  <si>
    <t>سهراب</t>
  </si>
  <si>
    <t>احد</t>
  </si>
  <si>
    <t>مختاری</t>
  </si>
  <si>
    <t>جمعه</t>
  </si>
  <si>
    <t>مرادی</t>
  </si>
  <si>
    <t>محمدعلی</t>
  </si>
  <si>
    <t>مريدي</t>
  </si>
  <si>
    <t>مشهدي</t>
  </si>
  <si>
    <t>مطلبيان</t>
  </si>
  <si>
    <t>نصرالدين</t>
  </si>
  <si>
    <t>مفاخری</t>
  </si>
  <si>
    <t>مرتضی</t>
  </si>
  <si>
    <t>مقري</t>
  </si>
  <si>
    <t>مقيمي نيا</t>
  </si>
  <si>
    <t>محمدتقي</t>
  </si>
  <si>
    <t>ملتانی</t>
  </si>
  <si>
    <t>عیسی</t>
  </si>
  <si>
    <t>منعمی</t>
  </si>
  <si>
    <t>موسوی</t>
  </si>
  <si>
    <t>سیدجواد</t>
  </si>
  <si>
    <t>سيد علي</t>
  </si>
  <si>
    <t>موسوي</t>
  </si>
  <si>
    <t>سيد محمد</t>
  </si>
  <si>
    <t>مهاجر</t>
  </si>
  <si>
    <t>نصراله</t>
  </si>
  <si>
    <t>مهری</t>
  </si>
  <si>
    <t>میر</t>
  </si>
  <si>
    <t>ميرزايي</t>
  </si>
  <si>
    <t>حق نظر</t>
  </si>
  <si>
    <t>ناصری</t>
  </si>
  <si>
    <t>نجفی تقی آبادی</t>
  </si>
  <si>
    <t>نجفی ریزه ئی</t>
  </si>
  <si>
    <t>نخعی</t>
  </si>
  <si>
    <t>نخعي نژاد</t>
  </si>
  <si>
    <t>نصرآبادی</t>
  </si>
  <si>
    <t>نعمانی</t>
  </si>
  <si>
    <t>نگاری قرچقه</t>
  </si>
  <si>
    <t>نعمت اله</t>
  </si>
  <si>
    <t>نيکوي تقي آباد</t>
  </si>
  <si>
    <t>محمدجمعه</t>
  </si>
  <si>
    <t>ولیدی</t>
  </si>
  <si>
    <t>ياسر</t>
  </si>
  <si>
    <t>هاشم زائي</t>
  </si>
  <si>
    <t>امين اله</t>
  </si>
  <si>
    <t>رويا</t>
  </si>
  <si>
    <t>هزار</t>
  </si>
  <si>
    <t>یحیائی جوزقانی</t>
  </si>
  <si>
    <t>یزدانی</t>
  </si>
  <si>
    <t>صهیب</t>
  </si>
  <si>
    <t>یونسی کرناوه</t>
  </si>
  <si>
    <t>1394/06/01</t>
  </si>
  <si>
    <t>1394/01/01</t>
  </si>
  <si>
    <t>1393/01/01</t>
  </si>
  <si>
    <t>1402/07/17</t>
  </si>
  <si>
    <t>1400/09/01</t>
  </si>
  <si>
    <t>1392/06/01</t>
  </si>
  <si>
    <t>1404/03/01</t>
  </si>
  <si>
    <t>1398/11/12</t>
  </si>
  <si>
    <t>1392/02/01</t>
  </si>
  <si>
    <t>1392/03/01</t>
  </si>
  <si>
    <t>1402/11/23</t>
  </si>
  <si>
    <t>1382/05/12</t>
  </si>
  <si>
    <t>1394/05/01</t>
  </si>
  <si>
    <t>1399//04/01</t>
  </si>
  <si>
    <t>1389/05/01</t>
  </si>
  <si>
    <t>1394/10/16</t>
  </si>
  <si>
    <t>1393/12/01</t>
  </si>
  <si>
    <t>1402/03/01</t>
  </si>
  <si>
    <t>1398/11/02</t>
  </si>
  <si>
    <t>1389/10/01</t>
  </si>
  <si>
    <t>1392/09/01</t>
  </si>
  <si>
    <t>1399/07/01</t>
  </si>
  <si>
    <t>1398/11/23</t>
  </si>
  <si>
    <t>1398/12/20</t>
  </si>
  <si>
    <t>1381/09/16</t>
  </si>
  <si>
    <t>1392/05/06</t>
  </si>
  <si>
    <t>1394/10/01</t>
  </si>
  <si>
    <t>1402/11/04</t>
  </si>
  <si>
    <t>1402/12/16</t>
  </si>
  <si>
    <t>1402/05/31</t>
  </si>
  <si>
    <t>1402/11/18</t>
  </si>
  <si>
    <t>1402/11/19</t>
  </si>
  <si>
    <t>1392/08/01</t>
  </si>
  <si>
    <t>1402/10/19</t>
  </si>
  <si>
    <t>1388/02/01</t>
  </si>
  <si>
    <t>0740184024</t>
  </si>
  <si>
    <t>0740139835</t>
  </si>
  <si>
    <t>0779885112</t>
  </si>
  <si>
    <t>0640662471</t>
  </si>
  <si>
    <t>0819899526</t>
  </si>
  <si>
    <t>0740047744</t>
  </si>
  <si>
    <t>0848615468</t>
  </si>
  <si>
    <t>0924695080</t>
  </si>
  <si>
    <t>0849475341</t>
  </si>
  <si>
    <t>0946400520</t>
  </si>
  <si>
    <t>0740241826</t>
  </si>
  <si>
    <t>0740107437</t>
  </si>
  <si>
    <t>0810061570</t>
  </si>
  <si>
    <t>1062877071</t>
  </si>
  <si>
    <t>0779808371</t>
  </si>
  <si>
    <t>0740529900</t>
  </si>
  <si>
    <t>0925123412</t>
  </si>
  <si>
    <t>0944875191</t>
  </si>
  <si>
    <t>0065421760</t>
  </si>
  <si>
    <t>0740209736</t>
  </si>
  <si>
    <t>0732326877</t>
  </si>
  <si>
    <t>0740212311</t>
  </si>
  <si>
    <t>0740344161</t>
  </si>
  <si>
    <t>0749896787</t>
  </si>
  <si>
    <t>0749794674</t>
  </si>
  <si>
    <t>0740069969</t>
  </si>
  <si>
    <t>0640656366</t>
  </si>
  <si>
    <t>0810115638</t>
  </si>
  <si>
    <t>0749768762</t>
  </si>
  <si>
    <t>0819959804</t>
  </si>
  <si>
    <t>1063255856</t>
  </si>
  <si>
    <t>0770116353</t>
  </si>
  <si>
    <t>0925051179</t>
  </si>
  <si>
    <t>0890379270</t>
  </si>
  <si>
    <t>0720003970</t>
  </si>
  <si>
    <t>0779869478</t>
  </si>
  <si>
    <t>0779570553</t>
  </si>
  <si>
    <t>0740060228</t>
  </si>
  <si>
    <t>6520020869</t>
  </si>
  <si>
    <t>0860245381</t>
  </si>
  <si>
    <t>0932963587</t>
  </si>
  <si>
    <t>0922502501</t>
  </si>
  <si>
    <t>6240060054</t>
  </si>
  <si>
    <t>0068092970</t>
  </si>
  <si>
    <t>0780442946</t>
  </si>
  <si>
    <t>0941446662</t>
  </si>
  <si>
    <t>1063969379</t>
  </si>
  <si>
    <t>0779940091</t>
  </si>
  <si>
    <t>0860029506</t>
  </si>
  <si>
    <t>0933453558</t>
  </si>
  <si>
    <t>0924397012</t>
  </si>
  <si>
    <t>0740444727</t>
  </si>
  <si>
    <t>0740188852</t>
  </si>
  <si>
    <t>0920435841</t>
  </si>
  <si>
    <t>0749813598</t>
  </si>
  <si>
    <t>3874822761</t>
  </si>
  <si>
    <t>0810091674</t>
  </si>
  <si>
    <t>0902381458</t>
  </si>
  <si>
    <t>0680982906</t>
  </si>
  <si>
    <t>0819948837</t>
  </si>
  <si>
    <t>0779513509</t>
  </si>
  <si>
    <t>0749851643</t>
  </si>
  <si>
    <t>0924165065</t>
  </si>
  <si>
    <t>0740385119</t>
  </si>
  <si>
    <t>0740373641</t>
  </si>
  <si>
    <t>0922871167</t>
  </si>
  <si>
    <t>0819906840</t>
  </si>
  <si>
    <t>0740395769</t>
  </si>
  <si>
    <t>0872793095</t>
  </si>
  <si>
    <t>0740307002</t>
  </si>
  <si>
    <t>0795001746</t>
  </si>
  <si>
    <t>0849844614</t>
  </si>
  <si>
    <t>0810117381</t>
  </si>
  <si>
    <t>0810015560</t>
  </si>
  <si>
    <t>0681087587</t>
  </si>
  <si>
    <t>0749792027</t>
  </si>
  <si>
    <t>0939859807</t>
  </si>
  <si>
    <t>0640601431</t>
  </si>
  <si>
    <t>0748526021</t>
  </si>
  <si>
    <t>0860297421</t>
  </si>
  <si>
    <t>2511919893</t>
  </si>
  <si>
    <t>0770004891</t>
  </si>
  <si>
    <t>0941904814</t>
  </si>
  <si>
    <t>0872930319</t>
  </si>
  <si>
    <t>0945272065</t>
  </si>
  <si>
    <t>0769794793</t>
  </si>
  <si>
    <t>0810129612</t>
  </si>
  <si>
    <t>0810125961</t>
  </si>
  <si>
    <t>0640245005</t>
  </si>
  <si>
    <t>0779961900</t>
  </si>
  <si>
    <t>1050060997</t>
  </si>
  <si>
    <t>0740176889</t>
  </si>
  <si>
    <t>0940735709</t>
  </si>
  <si>
    <t>0810079658</t>
  </si>
  <si>
    <t>0922898251</t>
  </si>
  <si>
    <t>0849675650</t>
  </si>
  <si>
    <t>0923669442</t>
  </si>
  <si>
    <t>0630199639</t>
  </si>
  <si>
    <t>0920075657</t>
  </si>
  <si>
    <t>0819296015</t>
  </si>
  <si>
    <t>0769634532</t>
  </si>
  <si>
    <t>0819708275</t>
  </si>
  <si>
    <t>0730957081</t>
  </si>
  <si>
    <t>1050269780</t>
  </si>
  <si>
    <t>0819699187</t>
  </si>
  <si>
    <t>0740076353</t>
  </si>
  <si>
    <t>0938859595</t>
  </si>
  <si>
    <t>0749418591</t>
  </si>
  <si>
    <t>1261855264</t>
  </si>
  <si>
    <t>0779920848</t>
  </si>
  <si>
    <t>0779614364</t>
  </si>
  <si>
    <t>0740133829</t>
  </si>
  <si>
    <t>0740165925</t>
  </si>
  <si>
    <t>0923724559</t>
  </si>
  <si>
    <t>0941638571</t>
  </si>
  <si>
    <t>0850014980</t>
  </si>
  <si>
    <t>0740051210</t>
  </si>
  <si>
    <t>0749792442</t>
  </si>
  <si>
    <t>1063126721</t>
  </si>
  <si>
    <t>0740292651</t>
  </si>
  <si>
    <t>0749756500</t>
  </si>
  <si>
    <t>0934056668</t>
  </si>
  <si>
    <t>0749795549</t>
  </si>
  <si>
    <t>0945256868</t>
  </si>
  <si>
    <t>0740010931</t>
  </si>
  <si>
    <t>0942882458</t>
  </si>
  <si>
    <t>0810083469</t>
  </si>
  <si>
    <t>0819950483</t>
  </si>
  <si>
    <t>0720460034</t>
  </si>
  <si>
    <t>0944699820</t>
  </si>
  <si>
    <t>0730428771</t>
  </si>
  <si>
    <t>4591245330</t>
  </si>
  <si>
    <t>0749408693</t>
  </si>
  <si>
    <t>6519911747</t>
  </si>
  <si>
    <t>6519961353</t>
  </si>
  <si>
    <t>5240065500</t>
  </si>
  <si>
    <t>1861029748</t>
  </si>
  <si>
    <t>0740161415</t>
  </si>
  <si>
    <t>0819903914</t>
  </si>
  <si>
    <t>0749928662</t>
  </si>
  <si>
    <t>0069163154</t>
  </si>
  <si>
    <t>0740488368</t>
  </si>
  <si>
    <t>0946005291</t>
  </si>
  <si>
    <t>0740429205</t>
  </si>
  <si>
    <t>0934046409</t>
  </si>
  <si>
    <t>0810053632</t>
  </si>
  <si>
    <t>0749811625</t>
  </si>
  <si>
    <t>0810142430</t>
  </si>
  <si>
    <t>0740346342</t>
  </si>
  <si>
    <t>0640159540</t>
  </si>
  <si>
    <t>2032202514</t>
  </si>
  <si>
    <t>0923106308</t>
  </si>
  <si>
    <t>0859281892</t>
  </si>
  <si>
    <t>0779577922</t>
  </si>
  <si>
    <t>0740016776</t>
  </si>
  <si>
    <t>0740161172</t>
  </si>
  <si>
    <t>0770142699</t>
  </si>
  <si>
    <t>0770174264</t>
  </si>
  <si>
    <t>0740158295</t>
  </si>
  <si>
    <t>0819549754</t>
  </si>
  <si>
    <t>0945860005</t>
  </si>
  <si>
    <t>0819214302</t>
  </si>
  <si>
    <t>0779875494</t>
  </si>
  <si>
    <t>5249926568</t>
  </si>
  <si>
    <t>0640268862</t>
  </si>
  <si>
    <t>5680000611</t>
  </si>
  <si>
    <t>0749746254</t>
  </si>
  <si>
    <t>0749834943</t>
  </si>
  <si>
    <t>0720273544</t>
  </si>
  <si>
    <t>0900420340</t>
  </si>
  <si>
    <t>0872054241</t>
  </si>
  <si>
    <t>0793569478</t>
  </si>
  <si>
    <t>0770061354</t>
  </si>
  <si>
    <t>0920746276</t>
  </si>
  <si>
    <t>1050597834</t>
  </si>
  <si>
    <t>0920560512</t>
  </si>
  <si>
    <t>0749776366</t>
  </si>
  <si>
    <t>0720353513</t>
  </si>
  <si>
    <t>0939815591</t>
  </si>
  <si>
    <t>0924562471</t>
  </si>
  <si>
    <t>0770170781</t>
  </si>
  <si>
    <t>0820438561</t>
  </si>
  <si>
    <t>0848615395</t>
  </si>
  <si>
    <t>0943505968</t>
  </si>
  <si>
    <t>3660549614</t>
  </si>
  <si>
    <t>0640058116</t>
  </si>
  <si>
    <t>0749811129</t>
  </si>
  <si>
    <t>0770246087</t>
  </si>
  <si>
    <t>0770128068</t>
  </si>
  <si>
    <t>09369670896</t>
  </si>
  <si>
    <t>09370614082</t>
  </si>
  <si>
    <t>09910055548</t>
  </si>
  <si>
    <t>09307967271</t>
  </si>
  <si>
    <t>09388504174</t>
  </si>
  <si>
    <t>09158092822</t>
  </si>
  <si>
    <t>09374255080</t>
  </si>
  <si>
    <t>09153297907</t>
  </si>
  <si>
    <t>09156547448</t>
  </si>
  <si>
    <t>09158009852</t>
  </si>
  <si>
    <t>09150501793</t>
  </si>
  <si>
    <t>09036146958</t>
  </si>
  <si>
    <t>09153164539</t>
  </si>
  <si>
    <t>09910293653</t>
  </si>
  <si>
    <t>09155286454</t>
  </si>
  <si>
    <t>09372956690</t>
  </si>
  <si>
    <t>09156559913</t>
  </si>
  <si>
    <t>09159271147</t>
  </si>
  <si>
    <t>09159291429</t>
  </si>
  <si>
    <t>09356136696</t>
  </si>
  <si>
    <t>09159626073</t>
  </si>
  <si>
    <t>09151260169</t>
  </si>
  <si>
    <t>09151050194</t>
  </si>
  <si>
    <t>09158798903</t>
  </si>
  <si>
    <t>09397366076</t>
  </si>
  <si>
    <t>09383287723</t>
  </si>
  <si>
    <t>09152440045</t>
  </si>
  <si>
    <t>09157971172</t>
  </si>
  <si>
    <t>09151272069</t>
  </si>
  <si>
    <t>09159594357</t>
  </si>
  <si>
    <t>09150759187</t>
  </si>
  <si>
    <t>09372522443</t>
  </si>
  <si>
    <t>09105720906</t>
  </si>
  <si>
    <t>09377917205</t>
  </si>
  <si>
    <t>09157333653</t>
  </si>
  <si>
    <t>09337633224</t>
  </si>
  <si>
    <t>09330274743</t>
  </si>
  <si>
    <t>09012607742</t>
  </si>
  <si>
    <t>09354339112</t>
  </si>
  <si>
    <t>09159283905</t>
  </si>
  <si>
    <t>09031644659</t>
  </si>
  <si>
    <t>09156262650</t>
  </si>
  <si>
    <t>09154920607</t>
  </si>
  <si>
    <t>09156993189</t>
  </si>
  <si>
    <t>09359177285</t>
  </si>
  <si>
    <t>09156217860</t>
  </si>
  <si>
    <t>09153285262</t>
  </si>
  <si>
    <t>09359180461</t>
  </si>
  <si>
    <t>09154880131</t>
  </si>
  <si>
    <t>09158221290</t>
  </si>
  <si>
    <t>09154061426</t>
  </si>
  <si>
    <t>09038123735</t>
  </si>
  <si>
    <t>09379291522</t>
  </si>
  <si>
    <t>09368016927</t>
  </si>
  <si>
    <t>09156255001</t>
  </si>
  <si>
    <t>09151874130</t>
  </si>
  <si>
    <t>09397944736</t>
  </si>
  <si>
    <t>09911723937</t>
  </si>
  <si>
    <t>09156879863</t>
  </si>
  <si>
    <t>09157649330</t>
  </si>
  <si>
    <t>09157700732</t>
  </si>
  <si>
    <t>09385412227</t>
  </si>
  <si>
    <t>09158649278</t>
  </si>
  <si>
    <t>09190361278</t>
  </si>
  <si>
    <t>09154423105</t>
  </si>
  <si>
    <t>09153292531</t>
  </si>
  <si>
    <t>09156574934</t>
  </si>
  <si>
    <t>09156117603</t>
  </si>
  <si>
    <t>09158268720</t>
  </si>
  <si>
    <t>09155024912</t>
  </si>
  <si>
    <t>09925643262</t>
  </si>
  <si>
    <t>09356456588</t>
  </si>
  <si>
    <t>09153009965</t>
  </si>
  <si>
    <t>09158036537</t>
  </si>
  <si>
    <t>09382829514</t>
  </si>
  <si>
    <t>09150497005</t>
  </si>
  <si>
    <t>09155178863</t>
  </si>
  <si>
    <t>09155294039</t>
  </si>
  <si>
    <t>09158197836</t>
  </si>
  <si>
    <t>09159811317</t>
  </si>
  <si>
    <t>09151832237</t>
  </si>
  <si>
    <t>09152249824</t>
  </si>
  <si>
    <t>09156898890</t>
  </si>
  <si>
    <t>09211142357</t>
  </si>
  <si>
    <t>09339528877</t>
  </si>
  <si>
    <t>09158638460</t>
  </si>
  <si>
    <t>09302128375</t>
  </si>
  <si>
    <t>09372466256</t>
  </si>
  <si>
    <t>09154948124</t>
  </si>
  <si>
    <t>09364887284</t>
  </si>
  <si>
    <t>09395479160</t>
  </si>
  <si>
    <t>09154403718</t>
  </si>
  <si>
    <t>09152498636</t>
  </si>
  <si>
    <t>09152938686</t>
  </si>
  <si>
    <t>09391665672</t>
  </si>
  <si>
    <t>09153283759</t>
  </si>
  <si>
    <t>09158187516</t>
  </si>
  <si>
    <t>09158972331</t>
  </si>
  <si>
    <t>09934310837</t>
  </si>
  <si>
    <t>09390014544</t>
  </si>
  <si>
    <t>9158984392</t>
  </si>
  <si>
    <t>09373215905</t>
  </si>
  <si>
    <t>09152542293</t>
  </si>
  <si>
    <t>09158050109</t>
  </si>
  <si>
    <t>09390611071</t>
  </si>
  <si>
    <t>09036182871</t>
  </si>
  <si>
    <t>09339278535</t>
  </si>
  <si>
    <t>09016825543</t>
  </si>
  <si>
    <t>09154897787</t>
  </si>
  <si>
    <t>09151260324</t>
  </si>
  <si>
    <t>09158616011</t>
  </si>
  <si>
    <t>09334169380</t>
  </si>
  <si>
    <t>09394948555</t>
  </si>
  <si>
    <t>09158289004</t>
  </si>
  <si>
    <t>09159297803</t>
  </si>
  <si>
    <t>09394867820</t>
  </si>
  <si>
    <t>09153825573</t>
  </si>
  <si>
    <t>09351743565</t>
  </si>
  <si>
    <t>09159070297</t>
  </si>
  <si>
    <t>09156425259</t>
  </si>
  <si>
    <t>09159658242</t>
  </si>
  <si>
    <t>09384424201</t>
  </si>
  <si>
    <t>09158288004</t>
  </si>
  <si>
    <t>09158125674</t>
  </si>
  <si>
    <t>09153718137</t>
  </si>
  <si>
    <t>09157861653</t>
  </si>
  <si>
    <t>09330520558</t>
  </si>
  <si>
    <t>09358983033</t>
  </si>
  <si>
    <t>09153292300</t>
  </si>
  <si>
    <t>09382987818</t>
  </si>
  <si>
    <t>09357892673</t>
  </si>
  <si>
    <t>09306626780</t>
  </si>
  <si>
    <t>09911916091</t>
  </si>
  <si>
    <t>09150456135</t>
  </si>
  <si>
    <t>09199187451</t>
  </si>
  <si>
    <t>09381582698</t>
  </si>
  <si>
    <t>09154743742</t>
  </si>
  <si>
    <t>09056259791</t>
  </si>
  <si>
    <t>1372/04/15</t>
  </si>
  <si>
    <t>1371/01/22</t>
  </si>
  <si>
    <t>1366/02/23</t>
  </si>
  <si>
    <t>1378/09/26</t>
  </si>
  <si>
    <t>1366/06/22</t>
  </si>
  <si>
    <t>1369/01/05</t>
  </si>
  <si>
    <t>1358/02/01</t>
  </si>
  <si>
    <t>1377/11/05</t>
  </si>
  <si>
    <t>1359/09/12</t>
  </si>
  <si>
    <t>1366/03/16</t>
  </si>
  <si>
    <t>1373/07/01</t>
  </si>
  <si>
    <t>1370/03/29</t>
  </si>
  <si>
    <t>1370/05/21</t>
  </si>
  <si>
    <t>1361/06/15</t>
  </si>
  <si>
    <t>1363/06/31</t>
  </si>
  <si>
    <t>1381/11/14</t>
  </si>
  <si>
    <t>1378/06/30</t>
  </si>
  <si>
    <t>1363/05/19</t>
  </si>
  <si>
    <t>1358/07/28</t>
  </si>
  <si>
    <t>1372/11/15</t>
  </si>
  <si>
    <t>1364/02/17</t>
  </si>
  <si>
    <t>1372/11/08</t>
  </si>
  <si>
    <t>1376/06/05</t>
  </si>
  <si>
    <t>1366/02/30</t>
  </si>
  <si>
    <t>1366/03/01</t>
  </si>
  <si>
    <t>1368/06/30</t>
  </si>
  <si>
    <t>1378/09/15</t>
  </si>
  <si>
    <t>1372/11/24</t>
  </si>
  <si>
    <t>1364/10/14</t>
  </si>
  <si>
    <t>1363/06/30</t>
  </si>
  <si>
    <t>1352/06/20</t>
  </si>
  <si>
    <t>1372/03/24</t>
  </si>
  <si>
    <t>1376/05/16</t>
  </si>
  <si>
    <t>1374/06/05</t>
  </si>
  <si>
    <t>1368/01/28</t>
  </si>
  <si>
    <t>1365/01/30</t>
  </si>
  <si>
    <t>1363/03/27</t>
  </si>
  <si>
    <t>1369/05/11</t>
  </si>
  <si>
    <t>1373/06/04</t>
  </si>
  <si>
    <t>1371/02/05</t>
  </si>
  <si>
    <t>1343/01/01</t>
  </si>
  <si>
    <t>1372/08/11</t>
  </si>
  <si>
    <t>1372/11/27</t>
  </si>
  <si>
    <t>1360/06/27</t>
  </si>
  <si>
    <t>1372/03/23</t>
  </si>
  <si>
    <t>1358/08/17</t>
  </si>
  <si>
    <t>1365/05/10</t>
  </si>
  <si>
    <t>1366/06/30</t>
  </si>
  <si>
    <t>1368/05/07</t>
  </si>
  <si>
    <t>1360/12/29</t>
  </si>
  <si>
    <t>1377/02/21</t>
  </si>
  <si>
    <t>1379/03/24</t>
  </si>
  <si>
    <t>1372/06/07</t>
  </si>
  <si>
    <t>1368/08/06</t>
  </si>
  <si>
    <t>1367/10/01</t>
  </si>
  <si>
    <t>1351/06/30</t>
  </si>
  <si>
    <t>1371/10/09</t>
  </si>
  <si>
    <t>1365/02/09</t>
  </si>
  <si>
    <t>1358/04/01</t>
  </si>
  <si>
    <t>1367/03/24</t>
  </si>
  <si>
    <t>1356/06/01</t>
  </si>
  <si>
    <t>1356/07/01</t>
  </si>
  <si>
    <t>1367/01/13</t>
  </si>
  <si>
    <t>1376/07/02</t>
  </si>
  <si>
    <t>1377/09/14</t>
  </si>
  <si>
    <t>1376/08/24</t>
  </si>
  <si>
    <t>1373/04/05</t>
  </si>
  <si>
    <t>1367/06/03</t>
  </si>
  <si>
    <t>1374/02/15</t>
  </si>
  <si>
    <t>1363/01/01</t>
  </si>
  <si>
    <t>1375/05/16</t>
  </si>
  <si>
    <t>1366/10/16</t>
  </si>
  <si>
    <t>1362/04/01</t>
  </si>
  <si>
    <t>1373/01/10</t>
  </si>
  <si>
    <t>1367/07/25</t>
  </si>
  <si>
    <t>1371/05/10</t>
  </si>
  <si>
    <t>1366/01/31</t>
  </si>
  <si>
    <t>1360/01/03</t>
  </si>
  <si>
    <t>1377/09/21</t>
  </si>
  <si>
    <t>1357/09/01</t>
  </si>
  <si>
    <t>1372/01/01</t>
  </si>
  <si>
    <t>1367/09/20</t>
  </si>
  <si>
    <t>1357/09/14</t>
  </si>
  <si>
    <t>1365/01/15</t>
  </si>
  <si>
    <t>1366/06/06</t>
  </si>
  <si>
    <t>1360/04/17</t>
  </si>
  <si>
    <t>1373/06/30</t>
  </si>
  <si>
    <t>1373/02/02</t>
  </si>
  <si>
    <t>1370/10/21</t>
  </si>
  <si>
    <t>1364/08/23</t>
  </si>
  <si>
    <t>1368/02/30</t>
  </si>
  <si>
    <t>1372/01/25</t>
  </si>
  <si>
    <t>1352/04/05</t>
  </si>
  <si>
    <t>1371/03/29</t>
  </si>
  <si>
    <t>1373/05/28</t>
  </si>
  <si>
    <t>1349/01/02</t>
  </si>
  <si>
    <t>1375/06/20</t>
  </si>
  <si>
    <t>1373/01/20</t>
  </si>
  <si>
    <t>1368/02/09</t>
  </si>
  <si>
    <t>1353/02/02</t>
  </si>
  <si>
    <t>1360/11/01</t>
  </si>
  <si>
    <t>1363/11/01</t>
  </si>
  <si>
    <t>1355/05/02</t>
  </si>
  <si>
    <t>1369/11/24</t>
  </si>
  <si>
    <t>1362/09/09</t>
  </si>
  <si>
    <t>1369/08/10</t>
  </si>
  <si>
    <t>1359/07/24</t>
  </si>
  <si>
    <t>1363/05/12</t>
  </si>
  <si>
    <t>1355/01/15</t>
  </si>
  <si>
    <t>1355/12/05</t>
  </si>
  <si>
    <t>1364/03/03</t>
  </si>
  <si>
    <t>1350/01/02</t>
  </si>
  <si>
    <t>1370/11/12</t>
  </si>
  <si>
    <t>1371/09/10</t>
  </si>
  <si>
    <t>1375/08/02</t>
  </si>
  <si>
    <t>1362/02/19</t>
  </si>
  <si>
    <t>1368/02/01</t>
  </si>
  <si>
    <t>1366/02/10</t>
  </si>
  <si>
    <t>1364/01/10</t>
  </si>
  <si>
    <t>1374/11/25</t>
  </si>
  <si>
    <t>1364/03/17</t>
  </si>
  <si>
    <t>1366/04/29</t>
  </si>
  <si>
    <t>1366/01/28</t>
  </si>
  <si>
    <t>1368/04/23</t>
  </si>
  <si>
    <t>1358/12/05</t>
  </si>
  <si>
    <t>1371/06/06</t>
  </si>
  <si>
    <t>1364/07/01</t>
  </si>
  <si>
    <t>1374/08/20</t>
  </si>
  <si>
    <t>1365/11/22</t>
  </si>
  <si>
    <t>1359/01/14</t>
  </si>
  <si>
    <t>1358/01/13</t>
  </si>
  <si>
    <t>1362/06/25</t>
  </si>
  <si>
    <t>1362/06/30</t>
  </si>
  <si>
    <t>1367/03/07</t>
  </si>
  <si>
    <t>1371/01/14</t>
  </si>
  <si>
    <t>1335/05/17</t>
  </si>
  <si>
    <t>1367/01/02</t>
  </si>
  <si>
    <t>1367/10/27</t>
  </si>
  <si>
    <t>1356/05/08</t>
  </si>
  <si>
    <t>1380/05/14</t>
  </si>
  <si>
    <t>1367/11/18</t>
  </si>
  <si>
    <t>1378/09/16</t>
  </si>
  <si>
    <t>1361/06/31</t>
  </si>
  <si>
    <t>1370/02/15</t>
  </si>
  <si>
    <t>1367/08/27</t>
  </si>
  <si>
    <t>1374/02/18</t>
  </si>
  <si>
    <t>1376/08/01</t>
  </si>
  <si>
    <t>1369/06/30</t>
  </si>
  <si>
    <t>1374/04/07</t>
  </si>
  <si>
    <t>1349/01/01</t>
  </si>
  <si>
    <t>1368/05/18</t>
  </si>
  <si>
    <t>1371/08/14</t>
  </si>
  <si>
    <t>1373/07/27</t>
  </si>
  <si>
    <t>1375/01/01</t>
  </si>
  <si>
    <t>1371/06/20</t>
  </si>
  <si>
    <t>1358/07/01</t>
  </si>
  <si>
    <t>1365/10/01</t>
  </si>
  <si>
    <t>1360/07/01</t>
  </si>
  <si>
    <t>1365/06/06</t>
  </si>
  <si>
    <t>1364/06/26</t>
  </si>
  <si>
    <t>1371/01/20</t>
  </si>
  <si>
    <t>1370/05/28</t>
  </si>
  <si>
    <t>1366/11/22</t>
  </si>
  <si>
    <t>1371/11/29</t>
  </si>
  <si>
    <t>1358/01/16</t>
  </si>
  <si>
    <t>1350/12/26</t>
  </si>
  <si>
    <t>1359/03/01</t>
  </si>
  <si>
    <t>1369/02/12</t>
  </si>
  <si>
    <t>1374/02/31</t>
  </si>
  <si>
    <t>1368/08/17</t>
  </si>
  <si>
    <t>1365/04/13</t>
  </si>
  <si>
    <t>1373/03/05</t>
  </si>
  <si>
    <t>1359/02/01</t>
  </si>
  <si>
    <t>1377/07/25</t>
  </si>
  <si>
    <t>1374/11/05</t>
  </si>
  <si>
    <t>1378/12/10</t>
  </si>
  <si>
    <t>1358/03/01</t>
  </si>
  <si>
    <t>1362/05/21</t>
  </si>
  <si>
    <t>1374/02/02</t>
  </si>
  <si>
    <t>1368/06/28</t>
  </si>
  <si>
    <t>1367/08/09</t>
  </si>
  <si>
    <t>1379/03/25</t>
  </si>
  <si>
    <t>1372/11/30</t>
  </si>
  <si>
    <t xml:space="preserve">دیپلم </t>
  </si>
  <si>
    <t>کارشناسی ارشد</t>
  </si>
  <si>
    <t>کارداني</t>
  </si>
  <si>
    <t>ديپلم</t>
  </si>
  <si>
    <t>دیپلم</t>
  </si>
  <si>
    <t>پايان دوره ابتدايي</t>
  </si>
  <si>
    <t>سیکل</t>
  </si>
  <si>
    <t>کارشناسي</t>
  </si>
  <si>
    <t>اول دبيرستان قديم</t>
  </si>
  <si>
    <t>كارشناسي</t>
  </si>
  <si>
    <t>اول راهنمايي</t>
  </si>
  <si>
    <t xml:space="preserve">کارشناسی </t>
  </si>
  <si>
    <t>ديپلم کار و دانش</t>
  </si>
  <si>
    <t>ديپلم فني و حرفه اي</t>
  </si>
  <si>
    <t>کارشناسي ارشد</t>
  </si>
  <si>
    <t>ديپلم قديم</t>
  </si>
  <si>
    <t>پنجم ابتدایی</t>
  </si>
  <si>
    <t>بیسواد</t>
  </si>
  <si>
    <t>کارشناس</t>
  </si>
  <si>
    <t>دوم راهنمایی</t>
  </si>
  <si>
    <t>فوق ديپلم</t>
  </si>
  <si>
    <t>دیپلم کاردانش</t>
  </si>
  <si>
    <t>سوم راهنمايي</t>
  </si>
  <si>
    <t>اقتصاد</t>
  </si>
  <si>
    <t>کارداني حسابداري</t>
  </si>
  <si>
    <t>کامپیوتر</t>
  </si>
  <si>
    <t>عمران</t>
  </si>
  <si>
    <t>ساختمان</t>
  </si>
  <si>
    <t>علوم انسانی</t>
  </si>
  <si>
    <t>خبرنگاری</t>
  </si>
  <si>
    <t>-</t>
  </si>
  <si>
    <t>مهندس معدن</t>
  </si>
  <si>
    <t>الکتروتکنیک</t>
  </si>
  <si>
    <t>کارشناسي مهندسي فناوري اطلاعات</t>
  </si>
  <si>
    <t xml:space="preserve"> آموزش ابتدايي</t>
  </si>
  <si>
    <t>انسانی</t>
  </si>
  <si>
    <t>برق</t>
  </si>
  <si>
    <t>حقوق</t>
  </si>
  <si>
    <t xml:space="preserve"> اقتصاد کشاورزی</t>
  </si>
  <si>
    <t>فنی ساختمان</t>
  </si>
  <si>
    <t xml:space="preserve">علوم انسانی </t>
  </si>
  <si>
    <t>مهندسی عمران</t>
  </si>
  <si>
    <t>مدیریت بازرگانی</t>
  </si>
  <si>
    <t>پرورش طیور</t>
  </si>
  <si>
    <t>اول دبيرستان قديم دبيرستان</t>
  </si>
  <si>
    <t>ایمنی صنعتی محیط کار</t>
  </si>
  <si>
    <t>مهندسی شهرسازی</t>
  </si>
  <si>
    <t>ریاضی فیزیک</t>
  </si>
  <si>
    <t xml:space="preserve">کامپیوتر </t>
  </si>
  <si>
    <t xml:space="preserve"> زبان انگلیسی</t>
  </si>
  <si>
    <t xml:space="preserve">نرم افزار </t>
  </si>
  <si>
    <t xml:space="preserve"> حسابداري بازرگاني</t>
  </si>
  <si>
    <t>کارداني برق</t>
  </si>
  <si>
    <t>ساخت و تولید ماشین ابزار</t>
  </si>
  <si>
    <t>کارشناسي حسابداري</t>
  </si>
  <si>
    <t>کارشناسي زيست شناسي</t>
  </si>
  <si>
    <t>نقشه کشی</t>
  </si>
  <si>
    <t>شیمی</t>
  </si>
  <si>
    <t>کارشناسي مديريت دولتي</t>
  </si>
  <si>
    <t>ایمنی و آتش نشانی</t>
  </si>
  <si>
    <t>مهندسی تکنولوژی برق قدرت</t>
  </si>
  <si>
    <t>صنایع چوب و کاغذ</t>
  </si>
  <si>
    <t xml:space="preserve"> مکانيک</t>
  </si>
  <si>
    <t>علوم اجتماعی</t>
  </si>
  <si>
    <t>جوشکاری برق و گاز</t>
  </si>
  <si>
    <t>جوشکاری</t>
  </si>
  <si>
    <t>هنرهای تجسمی</t>
  </si>
  <si>
    <t>الکترونیک عمومی</t>
  </si>
  <si>
    <t>ديپلم فني و حرفه اي نقشه برداري</t>
  </si>
  <si>
    <t>کارشناسي الهيات و معارف اسلامي فقه و مباني حقوق</t>
  </si>
  <si>
    <t>کارداني کارداني کامپيوتر</t>
  </si>
  <si>
    <t>روابط عمومی</t>
  </si>
  <si>
    <t>کارشناسي مهندسي منابع طبيعي</t>
  </si>
  <si>
    <t>مکانیزاسیون کشاورزی</t>
  </si>
  <si>
    <t>امور تعاون</t>
  </si>
  <si>
    <t>دامپزشکی</t>
  </si>
  <si>
    <t xml:space="preserve">برق </t>
  </si>
  <si>
    <t>مديريت بازرگاني</t>
  </si>
  <si>
    <t xml:space="preserve"> مهندسي کامپيوتر</t>
  </si>
  <si>
    <t>کارهای عمومی ساختمان</t>
  </si>
  <si>
    <t>علوم تجربی</t>
  </si>
  <si>
    <t>تعمیر لوازم خانگی برقی</t>
  </si>
  <si>
    <t>مهندسی فناوری مکانیک خودرو</t>
  </si>
  <si>
    <t xml:space="preserve">حسابداری </t>
  </si>
  <si>
    <t>بهداشت حرفه ای</t>
  </si>
  <si>
    <t>کار و دانش</t>
  </si>
  <si>
    <t>امور گمرکی</t>
  </si>
  <si>
    <t>مهندسی فناوری اطلاعات</t>
  </si>
  <si>
    <t>امداد و نجات شهری</t>
  </si>
  <si>
    <t xml:space="preserve">عمران </t>
  </si>
  <si>
    <t>ساختمان سازی</t>
  </si>
  <si>
    <t>کارشناسي ارشد حسابداري</t>
  </si>
  <si>
    <t>مهندسی تکنولوژی ساختمان</t>
  </si>
  <si>
    <t>آموزش و پرورش ابتدائی</t>
  </si>
  <si>
    <t xml:space="preserve">امور گمرکی </t>
  </si>
  <si>
    <t>تولید و پرورش جالیز</t>
  </si>
  <si>
    <t>کارشناسي عمران</t>
  </si>
  <si>
    <t>فنی</t>
  </si>
  <si>
    <t>آتش نشانی</t>
  </si>
  <si>
    <t>تابلوسازی برق صنعتی</t>
  </si>
  <si>
    <t>ديپلم کار و دانش الکتروتکنيک</t>
  </si>
  <si>
    <t>تربیت بدنی</t>
  </si>
  <si>
    <t>فرماندهی عملیات در حریق و حوادث</t>
  </si>
  <si>
    <t>مکانیک صنایع</t>
  </si>
  <si>
    <t>مهندسي کامپيوتر</t>
  </si>
  <si>
    <t>ماشینهای الکتریکی</t>
  </si>
  <si>
    <t xml:space="preserve"> علوم انساني</t>
  </si>
  <si>
    <t>الکترونیک برق صنعتی</t>
  </si>
  <si>
    <t>تجربی</t>
  </si>
  <si>
    <t>کارشناسي کشاورزي</t>
  </si>
  <si>
    <t>فناوری اطلاعات</t>
  </si>
  <si>
    <t>کارداني نرم افزار سيستم</t>
  </si>
  <si>
    <t>نقشه کشي ساختمان</t>
  </si>
  <si>
    <t xml:space="preserve">مدیریت دولتی </t>
  </si>
  <si>
    <t xml:space="preserve"> علوم تجربی</t>
  </si>
  <si>
    <t>شهید کاوه</t>
  </si>
  <si>
    <t>دفتر مجتمع</t>
  </si>
  <si>
    <t>زائر سرا</t>
  </si>
  <si>
    <t xml:space="preserve">سجاد </t>
  </si>
  <si>
    <t>ارجمند</t>
  </si>
  <si>
    <t>پیام</t>
  </si>
  <si>
    <t>اکبری</t>
  </si>
  <si>
    <t>اله وردی</t>
  </si>
  <si>
    <t>معین</t>
  </si>
  <si>
    <t>الهی</t>
  </si>
  <si>
    <t>حشمت علی</t>
  </si>
  <si>
    <t>سید ابوالفضل</t>
  </si>
  <si>
    <t>ایزی</t>
  </si>
  <si>
    <t>سید حسین</t>
  </si>
  <si>
    <t xml:space="preserve">محمد </t>
  </si>
  <si>
    <t>آدینه پور</t>
  </si>
  <si>
    <t>آریان</t>
  </si>
  <si>
    <t>باخدای</t>
  </si>
  <si>
    <t>فرج اله</t>
  </si>
  <si>
    <t>باقری</t>
  </si>
  <si>
    <t>اسعد</t>
  </si>
  <si>
    <t>بهنام</t>
  </si>
  <si>
    <t>بهداد</t>
  </si>
  <si>
    <t>پور اسدی بهلولی</t>
  </si>
  <si>
    <t>نیازمحمد</t>
  </si>
  <si>
    <t>جامی</t>
  </si>
  <si>
    <t>جعفری</t>
  </si>
  <si>
    <t>چمی گو</t>
  </si>
  <si>
    <t>حسینی</t>
  </si>
  <si>
    <t>ذبیحی</t>
  </si>
  <si>
    <t xml:space="preserve">میثم </t>
  </si>
  <si>
    <t>رادان</t>
  </si>
  <si>
    <t>خواجه علی</t>
  </si>
  <si>
    <t>رستمی</t>
  </si>
  <si>
    <t xml:space="preserve">عزت اله </t>
  </si>
  <si>
    <t>زیدانلو</t>
  </si>
  <si>
    <t>طهماسب</t>
  </si>
  <si>
    <t>سعیدی چاکر</t>
  </si>
  <si>
    <t>رضا قلی</t>
  </si>
  <si>
    <t>جلیل احمد</t>
  </si>
  <si>
    <t>سلیمانی</t>
  </si>
  <si>
    <t>میلاد</t>
  </si>
  <si>
    <t>سلیمانی نجف آباد</t>
  </si>
  <si>
    <t>سید حسین زاده</t>
  </si>
  <si>
    <t>فریدون</t>
  </si>
  <si>
    <t>شاد</t>
  </si>
  <si>
    <t>شجاع مزرجی</t>
  </si>
  <si>
    <t>قمبرعلی</t>
  </si>
  <si>
    <t>سینا</t>
  </si>
  <si>
    <t>طهماسبی</t>
  </si>
  <si>
    <t>زهرا</t>
  </si>
  <si>
    <t>عرفانی مسعود نوغانی</t>
  </si>
  <si>
    <t xml:space="preserve">صفی اله </t>
  </si>
  <si>
    <t>عصمتی</t>
  </si>
  <si>
    <t>حبیب الله</t>
  </si>
  <si>
    <t xml:space="preserve">عباس </t>
  </si>
  <si>
    <t>علی نژاد مفرد</t>
  </si>
  <si>
    <t>غلامی ماهکان</t>
  </si>
  <si>
    <t>بیژن</t>
  </si>
  <si>
    <t xml:space="preserve">مجتبی </t>
  </si>
  <si>
    <t>گوهری</t>
  </si>
  <si>
    <t>فردوس</t>
  </si>
  <si>
    <t>محمدی مقدم لاین</t>
  </si>
  <si>
    <t>مصطفائی یوسف آبادی</t>
  </si>
  <si>
    <t>مصطفی نژاد تبریزی</t>
  </si>
  <si>
    <t>منصوری</t>
  </si>
  <si>
    <t xml:space="preserve">یوسف </t>
  </si>
  <si>
    <t>مهدی پور طبسی</t>
  </si>
  <si>
    <t>میرزای</t>
  </si>
  <si>
    <t>میرسروری</t>
  </si>
  <si>
    <t>نجفی تقی آباد</t>
  </si>
  <si>
    <t>نداف فروتقه</t>
  </si>
  <si>
    <t>نوروزی</t>
  </si>
  <si>
    <t>خلیل</t>
  </si>
  <si>
    <t>وجدانی پل بندی</t>
  </si>
  <si>
    <t>محمد جواد</t>
  </si>
  <si>
    <t>1403/09/18</t>
  </si>
  <si>
    <t>1402/01/17</t>
  </si>
  <si>
    <t>1403/07/01</t>
  </si>
  <si>
    <t>1404/06/01</t>
  </si>
  <si>
    <t>1404/09/22</t>
  </si>
  <si>
    <t>1402/03/27</t>
  </si>
  <si>
    <t>1403/10/03</t>
  </si>
  <si>
    <t>1404/12/07</t>
  </si>
  <si>
    <t>1404/09/05</t>
  </si>
  <si>
    <t>1404/12/04</t>
  </si>
  <si>
    <t>1403/09/01</t>
  </si>
  <si>
    <t>1403/09/10</t>
  </si>
  <si>
    <t>1404/09/01</t>
  </si>
  <si>
    <t>1404/04/25</t>
  </si>
  <si>
    <t>1402/12/01</t>
  </si>
  <si>
    <t>1404/12/01</t>
  </si>
  <si>
    <t>1403/02/01</t>
  </si>
  <si>
    <t>1404/11/01</t>
  </si>
  <si>
    <t>1402/10/22</t>
  </si>
  <si>
    <t>1404/05/25</t>
  </si>
  <si>
    <t>1403/01/14</t>
  </si>
  <si>
    <t>1404/12/11</t>
  </si>
  <si>
    <t>1404/12/10</t>
  </si>
  <si>
    <t>1404/07/24</t>
  </si>
  <si>
    <t>1403/10/23</t>
  </si>
  <si>
    <t>1402/04/01</t>
  </si>
  <si>
    <t>1403/10/01</t>
  </si>
  <si>
    <t>1403/01/15</t>
  </si>
  <si>
    <t>1404/10/16</t>
  </si>
  <si>
    <t>0770233279</t>
  </si>
  <si>
    <t>0923065621</t>
  </si>
  <si>
    <t>0933266480</t>
  </si>
  <si>
    <t>0770283349</t>
  </si>
  <si>
    <t>0770088600</t>
  </si>
  <si>
    <t>0021444765</t>
  </si>
  <si>
    <t>0770129587</t>
  </si>
  <si>
    <t>0749889551</t>
  </si>
  <si>
    <t>0924165111</t>
  </si>
  <si>
    <t>3660156949</t>
  </si>
  <si>
    <t>0740288008</t>
  </si>
  <si>
    <t>0740371215</t>
  </si>
  <si>
    <t>0923796381</t>
  </si>
  <si>
    <t>0779800656</t>
  </si>
  <si>
    <t>0925211834</t>
  </si>
  <si>
    <t>0920003265</t>
  </si>
  <si>
    <t>5749867706</t>
  </si>
  <si>
    <t>0740157825</t>
  </si>
  <si>
    <t>0779978153</t>
  </si>
  <si>
    <t>0910083061</t>
  </si>
  <si>
    <t>0770076947</t>
  </si>
  <si>
    <t>0819942820</t>
  </si>
  <si>
    <t>0748434186</t>
  </si>
  <si>
    <t>0770157807</t>
  </si>
  <si>
    <t>0770224830</t>
  </si>
  <si>
    <t>1063272009</t>
  </si>
  <si>
    <t>0819674486</t>
  </si>
  <si>
    <t>0770299202</t>
  </si>
  <si>
    <t>0934563829</t>
  </si>
  <si>
    <t>0740378181</t>
  </si>
  <si>
    <t>0640042317</t>
  </si>
  <si>
    <t>0640316964</t>
  </si>
  <si>
    <t>0720341698</t>
  </si>
  <si>
    <t>0858685280</t>
  </si>
  <si>
    <t>0770253954</t>
  </si>
  <si>
    <t>0740444182</t>
  </si>
  <si>
    <t>0770049230</t>
  </si>
  <si>
    <t>0779615131</t>
  </si>
  <si>
    <t>0770161308</t>
  </si>
  <si>
    <t>0943483735</t>
  </si>
  <si>
    <t>0740177788</t>
  </si>
  <si>
    <t>0926123335</t>
  </si>
  <si>
    <t>0902502840</t>
  </si>
  <si>
    <t>0770018181</t>
  </si>
  <si>
    <t>0740141589</t>
  </si>
  <si>
    <t>0922927936</t>
  </si>
  <si>
    <t>09154413572</t>
  </si>
  <si>
    <t>09370647490</t>
  </si>
  <si>
    <t>09918760560</t>
  </si>
  <si>
    <t>09103704386</t>
  </si>
  <si>
    <t>09150017366</t>
  </si>
  <si>
    <t>09157171088</t>
  </si>
  <si>
    <t>09052196183</t>
  </si>
  <si>
    <t>09389022289</t>
  </si>
  <si>
    <t>09379624100</t>
  </si>
  <si>
    <t>09105491002</t>
  </si>
  <si>
    <t>09393293436</t>
  </si>
  <si>
    <t>09158281139</t>
  </si>
  <si>
    <t>09390827801</t>
  </si>
  <si>
    <t>09156958466</t>
  </si>
  <si>
    <t>09159049414</t>
  </si>
  <si>
    <t>09944327198</t>
  </si>
  <si>
    <t>09158838128</t>
  </si>
  <si>
    <t>09370185592</t>
  </si>
  <si>
    <t>09394331611</t>
  </si>
  <si>
    <t>09157271296</t>
  </si>
  <si>
    <t>09154088184</t>
  </si>
  <si>
    <t>09158139354</t>
  </si>
  <si>
    <t>09151262308</t>
  </si>
  <si>
    <t>09105697982</t>
  </si>
  <si>
    <t>09107902658</t>
  </si>
  <si>
    <t>09155186857</t>
  </si>
  <si>
    <t>09159234524</t>
  </si>
  <si>
    <t>09157993976</t>
  </si>
  <si>
    <t>09158954913</t>
  </si>
  <si>
    <t>09156793511</t>
  </si>
  <si>
    <t>09907759874</t>
  </si>
  <si>
    <t>09159007818</t>
  </si>
  <si>
    <t>09027036557</t>
  </si>
  <si>
    <t>09159871142</t>
  </si>
  <si>
    <t>09306666271</t>
  </si>
  <si>
    <t>09157656710</t>
  </si>
  <si>
    <t>09154225498</t>
  </si>
  <si>
    <t>09123105102</t>
  </si>
  <si>
    <t>09387660608</t>
  </si>
  <si>
    <t>09114463717</t>
  </si>
  <si>
    <t>09154406031</t>
  </si>
  <si>
    <t>09153297929</t>
  </si>
  <si>
    <t>09367387046</t>
  </si>
  <si>
    <t>09051627970</t>
  </si>
  <si>
    <t>09154158012</t>
  </si>
  <si>
    <t>09356924417</t>
  </si>
  <si>
    <t>09159600073</t>
  </si>
  <si>
    <t>1378/05/26</t>
  </si>
  <si>
    <t>1373/09/27</t>
  </si>
  <si>
    <t>1354/11/07</t>
  </si>
  <si>
    <t>1381/09/02</t>
  </si>
  <si>
    <t>1371/04/01</t>
  </si>
  <si>
    <t>1377/04/16</t>
  </si>
  <si>
    <t>1372/11/19</t>
  </si>
  <si>
    <t>1367/06/01</t>
  </si>
  <si>
    <t>1376/06/28</t>
  </si>
  <si>
    <t>1369/05/10</t>
  </si>
  <si>
    <t>1374/06/23</t>
  </si>
  <si>
    <t>1377/04/19</t>
  </si>
  <si>
    <t>1375/10/07</t>
  </si>
  <si>
    <t>1362/11/05</t>
  </si>
  <si>
    <t>1379/02/03</t>
  </si>
  <si>
    <t>1368/01/01</t>
  </si>
  <si>
    <t>1381/06/14</t>
  </si>
  <si>
    <t>1363/06/01</t>
  </si>
  <si>
    <t>1371/05/20</t>
  </si>
  <si>
    <t>1364/04/10</t>
  </si>
  <si>
    <t>1371/01/15</t>
  </si>
  <si>
    <t>1370/06/30</t>
  </si>
  <si>
    <t>1364/10/26</t>
  </si>
  <si>
    <t>1359/06/20</t>
  </si>
  <si>
    <t>1374/04/12</t>
  </si>
  <si>
    <t>1378/01/08</t>
  </si>
  <si>
    <t>1360/02/15</t>
  </si>
  <si>
    <t>1355/06/25</t>
  </si>
  <si>
    <t>1382/10/25</t>
  </si>
  <si>
    <t>1358/11/18</t>
  </si>
  <si>
    <t>1377/05/30</t>
  </si>
  <si>
    <t>1368/06/04</t>
  </si>
  <si>
    <t>1372/01/06</t>
  </si>
  <si>
    <t>1382/11/01</t>
  </si>
  <si>
    <t>1373/01/01</t>
  </si>
  <si>
    <t>1346/06/15</t>
  </si>
  <si>
    <t>1379/09/29</t>
  </si>
  <si>
    <t>1379/02/04</t>
  </si>
  <si>
    <t>1351/06/09</t>
  </si>
  <si>
    <t>1374/05/15</t>
  </si>
  <si>
    <t>1360/12/08</t>
  </si>
  <si>
    <t>1372/01/02</t>
  </si>
  <si>
    <t>1381/01/31</t>
  </si>
  <si>
    <t>1367/11/17</t>
  </si>
  <si>
    <t>1368/03/10</t>
  </si>
  <si>
    <t>1371/02/03</t>
  </si>
  <si>
    <t>1373/09/20</t>
  </si>
  <si>
    <t>نگهبان</t>
  </si>
  <si>
    <t>کارپرداز</t>
  </si>
  <si>
    <t>کارگر خدمات</t>
  </si>
  <si>
    <t>راننده لیفتراک</t>
  </si>
  <si>
    <t>حسابدار</t>
  </si>
  <si>
    <t>خدمات</t>
  </si>
  <si>
    <t>صدور اسناد</t>
  </si>
  <si>
    <t>ریگر</t>
  </si>
  <si>
    <t>اپراتور جرثقیل</t>
  </si>
  <si>
    <t>اداری</t>
  </si>
  <si>
    <t>مکانیک</t>
  </si>
  <si>
    <t>کارمند صدور اسناد</t>
  </si>
  <si>
    <t>ر اننده لیفتراک</t>
  </si>
  <si>
    <t>کمک مکانیک</t>
  </si>
  <si>
    <t>سوم راهنمایی</t>
  </si>
  <si>
    <t>ابتدایی</t>
  </si>
  <si>
    <t>تعمیر موتور و برق خودرو</t>
  </si>
  <si>
    <t>علوم سیاسی</t>
  </si>
  <si>
    <t>مهندسی تولید و ژنتیک گیاهی</t>
  </si>
  <si>
    <t>علوم تربیتی</t>
  </si>
  <si>
    <t>روانشناسی</t>
  </si>
  <si>
    <t>برق صنعتی</t>
  </si>
  <si>
    <t>برق قدرت</t>
  </si>
  <si>
    <t>ادبیات و علوم انسانی</t>
  </si>
  <si>
    <t>علوم قضایی</t>
  </si>
  <si>
    <t>---------</t>
  </si>
  <si>
    <t>گرافیک کامپیوتری</t>
  </si>
  <si>
    <t>لوازم خانگی</t>
  </si>
  <si>
    <t>ریاضی</t>
  </si>
  <si>
    <t>حوزه</t>
  </si>
  <si>
    <t>حسابداری بازرگانی</t>
  </si>
  <si>
    <t>تاسیسات</t>
  </si>
  <si>
    <t>کمک انباردار</t>
  </si>
  <si>
    <t>کارمند</t>
  </si>
  <si>
    <t>سید سعیده</t>
  </si>
  <si>
    <t>ابراهیمی</t>
  </si>
  <si>
    <t>0921778023</t>
  </si>
  <si>
    <t>علی آقا</t>
  </si>
  <si>
    <t>1370/11/07</t>
  </si>
  <si>
    <t>09152472953</t>
  </si>
  <si>
    <t>سرپرست رياست برنامه ريزي و فناوري اطلاعات</t>
  </si>
  <si>
    <t>انباردار</t>
  </si>
  <si>
    <t>راننده تجهیزات تخلیه و بارگیری</t>
  </si>
  <si>
    <t>سرپرست مديريت شعبه****</t>
  </si>
  <si>
    <t>کارمند امور دفتری</t>
  </si>
  <si>
    <t>کارمند حسابداری</t>
  </si>
  <si>
    <t>آتش نشان</t>
  </si>
  <si>
    <t>کارگر انبار</t>
  </si>
  <si>
    <t>کارشناس عملیات</t>
  </si>
  <si>
    <t>کمک راننده تجهیزات تخلیه و بارگیری</t>
  </si>
  <si>
    <t>کاردان صدور اسناد</t>
  </si>
  <si>
    <t>رئیس عملیات و امور گمرکی</t>
  </si>
  <si>
    <t>مسئول حراست و امور انتظامی</t>
  </si>
  <si>
    <t>کاردان اداری و منابع انسانی</t>
  </si>
  <si>
    <t>راننده</t>
  </si>
  <si>
    <t>کارشناس حسابداری</t>
  </si>
  <si>
    <t>سرپرست مديريت شعبه*</t>
  </si>
  <si>
    <t>رئیس برنامه ریزی و فناوری اطلاعات</t>
  </si>
  <si>
    <t>کارشناس صدور اسناد</t>
  </si>
  <si>
    <t>کارمند اداری</t>
  </si>
  <si>
    <t>کارشناس HSE</t>
  </si>
  <si>
    <t>کارشناس فناوری اطلاعات</t>
  </si>
  <si>
    <t>متصدی باسکول</t>
  </si>
  <si>
    <t>تکنسین فنی</t>
  </si>
  <si>
    <t>09351445006</t>
  </si>
  <si>
    <t>09158587282</t>
  </si>
  <si>
    <t>09369080926</t>
  </si>
  <si>
    <t>1368/03/03</t>
  </si>
  <si>
    <t>ایران</t>
  </si>
  <si>
    <t>1400/01/01</t>
  </si>
  <si>
    <t>دیپلم ناقص</t>
  </si>
  <si>
    <t>دوم دبیرستان</t>
  </si>
  <si>
    <t>فنی و حرفه ای</t>
  </si>
  <si>
    <t>اطلاعات پرسنلی درمرداد 1405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</si>
</sst>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rial"/>
      <family val="2"/>
      <scheme val="minor"/>
    </font>
    <font>
      <sz val="14"/>
      <color theme="1"/>
      <name val="B Zar"/>
      <charset val="178"/>
    </font>
    <font>
      <b/>
      <sz val="14"/>
      <color theme="1"/>
      <name val="B Zar"/>
      <charset val="178"/>
    </font>
    <font>
      <b/>
      <sz val="20"/>
      <color theme="1"/>
      <name val="B Nazanin"/>
      <charset val="178"/>
    </font>
    <font>
      <sz val="16"/>
      <color theme="1"/>
      <name val="B Nazanin"/>
      <charset val="178"/>
    </font>
    <font>
      <b/>
      <sz val="26"/>
      <color theme="1"/>
      <name val="Wingdings 2"/>
      <family val="1"/>
      <charset val="2"/>
    </font>
    <font>
      <sz val="12"/>
      <color theme="1"/>
      <name val="B Zar"/>
      <charset val="178"/>
    </font>
    <font>
      <b/>
      <sz val="14"/>
      <color theme="1"/>
      <name val="Wingdings 2"/>
      <family val="1"/>
      <charset val="2"/>
    </font>
    <font>
      <sz val="14"/>
      <name val="B Zar"/>
      <charset val="178"/>
    </font>
    <font>
      <sz val="14"/>
      <color theme="1"/>
      <name val="Arial"/>
      <family val="2"/>
      <scheme val="minor"/>
    </font>
    <font>
      <sz val="14"/>
      <color theme="1"/>
      <name val="B Nazanin"/>
      <charset val="178"/>
    </font>
    <font>
      <sz val="10"/>
      <color indexed="8"/>
      <name val="Arial"/>
      <family val="2"/>
    </font>
    <font>
      <sz val="14"/>
      <color indexed="8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indexed="11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1" fillId="0" borderId="0">
      <alignment vertical="top"/>
    </xf>
  </cellStyleXfs>
  <cellXfs count="53">
    <xf numFmtId="0" fontId="0" fillId="0" borderId="0" xfId="0"/>
    <xf numFmtId="0" fontId="2" fillId="2" borderId="1" xfId="0" applyFont="1" applyFill="1" applyBorder="1" applyAlignment="1">
      <alignment horizontal="center" vertical="center" textRotation="90" wrapText="1"/>
    </xf>
    <xf numFmtId="0" fontId="2" fillId="3" borderId="1" xfId="0" applyFont="1" applyFill="1" applyBorder="1" applyAlignment="1">
      <alignment horizontal="center" vertical="center" textRotation="90" wrapText="1"/>
    </xf>
    <xf numFmtId="0" fontId="1" fillId="8" borderId="1" xfId="0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 wrapText="1" readingOrder="2"/>
    </xf>
    <xf numFmtId="49" fontId="1" fillId="8" borderId="1" xfId="0" applyNumberFormat="1" applyFont="1" applyFill="1" applyBorder="1" applyAlignment="1">
      <alignment horizontal="center" vertical="center"/>
    </xf>
    <xf numFmtId="0" fontId="0" fillId="0" borderId="1" xfId="0" applyBorder="1"/>
    <xf numFmtId="0" fontId="2" fillId="8" borderId="1" xfId="0" applyFont="1" applyFill="1" applyBorder="1" applyAlignment="1">
      <alignment horizontal="center" vertical="center" wrapText="1"/>
    </xf>
    <xf numFmtId="1" fontId="2" fillId="8" borderId="1" xfId="0" applyNumberFormat="1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0" fillId="8" borderId="1" xfId="0" applyFill="1" applyBorder="1"/>
    <xf numFmtId="0" fontId="7" fillId="8" borderId="1" xfId="0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10" fillId="8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49" fontId="6" fillId="8" borderId="1" xfId="0" applyNumberFormat="1" applyFont="1" applyFill="1" applyBorder="1" applyAlignment="1">
      <alignment horizontal="center" vertical="center"/>
    </xf>
    <xf numFmtId="0" fontId="6" fillId="8" borderId="1" xfId="0" quotePrefix="1" applyFont="1" applyFill="1" applyBorder="1" applyAlignment="1">
      <alignment horizontal="center" vertical="center"/>
    </xf>
    <xf numFmtId="3" fontId="12" fillId="0" borderId="1" xfId="1" applyNumberFormat="1" applyFont="1" applyBorder="1" applyAlignment="1">
      <alignment horizontal="center" vertical="center"/>
    </xf>
    <xf numFmtId="0" fontId="12" fillId="0" borderId="1" xfId="1" applyFont="1" applyBorder="1" applyAlignment="1">
      <alignment horizontal="center" vertical="center"/>
    </xf>
    <xf numFmtId="0" fontId="12" fillId="0" borderId="1" xfId="1" applyFont="1" applyBorder="1" applyAlignment="1">
      <alignment horizontal="center" vertical="center" wrapText="1"/>
    </xf>
    <xf numFmtId="0" fontId="12" fillId="8" borderId="1" xfId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1" fontId="1" fillId="8" borderId="1" xfId="0" applyNumberFormat="1" applyFont="1" applyFill="1" applyBorder="1" applyAlignment="1">
      <alignment horizontal="center" vertical="center"/>
    </xf>
    <xf numFmtId="1" fontId="0" fillId="8" borderId="1" xfId="0" applyNumberFormat="1" applyFill="1" applyBorder="1"/>
    <xf numFmtId="1" fontId="0" fillId="8" borderId="1" xfId="0" applyNumberFormat="1" applyFill="1" applyBorder="1" applyAlignment="1">
      <alignment horizontal="center" vertical="center"/>
    </xf>
    <xf numFmtId="1" fontId="2" fillId="3" borderId="1" xfId="0" applyNumberFormat="1" applyFont="1" applyFill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8" borderId="4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</cellXfs>
  <cellStyles count="2">
    <cellStyle name="Normal" xfId="0" builtinId="0"/>
    <cellStyle name="Normal 2" xfId="1" xr:uid="{FAEAA742-7F09-4755-B3EA-01DF2ECAAC4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EDE03-3130-4853-B2C4-6DE0BE9BDDA1}">
  <sheetPr filterMode="1"/>
  <dimension ref="A1:DD245"/>
  <sheetViews>
    <sheetView rightToLeft="1" tabSelected="1" zoomScale="70" zoomScaleNormal="70" zoomScaleSheetLayoutView="71" workbookViewId="0">
      <selection activeCell="AB48" sqref="AB48"/>
    </sheetView>
  </sheetViews>
  <sheetFormatPr defaultColWidth="9.125" defaultRowHeight="14.25" x14ac:dyDescent="0.2"/>
  <cols>
    <col min="1" max="1" width="6.125" style="6" bestFit="1" customWidth="1"/>
    <col min="2" max="2" width="7.375" style="6" bestFit="1" customWidth="1"/>
    <col min="3" max="3" width="14.625" style="6" customWidth="1"/>
    <col min="4" max="4" width="9.375" style="6" customWidth="1"/>
    <col min="5" max="5" width="15" style="6" customWidth="1"/>
    <col min="6" max="6" width="12.75" style="6" customWidth="1"/>
    <col min="7" max="7" width="5.875" style="6" hidden="1" customWidth="1"/>
    <col min="8" max="8" width="6" style="6" hidden="1" customWidth="1"/>
    <col min="9" max="9" width="6" style="10" hidden="1" customWidth="1"/>
    <col min="10" max="11" width="6" style="6" hidden="1" customWidth="1"/>
    <col min="12" max="12" width="17.875" style="6" customWidth="1"/>
    <col min="13" max="13" width="9.375" style="6" hidden="1" customWidth="1"/>
    <col min="14" max="14" width="16.5" style="6" hidden="1" customWidth="1"/>
    <col min="15" max="15" width="21.875" style="6" hidden="1" customWidth="1"/>
    <col min="16" max="16" width="12.375" style="6" customWidth="1"/>
    <col min="17" max="17" width="13.625" style="6" hidden="1" customWidth="1"/>
    <col min="18" max="18" width="16.625" style="6" customWidth="1"/>
    <col min="19" max="19" width="9.625" style="6" hidden="1" customWidth="1"/>
    <col min="20" max="20" width="15.5" style="6" customWidth="1"/>
    <col min="21" max="21" width="25.75" style="6" customWidth="1"/>
    <col min="22" max="22" width="13" style="6" hidden="1" customWidth="1"/>
    <col min="23" max="26" width="23" style="6" hidden="1" customWidth="1"/>
    <col min="27" max="29" width="4.375" style="10" customWidth="1"/>
    <col min="30" max="30" width="8.75" style="10" customWidth="1"/>
    <col min="31" max="31" width="5.375" style="35" hidden="1" customWidth="1"/>
    <col min="32" max="32" width="4.375" style="10" hidden="1" customWidth="1"/>
    <col min="33" max="34" width="4.375" style="10" customWidth="1"/>
    <col min="35" max="36" width="4.375" style="10" hidden="1" customWidth="1"/>
    <col min="37" max="38" width="4.375" style="6" hidden="1" customWidth="1"/>
    <col min="39" max="39" width="8.375" style="6" customWidth="1"/>
    <col min="40" max="40" width="7.75" style="6" customWidth="1"/>
    <col min="41" max="41" width="9" style="6" customWidth="1"/>
    <col min="42" max="42" width="10.625" style="6" customWidth="1"/>
    <col min="43" max="43" width="9.125" style="6" customWidth="1"/>
    <col min="44" max="44" width="7.25" style="6" customWidth="1"/>
    <col min="45" max="45" width="18.125" style="6" customWidth="1"/>
    <col min="46" max="95" width="5" style="6" hidden="1" customWidth="1"/>
    <col min="96" max="96" width="19.5" style="6" customWidth="1"/>
    <col min="97" max="97" width="5.5" style="6" bestFit="1" customWidth="1"/>
    <col min="98" max="98" width="14.875" style="6" bestFit="1" customWidth="1"/>
    <col min="99" max="99" width="21.125" style="6" customWidth="1"/>
    <col min="100" max="100" width="5" style="6" bestFit="1" customWidth="1"/>
    <col min="101" max="101" width="5.875" style="6" bestFit="1" customWidth="1"/>
    <col min="102" max="102" width="11" style="6" bestFit="1" customWidth="1"/>
    <col min="103" max="103" width="16.75" style="6" bestFit="1" customWidth="1"/>
    <col min="104" max="104" width="16.75" style="6" customWidth="1"/>
    <col min="105" max="105" width="6.875" style="6" bestFit="1" customWidth="1"/>
    <col min="106" max="106" width="10.125" style="6" bestFit="1" customWidth="1"/>
    <col min="107" max="107" width="12.625" style="6" customWidth="1"/>
    <col min="108" max="108" width="13.125" style="6" customWidth="1"/>
    <col min="109" max="16384" width="9.125" style="6"/>
  </cols>
  <sheetData>
    <row r="1" spans="1:108" ht="66" customHeight="1" x14ac:dyDescent="0.2">
      <c r="A1" s="50" t="s">
        <v>1453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  <c r="AB1" s="50"/>
      <c r="AC1" s="50"/>
      <c r="AD1" s="50"/>
      <c r="AE1" s="50"/>
      <c r="AF1" s="50"/>
      <c r="AG1" s="50"/>
      <c r="AH1" s="50"/>
      <c r="AI1" s="50"/>
      <c r="AJ1" s="50"/>
      <c r="AK1" s="50"/>
      <c r="AL1" s="50"/>
      <c r="AM1" s="50"/>
      <c r="AN1" s="50"/>
      <c r="AO1" s="50"/>
      <c r="AP1" s="50"/>
      <c r="AQ1" s="50"/>
      <c r="AR1" s="50"/>
      <c r="AS1" s="50"/>
      <c r="AT1" s="50"/>
      <c r="AU1" s="50"/>
      <c r="AV1" s="50"/>
      <c r="AW1" s="50"/>
      <c r="AX1" s="50"/>
      <c r="AY1" s="50"/>
      <c r="AZ1" s="50"/>
      <c r="BA1" s="50"/>
      <c r="BB1" s="50"/>
      <c r="BC1" s="50"/>
      <c r="BD1" s="50"/>
      <c r="BE1" s="50"/>
      <c r="BF1" s="50"/>
      <c r="BG1" s="50"/>
      <c r="BH1" s="50"/>
      <c r="BI1" s="50"/>
      <c r="BJ1" s="50"/>
      <c r="BK1" s="50"/>
      <c r="BL1" s="50"/>
      <c r="BM1" s="50"/>
      <c r="BN1" s="50"/>
      <c r="BO1" s="50"/>
      <c r="BP1" s="50"/>
      <c r="BQ1" s="50"/>
      <c r="BR1" s="50"/>
      <c r="BS1" s="50"/>
      <c r="BT1" s="50"/>
      <c r="BU1" s="50"/>
      <c r="BV1" s="50"/>
      <c r="BW1" s="50"/>
      <c r="BX1" s="50"/>
      <c r="BY1" s="50"/>
      <c r="BZ1" s="50"/>
      <c r="CA1" s="50"/>
      <c r="CB1" s="50"/>
      <c r="CC1" s="50"/>
      <c r="CD1" s="50"/>
      <c r="CE1" s="50"/>
      <c r="CF1" s="50"/>
      <c r="CG1" s="50"/>
      <c r="CH1" s="50"/>
      <c r="CI1" s="50"/>
      <c r="CJ1" s="50"/>
      <c r="CK1" s="50"/>
      <c r="CL1" s="50"/>
      <c r="CM1" s="50"/>
      <c r="CN1" s="50"/>
      <c r="CO1" s="50"/>
      <c r="CP1" s="50"/>
      <c r="CQ1" s="50"/>
      <c r="CR1" s="50"/>
      <c r="CS1" s="50"/>
      <c r="CT1" s="50"/>
      <c r="CU1" s="50"/>
      <c r="CV1" s="50"/>
      <c r="CW1" s="50"/>
      <c r="CX1" s="50"/>
      <c r="CY1" s="50"/>
      <c r="CZ1" s="50"/>
      <c r="DA1" s="50"/>
      <c r="DB1" s="50"/>
      <c r="DC1" s="50"/>
    </row>
    <row r="2" spans="1:108" s="16" customFormat="1" ht="75.75" customHeight="1" x14ac:dyDescent="0.2">
      <c r="A2" s="45" t="s">
        <v>0</v>
      </c>
      <c r="B2" s="45" t="s">
        <v>36</v>
      </c>
      <c r="C2" s="45" t="s">
        <v>37</v>
      </c>
      <c r="D2" s="45" t="s">
        <v>1</v>
      </c>
      <c r="E2" s="45" t="s">
        <v>2</v>
      </c>
      <c r="F2" s="45" t="s">
        <v>81</v>
      </c>
      <c r="G2" s="45" t="s">
        <v>38</v>
      </c>
      <c r="H2" s="45"/>
      <c r="I2" s="45" t="s">
        <v>61</v>
      </c>
      <c r="J2" s="45"/>
      <c r="K2" s="45"/>
      <c r="L2" s="51" t="s">
        <v>41</v>
      </c>
      <c r="M2" s="42" t="s">
        <v>69</v>
      </c>
      <c r="N2" s="42"/>
      <c r="O2" s="42"/>
      <c r="P2" s="45" t="s">
        <v>3</v>
      </c>
      <c r="Q2" s="52" t="s">
        <v>31</v>
      </c>
      <c r="R2" s="45" t="s">
        <v>4</v>
      </c>
      <c r="S2" s="45" t="s">
        <v>5</v>
      </c>
      <c r="T2" s="46" t="s">
        <v>43</v>
      </c>
      <c r="U2" s="46"/>
      <c r="V2" s="46" t="s">
        <v>42</v>
      </c>
      <c r="W2" s="46"/>
      <c r="X2" s="29"/>
      <c r="Y2" s="29"/>
      <c r="Z2" s="29"/>
      <c r="AA2" s="39" t="s">
        <v>32</v>
      </c>
      <c r="AB2" s="40"/>
      <c r="AC2" s="40"/>
      <c r="AD2" s="40"/>
      <c r="AE2" s="40"/>
      <c r="AF2" s="40"/>
      <c r="AG2" s="40"/>
      <c r="AH2" s="40"/>
      <c r="AI2" s="40"/>
      <c r="AJ2" s="41"/>
      <c r="AK2" s="30"/>
      <c r="AL2" s="30"/>
      <c r="AM2" s="43" t="s">
        <v>6</v>
      </c>
      <c r="AN2" s="43"/>
      <c r="AO2" s="43"/>
      <c r="AP2" s="43"/>
      <c r="AQ2" s="43"/>
      <c r="AR2" s="43"/>
      <c r="AS2" s="43"/>
      <c r="AT2" s="42" t="s">
        <v>57</v>
      </c>
      <c r="AU2" s="42"/>
      <c r="AV2" s="42"/>
      <c r="AW2" s="42"/>
      <c r="AX2" s="42"/>
      <c r="AY2" s="42"/>
      <c r="AZ2" s="42"/>
      <c r="BA2" s="42"/>
      <c r="BB2" s="42"/>
      <c r="BC2" s="42"/>
      <c r="BD2" s="42"/>
      <c r="BE2" s="42"/>
      <c r="BF2" s="42"/>
      <c r="BG2" s="42"/>
      <c r="BH2" s="42"/>
      <c r="BI2" s="42"/>
      <c r="BJ2" s="42"/>
      <c r="BK2" s="42"/>
      <c r="BL2" s="42"/>
      <c r="BM2" s="42"/>
      <c r="BN2" s="42"/>
      <c r="BO2" s="42"/>
      <c r="BP2" s="42"/>
      <c r="BQ2" s="42"/>
      <c r="BR2" s="42"/>
      <c r="BS2" s="42"/>
      <c r="BT2" s="42"/>
      <c r="BU2" s="42"/>
      <c r="BV2" s="42"/>
      <c r="BW2" s="42"/>
      <c r="BX2" s="42"/>
      <c r="BY2" s="42"/>
      <c r="BZ2" s="42"/>
      <c r="CA2" s="42"/>
      <c r="CB2" s="44" t="s">
        <v>58</v>
      </c>
      <c r="CC2" s="44"/>
      <c r="CD2" s="44"/>
      <c r="CE2" s="44"/>
      <c r="CF2" s="44"/>
      <c r="CG2" s="44"/>
      <c r="CH2" s="44"/>
      <c r="CI2" s="44"/>
      <c r="CJ2" s="44"/>
      <c r="CK2" s="44"/>
      <c r="CL2" s="44"/>
      <c r="CM2" s="44"/>
      <c r="CN2" s="44"/>
      <c r="CO2" s="44"/>
      <c r="CP2" s="44"/>
      <c r="CQ2" s="44"/>
      <c r="CR2" s="45" t="s">
        <v>72</v>
      </c>
      <c r="CS2" s="45"/>
      <c r="CT2" s="45"/>
      <c r="CU2" s="45" t="s">
        <v>60</v>
      </c>
      <c r="CV2" s="49" t="s">
        <v>7</v>
      </c>
      <c r="CW2" s="49"/>
      <c r="CX2" s="49" t="s">
        <v>8</v>
      </c>
      <c r="CY2" s="45" t="s">
        <v>35</v>
      </c>
      <c r="CZ2" s="45"/>
      <c r="DA2" s="48" t="s">
        <v>28</v>
      </c>
      <c r="DB2" s="48"/>
      <c r="DC2" s="48"/>
      <c r="DD2" s="45" t="s">
        <v>79</v>
      </c>
    </row>
    <row r="3" spans="1:108" s="16" customFormat="1" ht="68.25" customHeight="1" x14ac:dyDescent="0.2">
      <c r="A3" s="45"/>
      <c r="B3" s="45"/>
      <c r="C3" s="45"/>
      <c r="D3" s="45"/>
      <c r="E3" s="45"/>
      <c r="F3" s="45"/>
      <c r="G3" s="45"/>
      <c r="H3" s="45"/>
      <c r="I3" s="45"/>
      <c r="J3" s="45"/>
      <c r="K3" s="45"/>
      <c r="L3" s="51"/>
      <c r="M3" s="42" t="s">
        <v>65</v>
      </c>
      <c r="N3" s="42"/>
      <c r="O3" s="42"/>
      <c r="P3" s="45"/>
      <c r="Q3" s="52"/>
      <c r="R3" s="45"/>
      <c r="S3" s="45"/>
      <c r="T3" s="46" t="s">
        <v>9</v>
      </c>
      <c r="U3" s="46" t="s">
        <v>10</v>
      </c>
      <c r="V3" s="46" t="s">
        <v>9</v>
      </c>
      <c r="W3" s="46" t="s">
        <v>10</v>
      </c>
      <c r="X3" s="29"/>
      <c r="Y3" s="29"/>
      <c r="Z3" s="29"/>
      <c r="AA3" s="47" t="s">
        <v>33</v>
      </c>
      <c r="AB3" s="47"/>
      <c r="AC3" s="47" t="s">
        <v>34</v>
      </c>
      <c r="AD3" s="47"/>
      <c r="AE3" s="40" t="s">
        <v>11</v>
      </c>
      <c r="AF3" s="41"/>
      <c r="AG3" s="39" t="s">
        <v>11</v>
      </c>
      <c r="AH3" s="40"/>
      <c r="AI3" s="40" t="s">
        <v>11</v>
      </c>
      <c r="AJ3" s="41"/>
      <c r="AK3" s="31"/>
      <c r="AL3" s="31"/>
      <c r="AM3" s="43" t="s">
        <v>12</v>
      </c>
      <c r="AN3" s="43" t="s">
        <v>13</v>
      </c>
      <c r="AO3" s="43" t="s">
        <v>14</v>
      </c>
      <c r="AP3" s="43" t="s">
        <v>44</v>
      </c>
      <c r="AQ3" s="43" t="s">
        <v>45</v>
      </c>
      <c r="AR3" s="43" t="s">
        <v>15</v>
      </c>
      <c r="AS3" s="43" t="s">
        <v>80</v>
      </c>
      <c r="AT3" s="42" t="s">
        <v>46</v>
      </c>
      <c r="AU3" s="42"/>
      <c r="AV3" s="42"/>
      <c r="AW3" s="42"/>
      <c r="AX3" s="42" t="s">
        <v>47</v>
      </c>
      <c r="AY3" s="42"/>
      <c r="AZ3" s="42"/>
      <c r="BA3" s="42"/>
      <c r="BB3" s="42" t="s">
        <v>48</v>
      </c>
      <c r="BC3" s="42"/>
      <c r="BD3" s="42"/>
      <c r="BE3" s="42"/>
      <c r="BF3" s="42" t="s">
        <v>49</v>
      </c>
      <c r="BG3" s="42"/>
      <c r="BH3" s="42"/>
      <c r="BI3" s="42"/>
      <c r="BJ3" s="42" t="s">
        <v>50</v>
      </c>
      <c r="BK3" s="42"/>
      <c r="BL3" s="42"/>
      <c r="BM3" s="42"/>
      <c r="BN3" s="42" t="s">
        <v>16</v>
      </c>
      <c r="BO3" s="42"/>
      <c r="BP3" s="42"/>
      <c r="BQ3" s="42"/>
      <c r="BR3" s="42" t="s">
        <v>51</v>
      </c>
      <c r="BS3" s="42"/>
      <c r="BT3" s="42"/>
      <c r="BU3" s="42"/>
      <c r="BV3" s="42" t="s">
        <v>20</v>
      </c>
      <c r="BW3" s="42"/>
      <c r="BX3" s="42"/>
      <c r="BY3" s="42"/>
      <c r="BZ3" s="42" t="s">
        <v>52</v>
      </c>
      <c r="CA3" s="42"/>
      <c r="CB3" s="44" t="s">
        <v>17</v>
      </c>
      <c r="CC3" s="44"/>
      <c r="CD3" s="44"/>
      <c r="CE3" s="44"/>
      <c r="CF3" s="44" t="s">
        <v>18</v>
      </c>
      <c r="CG3" s="44"/>
      <c r="CH3" s="44"/>
      <c r="CI3" s="44"/>
      <c r="CJ3" s="44" t="s">
        <v>19</v>
      </c>
      <c r="CK3" s="44"/>
      <c r="CL3" s="44"/>
      <c r="CM3" s="44"/>
      <c r="CN3" s="44" t="s">
        <v>21</v>
      </c>
      <c r="CO3" s="44"/>
      <c r="CP3" s="44"/>
      <c r="CQ3" s="44"/>
      <c r="CR3" s="45" t="s">
        <v>22</v>
      </c>
      <c r="CS3" s="45" t="s">
        <v>23</v>
      </c>
      <c r="CT3" s="45" t="s">
        <v>82</v>
      </c>
      <c r="CU3" s="45"/>
      <c r="CV3" s="49"/>
      <c r="CW3" s="49"/>
      <c r="CX3" s="49"/>
      <c r="CY3" s="45"/>
      <c r="CZ3" s="45"/>
      <c r="DA3" s="48"/>
      <c r="DB3" s="48"/>
      <c r="DC3" s="48"/>
      <c r="DD3" s="45"/>
    </row>
    <row r="4" spans="1:108" s="16" customFormat="1" ht="93.75" customHeight="1" x14ac:dyDescent="0.2">
      <c r="A4" s="45"/>
      <c r="B4" s="45"/>
      <c r="C4" s="45"/>
      <c r="D4" s="45"/>
      <c r="E4" s="45"/>
      <c r="F4" s="45"/>
      <c r="G4" s="24" t="s">
        <v>39</v>
      </c>
      <c r="H4" s="24" t="s">
        <v>40</v>
      </c>
      <c r="I4" s="7" t="s">
        <v>62</v>
      </c>
      <c r="J4" s="24" t="s">
        <v>63</v>
      </c>
      <c r="K4" s="24" t="s">
        <v>64</v>
      </c>
      <c r="L4" s="51"/>
      <c r="M4" s="25" t="s">
        <v>66</v>
      </c>
      <c r="N4" s="25" t="s">
        <v>67</v>
      </c>
      <c r="O4" s="25" t="s">
        <v>68</v>
      </c>
      <c r="P4" s="45"/>
      <c r="Q4" s="52"/>
      <c r="R4" s="45"/>
      <c r="S4" s="45"/>
      <c r="T4" s="46"/>
      <c r="U4" s="46"/>
      <c r="V4" s="46"/>
      <c r="W4" s="46"/>
      <c r="X4" s="29">
        <v>1405</v>
      </c>
      <c r="Y4" s="29">
        <v>12</v>
      </c>
      <c r="Z4" s="29"/>
      <c r="AA4" s="33" t="s">
        <v>24</v>
      </c>
      <c r="AB4" s="33" t="s">
        <v>25</v>
      </c>
      <c r="AC4" s="7" t="s">
        <v>24</v>
      </c>
      <c r="AD4" s="7" t="s">
        <v>25</v>
      </c>
      <c r="AE4" s="8" t="s">
        <v>24</v>
      </c>
      <c r="AF4" s="7" t="s">
        <v>25</v>
      </c>
      <c r="AG4" s="32" t="s">
        <v>24</v>
      </c>
      <c r="AH4" s="32" t="s">
        <v>25</v>
      </c>
      <c r="AI4" s="37" t="s">
        <v>24</v>
      </c>
      <c r="AJ4" s="33" t="s">
        <v>25</v>
      </c>
      <c r="AK4" s="30"/>
      <c r="AL4" s="30"/>
      <c r="AM4" s="43"/>
      <c r="AN4" s="43"/>
      <c r="AO4" s="43"/>
      <c r="AP4" s="43"/>
      <c r="AQ4" s="43"/>
      <c r="AR4" s="43"/>
      <c r="AS4" s="43"/>
      <c r="AT4" s="1" t="s">
        <v>53</v>
      </c>
      <c r="AU4" s="1" t="s">
        <v>54</v>
      </c>
      <c r="AV4" s="1" t="s">
        <v>55</v>
      </c>
      <c r="AW4" s="1" t="s">
        <v>15</v>
      </c>
      <c r="AX4" s="1" t="s">
        <v>53</v>
      </c>
      <c r="AY4" s="1" t="s">
        <v>54</v>
      </c>
      <c r="AZ4" s="1" t="s">
        <v>55</v>
      </c>
      <c r="BA4" s="1" t="s">
        <v>15</v>
      </c>
      <c r="BB4" s="1" t="s">
        <v>53</v>
      </c>
      <c r="BC4" s="1" t="s">
        <v>54</v>
      </c>
      <c r="BD4" s="1" t="s">
        <v>55</v>
      </c>
      <c r="BE4" s="1" t="s">
        <v>15</v>
      </c>
      <c r="BF4" s="1" t="s">
        <v>53</v>
      </c>
      <c r="BG4" s="1" t="s">
        <v>54</v>
      </c>
      <c r="BH4" s="1" t="s">
        <v>55</v>
      </c>
      <c r="BI4" s="1" t="s">
        <v>15</v>
      </c>
      <c r="BJ4" s="1" t="s">
        <v>53</v>
      </c>
      <c r="BK4" s="1" t="s">
        <v>54</v>
      </c>
      <c r="BL4" s="1" t="s">
        <v>55</v>
      </c>
      <c r="BM4" s="1" t="s">
        <v>15</v>
      </c>
      <c r="BN4" s="1" t="s">
        <v>53</v>
      </c>
      <c r="BO4" s="1" t="s">
        <v>54</v>
      </c>
      <c r="BP4" s="1" t="s">
        <v>55</v>
      </c>
      <c r="BQ4" s="1" t="s">
        <v>15</v>
      </c>
      <c r="BR4" s="1" t="s">
        <v>53</v>
      </c>
      <c r="BS4" s="1" t="s">
        <v>54</v>
      </c>
      <c r="BT4" s="1" t="s">
        <v>55</v>
      </c>
      <c r="BU4" s="1" t="s">
        <v>15</v>
      </c>
      <c r="BV4" s="1" t="s">
        <v>53</v>
      </c>
      <c r="BW4" s="1" t="s">
        <v>54</v>
      </c>
      <c r="BX4" s="1" t="s">
        <v>55</v>
      </c>
      <c r="BY4" s="1" t="s">
        <v>15</v>
      </c>
      <c r="BZ4" s="1" t="s">
        <v>56</v>
      </c>
      <c r="CA4" s="1" t="s">
        <v>55</v>
      </c>
      <c r="CB4" s="2" t="s">
        <v>53</v>
      </c>
      <c r="CC4" s="2" t="s">
        <v>54</v>
      </c>
      <c r="CD4" s="2" t="s">
        <v>55</v>
      </c>
      <c r="CE4" s="2" t="s">
        <v>15</v>
      </c>
      <c r="CF4" s="2" t="s">
        <v>53</v>
      </c>
      <c r="CG4" s="2" t="s">
        <v>54</v>
      </c>
      <c r="CH4" s="2" t="s">
        <v>55</v>
      </c>
      <c r="CI4" s="2" t="s">
        <v>15</v>
      </c>
      <c r="CJ4" s="2" t="s">
        <v>53</v>
      </c>
      <c r="CK4" s="2" t="s">
        <v>54</v>
      </c>
      <c r="CL4" s="2" t="s">
        <v>55</v>
      </c>
      <c r="CM4" s="2" t="s">
        <v>15</v>
      </c>
      <c r="CN4" s="2" t="s">
        <v>53</v>
      </c>
      <c r="CO4" s="2" t="s">
        <v>54</v>
      </c>
      <c r="CP4" s="2" t="s">
        <v>55</v>
      </c>
      <c r="CQ4" s="2" t="s">
        <v>15</v>
      </c>
      <c r="CR4" s="45"/>
      <c r="CS4" s="45"/>
      <c r="CT4" s="45"/>
      <c r="CU4" s="45"/>
      <c r="CV4" s="27" t="s">
        <v>26</v>
      </c>
      <c r="CW4" s="27" t="s">
        <v>27</v>
      </c>
      <c r="CX4" s="49"/>
      <c r="CY4" s="24" t="s">
        <v>70</v>
      </c>
      <c r="CZ4" s="24" t="s">
        <v>59</v>
      </c>
      <c r="DA4" s="28" t="s">
        <v>29</v>
      </c>
      <c r="DB4" s="26" t="s">
        <v>30</v>
      </c>
      <c r="DC4" s="26" t="s">
        <v>74</v>
      </c>
      <c r="DD4" s="45"/>
    </row>
    <row r="5" spans="1:108" ht="24.75" hidden="1" customHeight="1" x14ac:dyDescent="0.2">
      <c r="A5" s="3">
        <v>1</v>
      </c>
      <c r="B5" s="3" t="s">
        <v>1448</v>
      </c>
      <c r="C5" s="3" t="s">
        <v>83</v>
      </c>
      <c r="D5" s="3" t="s">
        <v>95</v>
      </c>
      <c r="E5" s="3" t="s">
        <v>96</v>
      </c>
      <c r="F5" s="3" t="s">
        <v>97</v>
      </c>
      <c r="G5" s="11" t="s">
        <v>71</v>
      </c>
      <c r="H5" s="7"/>
      <c r="I5" s="17"/>
      <c r="J5" s="11" t="s">
        <v>71</v>
      </c>
      <c r="K5" s="7"/>
      <c r="L5" s="3" t="s">
        <v>492</v>
      </c>
      <c r="M5" s="7"/>
      <c r="N5" s="7"/>
      <c r="O5" s="7"/>
      <c r="P5" s="4" t="s">
        <v>510</v>
      </c>
      <c r="Q5" s="5" t="s">
        <v>699</v>
      </c>
      <c r="R5" s="3" t="s">
        <v>837</v>
      </c>
      <c r="S5" s="14">
        <v>33</v>
      </c>
      <c r="T5" s="3" t="s">
        <v>1020</v>
      </c>
      <c r="U5" s="3" t="s">
        <v>77</v>
      </c>
      <c r="V5" s="7"/>
      <c r="W5" s="7"/>
      <c r="X5" s="7">
        <f t="shared" ref="X5:X69" si="0">(1405-LEFT(L5,4)-1)*12</f>
        <v>24</v>
      </c>
      <c r="Y5" s="7">
        <f t="shared" ref="Y5:Y69" si="1">17-RIGHT(LEFT(L5,7),2)</f>
        <v>14</v>
      </c>
      <c r="Z5" s="7">
        <f>Y5+X5</f>
        <v>38</v>
      </c>
      <c r="AA5" s="37">
        <f>Z5/12</f>
        <v>3.1666666666666665</v>
      </c>
      <c r="AB5" s="33">
        <f>MOD(Z5,12)</f>
        <v>2</v>
      </c>
      <c r="AC5" s="8">
        <f>AL5/12</f>
        <v>10.166666666666666</v>
      </c>
      <c r="AD5" s="7">
        <f>MOD(AL5,12)</f>
        <v>2</v>
      </c>
      <c r="AE5" s="34">
        <v>12</v>
      </c>
      <c r="AF5" s="7">
        <v>10</v>
      </c>
      <c r="AG5" s="38">
        <f>AA5+AC5</f>
        <v>13.333333333333332</v>
      </c>
      <c r="AH5" s="32">
        <f>AB5+AD5</f>
        <v>4</v>
      </c>
      <c r="AI5" s="37">
        <f>AK5/12</f>
        <v>13.333333333333334</v>
      </c>
      <c r="AJ5" s="37">
        <f>MOD(AK5,12)</f>
        <v>4</v>
      </c>
      <c r="AK5" s="7">
        <f>AE5*12+AF5+6</f>
        <v>160</v>
      </c>
      <c r="AL5" s="7">
        <f t="shared" ref="AL5:AL68" si="2">AK5-Z5</f>
        <v>122</v>
      </c>
      <c r="AM5" s="7"/>
      <c r="AN5" s="11" t="s">
        <v>71</v>
      </c>
      <c r="AO5" s="7"/>
      <c r="AP5" s="7"/>
      <c r="AQ5" s="9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  <c r="BQ5" s="7"/>
      <c r="BR5" s="7"/>
      <c r="BS5" s="7"/>
      <c r="BT5" s="9"/>
      <c r="BU5" s="7"/>
      <c r="BV5" s="7"/>
      <c r="BW5" s="7"/>
      <c r="BX5" s="7"/>
      <c r="BY5" s="7"/>
      <c r="BZ5" s="7"/>
      <c r="CA5" s="7"/>
      <c r="CB5" s="7"/>
      <c r="CC5" s="11" t="s">
        <v>71</v>
      </c>
      <c r="CD5" s="9"/>
      <c r="CE5" s="7"/>
      <c r="CF5" s="7"/>
      <c r="CG5" s="7"/>
      <c r="CH5" s="7"/>
      <c r="CI5" s="7"/>
      <c r="CJ5" s="7"/>
      <c r="CK5" s="7"/>
      <c r="CL5" s="7"/>
      <c r="CM5" s="7"/>
      <c r="CN5" s="7"/>
      <c r="CO5" s="7"/>
      <c r="CP5" s="7"/>
      <c r="CQ5" s="7"/>
      <c r="CR5" s="22" t="s">
        <v>1412</v>
      </c>
      <c r="CS5" s="20">
        <v>6</v>
      </c>
      <c r="CT5" s="20">
        <v>337060619</v>
      </c>
      <c r="CU5" s="7"/>
      <c r="CV5" s="9"/>
      <c r="CW5" s="9"/>
      <c r="CX5" s="7"/>
      <c r="CY5" s="7"/>
      <c r="CZ5" s="7"/>
      <c r="DA5" s="7"/>
      <c r="DB5" s="7"/>
      <c r="DC5" s="7"/>
      <c r="DD5" s="9"/>
    </row>
    <row r="6" spans="1:108" ht="24.75" hidden="1" customHeight="1" x14ac:dyDescent="0.2">
      <c r="A6" s="3">
        <v>2</v>
      </c>
      <c r="B6" s="3" t="s">
        <v>1448</v>
      </c>
      <c r="C6" s="3" t="s">
        <v>83</v>
      </c>
      <c r="D6" s="3" t="s">
        <v>98</v>
      </c>
      <c r="E6" s="3" t="s">
        <v>99</v>
      </c>
      <c r="F6" s="3" t="s">
        <v>100</v>
      </c>
      <c r="G6" s="11" t="s">
        <v>71</v>
      </c>
      <c r="H6" s="7"/>
      <c r="I6" s="17"/>
      <c r="J6" s="11" t="s">
        <v>71</v>
      </c>
      <c r="K6" s="7"/>
      <c r="L6" s="3" t="s">
        <v>492</v>
      </c>
      <c r="M6" s="7"/>
      <c r="N6" s="7"/>
      <c r="O6" s="7"/>
      <c r="P6" s="4" t="s">
        <v>511</v>
      </c>
      <c r="Q6" s="5" t="s">
        <v>700</v>
      </c>
      <c r="R6" s="3" t="s">
        <v>838</v>
      </c>
      <c r="S6" s="14">
        <v>34</v>
      </c>
      <c r="T6" s="3" t="s">
        <v>1021</v>
      </c>
      <c r="U6" s="3" t="s">
        <v>1043</v>
      </c>
      <c r="V6" s="7"/>
      <c r="W6" s="7"/>
      <c r="X6" s="7">
        <f t="shared" si="0"/>
        <v>24</v>
      </c>
      <c r="Y6" s="7">
        <f t="shared" si="1"/>
        <v>14</v>
      </c>
      <c r="Z6" s="7">
        <f t="shared" ref="Z6:Z69" si="3">Y6+X6</f>
        <v>38</v>
      </c>
      <c r="AA6" s="37">
        <f t="shared" ref="AA6:AA68" si="4">Z6/12</f>
        <v>3.1666666666666665</v>
      </c>
      <c r="AB6" s="33">
        <f t="shared" ref="AB6:AB69" si="5">MOD(Z6,12)</f>
        <v>2</v>
      </c>
      <c r="AC6" s="8">
        <f t="shared" ref="AC6:AC69" si="6">AL6/12</f>
        <v>4.25</v>
      </c>
      <c r="AD6" s="7">
        <f t="shared" ref="AD6:AD69" si="7">MOD(AL6,12)</f>
        <v>3</v>
      </c>
      <c r="AE6" s="34">
        <v>6</v>
      </c>
      <c r="AF6" s="7">
        <v>11</v>
      </c>
      <c r="AG6" s="38">
        <f t="shared" ref="AG6:AG69" si="8">AA6+AC6</f>
        <v>7.4166666666666661</v>
      </c>
      <c r="AH6" s="32">
        <f t="shared" ref="AH6:AH69" si="9">AB6+AD6</f>
        <v>5</v>
      </c>
      <c r="AI6" s="37">
        <f t="shared" ref="AI6:AI69" si="10">AK6/12</f>
        <v>7.416666666666667</v>
      </c>
      <c r="AJ6" s="37">
        <f t="shared" ref="AJ6:AJ69" si="11">MOD(AK6,12)</f>
        <v>5</v>
      </c>
      <c r="AK6" s="7">
        <f t="shared" ref="AK6:AK69" si="12">AE6*12+AF6+6</f>
        <v>89</v>
      </c>
      <c r="AL6" s="7">
        <f t="shared" si="2"/>
        <v>51</v>
      </c>
      <c r="AM6" s="7"/>
      <c r="AN6" s="11" t="s">
        <v>71</v>
      </c>
      <c r="AO6" s="7"/>
      <c r="AP6" s="7"/>
      <c r="AQ6" s="9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11" t="s">
        <v>71</v>
      </c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9"/>
      <c r="BU6" s="7"/>
      <c r="BV6" s="7"/>
      <c r="BW6" s="7"/>
      <c r="BX6" s="7"/>
      <c r="BY6" s="7"/>
      <c r="BZ6" s="7"/>
      <c r="CA6" s="7"/>
      <c r="CB6" s="7"/>
      <c r="CC6" s="11"/>
      <c r="CD6" s="9"/>
      <c r="CE6" s="7"/>
      <c r="CF6" s="7"/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  <c r="CR6" s="22" t="s">
        <v>1421</v>
      </c>
      <c r="CS6" s="20">
        <v>10</v>
      </c>
      <c r="CT6" s="20">
        <v>396236679</v>
      </c>
      <c r="CU6" s="7"/>
      <c r="CV6" s="9"/>
      <c r="CW6" s="9"/>
      <c r="CX6" s="7"/>
      <c r="CY6" s="7"/>
      <c r="CZ6" s="7"/>
      <c r="DA6" s="7"/>
      <c r="DB6" s="7"/>
      <c r="DC6" s="7"/>
      <c r="DD6" s="9"/>
    </row>
    <row r="7" spans="1:108" ht="24.95" hidden="1" customHeight="1" x14ac:dyDescent="0.2">
      <c r="A7" s="3">
        <v>3</v>
      </c>
      <c r="B7" s="3" t="s">
        <v>1448</v>
      </c>
      <c r="C7" s="3" t="s">
        <v>84</v>
      </c>
      <c r="D7" s="3" t="s">
        <v>101</v>
      </c>
      <c r="E7" s="3" t="s">
        <v>102</v>
      </c>
      <c r="F7" s="3" t="s">
        <v>103</v>
      </c>
      <c r="G7" s="11" t="s">
        <v>71</v>
      </c>
      <c r="H7" s="7"/>
      <c r="I7" s="17"/>
      <c r="J7" s="11" t="s">
        <v>71</v>
      </c>
      <c r="K7" s="7"/>
      <c r="L7" s="3" t="s">
        <v>475</v>
      </c>
      <c r="M7" s="7"/>
      <c r="N7" s="7"/>
      <c r="O7" s="7"/>
      <c r="P7" s="4" t="s">
        <v>512</v>
      </c>
      <c r="Q7" s="5">
        <v>9154385142</v>
      </c>
      <c r="R7" s="3" t="s">
        <v>839</v>
      </c>
      <c r="S7" s="14">
        <v>39</v>
      </c>
      <c r="T7" s="3" t="s">
        <v>1022</v>
      </c>
      <c r="U7" s="3" t="s">
        <v>1044</v>
      </c>
      <c r="V7" s="7"/>
      <c r="W7" s="7"/>
      <c r="X7" s="7">
        <f t="shared" si="0"/>
        <v>120</v>
      </c>
      <c r="Y7" s="7">
        <f t="shared" si="1"/>
        <v>11</v>
      </c>
      <c r="Z7" s="7">
        <f t="shared" si="3"/>
        <v>131</v>
      </c>
      <c r="AA7" s="37">
        <v>10</v>
      </c>
      <c r="AB7" s="33">
        <f t="shared" si="5"/>
        <v>11</v>
      </c>
      <c r="AC7" s="8">
        <f t="shared" si="6"/>
        <v>0.91666666666666663</v>
      </c>
      <c r="AD7" s="7">
        <f t="shared" si="7"/>
        <v>11</v>
      </c>
      <c r="AE7" s="34">
        <v>11</v>
      </c>
      <c r="AF7" s="7">
        <v>4</v>
      </c>
      <c r="AG7" s="38">
        <v>12</v>
      </c>
      <c r="AH7" s="32">
        <v>10</v>
      </c>
      <c r="AI7" s="37">
        <f t="shared" si="10"/>
        <v>11.833333333333334</v>
      </c>
      <c r="AJ7" s="37">
        <f t="shared" si="11"/>
        <v>10</v>
      </c>
      <c r="AK7" s="7">
        <f t="shared" si="12"/>
        <v>142</v>
      </c>
      <c r="AL7" s="7">
        <f t="shared" si="2"/>
        <v>11</v>
      </c>
      <c r="AM7" s="7"/>
      <c r="AN7" s="11" t="s">
        <v>71</v>
      </c>
      <c r="AO7" s="7"/>
      <c r="AP7" s="7"/>
      <c r="AQ7" s="9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7"/>
      <c r="BO7" s="7"/>
      <c r="BP7" s="7"/>
      <c r="BQ7" s="7"/>
      <c r="BR7" s="7"/>
      <c r="BS7" s="7"/>
      <c r="BT7" s="9"/>
      <c r="BU7" s="7"/>
      <c r="BV7" s="7"/>
      <c r="BX7" s="7"/>
      <c r="BY7" s="7"/>
      <c r="BZ7" s="7"/>
      <c r="CA7" s="7"/>
      <c r="CB7" s="7"/>
      <c r="CC7" s="7"/>
      <c r="CD7" s="9"/>
      <c r="CE7" s="7"/>
      <c r="CF7" s="7"/>
      <c r="CG7" s="11" t="s">
        <v>71</v>
      </c>
      <c r="CH7" s="7"/>
      <c r="CI7" s="7"/>
      <c r="CJ7" s="7"/>
      <c r="CK7" s="7"/>
      <c r="CL7" s="7"/>
      <c r="CM7" s="7"/>
      <c r="CN7" s="7"/>
      <c r="CO7" s="7"/>
      <c r="CP7" s="7"/>
      <c r="CQ7" s="7"/>
      <c r="CR7" s="22" t="s">
        <v>1380</v>
      </c>
      <c r="CS7" s="21">
        <v>6</v>
      </c>
      <c r="CT7" s="20">
        <v>497195153</v>
      </c>
      <c r="CU7" s="7"/>
      <c r="CV7" s="9"/>
      <c r="CW7" s="9"/>
      <c r="CX7" s="7"/>
      <c r="CY7" s="7"/>
      <c r="CZ7" s="7"/>
      <c r="DA7" s="7"/>
      <c r="DB7" s="7"/>
      <c r="DC7" s="7"/>
      <c r="DD7" s="9"/>
    </row>
    <row r="8" spans="1:108" ht="24.95" hidden="1" customHeight="1" x14ac:dyDescent="0.2">
      <c r="A8" s="3">
        <v>4</v>
      </c>
      <c r="B8" s="3" t="s">
        <v>1448</v>
      </c>
      <c r="C8" s="3" t="s">
        <v>85</v>
      </c>
      <c r="D8" s="3" t="s">
        <v>104</v>
      </c>
      <c r="E8" s="3" t="s">
        <v>105</v>
      </c>
      <c r="F8" s="3" t="s">
        <v>106</v>
      </c>
      <c r="G8" s="11" t="s">
        <v>71</v>
      </c>
      <c r="H8" s="7"/>
      <c r="I8" s="17"/>
      <c r="J8" s="11" t="s">
        <v>71</v>
      </c>
      <c r="K8" s="7"/>
      <c r="L8" s="3" t="s">
        <v>492</v>
      </c>
      <c r="M8" s="7"/>
      <c r="N8" s="7"/>
      <c r="O8" s="7"/>
      <c r="P8" s="4" t="s">
        <v>513</v>
      </c>
      <c r="Q8" s="5" t="s">
        <v>701</v>
      </c>
      <c r="R8" s="3" t="s">
        <v>840</v>
      </c>
      <c r="S8" s="14">
        <v>27</v>
      </c>
      <c r="T8" s="3" t="s">
        <v>1023</v>
      </c>
      <c r="U8" s="3" t="s">
        <v>1045</v>
      </c>
      <c r="V8" s="7"/>
      <c r="W8" s="7"/>
      <c r="X8" s="7">
        <f t="shared" si="0"/>
        <v>24</v>
      </c>
      <c r="Y8" s="7">
        <f t="shared" si="1"/>
        <v>14</v>
      </c>
      <c r="Z8" s="7">
        <f t="shared" si="3"/>
        <v>38</v>
      </c>
      <c r="AA8" s="37">
        <v>3</v>
      </c>
      <c r="AB8" s="33">
        <f t="shared" si="5"/>
        <v>2</v>
      </c>
      <c r="AC8" s="8">
        <f t="shared" si="6"/>
        <v>0.75</v>
      </c>
      <c r="AD8" s="7">
        <f t="shared" si="7"/>
        <v>9</v>
      </c>
      <c r="AE8" s="34">
        <v>3</v>
      </c>
      <c r="AF8" s="7">
        <v>5</v>
      </c>
      <c r="AG8" s="38">
        <f t="shared" si="8"/>
        <v>3.75</v>
      </c>
      <c r="AH8" s="32">
        <f t="shared" si="9"/>
        <v>11</v>
      </c>
      <c r="AI8" s="37">
        <f t="shared" si="10"/>
        <v>3.9166666666666665</v>
      </c>
      <c r="AJ8" s="37">
        <f t="shared" si="11"/>
        <v>11</v>
      </c>
      <c r="AK8" s="7">
        <f t="shared" si="12"/>
        <v>47</v>
      </c>
      <c r="AL8" s="7">
        <f t="shared" si="2"/>
        <v>9</v>
      </c>
      <c r="AM8" s="7"/>
      <c r="AN8" s="11" t="s">
        <v>71</v>
      </c>
      <c r="AO8" s="7"/>
      <c r="AP8" s="7"/>
      <c r="AQ8" s="9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  <c r="BS8" s="7"/>
      <c r="BT8" s="9"/>
      <c r="BU8" s="7"/>
      <c r="BV8" s="7"/>
      <c r="BX8" s="7"/>
      <c r="BY8" s="7"/>
      <c r="BZ8" s="7"/>
      <c r="CA8" s="7"/>
      <c r="CB8" s="7"/>
      <c r="CC8" s="11" t="s">
        <v>71</v>
      </c>
      <c r="CD8" s="9"/>
      <c r="CE8" s="7"/>
      <c r="CF8" s="7"/>
      <c r="CG8" s="7"/>
      <c r="CH8" s="7"/>
      <c r="CI8" s="7"/>
      <c r="CJ8" s="7"/>
      <c r="CK8" s="7"/>
      <c r="CL8" s="7"/>
      <c r="CM8" s="7"/>
      <c r="CN8" s="7"/>
      <c r="CO8" s="7"/>
      <c r="CP8" s="7"/>
      <c r="CQ8" s="7"/>
      <c r="CR8" s="22" t="s">
        <v>1424</v>
      </c>
      <c r="CS8" s="20">
        <v>6</v>
      </c>
      <c r="CT8" s="20">
        <v>329220549</v>
      </c>
      <c r="CU8" s="7"/>
      <c r="CV8" s="9"/>
      <c r="CW8" s="9"/>
      <c r="CX8" s="7"/>
      <c r="CY8" s="7"/>
      <c r="CZ8" s="7"/>
      <c r="DA8" s="7"/>
      <c r="DB8" s="7"/>
      <c r="DC8" s="7"/>
      <c r="DD8" s="9"/>
    </row>
    <row r="9" spans="1:108" ht="24.95" hidden="1" customHeight="1" x14ac:dyDescent="0.2">
      <c r="A9" s="3">
        <v>5</v>
      </c>
      <c r="B9" s="3" t="s">
        <v>1448</v>
      </c>
      <c r="C9" s="3" t="s">
        <v>86</v>
      </c>
      <c r="D9" s="3" t="s">
        <v>107</v>
      </c>
      <c r="E9" s="3" t="s">
        <v>105</v>
      </c>
      <c r="F9" s="3" t="s">
        <v>108</v>
      </c>
      <c r="G9" s="11" t="s">
        <v>71</v>
      </c>
      <c r="H9" s="7"/>
      <c r="I9" s="17"/>
      <c r="J9" s="11" t="s">
        <v>71</v>
      </c>
      <c r="K9" s="7"/>
      <c r="L9" s="3" t="s">
        <v>476</v>
      </c>
      <c r="M9" s="7"/>
      <c r="N9" s="7"/>
      <c r="O9" s="7"/>
      <c r="P9" s="4" t="s">
        <v>514</v>
      </c>
      <c r="Q9" s="5">
        <v>9156124844</v>
      </c>
      <c r="R9" s="3" t="s">
        <v>841</v>
      </c>
      <c r="S9" s="14">
        <v>39</v>
      </c>
      <c r="T9" s="3" t="s">
        <v>75</v>
      </c>
      <c r="U9" s="3" t="s">
        <v>1046</v>
      </c>
      <c r="V9" s="7"/>
      <c r="W9" s="7"/>
      <c r="X9" s="7">
        <f t="shared" si="0"/>
        <v>120</v>
      </c>
      <c r="Y9" s="7">
        <f t="shared" si="1"/>
        <v>16</v>
      </c>
      <c r="Z9" s="7">
        <f t="shared" si="3"/>
        <v>136</v>
      </c>
      <c r="AA9" s="37">
        <f t="shared" si="4"/>
        <v>11.333333333333334</v>
      </c>
      <c r="AB9" s="33">
        <f t="shared" si="5"/>
        <v>4</v>
      </c>
      <c r="AC9" s="8">
        <f t="shared" si="6"/>
        <v>0</v>
      </c>
      <c r="AD9" s="7">
        <f t="shared" si="7"/>
        <v>0</v>
      </c>
      <c r="AE9" s="34">
        <v>10</v>
      </c>
      <c r="AF9" s="7">
        <v>10</v>
      </c>
      <c r="AG9" s="38">
        <f t="shared" si="8"/>
        <v>11.333333333333334</v>
      </c>
      <c r="AH9" s="32">
        <f t="shared" si="9"/>
        <v>4</v>
      </c>
      <c r="AI9" s="37">
        <f t="shared" si="10"/>
        <v>11.333333333333334</v>
      </c>
      <c r="AJ9" s="37">
        <f t="shared" si="11"/>
        <v>4</v>
      </c>
      <c r="AK9" s="7">
        <f t="shared" si="12"/>
        <v>136</v>
      </c>
      <c r="AL9" s="7">
        <f t="shared" si="2"/>
        <v>0</v>
      </c>
      <c r="AM9" s="7"/>
      <c r="AN9" s="11" t="s">
        <v>71</v>
      </c>
      <c r="AO9" s="7"/>
      <c r="AP9" s="7"/>
      <c r="AQ9" s="9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7"/>
      <c r="BL9" s="7"/>
      <c r="BM9" s="7"/>
      <c r="BN9" s="7"/>
      <c r="BO9" s="7"/>
      <c r="BP9" s="7"/>
      <c r="BQ9" s="7"/>
      <c r="BR9" s="7"/>
      <c r="BS9" s="7"/>
      <c r="BT9" s="9"/>
      <c r="BU9" s="7"/>
      <c r="BV9" s="7"/>
      <c r="BX9" s="7"/>
      <c r="BY9" s="7"/>
      <c r="BZ9" s="7"/>
      <c r="CA9" s="7"/>
      <c r="CB9" s="7"/>
      <c r="CC9" s="11" t="s">
        <v>71</v>
      </c>
      <c r="CD9" s="9"/>
      <c r="CE9" s="7"/>
      <c r="CF9" s="7"/>
      <c r="CG9" s="7"/>
      <c r="CH9" s="7"/>
      <c r="CI9" s="7"/>
      <c r="CJ9" s="7"/>
      <c r="CK9" s="7"/>
      <c r="CL9" s="7"/>
      <c r="CM9" s="7"/>
      <c r="CN9" s="7"/>
      <c r="CO9" s="7"/>
      <c r="CP9" s="7"/>
      <c r="CQ9" s="7"/>
      <c r="CR9" s="22" t="s">
        <v>1421</v>
      </c>
      <c r="CS9" s="21">
        <v>11</v>
      </c>
      <c r="CT9" s="20">
        <v>540557857</v>
      </c>
      <c r="CU9" s="7"/>
      <c r="CV9" s="9"/>
      <c r="CW9" s="9"/>
      <c r="CX9" s="7"/>
      <c r="CY9" s="7"/>
      <c r="CZ9" s="7"/>
      <c r="DA9" s="7"/>
      <c r="DB9" s="7"/>
      <c r="DC9" s="7"/>
      <c r="DD9" s="9"/>
    </row>
    <row r="10" spans="1:108" ht="24.75" hidden="1" customHeight="1" x14ac:dyDescent="0.2">
      <c r="A10" s="3">
        <v>6</v>
      </c>
      <c r="B10" s="3" t="s">
        <v>1448</v>
      </c>
      <c r="C10" s="3" t="s">
        <v>83</v>
      </c>
      <c r="D10" s="3" t="s">
        <v>109</v>
      </c>
      <c r="E10" s="3" t="s">
        <v>110</v>
      </c>
      <c r="F10" s="3" t="s">
        <v>111</v>
      </c>
      <c r="G10" s="11" t="s">
        <v>71</v>
      </c>
      <c r="H10" s="7"/>
      <c r="I10" s="11" t="s">
        <v>71</v>
      </c>
      <c r="K10" s="7"/>
      <c r="L10" s="3" t="s">
        <v>492</v>
      </c>
      <c r="M10" s="7"/>
      <c r="N10" s="7"/>
      <c r="O10" s="7"/>
      <c r="P10" s="4" t="s">
        <v>515</v>
      </c>
      <c r="Q10" s="5" t="s">
        <v>702</v>
      </c>
      <c r="R10" s="3" t="s">
        <v>842</v>
      </c>
      <c r="S10" s="14">
        <v>36</v>
      </c>
      <c r="T10" s="3" t="s">
        <v>1024</v>
      </c>
      <c r="U10" s="3" t="s">
        <v>1047</v>
      </c>
      <c r="V10" s="7"/>
      <c r="W10" s="7"/>
      <c r="X10" s="7">
        <f t="shared" si="0"/>
        <v>24</v>
      </c>
      <c r="Y10" s="7">
        <f t="shared" si="1"/>
        <v>14</v>
      </c>
      <c r="Z10" s="7">
        <f t="shared" si="3"/>
        <v>38</v>
      </c>
      <c r="AA10" s="37">
        <v>4</v>
      </c>
      <c r="AB10" s="33">
        <f t="shared" si="5"/>
        <v>2</v>
      </c>
      <c r="AC10" s="8">
        <f t="shared" si="6"/>
        <v>1.1666666666666667</v>
      </c>
      <c r="AD10" s="7">
        <f t="shared" si="7"/>
        <v>2</v>
      </c>
      <c r="AE10" s="34">
        <v>3</v>
      </c>
      <c r="AF10" s="7">
        <v>10</v>
      </c>
      <c r="AG10" s="38">
        <f t="shared" si="8"/>
        <v>5.166666666666667</v>
      </c>
      <c r="AH10" s="32">
        <f t="shared" si="9"/>
        <v>4</v>
      </c>
      <c r="AI10" s="37">
        <f t="shared" si="10"/>
        <v>4.333333333333333</v>
      </c>
      <c r="AJ10" s="37">
        <f t="shared" si="11"/>
        <v>4</v>
      </c>
      <c r="AK10" s="7">
        <f t="shared" si="12"/>
        <v>52</v>
      </c>
      <c r="AL10" s="7">
        <f t="shared" si="2"/>
        <v>14</v>
      </c>
      <c r="AM10" s="7"/>
      <c r="AN10" s="11" t="s">
        <v>71</v>
      </c>
      <c r="AO10" s="7"/>
      <c r="AP10" s="7"/>
      <c r="AQ10" s="9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/>
      <c r="BK10" s="7"/>
      <c r="BL10" s="7"/>
      <c r="BM10" s="7"/>
      <c r="BN10" s="7"/>
      <c r="BO10" s="7"/>
      <c r="BP10" s="7"/>
      <c r="BQ10" s="7"/>
      <c r="BR10" s="7"/>
      <c r="BS10" s="7"/>
      <c r="BT10" s="9"/>
      <c r="BU10" s="7"/>
      <c r="BV10" s="7"/>
      <c r="BX10" s="7"/>
      <c r="BY10" s="7"/>
      <c r="BZ10" s="7"/>
      <c r="CA10" s="7"/>
      <c r="CB10" s="7"/>
      <c r="CC10" s="7"/>
      <c r="CD10" s="9"/>
      <c r="CE10" s="7"/>
      <c r="CF10" s="7"/>
      <c r="CG10" s="11" t="s">
        <v>71</v>
      </c>
      <c r="CH10" s="7"/>
      <c r="CI10" s="7"/>
      <c r="CJ10" s="7"/>
      <c r="CK10" s="7"/>
      <c r="CL10" s="7"/>
      <c r="CM10" s="7"/>
      <c r="CN10" s="7"/>
      <c r="CO10" s="7"/>
      <c r="CP10" s="7"/>
      <c r="CQ10" s="7"/>
      <c r="CR10" s="22" t="s">
        <v>1380</v>
      </c>
      <c r="CS10" s="20">
        <v>4</v>
      </c>
      <c r="CT10" s="20">
        <v>331262155</v>
      </c>
      <c r="CU10" s="7"/>
      <c r="CV10" s="9"/>
      <c r="CW10" s="9"/>
      <c r="CX10" s="7"/>
      <c r="CY10" s="7"/>
      <c r="CZ10" s="7"/>
      <c r="DA10" s="7"/>
      <c r="DB10" s="7"/>
      <c r="DC10" s="7"/>
      <c r="DD10" s="9"/>
    </row>
    <row r="11" spans="1:108" ht="24.95" customHeight="1" x14ac:dyDescent="0.2">
      <c r="A11" s="3">
        <v>7</v>
      </c>
      <c r="B11" s="3" t="s">
        <v>1448</v>
      </c>
      <c r="C11" s="3" t="s">
        <v>87</v>
      </c>
      <c r="D11" s="3" t="s">
        <v>112</v>
      </c>
      <c r="E11" s="3" t="s">
        <v>113</v>
      </c>
      <c r="F11" s="3" t="s">
        <v>114</v>
      </c>
      <c r="G11" s="11" t="s">
        <v>71</v>
      </c>
      <c r="H11" s="7"/>
      <c r="I11" s="17"/>
      <c r="J11" s="11" t="s">
        <v>71</v>
      </c>
      <c r="K11" s="7"/>
      <c r="L11" s="3" t="s">
        <v>477</v>
      </c>
      <c r="M11" s="7"/>
      <c r="N11" s="7"/>
      <c r="O11" s="7"/>
      <c r="P11" s="4" t="s">
        <v>516</v>
      </c>
      <c r="Q11" s="5">
        <v>9159108775</v>
      </c>
      <c r="R11" s="3" t="s">
        <v>843</v>
      </c>
      <c r="S11" s="14">
        <v>47</v>
      </c>
      <c r="T11" s="3" t="s">
        <v>1025</v>
      </c>
      <c r="U11" s="3" t="s">
        <v>1025</v>
      </c>
      <c r="V11" s="7"/>
      <c r="W11" s="7"/>
      <c r="X11" s="7">
        <f t="shared" si="0"/>
        <v>132</v>
      </c>
      <c r="Y11" s="7">
        <f t="shared" si="1"/>
        <v>16</v>
      </c>
      <c r="Z11" s="7">
        <f t="shared" si="3"/>
        <v>148</v>
      </c>
      <c r="AA11" s="37">
        <f t="shared" si="4"/>
        <v>12.333333333333334</v>
      </c>
      <c r="AB11" s="33">
        <v>5</v>
      </c>
      <c r="AC11" s="8">
        <f t="shared" si="6"/>
        <v>9.1666666666666661</v>
      </c>
      <c r="AD11" s="7">
        <f t="shared" si="7"/>
        <v>2</v>
      </c>
      <c r="AE11" s="34">
        <v>21</v>
      </c>
      <c r="AF11" s="7">
        <v>0</v>
      </c>
      <c r="AG11" s="38">
        <f t="shared" si="8"/>
        <v>21.5</v>
      </c>
      <c r="AH11" s="32">
        <f t="shared" si="9"/>
        <v>7</v>
      </c>
      <c r="AI11" s="37">
        <f t="shared" si="10"/>
        <v>21.5</v>
      </c>
      <c r="AJ11" s="37">
        <f t="shared" si="11"/>
        <v>6</v>
      </c>
      <c r="AK11" s="7">
        <f t="shared" si="12"/>
        <v>258</v>
      </c>
      <c r="AL11" s="7">
        <f t="shared" si="2"/>
        <v>110</v>
      </c>
      <c r="AM11" s="7"/>
      <c r="AN11" s="11" t="s">
        <v>71</v>
      </c>
      <c r="AO11" s="7"/>
      <c r="AP11" s="7"/>
      <c r="AQ11" s="9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  <c r="BK11" s="7"/>
      <c r="BL11" s="7"/>
      <c r="BM11" s="7"/>
      <c r="BN11" s="7"/>
      <c r="BO11" s="7"/>
      <c r="BP11" s="7"/>
      <c r="BQ11" s="7"/>
      <c r="BR11" s="7"/>
      <c r="BS11" s="7"/>
      <c r="BT11" s="9"/>
      <c r="BU11" s="7"/>
      <c r="BV11" s="7"/>
      <c r="BX11" s="7"/>
      <c r="BY11" s="7"/>
      <c r="BZ11" s="7"/>
      <c r="CA11" s="7"/>
      <c r="CB11" s="7"/>
      <c r="CC11" s="11" t="s">
        <v>71</v>
      </c>
      <c r="CD11" s="9"/>
      <c r="CE11" s="7"/>
      <c r="CF11" s="7"/>
      <c r="CG11" s="7"/>
      <c r="CH11" s="7"/>
      <c r="CI11" s="7"/>
      <c r="CJ11" s="7"/>
      <c r="CK11" s="7"/>
      <c r="CL11" s="7"/>
      <c r="CM11" s="7"/>
      <c r="CN11" s="7"/>
      <c r="CO11" s="7"/>
      <c r="CP11" s="7"/>
      <c r="CQ11" s="7"/>
      <c r="CR11" s="22" t="s">
        <v>1383</v>
      </c>
      <c r="CS11" s="21">
        <v>8</v>
      </c>
      <c r="CT11" s="20">
        <v>503148799</v>
      </c>
      <c r="CU11" s="7"/>
      <c r="CV11" s="9"/>
      <c r="CW11" s="9"/>
      <c r="CX11" s="7"/>
      <c r="CY11" s="7"/>
      <c r="CZ11" s="7"/>
      <c r="DA11" s="7"/>
      <c r="DB11" s="7"/>
      <c r="DC11" s="7"/>
      <c r="DD11" s="9"/>
    </row>
    <row r="12" spans="1:108" ht="24.95" customHeight="1" x14ac:dyDescent="0.2">
      <c r="A12" s="3">
        <v>8</v>
      </c>
      <c r="B12" s="3" t="s">
        <v>1448</v>
      </c>
      <c r="C12" s="3" t="s">
        <v>87</v>
      </c>
      <c r="D12" s="3" t="s">
        <v>115</v>
      </c>
      <c r="E12" s="3" t="s">
        <v>116</v>
      </c>
      <c r="F12" s="3" t="s">
        <v>111</v>
      </c>
      <c r="G12" s="11" t="s">
        <v>71</v>
      </c>
      <c r="H12" s="7"/>
      <c r="I12" s="11" t="s">
        <v>71</v>
      </c>
      <c r="K12" s="7"/>
      <c r="L12" s="3" t="s">
        <v>478</v>
      </c>
      <c r="M12" s="7"/>
      <c r="N12" s="7"/>
      <c r="O12" s="7"/>
      <c r="P12" s="4" t="s">
        <v>517</v>
      </c>
      <c r="Q12" s="5" t="s">
        <v>703</v>
      </c>
      <c r="R12" s="3" t="s">
        <v>844</v>
      </c>
      <c r="S12" s="14">
        <v>28</v>
      </c>
      <c r="T12" s="3" t="s">
        <v>1024</v>
      </c>
      <c r="U12" s="3" t="s">
        <v>1048</v>
      </c>
      <c r="V12" s="7"/>
      <c r="W12" s="7"/>
      <c r="X12" s="7">
        <f t="shared" si="0"/>
        <v>24</v>
      </c>
      <c r="Y12" s="7">
        <f t="shared" si="1"/>
        <v>10</v>
      </c>
      <c r="Z12" s="7">
        <f t="shared" si="3"/>
        <v>34</v>
      </c>
      <c r="AA12" s="37">
        <v>2</v>
      </c>
      <c r="AB12" s="33">
        <v>11</v>
      </c>
      <c r="AC12" s="8">
        <f t="shared" si="6"/>
        <v>-0.16666666666666666</v>
      </c>
      <c r="AD12" s="7">
        <f t="shared" si="7"/>
        <v>10</v>
      </c>
      <c r="AE12" s="34">
        <v>2</v>
      </c>
      <c r="AF12" s="7">
        <v>2</v>
      </c>
      <c r="AG12" s="38">
        <v>3</v>
      </c>
      <c r="AH12" s="32">
        <v>9</v>
      </c>
      <c r="AI12" s="37">
        <f t="shared" si="10"/>
        <v>2.6666666666666665</v>
      </c>
      <c r="AJ12" s="37">
        <f t="shared" si="11"/>
        <v>8</v>
      </c>
      <c r="AK12" s="7">
        <f t="shared" si="12"/>
        <v>32</v>
      </c>
      <c r="AL12" s="7">
        <f t="shared" si="2"/>
        <v>-2</v>
      </c>
      <c r="AM12" s="7"/>
      <c r="AN12" s="11" t="s">
        <v>71</v>
      </c>
      <c r="AO12" s="7"/>
      <c r="AP12" s="7"/>
      <c r="AQ12" s="9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7"/>
      <c r="BN12" s="7"/>
      <c r="BO12" s="7"/>
      <c r="BP12" s="7"/>
      <c r="BQ12" s="7"/>
      <c r="BR12" s="7"/>
      <c r="BS12" s="7"/>
      <c r="BT12" s="9"/>
      <c r="BU12" s="7"/>
      <c r="BV12" s="7"/>
      <c r="BX12" s="7"/>
      <c r="BY12" s="7"/>
      <c r="BZ12" s="7"/>
      <c r="CA12" s="7"/>
      <c r="CB12" s="7"/>
      <c r="CC12" s="7"/>
      <c r="CD12" s="9"/>
      <c r="CE12" s="7"/>
      <c r="CF12" s="7"/>
      <c r="CG12" s="11" t="s">
        <v>71</v>
      </c>
      <c r="CH12" s="7"/>
      <c r="CI12" s="7"/>
      <c r="CJ12" s="7"/>
      <c r="CK12" s="7"/>
      <c r="CL12" s="7"/>
      <c r="CM12" s="7"/>
      <c r="CN12" s="7"/>
      <c r="CO12" s="7"/>
      <c r="CP12" s="7"/>
      <c r="CQ12" s="7"/>
      <c r="CR12" s="22" t="s">
        <v>1380</v>
      </c>
      <c r="CS12" s="20">
        <v>4</v>
      </c>
      <c r="CT12" s="20">
        <v>327795272</v>
      </c>
      <c r="CU12" s="7"/>
      <c r="CV12" s="9"/>
      <c r="CW12" s="9"/>
      <c r="CX12" s="7"/>
      <c r="CY12" s="7"/>
      <c r="CZ12" s="7"/>
      <c r="DA12" s="7"/>
      <c r="DB12" s="7"/>
      <c r="DC12" s="7"/>
      <c r="DD12" s="9"/>
    </row>
    <row r="13" spans="1:108" ht="24.95" hidden="1" customHeight="1" x14ac:dyDescent="0.2">
      <c r="A13" s="3">
        <v>9</v>
      </c>
      <c r="B13" s="3" t="s">
        <v>1448</v>
      </c>
      <c r="C13" s="3" t="s">
        <v>83</v>
      </c>
      <c r="D13" s="3" t="s">
        <v>100</v>
      </c>
      <c r="E13" s="3" t="s">
        <v>117</v>
      </c>
      <c r="F13" s="3" t="s">
        <v>118</v>
      </c>
      <c r="G13" s="11" t="s">
        <v>71</v>
      </c>
      <c r="H13" s="7"/>
      <c r="I13" s="17"/>
      <c r="J13" s="11" t="s">
        <v>71</v>
      </c>
      <c r="K13" s="7"/>
      <c r="L13" s="3" t="s">
        <v>492</v>
      </c>
      <c r="M13" s="7"/>
      <c r="N13" s="7"/>
      <c r="O13" s="7"/>
      <c r="P13" s="4" t="s">
        <v>518</v>
      </c>
      <c r="Q13" s="5" t="s">
        <v>704</v>
      </c>
      <c r="R13" s="3" t="s">
        <v>845</v>
      </c>
      <c r="S13" s="14">
        <v>46</v>
      </c>
      <c r="T13" s="3" t="s">
        <v>75</v>
      </c>
      <c r="U13" s="3" t="s">
        <v>1049</v>
      </c>
      <c r="V13" s="7"/>
      <c r="W13" s="7"/>
      <c r="X13" s="7">
        <f t="shared" si="0"/>
        <v>24</v>
      </c>
      <c r="Y13" s="7">
        <f t="shared" si="1"/>
        <v>14</v>
      </c>
      <c r="Z13" s="7">
        <f t="shared" si="3"/>
        <v>38</v>
      </c>
      <c r="AA13" s="37">
        <v>4</v>
      </c>
      <c r="AB13" s="33">
        <f t="shared" si="5"/>
        <v>2</v>
      </c>
      <c r="AC13" s="8">
        <f t="shared" si="6"/>
        <v>5.333333333333333</v>
      </c>
      <c r="AD13" s="7">
        <f t="shared" si="7"/>
        <v>4</v>
      </c>
      <c r="AE13" s="34">
        <v>8</v>
      </c>
      <c r="AF13" s="7">
        <v>0</v>
      </c>
      <c r="AG13" s="38">
        <f t="shared" si="8"/>
        <v>9.3333333333333321</v>
      </c>
      <c r="AH13" s="32">
        <f t="shared" si="9"/>
        <v>6</v>
      </c>
      <c r="AI13" s="37">
        <f t="shared" si="10"/>
        <v>8.5</v>
      </c>
      <c r="AJ13" s="37">
        <f t="shared" si="11"/>
        <v>6</v>
      </c>
      <c r="AK13" s="7">
        <f t="shared" si="12"/>
        <v>102</v>
      </c>
      <c r="AL13" s="7">
        <f t="shared" si="2"/>
        <v>64</v>
      </c>
      <c r="AM13" s="7"/>
      <c r="AN13" s="11" t="s">
        <v>71</v>
      </c>
      <c r="AO13" s="7"/>
      <c r="AP13" s="7"/>
      <c r="AQ13" s="9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  <c r="BO13" s="7"/>
      <c r="BP13" s="7"/>
      <c r="BQ13" s="7"/>
      <c r="BR13" s="7"/>
      <c r="BS13" s="7"/>
      <c r="BT13" s="9"/>
      <c r="BU13" s="7"/>
      <c r="BV13" s="7"/>
      <c r="BX13" s="7"/>
      <c r="BY13" s="7"/>
      <c r="BZ13" s="7"/>
      <c r="CA13" s="7"/>
      <c r="CB13" s="7"/>
      <c r="CC13" s="11" t="s">
        <v>71</v>
      </c>
      <c r="CD13" s="9"/>
      <c r="CE13" s="7"/>
      <c r="CF13" s="7"/>
      <c r="CH13" s="7"/>
      <c r="CI13" s="7"/>
      <c r="CJ13" s="7"/>
      <c r="CK13" s="7"/>
      <c r="CL13" s="7"/>
      <c r="CM13" s="7"/>
      <c r="CN13" s="7"/>
      <c r="CO13" s="7"/>
      <c r="CP13" s="7"/>
      <c r="CQ13" s="7"/>
      <c r="CR13" s="22" t="s">
        <v>1380</v>
      </c>
      <c r="CS13" s="20">
        <v>4</v>
      </c>
      <c r="CT13" s="20">
        <v>370199476</v>
      </c>
      <c r="CU13" s="7"/>
      <c r="CV13" s="9"/>
      <c r="CW13" s="9"/>
      <c r="CX13" s="7"/>
      <c r="CY13" s="7"/>
      <c r="CZ13" s="7"/>
      <c r="DA13" s="7"/>
      <c r="DB13" s="7"/>
      <c r="DC13" s="7"/>
      <c r="DD13" s="9"/>
    </row>
    <row r="14" spans="1:108" ht="24.95" hidden="1" customHeight="1" x14ac:dyDescent="0.2">
      <c r="A14" s="3">
        <v>10</v>
      </c>
      <c r="B14" s="3" t="s">
        <v>1448</v>
      </c>
      <c r="C14" s="3" t="s">
        <v>84</v>
      </c>
      <c r="D14" s="3" t="s">
        <v>119</v>
      </c>
      <c r="E14" s="3" t="s">
        <v>120</v>
      </c>
      <c r="F14" s="3" t="s">
        <v>121</v>
      </c>
      <c r="G14" s="11" t="s">
        <v>71</v>
      </c>
      <c r="H14" s="12"/>
      <c r="I14" s="17"/>
      <c r="J14" s="11" t="s">
        <v>71</v>
      </c>
      <c r="K14" s="12"/>
      <c r="L14" s="3" t="s">
        <v>492</v>
      </c>
      <c r="M14" s="12"/>
      <c r="N14" s="12"/>
      <c r="O14" s="12"/>
      <c r="P14" s="4" t="s">
        <v>519</v>
      </c>
      <c r="Q14" s="5" t="s">
        <v>705</v>
      </c>
      <c r="R14" s="3" t="s">
        <v>846</v>
      </c>
      <c r="S14" s="14">
        <v>39</v>
      </c>
      <c r="T14" s="3" t="s">
        <v>1026</v>
      </c>
      <c r="U14" s="3"/>
      <c r="V14" s="12"/>
      <c r="W14" s="12"/>
      <c r="X14" s="7">
        <f t="shared" si="0"/>
        <v>24</v>
      </c>
      <c r="Y14" s="7">
        <f t="shared" si="1"/>
        <v>14</v>
      </c>
      <c r="Z14" s="7">
        <f t="shared" si="3"/>
        <v>38</v>
      </c>
      <c r="AA14" s="37">
        <v>4</v>
      </c>
      <c r="AB14" s="33">
        <f t="shared" si="5"/>
        <v>2</v>
      </c>
      <c r="AC14" s="8">
        <f t="shared" si="6"/>
        <v>8.25</v>
      </c>
      <c r="AD14" s="7">
        <f t="shared" si="7"/>
        <v>3</v>
      </c>
      <c r="AE14" s="34">
        <v>10</v>
      </c>
      <c r="AF14" s="12">
        <v>11</v>
      </c>
      <c r="AG14" s="38">
        <f t="shared" si="8"/>
        <v>12.25</v>
      </c>
      <c r="AH14" s="32">
        <f t="shared" si="9"/>
        <v>5</v>
      </c>
      <c r="AI14" s="37">
        <f t="shared" si="10"/>
        <v>11.416666666666666</v>
      </c>
      <c r="AJ14" s="37">
        <f t="shared" si="11"/>
        <v>5</v>
      </c>
      <c r="AK14" s="7">
        <f t="shared" si="12"/>
        <v>137</v>
      </c>
      <c r="AL14" s="7">
        <f t="shared" si="2"/>
        <v>99</v>
      </c>
      <c r="AM14" s="13"/>
      <c r="AN14" s="11" t="s">
        <v>71</v>
      </c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X14" s="13"/>
      <c r="BY14" s="13"/>
      <c r="BZ14" s="13"/>
      <c r="CA14" s="13"/>
      <c r="CB14" s="13"/>
      <c r="CC14" s="11" t="s">
        <v>71</v>
      </c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22" t="s">
        <v>1383</v>
      </c>
      <c r="CS14" s="20">
        <v>4</v>
      </c>
      <c r="CT14" s="20">
        <v>393172168</v>
      </c>
      <c r="CU14" s="13"/>
      <c r="CV14" s="13"/>
      <c r="CW14" s="13"/>
      <c r="CX14" s="13"/>
      <c r="CY14" s="13"/>
      <c r="CZ14" s="13"/>
      <c r="DA14" s="13"/>
      <c r="DB14" s="13"/>
      <c r="DC14" s="13"/>
      <c r="DD14" s="13"/>
    </row>
    <row r="15" spans="1:108" ht="24.95" hidden="1" customHeight="1" x14ac:dyDescent="0.2">
      <c r="A15" s="3">
        <v>11</v>
      </c>
      <c r="B15" s="3" t="s">
        <v>1448</v>
      </c>
      <c r="C15" s="3" t="s">
        <v>83</v>
      </c>
      <c r="D15" s="3" t="s">
        <v>122</v>
      </c>
      <c r="E15" s="3" t="s">
        <v>123</v>
      </c>
      <c r="F15" s="3" t="s">
        <v>124</v>
      </c>
      <c r="G15" s="11" t="s">
        <v>71</v>
      </c>
      <c r="H15" s="12"/>
      <c r="I15" s="17"/>
      <c r="J15" s="11" t="s">
        <v>71</v>
      </c>
      <c r="K15" s="12"/>
      <c r="L15" s="3" t="s">
        <v>492</v>
      </c>
      <c r="M15" s="12"/>
      <c r="N15" s="12"/>
      <c r="O15" s="12"/>
      <c r="P15" s="4" t="s">
        <v>520</v>
      </c>
      <c r="Q15" s="5" t="s">
        <v>706</v>
      </c>
      <c r="R15" s="3" t="s">
        <v>847</v>
      </c>
      <c r="S15" s="14">
        <v>32</v>
      </c>
      <c r="T15" s="3" t="s">
        <v>1026</v>
      </c>
      <c r="U15" s="3" t="s">
        <v>1050</v>
      </c>
      <c r="V15" s="12"/>
      <c r="W15" s="12"/>
      <c r="X15" s="7">
        <f t="shared" si="0"/>
        <v>24</v>
      </c>
      <c r="Y15" s="7">
        <f t="shared" si="1"/>
        <v>14</v>
      </c>
      <c r="Z15" s="7">
        <f t="shared" si="3"/>
        <v>38</v>
      </c>
      <c r="AA15" s="37">
        <f t="shared" si="4"/>
        <v>3.1666666666666665</v>
      </c>
      <c r="AB15" s="33">
        <f t="shared" si="5"/>
        <v>2</v>
      </c>
      <c r="AC15" s="8">
        <f t="shared" si="6"/>
        <v>1.9166666666666667</v>
      </c>
      <c r="AD15" s="7">
        <f t="shared" si="7"/>
        <v>11</v>
      </c>
      <c r="AE15" s="34">
        <v>4</v>
      </c>
      <c r="AF15" s="12">
        <v>7</v>
      </c>
      <c r="AG15" s="38">
        <v>6</v>
      </c>
      <c r="AH15" s="32">
        <v>1</v>
      </c>
      <c r="AI15" s="37">
        <f t="shared" si="10"/>
        <v>5.083333333333333</v>
      </c>
      <c r="AJ15" s="37">
        <f t="shared" si="11"/>
        <v>1</v>
      </c>
      <c r="AK15" s="7">
        <f t="shared" si="12"/>
        <v>61</v>
      </c>
      <c r="AL15" s="7">
        <f t="shared" si="2"/>
        <v>23</v>
      </c>
      <c r="AM15" s="13"/>
      <c r="AN15" s="11" t="s">
        <v>71</v>
      </c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X15" s="13"/>
      <c r="BY15" s="13"/>
      <c r="BZ15" s="13"/>
      <c r="CA15" s="13"/>
      <c r="CB15" s="13"/>
      <c r="CC15" s="11" t="s">
        <v>71</v>
      </c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22" t="s">
        <v>1427</v>
      </c>
      <c r="CS15" s="20">
        <v>3</v>
      </c>
      <c r="CT15" s="20">
        <v>347391891</v>
      </c>
      <c r="CU15" s="13"/>
      <c r="CV15" s="13"/>
      <c r="CW15" s="13"/>
      <c r="CX15" s="13"/>
      <c r="CY15" s="13"/>
      <c r="CZ15" s="13"/>
      <c r="DA15" s="13"/>
      <c r="DB15" s="13"/>
      <c r="DC15" s="13"/>
      <c r="DD15" s="13"/>
    </row>
    <row r="16" spans="1:108" ht="24.95" hidden="1" customHeight="1" x14ac:dyDescent="0.2">
      <c r="A16" s="3">
        <v>12</v>
      </c>
      <c r="B16" s="3" t="s">
        <v>1448</v>
      </c>
      <c r="C16" s="3" t="s">
        <v>83</v>
      </c>
      <c r="D16" s="3" t="s">
        <v>125</v>
      </c>
      <c r="E16" s="3" t="s">
        <v>126</v>
      </c>
      <c r="F16" s="3" t="s">
        <v>127</v>
      </c>
      <c r="G16" s="11" t="s">
        <v>71</v>
      </c>
      <c r="H16" s="14"/>
      <c r="I16" s="17"/>
      <c r="J16" s="11" t="s">
        <v>71</v>
      </c>
      <c r="K16" s="14"/>
      <c r="L16" s="3" t="s">
        <v>492</v>
      </c>
      <c r="M16" s="14"/>
      <c r="N16" s="14"/>
      <c r="O16" s="14"/>
      <c r="P16" s="4" t="s">
        <v>521</v>
      </c>
      <c r="Q16" s="5" t="s">
        <v>707</v>
      </c>
      <c r="R16" s="3" t="s">
        <v>848</v>
      </c>
      <c r="S16" s="14">
        <v>35</v>
      </c>
      <c r="T16" s="3" t="s">
        <v>75</v>
      </c>
      <c r="U16" s="3" t="s">
        <v>1051</v>
      </c>
      <c r="V16" s="14"/>
      <c r="W16" s="14"/>
      <c r="X16" s="7">
        <f t="shared" si="0"/>
        <v>24</v>
      </c>
      <c r="Y16" s="7">
        <f t="shared" si="1"/>
        <v>14</v>
      </c>
      <c r="Z16" s="7">
        <f t="shared" si="3"/>
        <v>38</v>
      </c>
      <c r="AA16" s="37">
        <v>4</v>
      </c>
      <c r="AB16" s="33">
        <f t="shared" si="5"/>
        <v>2</v>
      </c>
      <c r="AC16" s="8">
        <f t="shared" si="6"/>
        <v>3.4166666666666665</v>
      </c>
      <c r="AD16" s="7">
        <f t="shared" si="7"/>
        <v>5</v>
      </c>
      <c r="AE16" s="34">
        <v>6</v>
      </c>
      <c r="AF16" s="12">
        <v>1</v>
      </c>
      <c r="AG16" s="38">
        <f t="shared" si="8"/>
        <v>7.4166666666666661</v>
      </c>
      <c r="AH16" s="32">
        <f t="shared" si="9"/>
        <v>7</v>
      </c>
      <c r="AI16" s="37">
        <f t="shared" si="10"/>
        <v>6.583333333333333</v>
      </c>
      <c r="AJ16" s="37">
        <f t="shared" si="11"/>
        <v>7</v>
      </c>
      <c r="AK16" s="7">
        <f t="shared" si="12"/>
        <v>79</v>
      </c>
      <c r="AL16" s="7">
        <f t="shared" si="2"/>
        <v>41</v>
      </c>
      <c r="AM16" s="13"/>
      <c r="AN16" s="11" t="s">
        <v>71</v>
      </c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X16" s="13"/>
      <c r="BY16" s="13"/>
      <c r="BZ16" s="13"/>
      <c r="CA16" s="13"/>
      <c r="CB16" s="13"/>
      <c r="CC16" s="13"/>
      <c r="CD16" s="13"/>
      <c r="CE16" s="13"/>
      <c r="CF16" s="13"/>
      <c r="CG16" s="11" t="s">
        <v>71</v>
      </c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22" t="s">
        <v>1380</v>
      </c>
      <c r="CS16" s="20">
        <v>4</v>
      </c>
      <c r="CT16" s="20">
        <v>349241780</v>
      </c>
      <c r="CU16" s="13"/>
      <c r="CV16" s="13"/>
      <c r="CW16" s="13"/>
      <c r="CX16" s="13"/>
      <c r="CY16" s="13"/>
      <c r="CZ16" s="13"/>
      <c r="DA16" s="13"/>
      <c r="DB16" s="13"/>
      <c r="DC16" s="13"/>
      <c r="DD16" s="13"/>
    </row>
    <row r="17" spans="1:108" ht="24.95" hidden="1" customHeight="1" x14ac:dyDescent="0.2">
      <c r="A17" s="3">
        <v>13</v>
      </c>
      <c r="B17" s="3" t="s">
        <v>1448</v>
      </c>
      <c r="C17" s="3" t="s">
        <v>88</v>
      </c>
      <c r="D17" s="3" t="s">
        <v>97</v>
      </c>
      <c r="E17" s="3" t="s">
        <v>128</v>
      </c>
      <c r="F17" s="3" t="s">
        <v>129</v>
      </c>
      <c r="G17" s="11" t="s">
        <v>71</v>
      </c>
      <c r="H17" s="14"/>
      <c r="I17" s="17"/>
      <c r="J17" s="11" t="s">
        <v>71</v>
      </c>
      <c r="K17" s="14"/>
      <c r="L17" s="3" t="s">
        <v>492</v>
      </c>
      <c r="M17" s="14"/>
      <c r="N17" s="14"/>
      <c r="O17" s="14"/>
      <c r="P17" s="4" t="s">
        <v>522</v>
      </c>
      <c r="Q17" s="5" t="s">
        <v>708</v>
      </c>
      <c r="R17" s="3" t="s">
        <v>849</v>
      </c>
      <c r="S17" s="14">
        <v>35</v>
      </c>
      <c r="T17" s="3" t="s">
        <v>1024</v>
      </c>
      <c r="U17" s="3" t="s">
        <v>1052</v>
      </c>
      <c r="V17" s="14"/>
      <c r="W17" s="14"/>
      <c r="X17" s="7">
        <f t="shared" si="0"/>
        <v>24</v>
      </c>
      <c r="Y17" s="7">
        <f t="shared" si="1"/>
        <v>14</v>
      </c>
      <c r="Z17" s="7">
        <f t="shared" si="3"/>
        <v>38</v>
      </c>
      <c r="AA17" s="37">
        <v>4</v>
      </c>
      <c r="AB17" s="33">
        <f t="shared" si="5"/>
        <v>2</v>
      </c>
      <c r="AC17" s="8">
        <f t="shared" si="6"/>
        <v>5.166666666666667</v>
      </c>
      <c r="AD17" s="7">
        <f t="shared" si="7"/>
        <v>2</v>
      </c>
      <c r="AE17" s="34">
        <v>7</v>
      </c>
      <c r="AF17" s="12">
        <v>10</v>
      </c>
      <c r="AG17" s="38">
        <f t="shared" si="8"/>
        <v>9.1666666666666679</v>
      </c>
      <c r="AH17" s="32">
        <f t="shared" si="9"/>
        <v>4</v>
      </c>
      <c r="AI17" s="37">
        <f t="shared" si="10"/>
        <v>8.3333333333333339</v>
      </c>
      <c r="AJ17" s="37">
        <f t="shared" si="11"/>
        <v>4</v>
      </c>
      <c r="AK17" s="7">
        <f t="shared" si="12"/>
        <v>100</v>
      </c>
      <c r="AL17" s="7">
        <f t="shared" si="2"/>
        <v>62</v>
      </c>
      <c r="AM17" s="13"/>
      <c r="AN17" s="11" t="s">
        <v>71</v>
      </c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X17" s="13"/>
      <c r="BY17" s="13"/>
      <c r="BZ17" s="13"/>
      <c r="CA17" s="13"/>
      <c r="CB17" s="13"/>
      <c r="CC17" s="11" t="s">
        <v>71</v>
      </c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22" t="s">
        <v>1422</v>
      </c>
      <c r="CS17" s="20">
        <v>6</v>
      </c>
      <c r="CT17" s="20">
        <v>350545384</v>
      </c>
      <c r="CU17" s="13"/>
      <c r="CV17" s="13"/>
      <c r="CW17" s="13"/>
      <c r="CX17" s="13"/>
      <c r="CY17" s="13"/>
      <c r="CZ17" s="13"/>
      <c r="DA17" s="13"/>
      <c r="DB17" s="13"/>
      <c r="DC17" s="13"/>
      <c r="DD17" s="13"/>
    </row>
    <row r="18" spans="1:108" ht="24.95" hidden="1" customHeight="1" x14ac:dyDescent="0.2">
      <c r="A18" s="3">
        <v>14</v>
      </c>
      <c r="B18" s="3" t="s">
        <v>1448</v>
      </c>
      <c r="C18" s="3" t="s">
        <v>89</v>
      </c>
      <c r="D18" s="3" t="s">
        <v>130</v>
      </c>
      <c r="E18" s="3" t="s">
        <v>131</v>
      </c>
      <c r="F18" s="3" t="s">
        <v>111</v>
      </c>
      <c r="G18" s="11" t="s">
        <v>71</v>
      </c>
      <c r="H18" s="14"/>
      <c r="I18" s="17"/>
      <c r="J18" s="11" t="s">
        <v>71</v>
      </c>
      <c r="K18" s="14"/>
      <c r="L18" s="3" t="s">
        <v>480</v>
      </c>
      <c r="M18" s="14"/>
      <c r="N18" s="14"/>
      <c r="O18" s="14"/>
      <c r="P18" s="4" t="s">
        <v>523</v>
      </c>
      <c r="Q18" s="5">
        <v>9128504520</v>
      </c>
      <c r="R18" s="3" t="s">
        <v>850</v>
      </c>
      <c r="S18" s="14">
        <v>44</v>
      </c>
      <c r="T18" s="3" t="s">
        <v>1027</v>
      </c>
      <c r="U18" s="3" t="s">
        <v>1053</v>
      </c>
      <c r="V18" s="14"/>
      <c r="W18" s="14"/>
      <c r="X18" s="7">
        <f t="shared" si="0"/>
        <v>144</v>
      </c>
      <c r="Y18" s="7">
        <f t="shared" si="1"/>
        <v>11</v>
      </c>
      <c r="Z18" s="7">
        <f t="shared" si="3"/>
        <v>155</v>
      </c>
      <c r="AA18" s="37">
        <v>12</v>
      </c>
      <c r="AB18" s="33">
        <f t="shared" si="5"/>
        <v>11</v>
      </c>
      <c r="AC18" s="8">
        <f t="shared" si="6"/>
        <v>0.5</v>
      </c>
      <c r="AD18" s="7">
        <f t="shared" si="7"/>
        <v>6</v>
      </c>
      <c r="AE18" s="34">
        <v>12</v>
      </c>
      <c r="AF18" s="12">
        <v>11</v>
      </c>
      <c r="AG18" s="38">
        <v>14</v>
      </c>
      <c r="AH18" s="32">
        <v>5</v>
      </c>
      <c r="AI18" s="37">
        <f t="shared" si="10"/>
        <v>13.416666666666666</v>
      </c>
      <c r="AJ18" s="37">
        <f t="shared" si="11"/>
        <v>5</v>
      </c>
      <c r="AK18" s="7">
        <f t="shared" si="12"/>
        <v>161</v>
      </c>
      <c r="AL18" s="7">
        <f t="shared" si="2"/>
        <v>6</v>
      </c>
      <c r="AM18" s="13"/>
      <c r="AN18" s="11" t="s">
        <v>71</v>
      </c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1" t="s">
        <v>71</v>
      </c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22" t="s">
        <v>1441</v>
      </c>
      <c r="CS18" s="21">
        <v>12</v>
      </c>
      <c r="CT18" s="20">
        <v>475436909</v>
      </c>
      <c r="CY18" s="13"/>
      <c r="CZ18" s="13"/>
      <c r="DA18" s="13"/>
      <c r="DB18" s="13"/>
      <c r="DC18" s="13"/>
      <c r="DD18" s="13"/>
    </row>
    <row r="19" spans="1:108" ht="24.95" hidden="1" customHeight="1" x14ac:dyDescent="0.2">
      <c r="A19" s="3">
        <v>15</v>
      </c>
      <c r="B19" s="3" t="s">
        <v>1448</v>
      </c>
      <c r="C19" s="3" t="s">
        <v>84</v>
      </c>
      <c r="D19" s="3" t="s">
        <v>132</v>
      </c>
      <c r="E19" s="3" t="s">
        <v>133</v>
      </c>
      <c r="F19" s="3" t="s">
        <v>134</v>
      </c>
      <c r="G19" s="11" t="s">
        <v>71</v>
      </c>
      <c r="H19" s="14"/>
      <c r="I19" s="17"/>
      <c r="J19" s="11" t="s">
        <v>71</v>
      </c>
      <c r="K19" s="14"/>
      <c r="L19" s="3" t="s">
        <v>475</v>
      </c>
      <c r="M19" s="14"/>
      <c r="N19" s="14"/>
      <c r="O19" s="14"/>
      <c r="P19" s="4" t="s">
        <v>524</v>
      </c>
      <c r="Q19" s="5">
        <v>9153828273</v>
      </c>
      <c r="R19" s="3" t="s">
        <v>851</v>
      </c>
      <c r="S19" s="14">
        <v>42</v>
      </c>
      <c r="T19" s="3" t="s">
        <v>1022</v>
      </c>
      <c r="U19" s="3" t="s">
        <v>1054</v>
      </c>
      <c r="V19" s="14"/>
      <c r="W19" s="14"/>
      <c r="X19" s="7">
        <f t="shared" si="0"/>
        <v>120</v>
      </c>
      <c r="Y19" s="7">
        <f t="shared" si="1"/>
        <v>11</v>
      </c>
      <c r="Z19" s="7">
        <f t="shared" si="3"/>
        <v>131</v>
      </c>
      <c r="AA19" s="37">
        <v>10</v>
      </c>
      <c r="AB19" s="33">
        <f t="shared" si="5"/>
        <v>11</v>
      </c>
      <c r="AC19" s="8">
        <f t="shared" si="6"/>
        <v>-8.3333333333333329E-2</v>
      </c>
      <c r="AD19" s="7">
        <f t="shared" si="7"/>
        <v>11</v>
      </c>
      <c r="AE19" s="34">
        <v>10</v>
      </c>
      <c r="AF19" s="12">
        <v>4</v>
      </c>
      <c r="AG19" s="38">
        <v>11</v>
      </c>
      <c r="AH19" s="32">
        <v>10</v>
      </c>
      <c r="AI19" s="37">
        <f t="shared" si="10"/>
        <v>10.833333333333334</v>
      </c>
      <c r="AJ19" s="37">
        <f t="shared" si="11"/>
        <v>10</v>
      </c>
      <c r="AK19" s="7">
        <f t="shared" si="12"/>
        <v>130</v>
      </c>
      <c r="AL19" s="7">
        <f t="shared" si="2"/>
        <v>-1</v>
      </c>
      <c r="AM19" s="13"/>
      <c r="AN19" s="11" t="s">
        <v>71</v>
      </c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X19" s="13"/>
      <c r="BY19" s="13"/>
      <c r="BZ19" s="13"/>
      <c r="CA19" s="13"/>
      <c r="CB19" s="13"/>
      <c r="CC19" s="13"/>
      <c r="CD19" s="13"/>
      <c r="CE19" s="13"/>
      <c r="CF19" s="13"/>
      <c r="CG19" s="11" t="s">
        <v>71</v>
      </c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22" t="s">
        <v>1380</v>
      </c>
      <c r="CS19" s="21">
        <v>6</v>
      </c>
      <c r="CT19" s="20">
        <v>497195153</v>
      </c>
      <c r="CU19" s="13"/>
      <c r="CV19" s="13"/>
      <c r="CW19" s="13"/>
      <c r="CX19" s="13"/>
      <c r="CY19" s="13"/>
      <c r="CZ19" s="13"/>
      <c r="DA19" s="13"/>
      <c r="DB19" s="13"/>
      <c r="DC19" s="13"/>
      <c r="DD19" s="13"/>
    </row>
    <row r="20" spans="1:108" ht="24.95" hidden="1" customHeight="1" x14ac:dyDescent="0.2">
      <c r="A20" s="3">
        <v>16</v>
      </c>
      <c r="B20" s="3" t="s">
        <v>1448</v>
      </c>
      <c r="C20" s="3" t="s">
        <v>83</v>
      </c>
      <c r="D20" s="3" t="s">
        <v>135</v>
      </c>
      <c r="E20" s="3" t="s">
        <v>136</v>
      </c>
      <c r="F20" s="3" t="s">
        <v>137</v>
      </c>
      <c r="G20" s="11" t="s">
        <v>71</v>
      </c>
      <c r="H20" s="14"/>
      <c r="I20" s="11" t="s">
        <v>71</v>
      </c>
      <c r="K20" s="14"/>
      <c r="L20" s="3" t="s">
        <v>492</v>
      </c>
      <c r="M20" s="14"/>
      <c r="N20" s="14"/>
      <c r="O20" s="14"/>
      <c r="P20" s="4" t="s">
        <v>525</v>
      </c>
      <c r="Q20" s="5" t="s">
        <v>709</v>
      </c>
      <c r="R20" s="3" t="s">
        <v>852</v>
      </c>
      <c r="S20" s="14">
        <v>24</v>
      </c>
      <c r="T20" s="3" t="s">
        <v>1024</v>
      </c>
      <c r="U20" s="3" t="s">
        <v>1055</v>
      </c>
      <c r="V20" s="14"/>
      <c r="W20" s="14"/>
      <c r="X20" s="7">
        <f t="shared" si="0"/>
        <v>24</v>
      </c>
      <c r="Y20" s="7">
        <f t="shared" si="1"/>
        <v>14</v>
      </c>
      <c r="Z20" s="7">
        <f t="shared" si="3"/>
        <v>38</v>
      </c>
      <c r="AA20" s="37">
        <v>2</v>
      </c>
      <c r="AB20" s="33">
        <f t="shared" si="5"/>
        <v>2</v>
      </c>
      <c r="AC20" s="8">
        <f t="shared" si="6"/>
        <v>8.3333333333333329E-2</v>
      </c>
      <c r="AD20" s="7">
        <f t="shared" si="7"/>
        <v>1</v>
      </c>
      <c r="AE20" s="34">
        <v>2</v>
      </c>
      <c r="AF20" s="12">
        <v>9</v>
      </c>
      <c r="AG20" s="38">
        <f t="shared" si="8"/>
        <v>2.0833333333333335</v>
      </c>
      <c r="AH20" s="32">
        <f t="shared" si="9"/>
        <v>3</v>
      </c>
      <c r="AI20" s="37">
        <f t="shared" si="10"/>
        <v>3.25</v>
      </c>
      <c r="AJ20" s="37">
        <f t="shared" si="11"/>
        <v>3</v>
      </c>
      <c r="AK20" s="7">
        <f t="shared" si="12"/>
        <v>39</v>
      </c>
      <c r="AL20" s="7">
        <f t="shared" si="2"/>
        <v>1</v>
      </c>
      <c r="AM20" s="13"/>
      <c r="AN20" s="11" t="s">
        <v>71</v>
      </c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X20" s="13"/>
      <c r="BY20" s="13"/>
      <c r="BZ20" s="13"/>
      <c r="CA20" s="13"/>
      <c r="CB20" s="13"/>
      <c r="CC20" s="11" t="s">
        <v>71</v>
      </c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22" t="s">
        <v>1391</v>
      </c>
      <c r="CS20" s="20">
        <v>6</v>
      </c>
      <c r="CT20" s="20">
        <v>311187096</v>
      </c>
      <c r="CU20" s="13"/>
      <c r="CV20" s="13"/>
      <c r="CW20" s="13"/>
      <c r="CX20" s="13"/>
      <c r="CY20" s="13"/>
      <c r="CZ20" s="13"/>
      <c r="DA20" s="13"/>
      <c r="DB20" s="13"/>
      <c r="DC20" s="13"/>
      <c r="DD20" s="13"/>
    </row>
    <row r="21" spans="1:108" ht="24.95" customHeight="1" x14ac:dyDescent="0.2">
      <c r="A21" s="3">
        <v>17</v>
      </c>
      <c r="B21" s="3" t="s">
        <v>1448</v>
      </c>
      <c r="C21" s="3" t="s">
        <v>87</v>
      </c>
      <c r="D21" s="3" t="s">
        <v>138</v>
      </c>
      <c r="E21" s="3" t="s">
        <v>139</v>
      </c>
      <c r="F21" s="3" t="s">
        <v>140</v>
      </c>
      <c r="G21" s="11" t="s">
        <v>71</v>
      </c>
      <c r="H21" s="14"/>
      <c r="I21" s="17"/>
      <c r="J21" s="11" t="s">
        <v>71</v>
      </c>
      <c r="K21" s="14"/>
      <c r="L21" s="3" t="s">
        <v>478</v>
      </c>
      <c r="M21" s="14"/>
      <c r="N21" s="14"/>
      <c r="O21" s="14"/>
      <c r="P21" s="4" t="s">
        <v>526</v>
      </c>
      <c r="Q21" s="5" t="s">
        <v>710</v>
      </c>
      <c r="R21" s="3" t="s">
        <v>853</v>
      </c>
      <c r="S21" s="14">
        <v>27</v>
      </c>
      <c r="T21" s="3" t="s">
        <v>1024</v>
      </c>
      <c r="U21" s="3" t="s">
        <v>1048</v>
      </c>
      <c r="V21" s="14"/>
      <c r="W21" s="14"/>
      <c r="X21" s="7">
        <f t="shared" si="0"/>
        <v>24</v>
      </c>
      <c r="Y21" s="7">
        <f t="shared" si="1"/>
        <v>10</v>
      </c>
      <c r="Z21" s="7">
        <f t="shared" si="3"/>
        <v>34</v>
      </c>
      <c r="AA21" s="37">
        <v>2</v>
      </c>
      <c r="AB21" s="33">
        <v>11</v>
      </c>
      <c r="AC21" s="8">
        <f t="shared" si="6"/>
        <v>1.5</v>
      </c>
      <c r="AD21" s="7">
        <f t="shared" si="7"/>
        <v>6</v>
      </c>
      <c r="AE21" s="34">
        <v>3</v>
      </c>
      <c r="AF21" s="14">
        <v>10</v>
      </c>
      <c r="AG21" s="38">
        <v>5</v>
      </c>
      <c r="AH21" s="32">
        <v>5</v>
      </c>
      <c r="AI21" s="37">
        <f t="shared" si="10"/>
        <v>4.333333333333333</v>
      </c>
      <c r="AJ21" s="37">
        <f t="shared" si="11"/>
        <v>4</v>
      </c>
      <c r="AK21" s="7">
        <f t="shared" si="12"/>
        <v>52</v>
      </c>
      <c r="AL21" s="7">
        <f t="shared" si="2"/>
        <v>18</v>
      </c>
      <c r="AM21" s="15"/>
      <c r="AN21" s="11" t="s">
        <v>71</v>
      </c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15"/>
      <c r="BJ21" s="15"/>
      <c r="BK21" s="15"/>
      <c r="BL21" s="15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X21" s="13"/>
      <c r="BY21" s="13"/>
      <c r="BZ21" s="13"/>
      <c r="CA21" s="13"/>
      <c r="CB21" s="13"/>
      <c r="CC21" s="13"/>
      <c r="CD21" s="13"/>
      <c r="CE21" s="13"/>
      <c r="CF21" s="13"/>
      <c r="CG21" s="11" t="s">
        <v>71</v>
      </c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22" t="s">
        <v>1380</v>
      </c>
      <c r="CS21" s="20">
        <v>4</v>
      </c>
      <c r="CT21" s="20">
        <v>332795672</v>
      </c>
      <c r="CU21" s="13"/>
      <c r="CV21" s="13"/>
      <c r="CW21" s="13"/>
      <c r="CX21" s="13"/>
      <c r="CY21" s="13"/>
      <c r="CZ21" s="13"/>
      <c r="DA21" s="13"/>
      <c r="DB21" s="13"/>
      <c r="DC21" s="13"/>
      <c r="DD21" s="13"/>
    </row>
    <row r="22" spans="1:108" ht="24.75" hidden="1" customHeight="1" x14ac:dyDescent="0.2">
      <c r="A22" s="3">
        <v>18</v>
      </c>
      <c r="B22" s="3" t="s">
        <v>1448</v>
      </c>
      <c r="C22" s="3" t="s">
        <v>89</v>
      </c>
      <c r="D22" s="3" t="s">
        <v>141</v>
      </c>
      <c r="E22" s="3" t="s">
        <v>142</v>
      </c>
      <c r="F22" s="3" t="s">
        <v>97</v>
      </c>
      <c r="G22" s="11" t="s">
        <v>71</v>
      </c>
      <c r="H22" s="12"/>
      <c r="I22" s="17"/>
      <c r="J22" s="11" t="s">
        <v>71</v>
      </c>
      <c r="K22" s="12"/>
      <c r="L22" s="3" t="s">
        <v>492</v>
      </c>
      <c r="M22" s="12"/>
      <c r="N22" s="12"/>
      <c r="O22" s="12"/>
      <c r="P22" s="4" t="s">
        <v>527</v>
      </c>
      <c r="Q22" s="5" t="s">
        <v>711</v>
      </c>
      <c r="R22" s="3" t="s">
        <v>854</v>
      </c>
      <c r="S22" s="14">
        <v>42</v>
      </c>
      <c r="T22" s="3" t="s">
        <v>75</v>
      </c>
      <c r="U22" s="3" t="s">
        <v>77</v>
      </c>
      <c r="V22" s="12"/>
      <c r="W22" s="12"/>
      <c r="X22" s="7">
        <f t="shared" si="0"/>
        <v>24</v>
      </c>
      <c r="Y22" s="7">
        <f t="shared" si="1"/>
        <v>14</v>
      </c>
      <c r="Z22" s="7">
        <f t="shared" si="3"/>
        <v>38</v>
      </c>
      <c r="AA22" s="37">
        <f t="shared" si="4"/>
        <v>3.1666666666666665</v>
      </c>
      <c r="AB22" s="33">
        <f t="shared" si="5"/>
        <v>2</v>
      </c>
      <c r="AC22" s="8">
        <f t="shared" si="6"/>
        <v>13.083333333333334</v>
      </c>
      <c r="AD22" s="7">
        <f t="shared" si="7"/>
        <v>1</v>
      </c>
      <c r="AE22" s="34">
        <v>15</v>
      </c>
      <c r="AF22" s="12">
        <v>9</v>
      </c>
      <c r="AG22" s="38">
        <f t="shared" si="8"/>
        <v>16.25</v>
      </c>
      <c r="AH22" s="32">
        <f t="shared" si="9"/>
        <v>3</v>
      </c>
      <c r="AI22" s="37">
        <f t="shared" si="10"/>
        <v>16.25</v>
      </c>
      <c r="AJ22" s="37">
        <f t="shared" si="11"/>
        <v>3</v>
      </c>
      <c r="AK22" s="7">
        <f t="shared" si="12"/>
        <v>195</v>
      </c>
      <c r="AL22" s="7">
        <f t="shared" si="2"/>
        <v>157</v>
      </c>
      <c r="AM22" s="13"/>
      <c r="AN22" s="11" t="s">
        <v>71</v>
      </c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1" t="s">
        <v>71</v>
      </c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22" t="s">
        <v>1439</v>
      </c>
      <c r="CS22" s="20">
        <v>6</v>
      </c>
      <c r="CT22" s="20">
        <v>361852922</v>
      </c>
      <c r="CU22" s="13"/>
      <c r="CV22" s="13"/>
      <c r="CW22" s="13"/>
      <c r="CX22" s="13"/>
      <c r="CY22" s="13"/>
      <c r="CZ22" s="13"/>
      <c r="DA22" s="13"/>
      <c r="DB22" s="13"/>
      <c r="DC22" s="13"/>
      <c r="DD22" s="13"/>
    </row>
    <row r="23" spans="1:108" ht="24.95" hidden="1" customHeight="1" x14ac:dyDescent="0.2">
      <c r="A23" s="3">
        <v>19</v>
      </c>
      <c r="B23" s="3" t="s">
        <v>1448</v>
      </c>
      <c r="C23" s="3" t="s">
        <v>90</v>
      </c>
      <c r="D23" s="3" t="s">
        <v>143</v>
      </c>
      <c r="E23" s="3" t="s">
        <v>144</v>
      </c>
      <c r="F23" s="3" t="s">
        <v>145</v>
      </c>
      <c r="G23" s="11" t="s">
        <v>71</v>
      </c>
      <c r="H23" s="12"/>
      <c r="I23" s="17"/>
      <c r="J23" s="11" t="s">
        <v>71</v>
      </c>
      <c r="K23" s="12"/>
      <c r="L23" s="3" t="s">
        <v>481</v>
      </c>
      <c r="M23" s="12"/>
      <c r="N23" s="12"/>
      <c r="O23" s="12"/>
      <c r="P23" s="4" t="s">
        <v>528</v>
      </c>
      <c r="Q23" s="5" t="s">
        <v>712</v>
      </c>
      <c r="R23" s="3" t="s">
        <v>855</v>
      </c>
      <c r="S23" s="14">
        <v>47</v>
      </c>
      <c r="T23" s="3" t="s">
        <v>1024</v>
      </c>
      <c r="U23" s="3" t="s">
        <v>1056</v>
      </c>
      <c r="V23" s="12"/>
      <c r="W23" s="12"/>
      <c r="X23" s="7">
        <f t="shared" si="0"/>
        <v>0</v>
      </c>
      <c r="Y23" s="7">
        <f t="shared" si="1"/>
        <v>14</v>
      </c>
      <c r="Z23" s="7">
        <f t="shared" si="3"/>
        <v>14</v>
      </c>
      <c r="AA23" s="37">
        <f t="shared" si="4"/>
        <v>1.1666666666666667</v>
      </c>
      <c r="AB23" s="33">
        <f t="shared" si="5"/>
        <v>2</v>
      </c>
      <c r="AC23" s="8">
        <f t="shared" si="6"/>
        <v>0.66666666666666663</v>
      </c>
      <c r="AD23" s="7">
        <f t="shared" si="7"/>
        <v>8</v>
      </c>
      <c r="AE23" s="34">
        <v>1.1666666666666667</v>
      </c>
      <c r="AF23" s="12">
        <v>2</v>
      </c>
      <c r="AG23" s="38">
        <f t="shared" si="8"/>
        <v>1.8333333333333335</v>
      </c>
      <c r="AH23" s="32">
        <f t="shared" si="9"/>
        <v>10</v>
      </c>
      <c r="AI23" s="37">
        <f t="shared" si="10"/>
        <v>1.8333333333333333</v>
      </c>
      <c r="AJ23" s="37">
        <f t="shared" si="11"/>
        <v>10</v>
      </c>
      <c r="AK23" s="7">
        <f t="shared" si="12"/>
        <v>22</v>
      </c>
      <c r="AL23" s="7">
        <f t="shared" si="2"/>
        <v>8</v>
      </c>
      <c r="AM23" s="13"/>
      <c r="AN23" s="11" t="s">
        <v>71</v>
      </c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11" t="s">
        <v>71</v>
      </c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22" t="s">
        <v>1420</v>
      </c>
      <c r="CS23" s="21">
        <v>12</v>
      </c>
      <c r="CT23" s="20">
        <v>479781084</v>
      </c>
      <c r="CU23" s="13"/>
      <c r="CV23" s="13"/>
      <c r="CW23" s="13"/>
      <c r="CX23" s="13"/>
      <c r="CY23" s="13"/>
      <c r="CZ23" s="13"/>
      <c r="DA23" s="13"/>
      <c r="DB23" s="13"/>
      <c r="DC23" s="13"/>
      <c r="DD23" s="13"/>
    </row>
    <row r="24" spans="1:108" ht="24.95" hidden="1" customHeight="1" x14ac:dyDescent="0.2">
      <c r="A24" s="3">
        <v>20</v>
      </c>
      <c r="B24" s="3" t="s">
        <v>1448</v>
      </c>
      <c r="C24" s="3" t="s">
        <v>83</v>
      </c>
      <c r="D24" s="3" t="s">
        <v>146</v>
      </c>
      <c r="E24" s="3" t="s">
        <v>147</v>
      </c>
      <c r="F24" s="3" t="s">
        <v>148</v>
      </c>
      <c r="G24" s="11" t="s">
        <v>71</v>
      </c>
      <c r="H24" s="12"/>
      <c r="I24" s="11" t="s">
        <v>71</v>
      </c>
      <c r="J24" s="11"/>
      <c r="K24" s="12"/>
      <c r="L24" s="3" t="s">
        <v>492</v>
      </c>
      <c r="M24" s="12"/>
      <c r="N24" s="12"/>
      <c r="O24" s="12"/>
      <c r="P24" s="4" t="s">
        <v>529</v>
      </c>
      <c r="Q24" s="5" t="s">
        <v>713</v>
      </c>
      <c r="R24" s="3" t="s">
        <v>856</v>
      </c>
      <c r="S24" s="14">
        <v>33</v>
      </c>
      <c r="T24" s="3" t="s">
        <v>75</v>
      </c>
      <c r="U24" s="3" t="s">
        <v>1057</v>
      </c>
      <c r="V24" s="12"/>
      <c r="W24" s="12"/>
      <c r="X24" s="7">
        <f t="shared" si="0"/>
        <v>24</v>
      </c>
      <c r="Y24" s="7">
        <f t="shared" si="1"/>
        <v>14</v>
      </c>
      <c r="Z24" s="7">
        <f t="shared" si="3"/>
        <v>38</v>
      </c>
      <c r="AA24" s="37">
        <f t="shared" si="4"/>
        <v>3.1666666666666665</v>
      </c>
      <c r="AB24" s="33">
        <f t="shared" si="5"/>
        <v>2</v>
      </c>
      <c r="AC24" s="8">
        <f t="shared" si="6"/>
        <v>3.5</v>
      </c>
      <c r="AD24" s="7">
        <f t="shared" si="7"/>
        <v>6</v>
      </c>
      <c r="AE24" s="34">
        <v>6</v>
      </c>
      <c r="AF24" s="12">
        <v>2</v>
      </c>
      <c r="AG24" s="38">
        <f t="shared" si="8"/>
        <v>6.6666666666666661</v>
      </c>
      <c r="AH24" s="32">
        <f t="shared" si="9"/>
        <v>8</v>
      </c>
      <c r="AI24" s="37">
        <f t="shared" si="10"/>
        <v>6.666666666666667</v>
      </c>
      <c r="AJ24" s="37">
        <f t="shared" si="11"/>
        <v>8</v>
      </c>
      <c r="AK24" s="7">
        <f t="shared" si="12"/>
        <v>80</v>
      </c>
      <c r="AL24" s="7">
        <f t="shared" si="2"/>
        <v>42</v>
      </c>
      <c r="AM24" s="13"/>
      <c r="AN24" s="11" t="s">
        <v>71</v>
      </c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X24" s="13"/>
      <c r="BY24" s="13"/>
      <c r="BZ24" s="13"/>
      <c r="CA24" s="13"/>
      <c r="CB24" s="13"/>
      <c r="CC24" s="11" t="s">
        <v>71</v>
      </c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22" t="s">
        <v>1391</v>
      </c>
      <c r="CS24" s="20">
        <v>6</v>
      </c>
      <c r="CT24" s="20">
        <v>320005216</v>
      </c>
      <c r="CU24" s="13"/>
      <c r="CV24" s="13"/>
      <c r="CW24" s="13"/>
      <c r="CX24" s="13"/>
      <c r="CY24" s="13"/>
      <c r="CZ24" s="13"/>
      <c r="DA24" s="13"/>
      <c r="DB24" s="13"/>
      <c r="DC24" s="13"/>
      <c r="DD24" s="13"/>
    </row>
    <row r="25" spans="1:108" ht="24.75" hidden="1" customHeight="1" x14ac:dyDescent="0.2">
      <c r="A25" s="3">
        <v>21</v>
      </c>
      <c r="B25" s="3" t="s">
        <v>1448</v>
      </c>
      <c r="C25" s="3" t="s">
        <v>83</v>
      </c>
      <c r="D25" s="3" t="s">
        <v>149</v>
      </c>
      <c r="E25" s="3" t="s">
        <v>150</v>
      </c>
      <c r="F25" s="3" t="s">
        <v>151</v>
      </c>
      <c r="G25" s="11" t="s">
        <v>71</v>
      </c>
      <c r="H25" s="12"/>
      <c r="I25" s="17"/>
      <c r="J25" s="11" t="s">
        <v>71</v>
      </c>
      <c r="K25" s="12"/>
      <c r="L25" s="3" t="s">
        <v>492</v>
      </c>
      <c r="M25" s="12"/>
      <c r="N25" s="12"/>
      <c r="O25" s="12"/>
      <c r="P25" s="4" t="s">
        <v>530</v>
      </c>
      <c r="Q25" s="5" t="s">
        <v>714</v>
      </c>
      <c r="R25" s="3" t="s">
        <v>857</v>
      </c>
      <c r="S25" s="14">
        <v>41</v>
      </c>
      <c r="T25" s="3" t="s">
        <v>76</v>
      </c>
      <c r="U25" s="3" t="s">
        <v>77</v>
      </c>
      <c r="V25" s="12"/>
      <c r="W25" s="12"/>
      <c r="X25" s="7">
        <f t="shared" si="0"/>
        <v>24</v>
      </c>
      <c r="Y25" s="7">
        <f t="shared" si="1"/>
        <v>14</v>
      </c>
      <c r="Z25" s="7">
        <f t="shared" si="3"/>
        <v>38</v>
      </c>
      <c r="AA25" s="37">
        <v>4</v>
      </c>
      <c r="AB25" s="33">
        <f t="shared" si="5"/>
        <v>2</v>
      </c>
      <c r="AC25" s="8">
        <f t="shared" si="6"/>
        <v>13.333333333333334</v>
      </c>
      <c r="AD25" s="7">
        <f t="shared" si="7"/>
        <v>4</v>
      </c>
      <c r="AE25" s="34">
        <v>16</v>
      </c>
      <c r="AF25" s="12">
        <v>0</v>
      </c>
      <c r="AG25" s="38">
        <f t="shared" si="8"/>
        <v>17.333333333333336</v>
      </c>
      <c r="AH25" s="32">
        <f t="shared" si="9"/>
        <v>6</v>
      </c>
      <c r="AI25" s="37">
        <f t="shared" si="10"/>
        <v>16.5</v>
      </c>
      <c r="AJ25" s="37">
        <f t="shared" si="11"/>
        <v>6</v>
      </c>
      <c r="AK25" s="7">
        <f t="shared" si="12"/>
        <v>198</v>
      </c>
      <c r="AL25" s="7">
        <f t="shared" si="2"/>
        <v>160</v>
      </c>
      <c r="AM25" s="13"/>
      <c r="AN25" s="11" t="s">
        <v>71</v>
      </c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1" t="s">
        <v>71</v>
      </c>
      <c r="BX25" s="13"/>
      <c r="BY25" s="13"/>
      <c r="BZ25" s="13"/>
      <c r="CA25" s="13"/>
      <c r="CB25" s="13"/>
      <c r="CC25" s="11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22" t="s">
        <v>1424</v>
      </c>
      <c r="CS25" s="20">
        <v>7</v>
      </c>
      <c r="CT25" s="20">
        <v>368340604</v>
      </c>
      <c r="CU25" s="13"/>
      <c r="CV25" s="13"/>
      <c r="CW25" s="13"/>
      <c r="CX25" s="13"/>
      <c r="CY25" s="13"/>
      <c r="CZ25" s="13"/>
      <c r="DA25" s="13"/>
      <c r="DB25" s="13"/>
      <c r="DC25" s="13"/>
      <c r="DD25" s="13"/>
    </row>
    <row r="26" spans="1:108" ht="24.95" hidden="1" customHeight="1" x14ac:dyDescent="0.2">
      <c r="A26" s="3">
        <v>22</v>
      </c>
      <c r="B26" s="3" t="s">
        <v>1448</v>
      </c>
      <c r="C26" s="3" t="s">
        <v>83</v>
      </c>
      <c r="D26" s="3" t="s">
        <v>152</v>
      </c>
      <c r="E26" s="3" t="s">
        <v>153</v>
      </c>
      <c r="F26" s="3" t="s">
        <v>154</v>
      </c>
      <c r="G26" s="11" t="s">
        <v>71</v>
      </c>
      <c r="H26" s="12"/>
      <c r="I26" s="11" t="s">
        <v>71</v>
      </c>
      <c r="J26" s="11"/>
      <c r="K26" s="12"/>
      <c r="L26" s="3" t="s">
        <v>492</v>
      </c>
      <c r="M26" s="12"/>
      <c r="N26" s="12"/>
      <c r="O26" s="12"/>
      <c r="P26" s="4" t="s">
        <v>531</v>
      </c>
      <c r="Q26" s="5">
        <v>9158292170</v>
      </c>
      <c r="R26" s="3" t="s">
        <v>858</v>
      </c>
      <c r="S26" s="14">
        <v>33</v>
      </c>
      <c r="T26" s="3" t="s">
        <v>75</v>
      </c>
      <c r="U26" s="3" t="s">
        <v>1058</v>
      </c>
      <c r="V26" s="12"/>
      <c r="W26" s="12"/>
      <c r="X26" s="7">
        <f t="shared" si="0"/>
        <v>24</v>
      </c>
      <c r="Y26" s="7">
        <f t="shared" si="1"/>
        <v>14</v>
      </c>
      <c r="Z26" s="7">
        <f t="shared" si="3"/>
        <v>38</v>
      </c>
      <c r="AA26" s="37">
        <f t="shared" si="4"/>
        <v>3.1666666666666665</v>
      </c>
      <c r="AB26" s="33">
        <f t="shared" si="5"/>
        <v>2</v>
      </c>
      <c r="AC26" s="8">
        <f t="shared" si="6"/>
        <v>1.75</v>
      </c>
      <c r="AD26" s="7">
        <f t="shared" si="7"/>
        <v>9</v>
      </c>
      <c r="AE26" s="34">
        <v>4</v>
      </c>
      <c r="AF26" s="12">
        <v>5</v>
      </c>
      <c r="AG26" s="38">
        <f t="shared" si="8"/>
        <v>4.9166666666666661</v>
      </c>
      <c r="AH26" s="32">
        <f t="shared" si="9"/>
        <v>11</v>
      </c>
      <c r="AI26" s="37">
        <f t="shared" si="10"/>
        <v>4.916666666666667</v>
      </c>
      <c r="AJ26" s="37">
        <f t="shared" si="11"/>
        <v>11</v>
      </c>
      <c r="AK26" s="7">
        <f t="shared" si="12"/>
        <v>59</v>
      </c>
      <c r="AL26" s="7">
        <f t="shared" si="2"/>
        <v>21</v>
      </c>
      <c r="AM26" s="13"/>
      <c r="AN26" s="11" t="s">
        <v>71</v>
      </c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X26" s="13"/>
      <c r="BY26" s="13"/>
      <c r="BZ26" s="13"/>
      <c r="CA26" s="13"/>
      <c r="CB26" s="13"/>
      <c r="CC26" s="11" t="s">
        <v>71</v>
      </c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22" t="s">
        <v>1412</v>
      </c>
      <c r="CS26" s="20">
        <v>6</v>
      </c>
      <c r="CT26" s="20">
        <v>336716229</v>
      </c>
      <c r="CU26" s="13"/>
      <c r="CV26" s="13"/>
      <c r="CW26" s="13"/>
      <c r="CX26" s="13"/>
      <c r="CY26" s="13"/>
      <c r="CZ26" s="13"/>
      <c r="DA26" s="13"/>
      <c r="DB26" s="13"/>
      <c r="DC26" s="13"/>
      <c r="DD26" s="13"/>
    </row>
    <row r="27" spans="1:108" ht="24.95" hidden="1" customHeight="1" x14ac:dyDescent="0.2">
      <c r="A27" s="3">
        <v>23</v>
      </c>
      <c r="B27" s="3" t="s">
        <v>1448</v>
      </c>
      <c r="C27" s="3" t="s">
        <v>83</v>
      </c>
      <c r="D27" s="3" t="s">
        <v>107</v>
      </c>
      <c r="E27" s="3" t="s">
        <v>155</v>
      </c>
      <c r="F27" s="3" t="s">
        <v>156</v>
      </c>
      <c r="G27" s="11" t="s">
        <v>71</v>
      </c>
      <c r="H27" s="12"/>
      <c r="I27" s="17"/>
      <c r="J27" s="11" t="s">
        <v>71</v>
      </c>
      <c r="K27" s="12"/>
      <c r="L27" s="3" t="s">
        <v>492</v>
      </c>
      <c r="M27" s="12"/>
      <c r="N27" s="12"/>
      <c r="O27" s="12"/>
      <c r="P27" s="4" t="s">
        <v>532</v>
      </c>
      <c r="Q27" s="5" t="s">
        <v>715</v>
      </c>
      <c r="R27" s="3" t="s">
        <v>859</v>
      </c>
      <c r="S27" s="14">
        <v>29</v>
      </c>
      <c r="T27" s="3" t="s">
        <v>75</v>
      </c>
      <c r="U27" s="3" t="s">
        <v>77</v>
      </c>
      <c r="V27" s="12"/>
      <c r="W27" s="12"/>
      <c r="X27" s="7">
        <f t="shared" si="0"/>
        <v>24</v>
      </c>
      <c r="Y27" s="7">
        <f t="shared" si="1"/>
        <v>14</v>
      </c>
      <c r="Z27" s="7">
        <f t="shared" si="3"/>
        <v>38</v>
      </c>
      <c r="AA27" s="37">
        <f t="shared" si="4"/>
        <v>3.1666666666666665</v>
      </c>
      <c r="AB27" s="33">
        <f t="shared" si="5"/>
        <v>2</v>
      </c>
      <c r="AC27" s="8">
        <f t="shared" si="6"/>
        <v>3.0833333333333335</v>
      </c>
      <c r="AD27" s="7">
        <f t="shared" si="7"/>
        <v>1</v>
      </c>
      <c r="AE27" s="34">
        <v>5</v>
      </c>
      <c r="AF27" s="12">
        <v>9</v>
      </c>
      <c r="AG27" s="38">
        <f t="shared" si="8"/>
        <v>6.25</v>
      </c>
      <c r="AH27" s="32">
        <f t="shared" si="9"/>
        <v>3</v>
      </c>
      <c r="AI27" s="37">
        <f t="shared" si="10"/>
        <v>6.25</v>
      </c>
      <c r="AJ27" s="37">
        <f t="shared" si="11"/>
        <v>3</v>
      </c>
      <c r="AK27" s="7">
        <f t="shared" si="12"/>
        <v>75</v>
      </c>
      <c r="AL27" s="7">
        <f t="shared" si="2"/>
        <v>37</v>
      </c>
      <c r="AM27" s="13"/>
      <c r="AN27" s="11" t="s">
        <v>71</v>
      </c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X27" s="13"/>
      <c r="BY27" s="13"/>
      <c r="BZ27" s="13"/>
      <c r="CA27" s="13"/>
      <c r="CB27" s="13"/>
      <c r="CC27" s="11" t="s">
        <v>71</v>
      </c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22" t="s">
        <v>1391</v>
      </c>
      <c r="CS27" s="20">
        <v>6</v>
      </c>
      <c r="CT27" s="20">
        <v>345501709</v>
      </c>
      <c r="CU27" s="13"/>
      <c r="CV27" s="13"/>
      <c r="CW27" s="13"/>
      <c r="CX27" s="13"/>
      <c r="CY27" s="13"/>
      <c r="CZ27" s="13"/>
      <c r="DA27" s="13"/>
      <c r="DB27" s="13"/>
      <c r="DC27" s="13"/>
      <c r="DD27" s="13"/>
    </row>
    <row r="28" spans="1:108" ht="24.95" hidden="1" customHeight="1" x14ac:dyDescent="0.2">
      <c r="A28" s="3">
        <v>24</v>
      </c>
      <c r="B28" s="3" t="s">
        <v>1448</v>
      </c>
      <c r="C28" s="3" t="s">
        <v>83</v>
      </c>
      <c r="D28" s="3" t="s">
        <v>100</v>
      </c>
      <c r="E28" s="3" t="s">
        <v>157</v>
      </c>
      <c r="F28" s="3" t="s">
        <v>115</v>
      </c>
      <c r="G28" s="11" t="s">
        <v>71</v>
      </c>
      <c r="H28" s="12"/>
      <c r="I28" s="17"/>
      <c r="J28" s="11" t="s">
        <v>71</v>
      </c>
      <c r="K28" s="12"/>
      <c r="L28" s="3" t="s">
        <v>492</v>
      </c>
      <c r="M28" s="12"/>
      <c r="N28" s="12"/>
      <c r="O28" s="12"/>
      <c r="P28" s="4" t="s">
        <v>533</v>
      </c>
      <c r="Q28" s="5" t="s">
        <v>716</v>
      </c>
      <c r="R28" s="3" t="s">
        <v>860</v>
      </c>
      <c r="S28" s="14">
        <v>39</v>
      </c>
      <c r="T28" s="3" t="s">
        <v>76</v>
      </c>
      <c r="U28" s="3" t="s">
        <v>1052</v>
      </c>
      <c r="V28" s="12"/>
      <c r="W28" s="12"/>
      <c r="X28" s="7">
        <f t="shared" si="0"/>
        <v>24</v>
      </c>
      <c r="Y28" s="7">
        <f t="shared" si="1"/>
        <v>14</v>
      </c>
      <c r="Z28" s="7">
        <f t="shared" si="3"/>
        <v>38</v>
      </c>
      <c r="AA28" s="37">
        <v>4</v>
      </c>
      <c r="AB28" s="33">
        <f t="shared" si="5"/>
        <v>2</v>
      </c>
      <c r="AC28" s="8">
        <f t="shared" si="6"/>
        <v>12.25</v>
      </c>
      <c r="AD28" s="7">
        <f t="shared" si="7"/>
        <v>3</v>
      </c>
      <c r="AE28" s="34">
        <v>14</v>
      </c>
      <c r="AF28" s="12">
        <v>11</v>
      </c>
      <c r="AG28" s="38">
        <f t="shared" si="8"/>
        <v>16.25</v>
      </c>
      <c r="AH28" s="32">
        <f t="shared" si="9"/>
        <v>5</v>
      </c>
      <c r="AI28" s="37">
        <f t="shared" si="10"/>
        <v>15.416666666666666</v>
      </c>
      <c r="AJ28" s="37">
        <f t="shared" si="11"/>
        <v>5</v>
      </c>
      <c r="AK28" s="7">
        <f t="shared" si="12"/>
        <v>185</v>
      </c>
      <c r="AL28" s="7">
        <f t="shared" si="2"/>
        <v>147</v>
      </c>
      <c r="AM28" s="13"/>
      <c r="AN28" s="11" t="s">
        <v>71</v>
      </c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X28" s="13"/>
      <c r="BY28" s="13"/>
      <c r="BZ28" s="13"/>
      <c r="CA28" s="13"/>
      <c r="CB28" s="13"/>
      <c r="CC28" s="13"/>
      <c r="CD28" s="13"/>
      <c r="CE28" s="13"/>
      <c r="CF28" s="13"/>
      <c r="CG28" s="11" t="s">
        <v>71</v>
      </c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22" t="s">
        <v>1380</v>
      </c>
      <c r="CS28" s="20">
        <v>4</v>
      </c>
      <c r="CT28" s="20">
        <v>369170701</v>
      </c>
      <c r="CU28" s="13"/>
      <c r="CV28" s="13"/>
      <c r="CW28" s="13"/>
      <c r="CX28" s="13"/>
      <c r="CY28" s="13"/>
      <c r="CZ28" s="13"/>
      <c r="DA28" s="13"/>
      <c r="DB28" s="13"/>
      <c r="DC28" s="13"/>
      <c r="DD28" s="13"/>
    </row>
    <row r="29" spans="1:108" ht="24.95" hidden="1" customHeight="1" x14ac:dyDescent="0.2">
      <c r="A29" s="3">
        <v>25</v>
      </c>
      <c r="B29" s="3" t="s">
        <v>1448</v>
      </c>
      <c r="C29" s="3" t="s">
        <v>83</v>
      </c>
      <c r="D29" s="3" t="s">
        <v>158</v>
      </c>
      <c r="E29" s="3" t="s">
        <v>159</v>
      </c>
      <c r="F29" s="3" t="s">
        <v>160</v>
      </c>
      <c r="G29" s="11" t="s">
        <v>71</v>
      </c>
      <c r="H29" s="12"/>
      <c r="I29" s="17"/>
      <c r="J29" s="11" t="s">
        <v>71</v>
      </c>
      <c r="K29" s="12"/>
      <c r="L29" s="3" t="s">
        <v>492</v>
      </c>
      <c r="M29" s="12"/>
      <c r="N29" s="12"/>
      <c r="O29" s="12"/>
      <c r="P29" s="4" t="s">
        <v>534</v>
      </c>
      <c r="Q29" s="5" t="s">
        <v>717</v>
      </c>
      <c r="R29" s="3" t="s">
        <v>861</v>
      </c>
      <c r="S29" s="14">
        <v>39</v>
      </c>
      <c r="T29" s="3" t="s">
        <v>1024</v>
      </c>
      <c r="U29" s="3" t="s">
        <v>1059</v>
      </c>
      <c r="V29" s="12"/>
      <c r="W29" s="12"/>
      <c r="X29" s="7">
        <f t="shared" si="0"/>
        <v>24</v>
      </c>
      <c r="Y29" s="7">
        <f t="shared" si="1"/>
        <v>14</v>
      </c>
      <c r="Z29" s="7">
        <f t="shared" si="3"/>
        <v>38</v>
      </c>
      <c r="AA29" s="37">
        <v>4</v>
      </c>
      <c r="AB29" s="33">
        <f t="shared" si="5"/>
        <v>2</v>
      </c>
      <c r="AC29" s="8">
        <f t="shared" si="6"/>
        <v>14</v>
      </c>
      <c r="AD29" s="7">
        <f t="shared" si="7"/>
        <v>0</v>
      </c>
      <c r="AE29" s="34">
        <v>16</v>
      </c>
      <c r="AF29" s="12">
        <v>8</v>
      </c>
      <c r="AG29" s="38">
        <f t="shared" si="8"/>
        <v>18</v>
      </c>
      <c r="AH29" s="32">
        <f t="shared" si="9"/>
        <v>2</v>
      </c>
      <c r="AI29" s="37">
        <f t="shared" si="10"/>
        <v>17.166666666666668</v>
      </c>
      <c r="AJ29" s="37">
        <f t="shared" si="11"/>
        <v>2</v>
      </c>
      <c r="AK29" s="7">
        <f t="shared" si="12"/>
        <v>206</v>
      </c>
      <c r="AL29" s="7">
        <f t="shared" si="2"/>
        <v>168</v>
      </c>
      <c r="AM29" s="13"/>
      <c r="AN29" s="11" t="s">
        <v>71</v>
      </c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X29" s="13"/>
      <c r="BY29" s="13"/>
      <c r="BZ29" s="13"/>
      <c r="CA29" s="13"/>
      <c r="CB29" s="13"/>
      <c r="CC29" s="11" t="s">
        <v>71</v>
      </c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22" t="s">
        <v>1422</v>
      </c>
      <c r="CS29" s="20">
        <v>6</v>
      </c>
      <c r="CT29" s="20">
        <v>355575386</v>
      </c>
      <c r="CU29" s="13"/>
      <c r="CV29" s="13"/>
      <c r="CW29" s="13"/>
      <c r="CX29" s="13"/>
      <c r="CY29" s="13"/>
      <c r="CZ29" s="13"/>
      <c r="DA29" s="13"/>
      <c r="DB29" s="13"/>
      <c r="DC29" s="13"/>
      <c r="DD29" s="13"/>
    </row>
    <row r="30" spans="1:108" ht="24.95" hidden="1" customHeight="1" x14ac:dyDescent="0.2">
      <c r="A30" s="3">
        <v>26</v>
      </c>
      <c r="B30" s="3" t="s">
        <v>1448</v>
      </c>
      <c r="C30" s="3" t="s">
        <v>83</v>
      </c>
      <c r="D30" s="3" t="s">
        <v>119</v>
      </c>
      <c r="E30" s="3" t="s">
        <v>159</v>
      </c>
      <c r="F30" s="3" t="s">
        <v>160</v>
      </c>
      <c r="G30" s="11" t="s">
        <v>71</v>
      </c>
      <c r="H30" s="12"/>
      <c r="I30" s="17"/>
      <c r="J30" s="11" t="s">
        <v>71</v>
      </c>
      <c r="K30" s="12"/>
      <c r="L30" s="3" t="s">
        <v>492</v>
      </c>
      <c r="M30" s="12"/>
      <c r="N30" s="12"/>
      <c r="O30" s="12"/>
      <c r="P30" s="4" t="s">
        <v>535</v>
      </c>
      <c r="Q30" s="5" t="s">
        <v>718</v>
      </c>
      <c r="R30" s="3" t="s">
        <v>862</v>
      </c>
      <c r="S30" s="14">
        <v>37</v>
      </c>
      <c r="T30" s="3" t="s">
        <v>76</v>
      </c>
      <c r="U30" s="3" t="s">
        <v>1045</v>
      </c>
      <c r="V30" s="12"/>
      <c r="W30" s="12"/>
      <c r="X30" s="7">
        <f t="shared" si="0"/>
        <v>24</v>
      </c>
      <c r="Y30" s="7">
        <f t="shared" si="1"/>
        <v>14</v>
      </c>
      <c r="Z30" s="7">
        <f t="shared" si="3"/>
        <v>38</v>
      </c>
      <c r="AA30" s="37">
        <v>4</v>
      </c>
      <c r="AB30" s="33">
        <f t="shared" si="5"/>
        <v>2</v>
      </c>
      <c r="AC30" s="8">
        <f t="shared" si="6"/>
        <v>1.8333333333333333</v>
      </c>
      <c r="AD30" s="7">
        <f t="shared" si="7"/>
        <v>10</v>
      </c>
      <c r="AE30" s="34">
        <v>4</v>
      </c>
      <c r="AF30" s="12">
        <v>6</v>
      </c>
      <c r="AG30" s="38">
        <v>7</v>
      </c>
      <c r="AH30" s="32">
        <v>0</v>
      </c>
      <c r="AI30" s="37">
        <f t="shared" si="10"/>
        <v>5</v>
      </c>
      <c r="AJ30" s="37">
        <f t="shared" si="11"/>
        <v>0</v>
      </c>
      <c r="AK30" s="7">
        <f t="shared" si="12"/>
        <v>60</v>
      </c>
      <c r="AL30" s="7">
        <f t="shared" si="2"/>
        <v>22</v>
      </c>
      <c r="AM30" s="13"/>
      <c r="AN30" s="11" t="s">
        <v>71</v>
      </c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X30" s="13"/>
      <c r="BY30" s="13"/>
      <c r="BZ30" s="13"/>
      <c r="CA30" s="13"/>
      <c r="CB30" s="13"/>
      <c r="CC30" s="11" t="s">
        <v>71</v>
      </c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22" t="s">
        <v>1382</v>
      </c>
      <c r="CS30" s="20">
        <v>1</v>
      </c>
      <c r="CT30" s="20">
        <v>347426209</v>
      </c>
      <c r="CU30" s="13"/>
      <c r="CV30" s="13"/>
      <c r="CW30" s="13"/>
      <c r="CX30" s="13"/>
      <c r="CY30" s="13"/>
      <c r="CZ30" s="13"/>
      <c r="DA30" s="13"/>
      <c r="DB30" s="13"/>
      <c r="DC30" s="13"/>
      <c r="DD30" s="13"/>
    </row>
    <row r="31" spans="1:108" ht="24.95" hidden="1" customHeight="1" x14ac:dyDescent="0.2">
      <c r="A31" s="3">
        <v>27</v>
      </c>
      <c r="B31" s="3" t="s">
        <v>1448</v>
      </c>
      <c r="C31" s="3" t="s">
        <v>85</v>
      </c>
      <c r="D31" s="3" t="s">
        <v>161</v>
      </c>
      <c r="E31" s="3" t="s">
        <v>162</v>
      </c>
      <c r="F31" s="3" t="s">
        <v>163</v>
      </c>
      <c r="G31" s="11" t="s">
        <v>71</v>
      </c>
      <c r="H31" s="12"/>
      <c r="I31" s="17"/>
      <c r="J31" s="11" t="s">
        <v>71</v>
      </c>
      <c r="K31" s="12"/>
      <c r="L31" s="3" t="s">
        <v>492</v>
      </c>
      <c r="M31" s="12"/>
      <c r="N31" s="12"/>
      <c r="O31" s="12"/>
      <c r="P31" s="4" t="s">
        <v>536</v>
      </c>
      <c r="Q31" s="5" t="s">
        <v>719</v>
      </c>
      <c r="R31" s="3" t="s">
        <v>863</v>
      </c>
      <c r="S31" s="14">
        <v>27</v>
      </c>
      <c r="T31" s="3" t="s">
        <v>1023</v>
      </c>
      <c r="U31" s="3" t="s">
        <v>1060</v>
      </c>
      <c r="V31" s="12"/>
      <c r="W31" s="12"/>
      <c r="X31" s="7">
        <f t="shared" si="0"/>
        <v>24</v>
      </c>
      <c r="Y31" s="7">
        <f t="shared" si="1"/>
        <v>14</v>
      </c>
      <c r="Z31" s="7">
        <f t="shared" si="3"/>
        <v>38</v>
      </c>
      <c r="AA31" s="37">
        <v>3</v>
      </c>
      <c r="AB31" s="33">
        <f t="shared" si="5"/>
        <v>2</v>
      </c>
      <c r="AC31" s="8">
        <f t="shared" si="6"/>
        <v>0.58333333333333337</v>
      </c>
      <c r="AD31" s="7">
        <f t="shared" si="7"/>
        <v>7</v>
      </c>
      <c r="AE31" s="34">
        <v>3</v>
      </c>
      <c r="AF31" s="12">
        <v>3</v>
      </c>
      <c r="AG31" s="38">
        <f t="shared" si="8"/>
        <v>3.5833333333333335</v>
      </c>
      <c r="AH31" s="32">
        <f t="shared" si="9"/>
        <v>9</v>
      </c>
      <c r="AI31" s="37">
        <f t="shared" si="10"/>
        <v>3.75</v>
      </c>
      <c r="AJ31" s="37">
        <f t="shared" si="11"/>
        <v>9</v>
      </c>
      <c r="AK31" s="7">
        <f t="shared" si="12"/>
        <v>45</v>
      </c>
      <c r="AL31" s="7">
        <f t="shared" si="2"/>
        <v>7</v>
      </c>
      <c r="AM31" s="13"/>
      <c r="AN31" s="11" t="s">
        <v>71</v>
      </c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X31" s="13"/>
      <c r="BY31" s="13"/>
      <c r="BZ31" s="13"/>
      <c r="CA31" s="13"/>
      <c r="CB31" s="13"/>
      <c r="CC31" s="13"/>
      <c r="CD31" s="13"/>
      <c r="CE31" s="13"/>
      <c r="CF31" s="13"/>
      <c r="CG31" s="11" t="s">
        <v>71</v>
      </c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22" t="s">
        <v>1380</v>
      </c>
      <c r="CS31" s="20">
        <v>4</v>
      </c>
      <c r="CT31" s="20">
        <v>355631476</v>
      </c>
      <c r="CU31" s="13"/>
      <c r="CV31" s="13"/>
      <c r="CW31" s="13"/>
      <c r="CX31" s="13"/>
      <c r="CY31" s="13"/>
      <c r="CZ31" s="13"/>
      <c r="DA31" s="13"/>
      <c r="DB31" s="13"/>
      <c r="DC31" s="13"/>
      <c r="DD31" s="13"/>
    </row>
    <row r="32" spans="1:108" ht="24.95" hidden="1" customHeight="1" x14ac:dyDescent="0.2">
      <c r="A32" s="3">
        <v>28</v>
      </c>
      <c r="B32" s="3" t="s">
        <v>1448</v>
      </c>
      <c r="C32" s="3" t="s">
        <v>86</v>
      </c>
      <c r="D32" s="3" t="s">
        <v>164</v>
      </c>
      <c r="E32" s="3" t="s">
        <v>165</v>
      </c>
      <c r="F32" s="3" t="s">
        <v>166</v>
      </c>
      <c r="G32" s="11" t="s">
        <v>71</v>
      </c>
      <c r="H32" s="12"/>
      <c r="I32" s="17"/>
      <c r="J32" s="11" t="s">
        <v>71</v>
      </c>
      <c r="K32" s="12"/>
      <c r="L32" s="3" t="s">
        <v>482</v>
      </c>
      <c r="M32" s="12"/>
      <c r="N32" s="12"/>
      <c r="O32" s="12"/>
      <c r="P32" s="4" t="s">
        <v>537</v>
      </c>
      <c r="Q32" s="5">
        <v>9910912190</v>
      </c>
      <c r="R32" s="3" t="s">
        <v>864</v>
      </c>
      <c r="S32" s="14">
        <v>33</v>
      </c>
      <c r="T32" s="3" t="s">
        <v>75</v>
      </c>
      <c r="U32" s="3" t="s">
        <v>1061</v>
      </c>
      <c r="V32" s="12"/>
      <c r="W32" s="12"/>
      <c r="X32" s="7">
        <f t="shared" si="0"/>
        <v>72</v>
      </c>
      <c r="Y32" s="7">
        <f t="shared" si="1"/>
        <v>6</v>
      </c>
      <c r="Z32" s="7">
        <f t="shared" si="3"/>
        <v>78</v>
      </c>
      <c r="AA32" s="37">
        <v>6</v>
      </c>
      <c r="AB32" s="33">
        <f t="shared" si="5"/>
        <v>6</v>
      </c>
      <c r="AC32" s="8">
        <f t="shared" si="6"/>
        <v>1.3333333333333333</v>
      </c>
      <c r="AD32" s="7">
        <f t="shared" si="7"/>
        <v>4</v>
      </c>
      <c r="AE32" s="34">
        <v>7</v>
      </c>
      <c r="AF32" s="12">
        <v>4</v>
      </c>
      <c r="AG32" s="38">
        <f t="shared" si="8"/>
        <v>7.333333333333333</v>
      </c>
      <c r="AH32" s="32">
        <f t="shared" si="9"/>
        <v>10</v>
      </c>
      <c r="AI32" s="37">
        <f t="shared" si="10"/>
        <v>7.833333333333333</v>
      </c>
      <c r="AJ32" s="37">
        <f t="shared" si="11"/>
        <v>10</v>
      </c>
      <c r="AK32" s="7">
        <f t="shared" si="12"/>
        <v>94</v>
      </c>
      <c r="AL32" s="7">
        <f t="shared" si="2"/>
        <v>16</v>
      </c>
      <c r="AM32" s="13"/>
      <c r="AN32" s="11" t="s">
        <v>71</v>
      </c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X32" s="13"/>
      <c r="BY32" s="13"/>
      <c r="BZ32" s="13"/>
      <c r="CA32" s="13"/>
      <c r="CB32" s="13"/>
      <c r="CC32" s="13"/>
      <c r="CD32" s="13"/>
      <c r="CE32" s="13"/>
      <c r="CF32" s="13"/>
      <c r="CG32" s="11" t="s">
        <v>71</v>
      </c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22" t="s">
        <v>1380</v>
      </c>
      <c r="CS32" s="20">
        <v>4</v>
      </c>
      <c r="CT32" s="20">
        <v>342303847</v>
      </c>
      <c r="CU32" s="13"/>
      <c r="CV32" s="13"/>
      <c r="CW32" s="13"/>
      <c r="CX32" s="13"/>
      <c r="CY32" s="13"/>
      <c r="CZ32" s="13"/>
      <c r="DA32" s="13"/>
      <c r="DB32" s="13"/>
      <c r="DC32" s="13"/>
      <c r="DD32" s="13"/>
    </row>
    <row r="33" spans="1:108" ht="24.95" hidden="1" customHeight="1" x14ac:dyDescent="0.2">
      <c r="A33" s="3">
        <v>29</v>
      </c>
      <c r="B33" s="3" t="s">
        <v>1448</v>
      </c>
      <c r="C33" s="3" t="s">
        <v>83</v>
      </c>
      <c r="D33" s="3" t="s">
        <v>167</v>
      </c>
      <c r="E33" s="3" t="s">
        <v>168</v>
      </c>
      <c r="F33" s="3" t="s">
        <v>169</v>
      </c>
      <c r="G33" s="11" t="s">
        <v>71</v>
      </c>
      <c r="H33" s="12"/>
      <c r="I33" s="17"/>
      <c r="J33" s="11" t="s">
        <v>71</v>
      </c>
      <c r="K33" s="12"/>
      <c r="L33" s="3" t="s">
        <v>492</v>
      </c>
      <c r="M33" s="12"/>
      <c r="N33" s="12"/>
      <c r="O33" s="12"/>
      <c r="P33" s="4" t="s">
        <v>538</v>
      </c>
      <c r="Q33" s="5" t="s">
        <v>720</v>
      </c>
      <c r="R33" s="3" t="s">
        <v>865</v>
      </c>
      <c r="S33" s="14">
        <v>41</v>
      </c>
      <c r="T33" s="3" t="s">
        <v>75</v>
      </c>
      <c r="U33" s="3" t="s">
        <v>1062</v>
      </c>
      <c r="V33" s="12"/>
      <c r="W33" s="12"/>
      <c r="X33" s="7">
        <f t="shared" si="0"/>
        <v>24</v>
      </c>
      <c r="Y33" s="7">
        <f t="shared" si="1"/>
        <v>14</v>
      </c>
      <c r="Z33" s="7">
        <f t="shared" si="3"/>
        <v>38</v>
      </c>
      <c r="AA33" s="37">
        <f t="shared" si="4"/>
        <v>3.1666666666666665</v>
      </c>
      <c r="AB33" s="33">
        <f t="shared" si="5"/>
        <v>2</v>
      </c>
      <c r="AC33" s="8">
        <f t="shared" si="6"/>
        <v>9.75</v>
      </c>
      <c r="AD33" s="7">
        <f t="shared" si="7"/>
        <v>9</v>
      </c>
      <c r="AE33" s="34">
        <v>12</v>
      </c>
      <c r="AF33" s="12">
        <v>5</v>
      </c>
      <c r="AG33" s="38">
        <f t="shared" si="8"/>
        <v>12.916666666666666</v>
      </c>
      <c r="AH33" s="32">
        <f t="shared" si="9"/>
        <v>11</v>
      </c>
      <c r="AI33" s="37">
        <f t="shared" si="10"/>
        <v>12.916666666666666</v>
      </c>
      <c r="AJ33" s="37">
        <f t="shared" si="11"/>
        <v>11</v>
      </c>
      <c r="AK33" s="7">
        <f t="shared" si="12"/>
        <v>155</v>
      </c>
      <c r="AL33" s="7">
        <f t="shared" si="2"/>
        <v>117</v>
      </c>
      <c r="AM33" s="13"/>
      <c r="AN33" s="11" t="s">
        <v>71</v>
      </c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X33" s="13"/>
      <c r="BY33" s="13"/>
      <c r="BZ33" s="13"/>
      <c r="CA33" s="13"/>
      <c r="CB33" s="13"/>
      <c r="CC33" s="11" t="s">
        <v>71</v>
      </c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22" t="s">
        <v>1391</v>
      </c>
      <c r="CS33" s="20">
        <v>6</v>
      </c>
      <c r="CT33" s="20">
        <v>353226706</v>
      </c>
      <c r="CU33" s="13"/>
      <c r="CV33" s="13"/>
      <c r="CW33" s="13"/>
      <c r="CX33" s="13"/>
      <c r="CY33" s="13"/>
      <c r="CZ33" s="13"/>
      <c r="DA33" s="13"/>
      <c r="DB33" s="13"/>
      <c r="DC33" s="13"/>
      <c r="DD33" s="13"/>
    </row>
    <row r="34" spans="1:108" ht="24.95" hidden="1" customHeight="1" x14ac:dyDescent="0.2">
      <c r="A34" s="3">
        <v>30</v>
      </c>
      <c r="B34" s="3" t="s">
        <v>1448</v>
      </c>
      <c r="C34" s="3" t="s">
        <v>88</v>
      </c>
      <c r="D34" s="3" t="s">
        <v>170</v>
      </c>
      <c r="E34" s="3" t="s">
        <v>171</v>
      </c>
      <c r="F34" s="3" t="s">
        <v>172</v>
      </c>
      <c r="G34" s="11" t="s">
        <v>71</v>
      </c>
      <c r="H34" s="12"/>
      <c r="I34" s="17"/>
      <c r="J34" s="11" t="s">
        <v>71</v>
      </c>
      <c r="K34" s="12"/>
      <c r="L34" s="3" t="s">
        <v>492</v>
      </c>
      <c r="M34" s="12"/>
      <c r="N34" s="12"/>
      <c r="O34" s="12"/>
      <c r="P34" s="4" t="s">
        <v>539</v>
      </c>
      <c r="Q34" s="5" t="s">
        <v>721</v>
      </c>
      <c r="R34" s="3" t="s">
        <v>866</v>
      </c>
      <c r="S34" s="14">
        <v>42</v>
      </c>
      <c r="T34" s="3" t="s">
        <v>75</v>
      </c>
      <c r="U34" s="3" t="s">
        <v>1063</v>
      </c>
      <c r="V34" s="12"/>
      <c r="W34" s="12"/>
      <c r="X34" s="7">
        <f t="shared" si="0"/>
        <v>24</v>
      </c>
      <c r="Y34" s="7">
        <f t="shared" si="1"/>
        <v>14</v>
      </c>
      <c r="Z34" s="7">
        <f t="shared" si="3"/>
        <v>38</v>
      </c>
      <c r="AA34" s="37">
        <f t="shared" si="4"/>
        <v>3.1666666666666665</v>
      </c>
      <c r="AB34" s="33">
        <f t="shared" si="5"/>
        <v>2</v>
      </c>
      <c r="AC34" s="8">
        <f t="shared" si="6"/>
        <v>10.333333333333334</v>
      </c>
      <c r="AD34" s="7">
        <f t="shared" si="7"/>
        <v>4</v>
      </c>
      <c r="AE34" s="34">
        <v>13</v>
      </c>
      <c r="AF34" s="12">
        <v>0</v>
      </c>
      <c r="AG34" s="38">
        <f t="shared" si="8"/>
        <v>13.5</v>
      </c>
      <c r="AH34" s="32">
        <f t="shared" si="9"/>
        <v>6</v>
      </c>
      <c r="AI34" s="37">
        <f t="shared" si="10"/>
        <v>13.5</v>
      </c>
      <c r="AJ34" s="37">
        <f t="shared" si="11"/>
        <v>6</v>
      </c>
      <c r="AK34" s="7">
        <f t="shared" si="12"/>
        <v>162</v>
      </c>
      <c r="AL34" s="7">
        <f t="shared" si="2"/>
        <v>124</v>
      </c>
      <c r="AM34" s="13"/>
      <c r="AN34" s="11" t="s">
        <v>71</v>
      </c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X34" s="13"/>
      <c r="BY34" s="13"/>
      <c r="BZ34" s="13"/>
      <c r="CA34" s="13"/>
      <c r="CB34" s="13"/>
      <c r="CC34" s="11" t="s">
        <v>71</v>
      </c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22" t="s">
        <v>73</v>
      </c>
      <c r="CS34" s="20">
        <v>6</v>
      </c>
      <c r="CT34" s="20">
        <v>327148241</v>
      </c>
      <c r="CU34" s="13"/>
      <c r="CV34" s="13"/>
      <c r="CW34" s="13"/>
      <c r="CX34" s="13"/>
      <c r="CY34" s="13"/>
      <c r="CZ34" s="13"/>
      <c r="DA34" s="13"/>
      <c r="DB34" s="13"/>
      <c r="DC34" s="13"/>
      <c r="DD34" s="13"/>
    </row>
    <row r="35" spans="1:108" ht="24.95" hidden="1" customHeight="1" x14ac:dyDescent="0.2">
      <c r="A35" s="3">
        <v>31</v>
      </c>
      <c r="B35" s="3" t="s">
        <v>1448</v>
      </c>
      <c r="C35" s="3" t="s">
        <v>91</v>
      </c>
      <c r="D35" s="3" t="s">
        <v>173</v>
      </c>
      <c r="E35" s="3" t="s">
        <v>174</v>
      </c>
      <c r="F35" s="3" t="s">
        <v>175</v>
      </c>
      <c r="G35" s="11" t="s">
        <v>71</v>
      </c>
      <c r="H35" s="12"/>
      <c r="I35" s="17"/>
      <c r="J35" s="11" t="s">
        <v>71</v>
      </c>
      <c r="K35" s="12"/>
      <c r="L35" s="3" t="s">
        <v>477</v>
      </c>
      <c r="M35" s="12"/>
      <c r="N35" s="12"/>
      <c r="O35" s="12"/>
      <c r="P35" s="4" t="s">
        <v>540</v>
      </c>
      <c r="Q35" s="5">
        <v>9124603668</v>
      </c>
      <c r="R35" s="3" t="s">
        <v>867</v>
      </c>
      <c r="S35" s="14">
        <v>53</v>
      </c>
      <c r="T35" s="3" t="s">
        <v>1028</v>
      </c>
      <c r="U35" s="3" t="s">
        <v>1064</v>
      </c>
      <c r="V35" s="12"/>
      <c r="W35" s="12"/>
      <c r="X35" s="7">
        <f t="shared" si="0"/>
        <v>132</v>
      </c>
      <c r="Y35" s="7">
        <f t="shared" si="1"/>
        <v>16</v>
      </c>
      <c r="Z35" s="7">
        <f t="shared" si="3"/>
        <v>148</v>
      </c>
      <c r="AA35" s="37">
        <f t="shared" si="4"/>
        <v>12.333333333333334</v>
      </c>
      <c r="AB35" s="33">
        <f t="shared" si="5"/>
        <v>4</v>
      </c>
      <c r="AC35" s="8">
        <f t="shared" si="6"/>
        <v>10.083333333333334</v>
      </c>
      <c r="AD35" s="7">
        <f t="shared" si="7"/>
        <v>1</v>
      </c>
      <c r="AE35" s="34">
        <v>21</v>
      </c>
      <c r="AF35" s="12">
        <v>11</v>
      </c>
      <c r="AG35" s="38">
        <f t="shared" si="8"/>
        <v>22.416666666666668</v>
      </c>
      <c r="AH35" s="32">
        <f t="shared" si="9"/>
        <v>5</v>
      </c>
      <c r="AI35" s="37">
        <f t="shared" si="10"/>
        <v>22.416666666666668</v>
      </c>
      <c r="AJ35" s="37">
        <f t="shared" si="11"/>
        <v>5</v>
      </c>
      <c r="AK35" s="7">
        <f t="shared" si="12"/>
        <v>269</v>
      </c>
      <c r="AL35" s="7">
        <f t="shared" si="2"/>
        <v>121</v>
      </c>
      <c r="AM35" s="13"/>
      <c r="AN35" s="11" t="s">
        <v>71</v>
      </c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X35" s="13"/>
      <c r="BY35" s="13"/>
      <c r="BZ35" s="13"/>
      <c r="CA35" s="13"/>
      <c r="CB35" s="13"/>
      <c r="CC35" s="11" t="s">
        <v>71</v>
      </c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22" t="s">
        <v>1421</v>
      </c>
      <c r="CS35" s="21">
        <v>10</v>
      </c>
      <c r="CT35" s="20">
        <v>496959344</v>
      </c>
      <c r="CU35" s="13"/>
      <c r="CV35" s="13"/>
      <c r="CW35" s="13"/>
      <c r="CX35" s="13"/>
      <c r="CY35" s="13"/>
      <c r="CZ35" s="13"/>
      <c r="DA35" s="13"/>
      <c r="DB35" s="13"/>
      <c r="DC35" s="13"/>
      <c r="DD35" s="13"/>
    </row>
    <row r="36" spans="1:108" ht="24.95" hidden="1" customHeight="1" x14ac:dyDescent="0.2">
      <c r="A36" s="3">
        <v>32</v>
      </c>
      <c r="B36" s="3" t="s">
        <v>1448</v>
      </c>
      <c r="C36" s="3" t="s">
        <v>84</v>
      </c>
      <c r="D36" s="3" t="s">
        <v>176</v>
      </c>
      <c r="E36" s="3" t="s">
        <v>177</v>
      </c>
      <c r="F36" s="3" t="s">
        <v>111</v>
      </c>
      <c r="G36" s="11" t="s">
        <v>71</v>
      </c>
      <c r="H36" s="12"/>
      <c r="I36" s="11" t="s">
        <v>71</v>
      </c>
      <c r="J36" s="11"/>
      <c r="K36" s="12"/>
      <c r="L36" s="3" t="s">
        <v>492</v>
      </c>
      <c r="M36" s="12"/>
      <c r="N36" s="12"/>
      <c r="O36" s="12"/>
      <c r="P36" s="4" t="s">
        <v>541</v>
      </c>
      <c r="Q36" s="5" t="s">
        <v>722</v>
      </c>
      <c r="R36" s="3" t="s">
        <v>868</v>
      </c>
      <c r="S36" s="14">
        <v>33</v>
      </c>
      <c r="T36" s="3" t="s">
        <v>75</v>
      </c>
      <c r="U36" s="3" t="s">
        <v>1065</v>
      </c>
      <c r="V36" s="12"/>
      <c r="W36" s="12"/>
      <c r="X36" s="7">
        <f t="shared" si="0"/>
        <v>24</v>
      </c>
      <c r="Y36" s="7">
        <f t="shared" si="1"/>
        <v>14</v>
      </c>
      <c r="Z36" s="7">
        <f t="shared" si="3"/>
        <v>38</v>
      </c>
      <c r="AA36" s="37">
        <v>4</v>
      </c>
      <c r="AB36" s="33">
        <f t="shared" si="5"/>
        <v>2</v>
      </c>
      <c r="AC36" s="8">
        <f t="shared" si="6"/>
        <v>2.75</v>
      </c>
      <c r="AD36" s="7">
        <f t="shared" si="7"/>
        <v>9</v>
      </c>
      <c r="AE36" s="34">
        <v>5</v>
      </c>
      <c r="AF36" s="12">
        <v>5</v>
      </c>
      <c r="AG36" s="38">
        <f t="shared" si="8"/>
        <v>6.75</v>
      </c>
      <c r="AH36" s="32">
        <f t="shared" si="9"/>
        <v>11</v>
      </c>
      <c r="AI36" s="37">
        <f t="shared" si="10"/>
        <v>5.916666666666667</v>
      </c>
      <c r="AJ36" s="37">
        <f t="shared" si="11"/>
        <v>11</v>
      </c>
      <c r="AK36" s="7">
        <f t="shared" si="12"/>
        <v>71</v>
      </c>
      <c r="AL36" s="7">
        <f t="shared" si="2"/>
        <v>33</v>
      </c>
      <c r="AM36" s="13"/>
      <c r="AN36" s="11" t="s">
        <v>71</v>
      </c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X36" s="13"/>
      <c r="BY36" s="13"/>
      <c r="BZ36" s="13"/>
      <c r="CA36" s="13"/>
      <c r="CB36" s="13"/>
      <c r="CC36" s="13"/>
      <c r="CD36" s="13"/>
      <c r="CE36" s="13"/>
      <c r="CF36" s="13"/>
      <c r="CG36" s="11" t="s">
        <v>71</v>
      </c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22" t="s">
        <v>1380</v>
      </c>
      <c r="CS36" s="20">
        <v>4</v>
      </c>
      <c r="CT36" s="20">
        <v>336605465</v>
      </c>
      <c r="CU36" s="13"/>
      <c r="CV36" s="13"/>
      <c r="CW36" s="13"/>
      <c r="CX36" s="13"/>
      <c r="CY36" s="13"/>
      <c r="CZ36" s="13"/>
      <c r="DA36" s="13"/>
      <c r="DB36" s="13"/>
      <c r="DC36" s="13"/>
      <c r="DD36" s="13"/>
    </row>
    <row r="37" spans="1:108" ht="24.95" hidden="1" customHeight="1" x14ac:dyDescent="0.2">
      <c r="A37" s="3">
        <v>33</v>
      </c>
      <c r="B37" s="3" t="s">
        <v>1448</v>
      </c>
      <c r="C37" s="3" t="s">
        <v>89</v>
      </c>
      <c r="D37" s="3" t="s">
        <v>100</v>
      </c>
      <c r="E37" s="3" t="s">
        <v>178</v>
      </c>
      <c r="F37" s="3" t="s">
        <v>179</v>
      </c>
      <c r="G37" s="11" t="s">
        <v>71</v>
      </c>
      <c r="H37" s="12"/>
      <c r="I37" s="11" t="s">
        <v>71</v>
      </c>
      <c r="J37" s="11"/>
      <c r="K37" s="12"/>
      <c r="L37" s="3" t="s">
        <v>492</v>
      </c>
      <c r="M37" s="12"/>
      <c r="N37" s="12"/>
      <c r="O37" s="12"/>
      <c r="P37" s="4" t="s">
        <v>542</v>
      </c>
      <c r="Q37" s="5" t="s">
        <v>723</v>
      </c>
      <c r="R37" s="3" t="s">
        <v>869</v>
      </c>
      <c r="S37" s="14">
        <v>29</v>
      </c>
      <c r="T37" s="3" t="s">
        <v>75</v>
      </c>
      <c r="U37" s="3" t="s">
        <v>1066</v>
      </c>
      <c r="V37" s="12"/>
      <c r="W37" s="12"/>
      <c r="X37" s="7">
        <f t="shared" si="0"/>
        <v>24</v>
      </c>
      <c r="Y37" s="7">
        <f t="shared" si="1"/>
        <v>14</v>
      </c>
      <c r="Z37" s="7">
        <f t="shared" si="3"/>
        <v>38</v>
      </c>
      <c r="AA37" s="37">
        <f t="shared" si="4"/>
        <v>3.1666666666666665</v>
      </c>
      <c r="AB37" s="33">
        <f t="shared" si="5"/>
        <v>2</v>
      </c>
      <c r="AC37" s="8">
        <f t="shared" si="6"/>
        <v>2.5</v>
      </c>
      <c r="AD37" s="7">
        <f t="shared" si="7"/>
        <v>6</v>
      </c>
      <c r="AE37" s="34">
        <v>5.083333333333333</v>
      </c>
      <c r="AF37" s="12">
        <v>1</v>
      </c>
      <c r="AG37" s="38">
        <f t="shared" si="8"/>
        <v>5.6666666666666661</v>
      </c>
      <c r="AH37" s="32">
        <f t="shared" si="9"/>
        <v>8</v>
      </c>
      <c r="AI37" s="37">
        <f t="shared" si="10"/>
        <v>5.666666666666667</v>
      </c>
      <c r="AJ37" s="37">
        <f t="shared" si="11"/>
        <v>8</v>
      </c>
      <c r="AK37" s="7">
        <f t="shared" si="12"/>
        <v>68</v>
      </c>
      <c r="AL37" s="7">
        <f t="shared" si="2"/>
        <v>30</v>
      </c>
      <c r="AM37" s="13"/>
      <c r="AN37" s="11" t="s">
        <v>71</v>
      </c>
      <c r="AO37" s="13"/>
      <c r="AP37" s="13"/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1" t="s">
        <v>71</v>
      </c>
      <c r="BH37" s="13"/>
      <c r="BI37" s="13"/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22" t="s">
        <v>1433</v>
      </c>
      <c r="CS37" s="20">
        <v>10</v>
      </c>
      <c r="CT37" s="20">
        <v>408143800</v>
      </c>
      <c r="CU37" s="13"/>
      <c r="CV37" s="13"/>
      <c r="CW37" s="13"/>
      <c r="CX37" s="13"/>
      <c r="CY37" s="13"/>
      <c r="CZ37" s="13"/>
      <c r="DA37" s="13"/>
      <c r="DB37" s="13"/>
      <c r="DC37" s="13"/>
      <c r="DD37" s="13"/>
    </row>
    <row r="38" spans="1:108" ht="24.95" hidden="1" customHeight="1" x14ac:dyDescent="0.2">
      <c r="A38" s="3">
        <v>34</v>
      </c>
      <c r="B38" s="3" t="s">
        <v>1448</v>
      </c>
      <c r="C38" s="3" t="s">
        <v>83</v>
      </c>
      <c r="D38" s="3" t="s">
        <v>109</v>
      </c>
      <c r="E38" s="3" t="s">
        <v>180</v>
      </c>
      <c r="F38" s="3" t="s">
        <v>181</v>
      </c>
      <c r="G38" s="11" t="s">
        <v>71</v>
      </c>
      <c r="H38" s="12"/>
      <c r="I38" s="11" t="s">
        <v>71</v>
      </c>
      <c r="J38" s="11"/>
      <c r="K38" s="12"/>
      <c r="L38" s="3" t="s">
        <v>492</v>
      </c>
      <c r="M38" s="12"/>
      <c r="N38" s="12"/>
      <c r="O38" s="12"/>
      <c r="P38" s="4" t="s">
        <v>543</v>
      </c>
      <c r="Q38" s="5" t="s">
        <v>724</v>
      </c>
      <c r="R38" s="3" t="s">
        <v>870</v>
      </c>
      <c r="S38" s="14">
        <v>31</v>
      </c>
      <c r="T38" s="3" t="s">
        <v>1024</v>
      </c>
      <c r="U38" s="3" t="s">
        <v>1067</v>
      </c>
      <c r="V38" s="12"/>
      <c r="W38" s="12"/>
      <c r="X38" s="7">
        <f t="shared" si="0"/>
        <v>24</v>
      </c>
      <c r="Y38" s="7">
        <f t="shared" si="1"/>
        <v>14</v>
      </c>
      <c r="Z38" s="7">
        <f t="shared" si="3"/>
        <v>38</v>
      </c>
      <c r="AA38" s="37">
        <f t="shared" si="4"/>
        <v>3.1666666666666665</v>
      </c>
      <c r="AB38" s="33">
        <f t="shared" si="5"/>
        <v>2</v>
      </c>
      <c r="AC38" s="8">
        <f t="shared" si="6"/>
        <v>1</v>
      </c>
      <c r="AD38" s="7">
        <f t="shared" si="7"/>
        <v>0</v>
      </c>
      <c r="AE38" s="34">
        <v>3</v>
      </c>
      <c r="AF38" s="12">
        <v>8</v>
      </c>
      <c r="AG38" s="38">
        <f t="shared" si="8"/>
        <v>4.1666666666666661</v>
      </c>
      <c r="AH38" s="32">
        <f t="shared" si="9"/>
        <v>2</v>
      </c>
      <c r="AI38" s="37">
        <f t="shared" si="10"/>
        <v>4.166666666666667</v>
      </c>
      <c r="AJ38" s="37">
        <f t="shared" si="11"/>
        <v>2</v>
      </c>
      <c r="AK38" s="7">
        <f t="shared" si="12"/>
        <v>50</v>
      </c>
      <c r="AL38" s="7">
        <f t="shared" si="2"/>
        <v>12</v>
      </c>
      <c r="AM38" s="13"/>
      <c r="AN38" s="11" t="s">
        <v>71</v>
      </c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X38" s="13"/>
      <c r="BY38" s="13"/>
      <c r="BZ38" s="13"/>
      <c r="CA38" s="13"/>
      <c r="CB38" s="13"/>
      <c r="CC38" s="11" t="s">
        <v>71</v>
      </c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22" t="s">
        <v>1391</v>
      </c>
      <c r="CS38" s="20">
        <v>6</v>
      </c>
      <c r="CT38" s="20">
        <v>324564495</v>
      </c>
      <c r="CU38" s="13"/>
      <c r="CV38" s="13"/>
      <c r="CW38" s="13"/>
      <c r="CX38" s="13"/>
      <c r="CY38" s="13"/>
      <c r="CZ38" s="13"/>
      <c r="DA38" s="13"/>
      <c r="DB38" s="13"/>
      <c r="DC38" s="13"/>
      <c r="DD38" s="13"/>
    </row>
    <row r="39" spans="1:108" ht="24.95" hidden="1" customHeight="1" x14ac:dyDescent="0.2">
      <c r="A39" s="3">
        <v>35</v>
      </c>
      <c r="B39" s="3" t="s">
        <v>1448</v>
      </c>
      <c r="C39" s="3" t="s">
        <v>83</v>
      </c>
      <c r="D39" s="3" t="s">
        <v>182</v>
      </c>
      <c r="E39" s="3" t="s">
        <v>183</v>
      </c>
      <c r="F39" s="3" t="s">
        <v>100</v>
      </c>
      <c r="G39" s="11" t="s">
        <v>71</v>
      </c>
      <c r="H39" s="12"/>
      <c r="I39" s="17"/>
      <c r="J39" s="11" t="s">
        <v>71</v>
      </c>
      <c r="K39" s="12"/>
      <c r="L39" s="3" t="s">
        <v>492</v>
      </c>
      <c r="M39" s="12"/>
      <c r="N39" s="12"/>
      <c r="O39" s="12"/>
      <c r="P39" s="4" t="s">
        <v>544</v>
      </c>
      <c r="Q39" s="5" t="s">
        <v>725</v>
      </c>
      <c r="R39" s="3" t="s">
        <v>871</v>
      </c>
      <c r="S39" s="14">
        <v>37</v>
      </c>
      <c r="T39" s="3" t="s">
        <v>1024</v>
      </c>
      <c r="U39" s="3" t="s">
        <v>1052</v>
      </c>
      <c r="V39" s="12"/>
      <c r="W39" s="12"/>
      <c r="X39" s="7">
        <f t="shared" si="0"/>
        <v>24</v>
      </c>
      <c r="Y39" s="7">
        <f t="shared" si="1"/>
        <v>14</v>
      </c>
      <c r="Z39" s="7">
        <f t="shared" si="3"/>
        <v>38</v>
      </c>
      <c r="AA39" s="37">
        <v>4</v>
      </c>
      <c r="AB39" s="33">
        <f t="shared" si="5"/>
        <v>2</v>
      </c>
      <c r="AC39" s="8">
        <f t="shared" si="6"/>
        <v>8.0833333333333339</v>
      </c>
      <c r="AD39" s="7">
        <f t="shared" si="7"/>
        <v>1</v>
      </c>
      <c r="AE39" s="34">
        <v>10</v>
      </c>
      <c r="AF39" s="12">
        <v>9</v>
      </c>
      <c r="AG39" s="38">
        <f t="shared" si="8"/>
        <v>12.083333333333334</v>
      </c>
      <c r="AH39" s="32">
        <f t="shared" si="9"/>
        <v>3</v>
      </c>
      <c r="AI39" s="37">
        <f t="shared" si="10"/>
        <v>11.25</v>
      </c>
      <c r="AJ39" s="37">
        <f t="shared" si="11"/>
        <v>3</v>
      </c>
      <c r="AK39" s="7">
        <f t="shared" si="12"/>
        <v>135</v>
      </c>
      <c r="AL39" s="7">
        <f t="shared" si="2"/>
        <v>97</v>
      </c>
      <c r="AM39" s="13"/>
      <c r="AN39" s="11" t="s">
        <v>71</v>
      </c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X39" s="13"/>
      <c r="BY39" s="13"/>
      <c r="BZ39" s="13"/>
      <c r="CA39" s="13"/>
      <c r="CB39" s="13"/>
      <c r="CC39" s="13"/>
      <c r="CD39" s="13"/>
      <c r="CE39" s="13"/>
      <c r="CF39" s="13"/>
      <c r="CG39" s="11" t="s">
        <v>71</v>
      </c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22" t="s">
        <v>1380</v>
      </c>
      <c r="CS39" s="20">
        <v>4</v>
      </c>
      <c r="CT39" s="20">
        <v>386825026</v>
      </c>
      <c r="CU39" s="13"/>
      <c r="CV39" s="13"/>
      <c r="CW39" s="13"/>
      <c r="CX39" s="13"/>
      <c r="CY39" s="13"/>
      <c r="CZ39" s="13"/>
      <c r="DA39" s="13"/>
      <c r="DB39" s="13"/>
      <c r="DC39" s="13"/>
      <c r="DD39" s="13"/>
    </row>
    <row r="40" spans="1:108" ht="24.95" hidden="1" customHeight="1" x14ac:dyDescent="0.2">
      <c r="A40" s="3">
        <v>36</v>
      </c>
      <c r="B40" s="3" t="s">
        <v>1448</v>
      </c>
      <c r="C40" s="3" t="s">
        <v>84</v>
      </c>
      <c r="D40" s="3" t="s">
        <v>184</v>
      </c>
      <c r="E40" s="3" t="s">
        <v>185</v>
      </c>
      <c r="F40" s="3" t="s">
        <v>186</v>
      </c>
      <c r="G40" s="11" t="s">
        <v>71</v>
      </c>
      <c r="H40" s="12"/>
      <c r="I40" s="17"/>
      <c r="J40" s="11" t="s">
        <v>71</v>
      </c>
      <c r="K40" s="12"/>
      <c r="L40" s="3" t="s">
        <v>492</v>
      </c>
      <c r="M40" s="12"/>
      <c r="N40" s="12"/>
      <c r="O40" s="12"/>
      <c r="P40" s="4" t="s">
        <v>545</v>
      </c>
      <c r="Q40" s="5" t="s">
        <v>726</v>
      </c>
      <c r="R40" s="3" t="s">
        <v>872</v>
      </c>
      <c r="S40" s="14">
        <v>40</v>
      </c>
      <c r="T40" s="3" t="s">
        <v>1024</v>
      </c>
      <c r="U40" s="3" t="s">
        <v>1068</v>
      </c>
      <c r="V40" s="12"/>
      <c r="W40" s="12"/>
      <c r="X40" s="7">
        <f t="shared" si="0"/>
        <v>24</v>
      </c>
      <c r="Y40" s="7">
        <f t="shared" si="1"/>
        <v>14</v>
      </c>
      <c r="Z40" s="7">
        <f t="shared" si="3"/>
        <v>38</v>
      </c>
      <c r="AA40" s="37">
        <v>4</v>
      </c>
      <c r="AB40" s="33">
        <f t="shared" si="5"/>
        <v>2</v>
      </c>
      <c r="AC40" s="8">
        <f t="shared" si="6"/>
        <v>7.25</v>
      </c>
      <c r="AD40" s="7">
        <f t="shared" si="7"/>
        <v>3</v>
      </c>
      <c r="AE40" s="34">
        <v>9</v>
      </c>
      <c r="AF40" s="12">
        <v>11</v>
      </c>
      <c r="AG40" s="38">
        <f t="shared" si="8"/>
        <v>11.25</v>
      </c>
      <c r="AH40" s="32">
        <f t="shared" si="9"/>
        <v>5</v>
      </c>
      <c r="AI40" s="37">
        <f t="shared" si="10"/>
        <v>10.416666666666666</v>
      </c>
      <c r="AJ40" s="37">
        <f t="shared" si="11"/>
        <v>5</v>
      </c>
      <c r="AK40" s="7">
        <f t="shared" si="12"/>
        <v>125</v>
      </c>
      <c r="AL40" s="7">
        <f t="shared" si="2"/>
        <v>87</v>
      </c>
      <c r="AM40" s="13"/>
      <c r="AN40" s="11" t="s">
        <v>71</v>
      </c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X40" s="13"/>
      <c r="BY40" s="13"/>
      <c r="BZ40" s="13"/>
      <c r="CA40" s="13"/>
      <c r="CB40" s="13"/>
      <c r="CC40" s="13"/>
      <c r="CD40" s="13"/>
      <c r="CE40" s="13"/>
      <c r="CF40" s="13"/>
      <c r="CG40" s="11" t="s">
        <v>71</v>
      </c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22" t="s">
        <v>1380</v>
      </c>
      <c r="CS40" s="20">
        <v>4</v>
      </c>
      <c r="CT40" s="20">
        <v>336605465</v>
      </c>
      <c r="CU40" s="13"/>
      <c r="CV40" s="13"/>
      <c r="CW40" s="13"/>
      <c r="CX40" s="13"/>
      <c r="CY40" s="13"/>
      <c r="CZ40" s="13"/>
      <c r="DA40" s="13"/>
      <c r="DB40" s="13"/>
      <c r="DC40" s="13"/>
      <c r="DD40" s="13"/>
    </row>
    <row r="41" spans="1:108" ht="24.95" hidden="1" customHeight="1" x14ac:dyDescent="0.2">
      <c r="A41" s="3">
        <v>37</v>
      </c>
      <c r="B41" s="3" t="s">
        <v>1448</v>
      </c>
      <c r="C41" s="3" t="s">
        <v>84</v>
      </c>
      <c r="D41" s="3" t="s">
        <v>107</v>
      </c>
      <c r="E41" s="3" t="s">
        <v>187</v>
      </c>
      <c r="F41" s="3" t="s">
        <v>188</v>
      </c>
      <c r="G41" s="11" t="s">
        <v>71</v>
      </c>
      <c r="H41" s="12"/>
      <c r="I41" s="17"/>
      <c r="J41" s="11" t="s">
        <v>71</v>
      </c>
      <c r="K41" s="12"/>
      <c r="L41" s="3" t="s">
        <v>476</v>
      </c>
      <c r="M41" s="12"/>
      <c r="N41" s="12"/>
      <c r="O41" s="12"/>
      <c r="P41" s="4" t="s">
        <v>546</v>
      </c>
      <c r="Q41" s="5">
        <v>9156957462</v>
      </c>
      <c r="R41" s="3" t="s">
        <v>873</v>
      </c>
      <c r="S41" s="14">
        <v>42</v>
      </c>
      <c r="T41" s="3" t="s">
        <v>1022</v>
      </c>
      <c r="U41" s="3" t="s">
        <v>1022</v>
      </c>
      <c r="V41" s="12"/>
      <c r="W41" s="12"/>
      <c r="X41" s="7">
        <f t="shared" si="0"/>
        <v>120</v>
      </c>
      <c r="Y41" s="7">
        <f t="shared" si="1"/>
        <v>16</v>
      </c>
      <c r="Z41" s="7">
        <f t="shared" si="3"/>
        <v>136</v>
      </c>
      <c r="AA41" s="37">
        <f t="shared" si="4"/>
        <v>11.333333333333334</v>
      </c>
      <c r="AB41" s="33">
        <f t="shared" si="5"/>
        <v>4</v>
      </c>
      <c r="AC41" s="8">
        <f t="shared" si="6"/>
        <v>5.416666666666667</v>
      </c>
      <c r="AD41" s="7">
        <f t="shared" si="7"/>
        <v>5</v>
      </c>
      <c r="AE41" s="34">
        <v>16</v>
      </c>
      <c r="AF41" s="12">
        <v>3</v>
      </c>
      <c r="AG41" s="38">
        <f t="shared" si="8"/>
        <v>16.75</v>
      </c>
      <c r="AH41" s="32">
        <f t="shared" si="9"/>
        <v>9</v>
      </c>
      <c r="AI41" s="37">
        <f t="shared" si="10"/>
        <v>16.75</v>
      </c>
      <c r="AJ41" s="37">
        <f t="shared" si="11"/>
        <v>9</v>
      </c>
      <c r="AK41" s="7">
        <f t="shared" si="12"/>
        <v>201</v>
      </c>
      <c r="AL41" s="7">
        <f t="shared" si="2"/>
        <v>65</v>
      </c>
      <c r="AM41" s="13"/>
      <c r="AN41" s="11" t="s">
        <v>71</v>
      </c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X41" s="13"/>
      <c r="BY41" s="13"/>
      <c r="BZ41" s="13"/>
      <c r="CA41" s="13"/>
      <c r="CB41" s="13"/>
      <c r="CC41" s="11" t="s">
        <v>71</v>
      </c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22" t="s">
        <v>1381</v>
      </c>
      <c r="CS41" s="21">
        <v>8</v>
      </c>
      <c r="CT41" s="20">
        <v>483556840</v>
      </c>
      <c r="CU41" s="13"/>
      <c r="CV41" s="13"/>
      <c r="CW41" s="13"/>
      <c r="CX41" s="13"/>
      <c r="CY41" s="13"/>
      <c r="CZ41" s="13"/>
      <c r="DA41" s="13"/>
      <c r="DB41" s="13"/>
      <c r="DC41" s="13"/>
      <c r="DD41" s="13"/>
    </row>
    <row r="42" spans="1:108" ht="24.95" customHeight="1" x14ac:dyDescent="0.2">
      <c r="A42" s="3">
        <v>38</v>
      </c>
      <c r="B42" s="3" t="s">
        <v>1448</v>
      </c>
      <c r="C42" s="3" t="s">
        <v>87</v>
      </c>
      <c r="D42" s="3" t="s">
        <v>189</v>
      </c>
      <c r="E42" s="3" t="s">
        <v>190</v>
      </c>
      <c r="F42" s="3" t="s">
        <v>191</v>
      </c>
      <c r="G42" s="11" t="s">
        <v>71</v>
      </c>
      <c r="H42" s="12"/>
      <c r="I42" s="11" t="s">
        <v>71</v>
      </c>
      <c r="J42" s="11"/>
      <c r="K42" s="12"/>
      <c r="L42" s="3" t="s">
        <v>492</v>
      </c>
      <c r="M42" s="12"/>
      <c r="N42" s="12"/>
      <c r="O42" s="12"/>
      <c r="P42" s="4" t="s">
        <v>547</v>
      </c>
      <c r="Q42" s="5" t="s">
        <v>727</v>
      </c>
      <c r="R42" s="3" t="s">
        <v>874</v>
      </c>
      <c r="S42" s="14">
        <v>36</v>
      </c>
      <c r="T42" s="3" t="s">
        <v>75</v>
      </c>
      <c r="U42" s="3" t="s">
        <v>1069</v>
      </c>
      <c r="V42" s="12"/>
      <c r="W42" s="12"/>
      <c r="X42" s="7">
        <f t="shared" si="0"/>
        <v>24</v>
      </c>
      <c r="Y42" s="7">
        <f t="shared" si="1"/>
        <v>14</v>
      </c>
      <c r="Z42" s="7">
        <f t="shared" si="3"/>
        <v>38</v>
      </c>
      <c r="AA42" s="37">
        <f t="shared" si="4"/>
        <v>3.1666666666666665</v>
      </c>
      <c r="AB42" s="33">
        <f t="shared" si="5"/>
        <v>2</v>
      </c>
      <c r="AC42" s="8">
        <f t="shared" si="6"/>
        <v>2.25</v>
      </c>
      <c r="AD42" s="7">
        <f t="shared" si="7"/>
        <v>3</v>
      </c>
      <c r="AE42" s="34">
        <v>4</v>
      </c>
      <c r="AF42" s="12">
        <v>11</v>
      </c>
      <c r="AG42" s="38">
        <f t="shared" si="8"/>
        <v>5.4166666666666661</v>
      </c>
      <c r="AH42" s="32">
        <f t="shared" si="9"/>
        <v>5</v>
      </c>
      <c r="AI42" s="37">
        <f t="shared" si="10"/>
        <v>5.416666666666667</v>
      </c>
      <c r="AJ42" s="37">
        <f t="shared" si="11"/>
        <v>5</v>
      </c>
      <c r="AK42" s="7">
        <f t="shared" si="12"/>
        <v>65</v>
      </c>
      <c r="AL42" s="7">
        <f t="shared" si="2"/>
        <v>27</v>
      </c>
      <c r="AM42" s="13"/>
      <c r="AN42" s="11" t="s">
        <v>71</v>
      </c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X42" s="13"/>
      <c r="BY42" s="13"/>
      <c r="BZ42" s="13"/>
      <c r="CA42" s="13"/>
      <c r="CB42" s="13"/>
      <c r="CC42" s="11" t="s">
        <v>71</v>
      </c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22" t="s">
        <v>1391</v>
      </c>
      <c r="CS42" s="20">
        <v>6</v>
      </c>
      <c r="CT42" s="20">
        <v>323875759</v>
      </c>
      <c r="CU42" s="13"/>
      <c r="CV42" s="13"/>
      <c r="CW42" s="13"/>
      <c r="CX42" s="13"/>
      <c r="CY42" s="13"/>
      <c r="CZ42" s="13"/>
      <c r="DA42" s="13"/>
      <c r="DB42" s="13"/>
      <c r="DC42" s="13"/>
      <c r="DD42" s="13"/>
    </row>
    <row r="43" spans="1:108" ht="24.95" hidden="1" customHeight="1" x14ac:dyDescent="0.2">
      <c r="A43" s="3">
        <v>39</v>
      </c>
      <c r="B43" s="3" t="s">
        <v>1448</v>
      </c>
      <c r="C43" s="3" t="s">
        <v>85</v>
      </c>
      <c r="D43" s="3" t="s">
        <v>125</v>
      </c>
      <c r="E43" s="3" t="s">
        <v>192</v>
      </c>
      <c r="F43" s="3" t="s">
        <v>193</v>
      </c>
      <c r="G43" s="11" t="s">
        <v>71</v>
      </c>
      <c r="H43" s="12"/>
      <c r="I43" s="17"/>
      <c r="J43" s="11" t="s">
        <v>71</v>
      </c>
      <c r="K43" s="12"/>
      <c r="L43" s="3" t="s">
        <v>492</v>
      </c>
      <c r="M43" s="12"/>
      <c r="N43" s="12"/>
      <c r="O43" s="12"/>
      <c r="P43" s="4" t="s">
        <v>548</v>
      </c>
      <c r="Q43" s="5" t="s">
        <v>728</v>
      </c>
      <c r="R43" s="3" t="s">
        <v>875</v>
      </c>
      <c r="S43" s="14">
        <v>32</v>
      </c>
      <c r="T43" s="3" t="s">
        <v>1029</v>
      </c>
      <c r="U43" s="3" t="s">
        <v>1070</v>
      </c>
      <c r="V43" s="12"/>
      <c r="W43" s="12"/>
      <c r="X43" s="7">
        <f t="shared" si="0"/>
        <v>24</v>
      </c>
      <c r="Y43" s="7">
        <f t="shared" si="1"/>
        <v>14</v>
      </c>
      <c r="Z43" s="7">
        <f t="shared" si="3"/>
        <v>38</v>
      </c>
      <c r="AA43" s="37">
        <v>4</v>
      </c>
      <c r="AB43" s="33">
        <f t="shared" si="5"/>
        <v>2</v>
      </c>
      <c r="AC43" s="8">
        <f t="shared" si="6"/>
        <v>3.4166666666666665</v>
      </c>
      <c r="AD43" s="7">
        <f t="shared" si="7"/>
        <v>5</v>
      </c>
      <c r="AE43" s="34">
        <v>6</v>
      </c>
      <c r="AF43" s="12">
        <v>1</v>
      </c>
      <c r="AG43" s="38">
        <f t="shared" si="8"/>
        <v>7.4166666666666661</v>
      </c>
      <c r="AH43" s="32">
        <f t="shared" si="9"/>
        <v>7</v>
      </c>
      <c r="AI43" s="37">
        <f t="shared" si="10"/>
        <v>6.583333333333333</v>
      </c>
      <c r="AJ43" s="37">
        <f t="shared" si="11"/>
        <v>7</v>
      </c>
      <c r="AK43" s="7">
        <f t="shared" si="12"/>
        <v>79</v>
      </c>
      <c r="AL43" s="7">
        <f t="shared" si="2"/>
        <v>41</v>
      </c>
      <c r="AM43" s="13"/>
      <c r="AN43" s="11" t="s">
        <v>71</v>
      </c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X43" s="13"/>
      <c r="BY43" s="13"/>
      <c r="BZ43" s="13"/>
      <c r="CA43" s="13"/>
      <c r="CB43" s="13"/>
      <c r="CC43" s="11" t="s">
        <v>71</v>
      </c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22" t="s">
        <v>1391</v>
      </c>
      <c r="CS43" s="20">
        <v>6</v>
      </c>
      <c r="CT43" s="20">
        <v>362471649</v>
      </c>
      <c r="CU43" s="13"/>
      <c r="CV43" s="13"/>
      <c r="CW43" s="13"/>
      <c r="CX43" s="13"/>
      <c r="CY43" s="13"/>
      <c r="CZ43" s="13"/>
      <c r="DA43" s="13"/>
      <c r="DB43" s="13"/>
      <c r="DC43" s="13"/>
      <c r="DD43" s="13"/>
    </row>
    <row r="44" spans="1:108" ht="24.95" hidden="1" customHeight="1" x14ac:dyDescent="0.2">
      <c r="A44" s="3">
        <v>40</v>
      </c>
      <c r="B44" s="3" t="s">
        <v>1448</v>
      </c>
      <c r="C44" s="3" t="s">
        <v>84</v>
      </c>
      <c r="D44" s="3" t="s">
        <v>193</v>
      </c>
      <c r="E44" s="3" t="s">
        <v>194</v>
      </c>
      <c r="F44" s="3" t="s">
        <v>195</v>
      </c>
      <c r="G44" s="11" t="s">
        <v>71</v>
      </c>
      <c r="H44" s="12"/>
      <c r="I44" s="17"/>
      <c r="J44" s="11" t="s">
        <v>71</v>
      </c>
      <c r="K44" s="12"/>
      <c r="L44" s="3" t="s">
        <v>475</v>
      </c>
      <c r="M44" s="12"/>
      <c r="N44" s="12"/>
      <c r="O44" s="12"/>
      <c r="P44" s="4" t="s">
        <v>549</v>
      </c>
      <c r="Q44" s="5">
        <v>9358539948</v>
      </c>
      <c r="R44" s="3" t="s">
        <v>876</v>
      </c>
      <c r="S44" s="14">
        <v>34</v>
      </c>
      <c r="T44" s="3" t="s">
        <v>1027</v>
      </c>
      <c r="U44" s="3" t="s">
        <v>1071</v>
      </c>
      <c r="V44" s="12"/>
      <c r="W44" s="12"/>
      <c r="X44" s="7">
        <f t="shared" si="0"/>
        <v>120</v>
      </c>
      <c r="Y44" s="7">
        <f t="shared" si="1"/>
        <v>11</v>
      </c>
      <c r="Z44" s="7">
        <f t="shared" si="3"/>
        <v>131</v>
      </c>
      <c r="AA44" s="37">
        <v>10</v>
      </c>
      <c r="AB44" s="33">
        <f t="shared" si="5"/>
        <v>11</v>
      </c>
      <c r="AC44" s="8">
        <f t="shared" si="6"/>
        <v>0.66666666666666663</v>
      </c>
      <c r="AD44" s="7">
        <f t="shared" si="7"/>
        <v>8</v>
      </c>
      <c r="AE44" s="34">
        <v>11</v>
      </c>
      <c r="AF44" s="12">
        <v>1</v>
      </c>
      <c r="AG44" s="38">
        <v>12</v>
      </c>
      <c r="AH44" s="32">
        <v>7</v>
      </c>
      <c r="AI44" s="37">
        <f t="shared" si="10"/>
        <v>11.583333333333334</v>
      </c>
      <c r="AJ44" s="37">
        <f t="shared" si="11"/>
        <v>7</v>
      </c>
      <c r="AK44" s="7">
        <f t="shared" si="12"/>
        <v>139</v>
      </c>
      <c r="AL44" s="7">
        <f t="shared" si="2"/>
        <v>8</v>
      </c>
      <c r="AM44" s="13"/>
      <c r="AN44" s="11" t="s">
        <v>71</v>
      </c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X44" s="13"/>
      <c r="BY44" s="13"/>
      <c r="BZ44" s="13"/>
      <c r="CA44" s="13"/>
      <c r="CB44" s="13"/>
      <c r="CC44" s="11" t="s">
        <v>71</v>
      </c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22" t="s">
        <v>1421</v>
      </c>
      <c r="CS44" s="21">
        <v>11</v>
      </c>
      <c r="CT44" s="20">
        <v>517767785</v>
      </c>
      <c r="CU44" s="13"/>
      <c r="CV44" s="13"/>
      <c r="CW44" s="13"/>
      <c r="CX44" s="13"/>
      <c r="CY44" s="13"/>
      <c r="CZ44" s="13"/>
      <c r="DA44" s="13"/>
      <c r="DB44" s="13"/>
      <c r="DC44" s="13"/>
      <c r="DD44" s="13"/>
    </row>
    <row r="45" spans="1:108" ht="24.95" hidden="1" customHeight="1" x14ac:dyDescent="0.2">
      <c r="A45" s="3">
        <v>41</v>
      </c>
      <c r="B45" s="3" t="s">
        <v>1448</v>
      </c>
      <c r="C45" s="3" t="s">
        <v>89</v>
      </c>
      <c r="D45" s="3" t="s">
        <v>103</v>
      </c>
      <c r="E45" s="3" t="s">
        <v>196</v>
      </c>
      <c r="F45" s="3" t="s">
        <v>197</v>
      </c>
      <c r="G45" s="11" t="s">
        <v>71</v>
      </c>
      <c r="H45" s="12"/>
      <c r="I45" s="17"/>
      <c r="J45" s="11" t="s">
        <v>71</v>
      </c>
      <c r="K45" s="12"/>
      <c r="L45" s="3" t="s">
        <v>483</v>
      </c>
      <c r="M45" s="12"/>
      <c r="N45" s="12"/>
      <c r="O45" s="12"/>
      <c r="P45" s="4" t="s">
        <v>550</v>
      </c>
      <c r="Q45" s="5">
        <v>9153074351</v>
      </c>
      <c r="R45" s="3" t="s">
        <v>877</v>
      </c>
      <c r="S45" s="14">
        <v>62</v>
      </c>
      <c r="T45" s="3" t="s">
        <v>1030</v>
      </c>
      <c r="U45" s="3" t="s">
        <v>1030</v>
      </c>
      <c r="V45" s="12"/>
      <c r="W45" s="12"/>
      <c r="X45" s="7">
        <f t="shared" si="0"/>
        <v>144</v>
      </c>
      <c r="Y45" s="7">
        <f t="shared" si="1"/>
        <v>15</v>
      </c>
      <c r="Z45" s="7">
        <f t="shared" si="3"/>
        <v>159</v>
      </c>
      <c r="AA45" s="37">
        <f t="shared" si="4"/>
        <v>13.25</v>
      </c>
      <c r="AB45" s="33">
        <f t="shared" si="5"/>
        <v>3</v>
      </c>
      <c r="AC45" s="8">
        <f t="shared" si="6"/>
        <v>0.75</v>
      </c>
      <c r="AD45" s="7">
        <f t="shared" si="7"/>
        <v>9</v>
      </c>
      <c r="AE45" s="34">
        <v>13.25</v>
      </c>
      <c r="AF45" s="12">
        <v>3</v>
      </c>
      <c r="AG45" s="38">
        <v>15</v>
      </c>
      <c r="AH45" s="32">
        <v>0</v>
      </c>
      <c r="AI45" s="37">
        <f t="shared" si="10"/>
        <v>14</v>
      </c>
      <c r="AJ45" s="37">
        <f t="shared" si="11"/>
        <v>0</v>
      </c>
      <c r="AK45" s="7">
        <f t="shared" si="12"/>
        <v>168</v>
      </c>
      <c r="AL45" s="7">
        <f t="shared" si="2"/>
        <v>9</v>
      </c>
      <c r="AM45" s="13"/>
      <c r="AN45" s="11" t="s">
        <v>71</v>
      </c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1" t="s">
        <v>71</v>
      </c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22" t="s">
        <v>1434</v>
      </c>
      <c r="CS45" s="21">
        <v>6</v>
      </c>
      <c r="CT45" s="20">
        <v>457986557</v>
      </c>
      <c r="CU45" s="13"/>
      <c r="CV45" s="13"/>
      <c r="CW45" s="13"/>
      <c r="CX45" s="13"/>
      <c r="CY45" s="13"/>
      <c r="CZ45" s="13"/>
      <c r="DA45" s="13"/>
      <c r="DB45" s="13"/>
      <c r="DC45" s="13"/>
      <c r="DD45" s="13"/>
    </row>
    <row r="46" spans="1:108" ht="24.95" hidden="1" customHeight="1" x14ac:dyDescent="0.2">
      <c r="A46" s="3">
        <v>42</v>
      </c>
      <c r="B46" s="3" t="s">
        <v>1448</v>
      </c>
      <c r="C46" s="3" t="s">
        <v>89</v>
      </c>
      <c r="D46" s="3" t="s">
        <v>111</v>
      </c>
      <c r="E46" s="3" t="s">
        <v>198</v>
      </c>
      <c r="F46" s="3" t="s">
        <v>97</v>
      </c>
      <c r="G46" s="11" t="s">
        <v>71</v>
      </c>
      <c r="H46" s="12"/>
      <c r="I46" s="17"/>
      <c r="J46" s="11" t="s">
        <v>71</v>
      </c>
      <c r="K46" s="12"/>
      <c r="L46" s="3" t="s">
        <v>492</v>
      </c>
      <c r="M46" s="12"/>
      <c r="N46" s="12"/>
      <c r="O46" s="12"/>
      <c r="P46" s="4" t="s">
        <v>551</v>
      </c>
      <c r="Q46" s="5" t="s">
        <v>729</v>
      </c>
      <c r="R46" s="3" t="s">
        <v>878</v>
      </c>
      <c r="S46" s="14">
        <v>33</v>
      </c>
      <c r="T46" s="3" t="s">
        <v>75</v>
      </c>
      <c r="U46" s="3" t="s">
        <v>1046</v>
      </c>
      <c r="V46" s="12"/>
      <c r="W46" s="12"/>
      <c r="X46" s="7">
        <f t="shared" si="0"/>
        <v>24</v>
      </c>
      <c r="Y46" s="7">
        <f t="shared" si="1"/>
        <v>14</v>
      </c>
      <c r="Z46" s="7">
        <f t="shared" si="3"/>
        <v>38</v>
      </c>
      <c r="AA46" s="37">
        <f t="shared" si="4"/>
        <v>3.1666666666666665</v>
      </c>
      <c r="AB46" s="33">
        <f t="shared" si="5"/>
        <v>2</v>
      </c>
      <c r="AC46" s="8">
        <f t="shared" si="6"/>
        <v>3.1666666666666665</v>
      </c>
      <c r="AD46" s="7">
        <f t="shared" si="7"/>
        <v>2</v>
      </c>
      <c r="AE46" s="34">
        <v>5</v>
      </c>
      <c r="AF46" s="12">
        <v>10</v>
      </c>
      <c r="AG46" s="38">
        <f t="shared" si="8"/>
        <v>6.333333333333333</v>
      </c>
      <c r="AH46" s="32">
        <f t="shared" si="9"/>
        <v>4</v>
      </c>
      <c r="AI46" s="37">
        <f t="shared" si="10"/>
        <v>6.333333333333333</v>
      </c>
      <c r="AJ46" s="37">
        <f t="shared" si="11"/>
        <v>4</v>
      </c>
      <c r="AK46" s="7">
        <f t="shared" si="12"/>
        <v>76</v>
      </c>
      <c r="AL46" s="7">
        <f t="shared" si="2"/>
        <v>38</v>
      </c>
      <c r="AM46" s="13"/>
      <c r="AN46" s="11" t="s">
        <v>71</v>
      </c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1" t="s">
        <v>71</v>
      </c>
      <c r="BX46" s="13"/>
      <c r="BY46" s="13"/>
      <c r="BZ46" s="13"/>
      <c r="CA46" s="13"/>
      <c r="CB46" s="13"/>
      <c r="CC46" s="13"/>
      <c r="CD46" s="13"/>
      <c r="CE46" s="13"/>
      <c r="CF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22" t="s">
        <v>1424</v>
      </c>
      <c r="CS46" s="20">
        <v>8</v>
      </c>
      <c r="CT46" s="20">
        <v>362667946</v>
      </c>
      <c r="CU46" s="13"/>
      <c r="CV46" s="13"/>
      <c r="CW46" s="13"/>
      <c r="CX46" s="13"/>
      <c r="CY46" s="13"/>
      <c r="CZ46" s="13"/>
      <c r="DA46" s="13"/>
      <c r="DB46" s="13"/>
      <c r="DC46" s="13"/>
      <c r="DD46" s="13"/>
    </row>
    <row r="47" spans="1:108" ht="24.95" hidden="1" customHeight="1" x14ac:dyDescent="0.2">
      <c r="A47" s="3">
        <v>43</v>
      </c>
      <c r="B47" s="3" t="s">
        <v>1448</v>
      </c>
      <c r="C47" s="3" t="s">
        <v>88</v>
      </c>
      <c r="D47" s="3" t="s">
        <v>143</v>
      </c>
      <c r="E47" s="3" t="s">
        <v>199</v>
      </c>
      <c r="F47" s="3" t="s">
        <v>200</v>
      </c>
      <c r="G47" s="11" t="s">
        <v>71</v>
      </c>
      <c r="H47" s="12"/>
      <c r="I47" s="17"/>
      <c r="J47" s="11" t="s">
        <v>71</v>
      </c>
      <c r="K47" s="12"/>
      <c r="L47" s="3" t="s">
        <v>492</v>
      </c>
      <c r="M47" s="12"/>
      <c r="N47" s="12"/>
      <c r="O47" s="12"/>
      <c r="P47" s="4" t="s">
        <v>552</v>
      </c>
      <c r="Q47" s="5" t="s">
        <v>730</v>
      </c>
      <c r="R47" s="3" t="s">
        <v>879</v>
      </c>
      <c r="S47" s="14">
        <v>33</v>
      </c>
      <c r="T47" s="3" t="s">
        <v>75</v>
      </c>
      <c r="U47" s="3" t="s">
        <v>77</v>
      </c>
      <c r="V47" s="12"/>
      <c r="W47" s="12"/>
      <c r="X47" s="7">
        <f t="shared" si="0"/>
        <v>24</v>
      </c>
      <c r="Y47" s="7">
        <f t="shared" si="1"/>
        <v>14</v>
      </c>
      <c r="Z47" s="7">
        <f t="shared" si="3"/>
        <v>38</v>
      </c>
      <c r="AA47" s="37">
        <v>3</v>
      </c>
      <c r="AB47" s="33">
        <f t="shared" si="5"/>
        <v>2</v>
      </c>
      <c r="AC47" s="8">
        <f t="shared" si="6"/>
        <v>0.75</v>
      </c>
      <c r="AD47" s="7">
        <f t="shared" si="7"/>
        <v>9</v>
      </c>
      <c r="AE47" s="34">
        <v>3</v>
      </c>
      <c r="AF47" s="12">
        <v>5</v>
      </c>
      <c r="AG47" s="38">
        <f t="shared" si="8"/>
        <v>3.75</v>
      </c>
      <c r="AH47" s="32">
        <f t="shared" si="9"/>
        <v>11</v>
      </c>
      <c r="AI47" s="37">
        <f t="shared" si="10"/>
        <v>3.9166666666666665</v>
      </c>
      <c r="AJ47" s="37">
        <f t="shared" si="11"/>
        <v>11</v>
      </c>
      <c r="AK47" s="7">
        <f t="shared" si="12"/>
        <v>47</v>
      </c>
      <c r="AL47" s="7">
        <f t="shared" si="2"/>
        <v>9</v>
      </c>
      <c r="AM47" s="13"/>
      <c r="AN47" s="11" t="s">
        <v>71</v>
      </c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1" t="s">
        <v>71</v>
      </c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22" t="s">
        <v>1425</v>
      </c>
      <c r="CS47" s="20">
        <v>6</v>
      </c>
      <c r="CT47" s="20">
        <v>355501731</v>
      </c>
      <c r="CU47" s="13"/>
      <c r="CV47" s="13"/>
      <c r="CW47" s="13"/>
      <c r="CX47" s="13"/>
      <c r="CY47" s="13"/>
      <c r="CZ47" s="13"/>
      <c r="DA47" s="13"/>
      <c r="DB47" s="13"/>
      <c r="DC47" s="13"/>
      <c r="DD47" s="13"/>
    </row>
    <row r="48" spans="1:108" ht="24.95" customHeight="1" x14ac:dyDescent="0.2">
      <c r="A48" s="3">
        <v>44</v>
      </c>
      <c r="B48" s="3" t="s">
        <v>1448</v>
      </c>
      <c r="C48" s="3" t="s">
        <v>87</v>
      </c>
      <c r="D48" s="3" t="s">
        <v>109</v>
      </c>
      <c r="E48" s="3" t="s">
        <v>201</v>
      </c>
      <c r="F48" s="3" t="s">
        <v>202</v>
      </c>
      <c r="G48" s="11" t="s">
        <v>71</v>
      </c>
      <c r="H48" s="12"/>
      <c r="I48" s="17"/>
      <c r="J48" s="11" t="s">
        <v>71</v>
      </c>
      <c r="K48" s="12"/>
      <c r="L48" s="3" t="s">
        <v>484</v>
      </c>
      <c r="M48" s="12"/>
      <c r="N48" s="12"/>
      <c r="O48" s="12"/>
      <c r="P48" s="4" t="s">
        <v>553</v>
      </c>
      <c r="Q48" s="5">
        <v>9307932877</v>
      </c>
      <c r="R48" s="3" t="s">
        <v>880</v>
      </c>
      <c r="S48" s="14">
        <v>45</v>
      </c>
      <c r="T48" s="3" t="s">
        <v>1022</v>
      </c>
      <c r="U48" s="3" t="s">
        <v>1072</v>
      </c>
      <c r="V48" s="12"/>
      <c r="W48" s="12"/>
      <c r="X48" s="7">
        <f t="shared" si="0"/>
        <v>144</v>
      </c>
      <c r="Y48" s="7">
        <f t="shared" si="1"/>
        <v>14</v>
      </c>
      <c r="Z48" s="7">
        <f t="shared" si="3"/>
        <v>158</v>
      </c>
      <c r="AA48" s="37">
        <f t="shared" si="4"/>
        <v>13.166666666666666</v>
      </c>
      <c r="AB48" s="33">
        <f t="shared" si="5"/>
        <v>2</v>
      </c>
      <c r="AC48" s="8">
        <f t="shared" si="6"/>
        <v>9.1666666666666661</v>
      </c>
      <c r="AD48" s="7">
        <f t="shared" si="7"/>
        <v>2</v>
      </c>
      <c r="AE48" s="34">
        <v>21</v>
      </c>
      <c r="AF48" s="12">
        <v>10</v>
      </c>
      <c r="AG48" s="38">
        <f t="shared" si="8"/>
        <v>22.333333333333332</v>
      </c>
      <c r="AH48" s="32">
        <f t="shared" si="9"/>
        <v>4</v>
      </c>
      <c r="AI48" s="37">
        <f t="shared" si="10"/>
        <v>22.333333333333332</v>
      </c>
      <c r="AJ48" s="37">
        <f t="shared" si="11"/>
        <v>4</v>
      </c>
      <c r="AK48" s="7">
        <f t="shared" si="12"/>
        <v>268</v>
      </c>
      <c r="AL48" s="7">
        <f t="shared" si="2"/>
        <v>110</v>
      </c>
      <c r="AM48" s="13"/>
      <c r="AN48" s="11" t="s">
        <v>71</v>
      </c>
      <c r="AO48" s="13"/>
      <c r="AP48" s="13"/>
      <c r="AQ48" s="13"/>
      <c r="AR48" s="13"/>
      <c r="AS48" s="13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X48" s="13"/>
      <c r="BY48" s="13"/>
      <c r="BZ48" s="13"/>
      <c r="CA48" s="13"/>
      <c r="CB48" s="13"/>
      <c r="CC48" s="11" t="s">
        <v>71</v>
      </c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22" t="s">
        <v>1421</v>
      </c>
      <c r="CS48" s="21">
        <v>10</v>
      </c>
      <c r="CT48" s="20">
        <v>548152130</v>
      </c>
      <c r="CU48" s="13"/>
      <c r="CV48" s="13"/>
      <c r="CW48" s="13"/>
      <c r="CX48" s="13"/>
      <c r="CY48" s="13"/>
      <c r="CZ48" s="13"/>
      <c r="DA48" s="13"/>
      <c r="DB48" s="13"/>
      <c r="DC48" s="13"/>
      <c r="DD48" s="13"/>
    </row>
    <row r="49" spans="1:108" ht="24.95" customHeight="1" x14ac:dyDescent="0.2">
      <c r="A49" s="3">
        <v>45</v>
      </c>
      <c r="B49" s="3" t="s">
        <v>1448</v>
      </c>
      <c r="C49" s="3" t="s">
        <v>87</v>
      </c>
      <c r="D49" s="3" t="s">
        <v>97</v>
      </c>
      <c r="E49" s="3" t="s">
        <v>203</v>
      </c>
      <c r="F49" s="3" t="s">
        <v>204</v>
      </c>
      <c r="G49" s="11" t="s">
        <v>71</v>
      </c>
      <c r="H49" s="12"/>
      <c r="I49" s="17"/>
      <c r="J49" s="11" t="s">
        <v>71</v>
      </c>
      <c r="K49" s="12"/>
      <c r="L49" s="3" t="s">
        <v>485</v>
      </c>
      <c r="M49" s="12"/>
      <c r="N49" s="12"/>
      <c r="O49" s="12"/>
      <c r="P49" s="4" t="s">
        <v>554</v>
      </c>
      <c r="Q49" s="5" t="s">
        <v>731</v>
      </c>
      <c r="R49" s="3" t="s">
        <v>881</v>
      </c>
      <c r="S49" s="14">
        <v>33</v>
      </c>
      <c r="T49" s="3" t="s">
        <v>76</v>
      </c>
      <c r="U49" s="3" t="s">
        <v>1073</v>
      </c>
      <c r="V49" s="12"/>
      <c r="W49" s="12"/>
      <c r="X49" s="7">
        <f t="shared" si="0"/>
        <v>24</v>
      </c>
      <c r="Y49" s="7">
        <f t="shared" si="1"/>
        <v>6</v>
      </c>
      <c r="Z49" s="7">
        <f t="shared" si="3"/>
        <v>30</v>
      </c>
      <c r="AA49" s="37">
        <v>2</v>
      </c>
      <c r="AB49" s="33">
        <f t="shared" si="5"/>
        <v>6</v>
      </c>
      <c r="AC49" s="8">
        <f t="shared" si="6"/>
        <v>6.25</v>
      </c>
      <c r="AD49" s="7">
        <f t="shared" si="7"/>
        <v>3</v>
      </c>
      <c r="AE49" s="34">
        <v>8</v>
      </c>
      <c r="AF49" s="12">
        <v>3</v>
      </c>
      <c r="AG49" s="38">
        <f t="shared" si="8"/>
        <v>8.25</v>
      </c>
      <c r="AH49" s="32">
        <f t="shared" si="9"/>
        <v>9</v>
      </c>
      <c r="AI49" s="37">
        <f t="shared" si="10"/>
        <v>8.75</v>
      </c>
      <c r="AJ49" s="37">
        <f t="shared" si="11"/>
        <v>9</v>
      </c>
      <c r="AK49" s="7">
        <f t="shared" si="12"/>
        <v>105</v>
      </c>
      <c r="AL49" s="7">
        <f t="shared" si="2"/>
        <v>75</v>
      </c>
      <c r="AM49" s="13"/>
      <c r="AN49" s="11" t="s">
        <v>71</v>
      </c>
      <c r="AO49" s="13"/>
      <c r="AP49" s="13"/>
      <c r="AQ49" s="13"/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X49" s="13"/>
      <c r="BY49" s="13"/>
      <c r="BZ49" s="13"/>
      <c r="CA49" s="13"/>
      <c r="CB49" s="13"/>
      <c r="CC49" s="13"/>
      <c r="CD49" s="13"/>
      <c r="CE49" s="13"/>
      <c r="CF49" s="13"/>
      <c r="CG49" s="11" t="s">
        <v>71</v>
      </c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22" t="s">
        <v>1380</v>
      </c>
      <c r="CS49" s="20">
        <v>4</v>
      </c>
      <c r="CT49" s="20">
        <v>331444321</v>
      </c>
      <c r="CU49" s="13"/>
      <c r="CV49" s="13"/>
      <c r="CW49" s="13"/>
      <c r="CX49" s="13"/>
      <c r="CY49" s="13"/>
      <c r="CZ49" s="13"/>
      <c r="DA49" s="13"/>
      <c r="DB49" s="13"/>
      <c r="DC49" s="13"/>
      <c r="DD49" s="13"/>
    </row>
    <row r="50" spans="1:108" ht="24.95" hidden="1" customHeight="1" x14ac:dyDescent="0.2">
      <c r="A50" s="3">
        <v>46</v>
      </c>
      <c r="B50" s="3" t="s">
        <v>1448</v>
      </c>
      <c r="C50" s="3" t="s">
        <v>89</v>
      </c>
      <c r="D50" s="3" t="s">
        <v>205</v>
      </c>
      <c r="E50" s="3" t="s">
        <v>206</v>
      </c>
      <c r="F50" s="3" t="s">
        <v>107</v>
      </c>
      <c r="G50" s="11" t="s">
        <v>71</v>
      </c>
      <c r="H50" s="12"/>
      <c r="I50" s="17"/>
      <c r="J50" s="11" t="s">
        <v>71</v>
      </c>
      <c r="K50" s="12"/>
      <c r="L50" s="3" t="s">
        <v>486</v>
      </c>
      <c r="M50" s="12"/>
      <c r="N50" s="12"/>
      <c r="O50" s="12"/>
      <c r="P50" s="4" t="s">
        <v>555</v>
      </c>
      <c r="Q50" s="5">
        <v>9153090529</v>
      </c>
      <c r="R50" s="3" t="s">
        <v>882</v>
      </c>
      <c r="S50" s="14">
        <v>47</v>
      </c>
      <c r="T50" s="3" t="s">
        <v>1027</v>
      </c>
      <c r="U50" s="3" t="s">
        <v>1074</v>
      </c>
      <c r="V50" s="12"/>
      <c r="W50" s="12"/>
      <c r="X50" s="7">
        <f t="shared" si="0"/>
        <v>264</v>
      </c>
      <c r="Y50" s="7">
        <f t="shared" si="1"/>
        <v>12</v>
      </c>
      <c r="Z50" s="7">
        <f t="shared" si="3"/>
        <v>276</v>
      </c>
      <c r="AA50" s="37">
        <f t="shared" si="4"/>
        <v>23</v>
      </c>
      <c r="AB50" s="33">
        <f t="shared" si="5"/>
        <v>0</v>
      </c>
      <c r="AC50" s="8">
        <f t="shared" si="6"/>
        <v>0.5</v>
      </c>
      <c r="AD50" s="7">
        <f t="shared" si="7"/>
        <v>6</v>
      </c>
      <c r="AE50" s="34">
        <v>23</v>
      </c>
      <c r="AF50" s="12">
        <v>0</v>
      </c>
      <c r="AG50" s="38">
        <f t="shared" si="8"/>
        <v>23.5</v>
      </c>
      <c r="AH50" s="32">
        <f t="shared" si="9"/>
        <v>6</v>
      </c>
      <c r="AI50" s="37">
        <f t="shared" si="10"/>
        <v>23.5</v>
      </c>
      <c r="AJ50" s="37">
        <f t="shared" si="11"/>
        <v>6</v>
      </c>
      <c r="AK50" s="7">
        <f t="shared" si="12"/>
        <v>282</v>
      </c>
      <c r="AL50" s="7">
        <f t="shared" si="2"/>
        <v>6</v>
      </c>
      <c r="AM50" s="13"/>
      <c r="AN50" s="11" t="s">
        <v>71</v>
      </c>
      <c r="AO50" s="13"/>
      <c r="AP50" s="13"/>
      <c r="AQ50" s="13"/>
      <c r="AR50" s="13"/>
      <c r="AS50" s="13"/>
      <c r="AT50" s="13"/>
      <c r="AU50" s="13"/>
      <c r="AV50" s="13"/>
      <c r="AW50" s="13"/>
      <c r="AX50" s="13"/>
      <c r="AY50" s="13"/>
      <c r="AZ50" s="13"/>
      <c r="BA50" s="13"/>
      <c r="BB50" s="13"/>
      <c r="BC50" s="11" t="s">
        <v>71</v>
      </c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22" t="s">
        <v>1436</v>
      </c>
      <c r="CS50" s="21">
        <v>14</v>
      </c>
      <c r="CT50" s="20">
        <v>674721312</v>
      </c>
      <c r="CU50" s="13"/>
      <c r="CV50" s="13"/>
      <c r="CW50" s="13"/>
      <c r="CX50" s="13"/>
      <c r="CY50" s="13"/>
      <c r="CZ50" s="13"/>
      <c r="DA50" s="13"/>
      <c r="DB50" s="13"/>
      <c r="DC50" s="13"/>
      <c r="DD50" s="13"/>
    </row>
    <row r="51" spans="1:108" ht="24.95" hidden="1" customHeight="1" x14ac:dyDescent="0.2">
      <c r="A51" s="3">
        <v>47</v>
      </c>
      <c r="B51" s="3" t="s">
        <v>1448</v>
      </c>
      <c r="C51" s="3" t="s">
        <v>89</v>
      </c>
      <c r="D51" s="3" t="s">
        <v>207</v>
      </c>
      <c r="E51" s="3" t="s">
        <v>208</v>
      </c>
      <c r="F51" s="3" t="s">
        <v>107</v>
      </c>
      <c r="G51" s="11" t="s">
        <v>71</v>
      </c>
      <c r="H51" s="12"/>
      <c r="I51" s="17"/>
      <c r="J51" s="11" t="s">
        <v>71</v>
      </c>
      <c r="K51" s="12"/>
      <c r="L51" s="3" t="s">
        <v>487</v>
      </c>
      <c r="M51" s="12"/>
      <c r="N51" s="12"/>
      <c r="O51" s="12"/>
      <c r="P51" s="4" t="s">
        <v>556</v>
      </c>
      <c r="Q51" s="5">
        <v>9151517134</v>
      </c>
      <c r="R51" s="3" t="s">
        <v>883</v>
      </c>
      <c r="S51" s="14">
        <v>40</v>
      </c>
      <c r="T51" s="3" t="s">
        <v>1027</v>
      </c>
      <c r="U51" s="3" t="s">
        <v>1075</v>
      </c>
      <c r="V51" s="12"/>
      <c r="W51" s="12"/>
      <c r="X51" s="7">
        <f t="shared" si="0"/>
        <v>120</v>
      </c>
      <c r="Y51" s="7">
        <f t="shared" si="1"/>
        <v>12</v>
      </c>
      <c r="Z51" s="7">
        <f t="shared" si="3"/>
        <v>132</v>
      </c>
      <c r="AA51" s="37">
        <f t="shared" si="4"/>
        <v>11</v>
      </c>
      <c r="AB51" s="33">
        <f t="shared" si="5"/>
        <v>0</v>
      </c>
      <c r="AC51" s="8">
        <f t="shared" si="6"/>
        <v>-8.3333333333333329E-2</v>
      </c>
      <c r="AD51" s="7">
        <f t="shared" si="7"/>
        <v>11</v>
      </c>
      <c r="AE51" s="34">
        <v>10</v>
      </c>
      <c r="AF51" s="12">
        <v>5</v>
      </c>
      <c r="AG51" s="38">
        <f t="shared" si="8"/>
        <v>10.916666666666666</v>
      </c>
      <c r="AH51" s="32">
        <f t="shared" si="9"/>
        <v>11</v>
      </c>
      <c r="AI51" s="37">
        <f t="shared" si="10"/>
        <v>10.916666666666666</v>
      </c>
      <c r="AJ51" s="37">
        <f t="shared" si="11"/>
        <v>11</v>
      </c>
      <c r="AK51" s="7">
        <f t="shared" si="12"/>
        <v>131</v>
      </c>
      <c r="AL51" s="7">
        <f t="shared" si="2"/>
        <v>-1</v>
      </c>
      <c r="AM51" s="13"/>
      <c r="AN51" s="11" t="s">
        <v>71</v>
      </c>
      <c r="AO51" s="13"/>
      <c r="AP51" s="13"/>
      <c r="AQ51" s="13"/>
      <c r="AR51" s="13"/>
      <c r="AS51" s="13"/>
      <c r="AT51" s="13"/>
      <c r="AU51" s="13"/>
      <c r="AV51" s="13"/>
      <c r="AW51" s="13"/>
      <c r="AX51" s="13"/>
      <c r="AY51" s="13"/>
      <c r="AZ51" s="13"/>
      <c r="BA51" s="13"/>
      <c r="BB51" s="13"/>
      <c r="BC51" s="11" t="s">
        <v>71</v>
      </c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22" t="s">
        <v>1430</v>
      </c>
      <c r="CS51" s="21">
        <v>11</v>
      </c>
      <c r="CT51" s="20">
        <v>471917548</v>
      </c>
      <c r="CU51" s="13"/>
      <c r="CV51" s="13"/>
      <c r="CW51" s="13"/>
      <c r="CX51" s="13"/>
      <c r="CY51" s="13"/>
      <c r="CZ51" s="13"/>
      <c r="DA51" s="13"/>
      <c r="DB51" s="13"/>
      <c r="DC51" s="13"/>
      <c r="DD51" s="13"/>
    </row>
    <row r="52" spans="1:108" ht="24.95" hidden="1" customHeight="1" x14ac:dyDescent="0.2">
      <c r="A52" s="3">
        <v>48</v>
      </c>
      <c r="B52" s="3" t="s">
        <v>1448</v>
      </c>
      <c r="C52" s="3" t="s">
        <v>84</v>
      </c>
      <c r="D52" s="3" t="s">
        <v>209</v>
      </c>
      <c r="E52" s="3" t="s">
        <v>210</v>
      </c>
      <c r="F52" s="3" t="s">
        <v>211</v>
      </c>
      <c r="G52" s="11" t="s">
        <v>71</v>
      </c>
      <c r="H52" s="12"/>
      <c r="I52" s="17"/>
      <c r="J52" s="11" t="s">
        <v>71</v>
      </c>
      <c r="K52" s="12"/>
      <c r="L52" s="3" t="s">
        <v>492</v>
      </c>
      <c r="M52" s="12"/>
      <c r="N52" s="12"/>
      <c r="O52" s="12"/>
      <c r="P52" s="4" t="s">
        <v>557</v>
      </c>
      <c r="Q52" s="5" t="s">
        <v>732</v>
      </c>
      <c r="R52" s="3" t="s">
        <v>884</v>
      </c>
      <c r="S52" s="14">
        <v>39</v>
      </c>
      <c r="T52" s="3" t="s">
        <v>1024</v>
      </c>
      <c r="U52" s="3" t="s">
        <v>1076</v>
      </c>
      <c r="V52" s="12"/>
      <c r="W52" s="12"/>
      <c r="X52" s="7">
        <f t="shared" si="0"/>
        <v>24</v>
      </c>
      <c r="Y52" s="7">
        <f t="shared" si="1"/>
        <v>14</v>
      </c>
      <c r="Z52" s="7">
        <f t="shared" si="3"/>
        <v>38</v>
      </c>
      <c r="AA52" s="37">
        <v>4</v>
      </c>
      <c r="AB52" s="33">
        <f t="shared" si="5"/>
        <v>2</v>
      </c>
      <c r="AC52" s="8">
        <f t="shared" si="6"/>
        <v>4</v>
      </c>
      <c r="AD52" s="7">
        <f t="shared" si="7"/>
        <v>0</v>
      </c>
      <c r="AE52" s="34">
        <v>6</v>
      </c>
      <c r="AF52" s="12">
        <v>8</v>
      </c>
      <c r="AG52" s="38">
        <f t="shared" si="8"/>
        <v>8</v>
      </c>
      <c r="AH52" s="32">
        <f t="shared" si="9"/>
        <v>2</v>
      </c>
      <c r="AI52" s="37">
        <f t="shared" si="10"/>
        <v>7.166666666666667</v>
      </c>
      <c r="AJ52" s="37">
        <f t="shared" si="11"/>
        <v>2</v>
      </c>
      <c r="AK52" s="7">
        <f t="shared" si="12"/>
        <v>86</v>
      </c>
      <c r="AL52" s="7">
        <f t="shared" si="2"/>
        <v>48</v>
      </c>
      <c r="AM52" s="13"/>
      <c r="AN52" s="11" t="s">
        <v>71</v>
      </c>
      <c r="AO52" s="13"/>
      <c r="AP52" s="13"/>
      <c r="AQ52" s="13"/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X52" s="13"/>
      <c r="BY52" s="13"/>
      <c r="BZ52" s="13"/>
      <c r="CA52" s="13"/>
      <c r="CB52" s="13"/>
      <c r="CC52" s="11" t="s">
        <v>71</v>
      </c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22" t="s">
        <v>1422</v>
      </c>
      <c r="CS52" s="20">
        <v>6</v>
      </c>
      <c r="CT52" s="20">
        <v>355231005</v>
      </c>
      <c r="CU52" s="13"/>
      <c r="CV52" s="13"/>
      <c r="CW52" s="13"/>
      <c r="CX52" s="13"/>
      <c r="CY52" s="13"/>
      <c r="CZ52" s="13"/>
      <c r="DA52" s="13"/>
      <c r="DB52" s="13"/>
      <c r="DC52" s="13"/>
      <c r="DD52" s="13"/>
    </row>
    <row r="53" spans="1:108" ht="24.95" hidden="1" customHeight="1" x14ac:dyDescent="0.2">
      <c r="A53" s="3">
        <v>49</v>
      </c>
      <c r="B53" s="3" t="s">
        <v>1448</v>
      </c>
      <c r="C53" s="3" t="s">
        <v>92</v>
      </c>
      <c r="D53" s="3" t="s">
        <v>146</v>
      </c>
      <c r="E53" s="3" t="s">
        <v>212</v>
      </c>
      <c r="F53" s="3" t="s">
        <v>213</v>
      </c>
      <c r="G53" s="11" t="s">
        <v>71</v>
      </c>
      <c r="H53" s="12"/>
      <c r="I53" s="11" t="s">
        <v>71</v>
      </c>
      <c r="J53" s="11"/>
      <c r="K53" s="12"/>
      <c r="L53" s="3" t="s">
        <v>488</v>
      </c>
      <c r="M53" s="12"/>
      <c r="N53" s="12"/>
      <c r="O53" s="12"/>
      <c r="P53" s="4" t="s">
        <v>558</v>
      </c>
      <c r="Q53" s="5" t="s">
        <v>733</v>
      </c>
      <c r="R53" s="3" t="s">
        <v>885</v>
      </c>
      <c r="S53" s="14">
        <v>37</v>
      </c>
      <c r="T53" s="3" t="s">
        <v>1031</v>
      </c>
      <c r="U53" s="3" t="s">
        <v>1077</v>
      </c>
      <c r="V53" s="12"/>
      <c r="W53" s="12"/>
      <c r="X53" s="7">
        <f t="shared" si="0"/>
        <v>60</v>
      </c>
      <c r="Y53" s="7">
        <f t="shared" si="1"/>
        <v>17</v>
      </c>
      <c r="Z53" s="7">
        <f t="shared" si="3"/>
        <v>77</v>
      </c>
      <c r="AA53" s="37">
        <f t="shared" si="4"/>
        <v>6.416666666666667</v>
      </c>
      <c r="AB53" s="33">
        <f t="shared" si="5"/>
        <v>5</v>
      </c>
      <c r="AC53" s="8">
        <f t="shared" si="6"/>
        <v>0.91666666666666663</v>
      </c>
      <c r="AD53" s="7">
        <f t="shared" si="7"/>
        <v>11</v>
      </c>
      <c r="AE53" s="34">
        <v>6.416666666666667</v>
      </c>
      <c r="AF53" s="12">
        <v>5</v>
      </c>
      <c r="AG53" s="38">
        <v>8</v>
      </c>
      <c r="AH53" s="32">
        <v>4</v>
      </c>
      <c r="AI53" s="37">
        <f t="shared" si="10"/>
        <v>7.333333333333333</v>
      </c>
      <c r="AJ53" s="37">
        <f t="shared" si="11"/>
        <v>4</v>
      </c>
      <c r="AK53" s="7">
        <f t="shared" si="12"/>
        <v>88</v>
      </c>
      <c r="AL53" s="7">
        <f t="shared" si="2"/>
        <v>11</v>
      </c>
      <c r="AM53" s="13"/>
      <c r="AN53" s="11" t="s">
        <v>71</v>
      </c>
      <c r="AO53" s="13"/>
      <c r="AP53" s="13"/>
      <c r="AQ53" s="13"/>
      <c r="AR53" s="13"/>
      <c r="AS53" s="13"/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X53" s="13"/>
      <c r="BY53" s="13"/>
      <c r="BZ53" s="13"/>
      <c r="CA53" s="13"/>
      <c r="CB53" s="13"/>
      <c r="CC53" s="11" t="s">
        <v>71</v>
      </c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22" t="s">
        <v>1424</v>
      </c>
      <c r="CS53" s="20">
        <v>6</v>
      </c>
      <c r="CT53" s="20">
        <v>324220149</v>
      </c>
      <c r="CU53" s="13"/>
      <c r="CV53" s="13"/>
      <c r="CW53" s="13"/>
      <c r="CX53" s="13"/>
      <c r="CY53" s="13"/>
      <c r="CZ53" s="13"/>
      <c r="DA53" s="13"/>
      <c r="DB53" s="13"/>
      <c r="DC53" s="13"/>
      <c r="DD53" s="13"/>
    </row>
    <row r="54" spans="1:108" ht="24.95" hidden="1" customHeight="1" x14ac:dyDescent="0.2">
      <c r="A54" s="3">
        <v>50</v>
      </c>
      <c r="B54" s="3" t="s">
        <v>1448</v>
      </c>
      <c r="C54" s="3" t="s">
        <v>89</v>
      </c>
      <c r="D54" s="3" t="s">
        <v>214</v>
      </c>
      <c r="E54" s="3" t="s">
        <v>215</v>
      </c>
      <c r="F54" s="3" t="s">
        <v>170</v>
      </c>
      <c r="G54" s="11" t="s">
        <v>71</v>
      </c>
      <c r="H54" s="12"/>
      <c r="I54" s="17"/>
      <c r="J54" s="11" t="s">
        <v>71</v>
      </c>
      <c r="K54" s="12"/>
      <c r="L54" s="3" t="s">
        <v>489</v>
      </c>
      <c r="M54" s="12"/>
      <c r="N54" s="12"/>
      <c r="O54" s="12"/>
      <c r="P54" s="4" t="s">
        <v>559</v>
      </c>
      <c r="Q54" s="5">
        <v>9156934171</v>
      </c>
      <c r="R54" s="3" t="s">
        <v>886</v>
      </c>
      <c r="S54" s="14">
        <v>45</v>
      </c>
      <c r="T54" s="3" t="s">
        <v>1027</v>
      </c>
      <c r="U54" s="3" t="s">
        <v>1078</v>
      </c>
      <c r="V54" s="12"/>
      <c r="W54" s="12"/>
      <c r="X54" s="7">
        <f t="shared" si="0"/>
        <v>180</v>
      </c>
      <c r="Y54" s="7">
        <f t="shared" si="1"/>
        <v>12</v>
      </c>
      <c r="Z54" s="7">
        <f t="shared" si="3"/>
        <v>192</v>
      </c>
      <c r="AA54" s="37">
        <f t="shared" si="4"/>
        <v>16</v>
      </c>
      <c r="AB54" s="33">
        <f t="shared" si="5"/>
        <v>0</v>
      </c>
      <c r="AC54" s="8">
        <f t="shared" si="6"/>
        <v>0.5</v>
      </c>
      <c r="AD54" s="7">
        <f t="shared" si="7"/>
        <v>6</v>
      </c>
      <c r="AE54" s="34">
        <v>16</v>
      </c>
      <c r="AF54" s="12">
        <v>0</v>
      </c>
      <c r="AG54" s="38">
        <f t="shared" si="8"/>
        <v>16.5</v>
      </c>
      <c r="AH54" s="32">
        <f t="shared" si="9"/>
        <v>6</v>
      </c>
      <c r="AI54" s="37">
        <f t="shared" si="10"/>
        <v>16.5</v>
      </c>
      <c r="AJ54" s="37">
        <f t="shared" si="11"/>
        <v>6</v>
      </c>
      <c r="AK54" s="7">
        <f t="shared" si="12"/>
        <v>198</v>
      </c>
      <c r="AL54" s="7">
        <f t="shared" si="2"/>
        <v>6</v>
      </c>
      <c r="AM54" s="13"/>
      <c r="AN54" s="11" t="s">
        <v>71</v>
      </c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3"/>
      <c r="BP54" s="13"/>
      <c r="BQ54" s="13"/>
      <c r="BR54" s="13"/>
      <c r="BS54" s="11" t="s">
        <v>71</v>
      </c>
      <c r="BT54" s="13"/>
      <c r="BU54" s="13"/>
      <c r="BV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22" t="s">
        <v>1431</v>
      </c>
      <c r="CS54" s="21">
        <v>14</v>
      </c>
      <c r="CT54" s="20">
        <v>588741385</v>
      </c>
      <c r="CU54" s="13"/>
      <c r="CV54" s="13"/>
      <c r="CW54" s="13"/>
      <c r="CX54" s="13"/>
      <c r="CY54" s="13"/>
      <c r="CZ54" s="13"/>
      <c r="DA54" s="13"/>
      <c r="DB54" s="13"/>
      <c r="DC54" s="13"/>
      <c r="DD54" s="13"/>
    </row>
    <row r="55" spans="1:108" ht="24.95" customHeight="1" x14ac:dyDescent="0.2">
      <c r="A55" s="3">
        <v>51</v>
      </c>
      <c r="B55" s="3" t="s">
        <v>1448</v>
      </c>
      <c r="C55" s="3" t="s">
        <v>87</v>
      </c>
      <c r="D55" s="3" t="s">
        <v>216</v>
      </c>
      <c r="E55" s="3" t="s">
        <v>217</v>
      </c>
      <c r="F55" s="3" t="s">
        <v>218</v>
      </c>
      <c r="G55" s="11" t="s">
        <v>71</v>
      </c>
      <c r="H55" s="12"/>
      <c r="I55" s="11" t="s">
        <v>71</v>
      </c>
      <c r="J55" s="11"/>
      <c r="K55" s="12"/>
      <c r="L55" s="3" t="s">
        <v>492</v>
      </c>
      <c r="M55" s="12"/>
      <c r="N55" s="12"/>
      <c r="O55" s="12"/>
      <c r="P55" s="4" t="s">
        <v>560</v>
      </c>
      <c r="Q55" s="5" t="s">
        <v>734</v>
      </c>
      <c r="R55" s="3" t="s">
        <v>887</v>
      </c>
      <c r="S55" s="14">
        <v>28</v>
      </c>
      <c r="T55" s="3" t="s">
        <v>1024</v>
      </c>
      <c r="U55" s="3" t="s">
        <v>1079</v>
      </c>
      <c r="V55" s="12"/>
      <c r="W55" s="12"/>
      <c r="X55" s="7">
        <f t="shared" si="0"/>
        <v>24</v>
      </c>
      <c r="Y55" s="7">
        <f t="shared" si="1"/>
        <v>14</v>
      </c>
      <c r="Z55" s="7">
        <f t="shared" si="3"/>
        <v>38</v>
      </c>
      <c r="AA55" s="37">
        <f t="shared" si="4"/>
        <v>3.1666666666666665</v>
      </c>
      <c r="AB55" s="33">
        <f t="shared" si="5"/>
        <v>2</v>
      </c>
      <c r="AC55" s="8">
        <f t="shared" si="6"/>
        <v>0.83333333333333337</v>
      </c>
      <c r="AD55" s="7">
        <f t="shared" si="7"/>
        <v>10</v>
      </c>
      <c r="AE55" s="34">
        <v>3</v>
      </c>
      <c r="AF55" s="12">
        <v>6</v>
      </c>
      <c r="AG55" s="38">
        <v>5</v>
      </c>
      <c r="AH55" s="32">
        <v>0</v>
      </c>
      <c r="AI55" s="37">
        <f t="shared" si="10"/>
        <v>4</v>
      </c>
      <c r="AJ55" s="37">
        <f t="shared" si="11"/>
        <v>0</v>
      </c>
      <c r="AK55" s="7">
        <f t="shared" si="12"/>
        <v>48</v>
      </c>
      <c r="AL55" s="7">
        <f t="shared" si="2"/>
        <v>10</v>
      </c>
      <c r="AM55" s="13"/>
      <c r="AN55" s="11" t="s">
        <v>71</v>
      </c>
      <c r="AO55" s="13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1" t="s">
        <v>71</v>
      </c>
      <c r="CL55" s="13"/>
      <c r="CM55" s="13"/>
      <c r="CN55" s="13"/>
      <c r="CO55" s="13"/>
      <c r="CP55" s="13"/>
      <c r="CQ55" s="13"/>
      <c r="CR55" s="22" t="s">
        <v>1426</v>
      </c>
      <c r="CS55" s="20">
        <v>6</v>
      </c>
      <c r="CT55" s="20">
        <v>335409550</v>
      </c>
      <c r="CU55" s="13"/>
      <c r="CV55" s="13"/>
      <c r="CW55" s="13"/>
      <c r="CX55" s="13"/>
      <c r="CY55" s="13"/>
      <c r="CZ55" s="13"/>
      <c r="DA55" s="13"/>
      <c r="DB55" s="13"/>
      <c r="DC55" s="13"/>
      <c r="DD55" s="13"/>
    </row>
    <row r="56" spans="1:108" ht="24.95" hidden="1" customHeight="1" x14ac:dyDescent="0.2">
      <c r="A56" s="3">
        <v>52</v>
      </c>
      <c r="B56" s="3" t="s">
        <v>1448</v>
      </c>
      <c r="C56" s="3" t="s">
        <v>83</v>
      </c>
      <c r="D56" s="3" t="s">
        <v>97</v>
      </c>
      <c r="E56" s="3" t="s">
        <v>219</v>
      </c>
      <c r="F56" s="3" t="s">
        <v>148</v>
      </c>
      <c r="G56" s="11" t="s">
        <v>71</v>
      </c>
      <c r="H56" s="12"/>
      <c r="I56" s="17"/>
      <c r="J56" s="11" t="s">
        <v>71</v>
      </c>
      <c r="K56" s="12"/>
      <c r="L56" s="3" t="s">
        <v>492</v>
      </c>
      <c r="M56" s="12"/>
      <c r="N56" s="12"/>
      <c r="O56" s="12"/>
      <c r="P56" s="4" t="s">
        <v>561</v>
      </c>
      <c r="Q56" s="5" t="s">
        <v>735</v>
      </c>
      <c r="R56" s="3" t="s">
        <v>888</v>
      </c>
      <c r="S56" s="14">
        <v>26</v>
      </c>
      <c r="T56" s="3" t="s">
        <v>1024</v>
      </c>
      <c r="U56" s="3" t="s">
        <v>1048</v>
      </c>
      <c r="V56" s="12"/>
      <c r="W56" s="12"/>
      <c r="X56" s="7">
        <f t="shared" si="0"/>
        <v>24</v>
      </c>
      <c r="Y56" s="7">
        <f t="shared" si="1"/>
        <v>14</v>
      </c>
      <c r="Z56" s="7">
        <f t="shared" si="3"/>
        <v>38</v>
      </c>
      <c r="AA56" s="37">
        <v>4</v>
      </c>
      <c r="AB56" s="33">
        <f t="shared" si="5"/>
        <v>2</v>
      </c>
      <c r="AC56" s="8">
        <f t="shared" si="6"/>
        <v>1.1666666666666667</v>
      </c>
      <c r="AD56" s="7">
        <f t="shared" si="7"/>
        <v>2</v>
      </c>
      <c r="AE56" s="34">
        <v>3</v>
      </c>
      <c r="AF56" s="12">
        <v>10</v>
      </c>
      <c r="AG56" s="38">
        <f t="shared" si="8"/>
        <v>5.166666666666667</v>
      </c>
      <c r="AH56" s="32">
        <f t="shared" si="9"/>
        <v>4</v>
      </c>
      <c r="AI56" s="37">
        <f t="shared" si="10"/>
        <v>4.333333333333333</v>
      </c>
      <c r="AJ56" s="37">
        <f t="shared" si="11"/>
        <v>4</v>
      </c>
      <c r="AK56" s="7">
        <f t="shared" si="12"/>
        <v>52</v>
      </c>
      <c r="AL56" s="7">
        <f t="shared" si="2"/>
        <v>14</v>
      </c>
      <c r="AM56" s="13"/>
      <c r="AN56" s="11" t="s">
        <v>71</v>
      </c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X56" s="13"/>
      <c r="BY56" s="13"/>
      <c r="BZ56" s="13"/>
      <c r="CA56" s="13"/>
      <c r="CB56" s="13"/>
      <c r="CC56" s="13"/>
      <c r="CD56" s="13"/>
      <c r="CE56" s="13"/>
      <c r="CF56" s="13"/>
      <c r="CG56" s="11" t="s">
        <v>71</v>
      </c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22" t="s">
        <v>1380</v>
      </c>
      <c r="CS56" s="20">
        <v>4</v>
      </c>
      <c r="CT56" s="20">
        <v>335919601</v>
      </c>
      <c r="CU56" s="13"/>
      <c r="CV56" s="13"/>
      <c r="CW56" s="13"/>
      <c r="CX56" s="13"/>
      <c r="CY56" s="13"/>
      <c r="CZ56" s="13"/>
      <c r="DA56" s="13"/>
      <c r="DB56" s="13"/>
      <c r="DC56" s="13"/>
      <c r="DD56" s="13"/>
    </row>
    <row r="57" spans="1:108" ht="24.95" hidden="1" customHeight="1" x14ac:dyDescent="0.2">
      <c r="A57" s="3">
        <v>53</v>
      </c>
      <c r="B57" s="3" t="s">
        <v>1448</v>
      </c>
      <c r="C57" s="3" t="s">
        <v>83</v>
      </c>
      <c r="D57" s="3" t="s">
        <v>122</v>
      </c>
      <c r="E57" s="3" t="s">
        <v>220</v>
      </c>
      <c r="F57" s="3" t="s">
        <v>115</v>
      </c>
      <c r="G57" s="11" t="s">
        <v>71</v>
      </c>
      <c r="H57" s="12"/>
      <c r="I57" s="11" t="s">
        <v>71</v>
      </c>
      <c r="K57" s="12"/>
      <c r="L57" s="3" t="s">
        <v>492</v>
      </c>
      <c r="M57" s="12"/>
      <c r="N57" s="12"/>
      <c r="O57" s="12"/>
      <c r="P57" s="4" t="s">
        <v>562</v>
      </c>
      <c r="Q57" s="5" t="s">
        <v>736</v>
      </c>
      <c r="R57" s="3" t="s">
        <v>889</v>
      </c>
      <c r="S57" s="14">
        <v>33</v>
      </c>
      <c r="T57" s="3" t="s">
        <v>75</v>
      </c>
      <c r="U57" s="3" t="s">
        <v>1057</v>
      </c>
      <c r="V57" s="12"/>
      <c r="W57" s="12"/>
      <c r="X57" s="7">
        <f t="shared" si="0"/>
        <v>24</v>
      </c>
      <c r="Y57" s="7">
        <f t="shared" si="1"/>
        <v>14</v>
      </c>
      <c r="Z57" s="7">
        <f t="shared" si="3"/>
        <v>38</v>
      </c>
      <c r="AA57" s="37">
        <f t="shared" si="4"/>
        <v>3.1666666666666665</v>
      </c>
      <c r="AB57" s="33">
        <f t="shared" si="5"/>
        <v>2</v>
      </c>
      <c r="AC57" s="8">
        <f t="shared" si="6"/>
        <v>8.3333333333333329E-2</v>
      </c>
      <c r="AD57" s="7">
        <f t="shared" si="7"/>
        <v>1</v>
      </c>
      <c r="AE57" s="34">
        <v>2</v>
      </c>
      <c r="AF57" s="12">
        <v>9</v>
      </c>
      <c r="AG57" s="38">
        <f t="shared" si="8"/>
        <v>3.25</v>
      </c>
      <c r="AH57" s="32">
        <f t="shared" si="9"/>
        <v>3</v>
      </c>
      <c r="AI57" s="37">
        <f t="shared" si="10"/>
        <v>3.25</v>
      </c>
      <c r="AJ57" s="37">
        <f t="shared" si="11"/>
        <v>3</v>
      </c>
      <c r="AK57" s="7">
        <f t="shared" si="12"/>
        <v>39</v>
      </c>
      <c r="AL57" s="7">
        <f t="shared" si="2"/>
        <v>1</v>
      </c>
      <c r="AM57" s="13"/>
      <c r="AN57" s="11" t="s">
        <v>71</v>
      </c>
      <c r="AO57" s="13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X57" s="13"/>
      <c r="BY57" s="13"/>
      <c r="BZ57" s="13"/>
      <c r="CA57" s="13"/>
      <c r="CB57" s="13"/>
      <c r="CC57" s="11" t="s">
        <v>71</v>
      </c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22" t="s">
        <v>1391</v>
      </c>
      <c r="CS57" s="20">
        <v>6</v>
      </c>
      <c r="CT57" s="20">
        <v>320005216</v>
      </c>
      <c r="CU57" s="13"/>
      <c r="CV57" s="13"/>
      <c r="CW57" s="13"/>
      <c r="CX57" s="13"/>
      <c r="CY57" s="13"/>
      <c r="CZ57" s="13"/>
      <c r="DA57" s="13"/>
      <c r="DB57" s="13"/>
      <c r="DC57" s="13"/>
      <c r="DD57" s="13"/>
    </row>
    <row r="58" spans="1:108" ht="24.95" hidden="1" customHeight="1" x14ac:dyDescent="0.2">
      <c r="A58" s="3">
        <v>54</v>
      </c>
      <c r="B58" s="3" t="s">
        <v>1448</v>
      </c>
      <c r="C58" s="3" t="s">
        <v>92</v>
      </c>
      <c r="D58" s="3" t="s">
        <v>141</v>
      </c>
      <c r="E58" s="3" t="s">
        <v>221</v>
      </c>
      <c r="F58" s="3" t="s">
        <v>222</v>
      </c>
      <c r="G58" s="11" t="s">
        <v>71</v>
      </c>
      <c r="H58" s="12"/>
      <c r="I58" s="17"/>
      <c r="J58" s="11" t="s">
        <v>71</v>
      </c>
      <c r="K58" s="12"/>
      <c r="L58" s="3" t="s">
        <v>492</v>
      </c>
      <c r="M58" s="12"/>
      <c r="N58" s="12"/>
      <c r="O58" s="12"/>
      <c r="P58" s="4" t="s">
        <v>563</v>
      </c>
      <c r="Q58" s="5" t="s">
        <v>737</v>
      </c>
      <c r="R58" s="3" t="s">
        <v>890</v>
      </c>
      <c r="S58" s="14">
        <v>37</v>
      </c>
      <c r="T58" s="3" t="s">
        <v>75</v>
      </c>
      <c r="U58" s="3" t="s">
        <v>1080</v>
      </c>
      <c r="V58" s="12"/>
      <c r="W58" s="12"/>
      <c r="X58" s="7">
        <f t="shared" si="0"/>
        <v>24</v>
      </c>
      <c r="Y58" s="7">
        <f t="shared" si="1"/>
        <v>14</v>
      </c>
      <c r="Z58" s="7">
        <f t="shared" si="3"/>
        <v>38</v>
      </c>
      <c r="AA58" s="37">
        <v>4</v>
      </c>
      <c r="AB58" s="33">
        <f t="shared" si="5"/>
        <v>2</v>
      </c>
      <c r="AC58" s="8">
        <f t="shared" si="6"/>
        <v>4.5</v>
      </c>
      <c r="AD58" s="7">
        <f t="shared" si="7"/>
        <v>6</v>
      </c>
      <c r="AE58" s="34">
        <v>7</v>
      </c>
      <c r="AF58" s="12">
        <v>2</v>
      </c>
      <c r="AG58" s="38">
        <f t="shared" si="8"/>
        <v>8.5</v>
      </c>
      <c r="AH58" s="32">
        <f t="shared" si="9"/>
        <v>8</v>
      </c>
      <c r="AI58" s="37">
        <f t="shared" si="10"/>
        <v>7.666666666666667</v>
      </c>
      <c r="AJ58" s="37">
        <f t="shared" si="11"/>
        <v>8</v>
      </c>
      <c r="AK58" s="7">
        <f t="shared" si="12"/>
        <v>92</v>
      </c>
      <c r="AL58" s="7">
        <f t="shared" si="2"/>
        <v>54</v>
      </c>
      <c r="AM58" s="13"/>
      <c r="AN58" s="11" t="s">
        <v>71</v>
      </c>
      <c r="AO58" s="13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X58" s="13"/>
      <c r="BY58" s="13"/>
      <c r="BZ58" s="13"/>
      <c r="CA58" s="13"/>
      <c r="CB58" s="13"/>
      <c r="CC58" s="13"/>
      <c r="CD58" s="13"/>
      <c r="CE58" s="13"/>
      <c r="CF58" s="13"/>
      <c r="CG58" s="11" t="s">
        <v>71</v>
      </c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22" t="s">
        <v>1380</v>
      </c>
      <c r="CS58" s="20">
        <v>4</v>
      </c>
      <c r="CT58" s="20">
        <v>337634240</v>
      </c>
      <c r="CU58" s="13"/>
      <c r="CV58" s="13"/>
      <c r="CW58" s="13"/>
      <c r="CX58" s="13"/>
      <c r="CY58" s="13"/>
      <c r="CZ58" s="13"/>
      <c r="DA58" s="13"/>
      <c r="DB58" s="13"/>
      <c r="DC58" s="13"/>
      <c r="DD58" s="13"/>
    </row>
    <row r="59" spans="1:108" ht="24.95" hidden="1" customHeight="1" x14ac:dyDescent="0.2">
      <c r="A59" s="3">
        <v>55</v>
      </c>
      <c r="B59" s="3" t="s">
        <v>1448</v>
      </c>
      <c r="C59" s="3" t="s">
        <v>83</v>
      </c>
      <c r="D59" s="3" t="s">
        <v>127</v>
      </c>
      <c r="E59" s="3" t="s">
        <v>223</v>
      </c>
      <c r="F59" s="3" t="s">
        <v>224</v>
      </c>
      <c r="G59" s="11" t="s">
        <v>71</v>
      </c>
      <c r="H59" s="12"/>
      <c r="I59" s="17"/>
      <c r="J59" s="11" t="s">
        <v>71</v>
      </c>
      <c r="K59" s="12"/>
      <c r="L59" s="3" t="s">
        <v>492</v>
      </c>
      <c r="M59" s="12"/>
      <c r="N59" s="12"/>
      <c r="O59" s="12"/>
      <c r="P59" s="4" t="s">
        <v>564</v>
      </c>
      <c r="Q59" s="5" t="s">
        <v>738</v>
      </c>
      <c r="R59" s="3" t="s">
        <v>891</v>
      </c>
      <c r="S59" s="14">
        <v>38</v>
      </c>
      <c r="T59" s="3" t="s">
        <v>76</v>
      </c>
      <c r="U59" s="3" t="s">
        <v>1081</v>
      </c>
      <c r="V59" s="12"/>
      <c r="W59" s="12"/>
      <c r="X59" s="7">
        <f t="shared" si="0"/>
        <v>24</v>
      </c>
      <c r="Y59" s="7">
        <f t="shared" si="1"/>
        <v>14</v>
      </c>
      <c r="Z59" s="7">
        <f t="shared" si="3"/>
        <v>38</v>
      </c>
      <c r="AA59" s="37">
        <f t="shared" si="4"/>
        <v>3.1666666666666665</v>
      </c>
      <c r="AB59" s="33">
        <f t="shared" si="5"/>
        <v>2</v>
      </c>
      <c r="AC59" s="8">
        <f t="shared" si="6"/>
        <v>9.6666666666666661</v>
      </c>
      <c r="AD59" s="7">
        <f t="shared" si="7"/>
        <v>8</v>
      </c>
      <c r="AE59" s="34">
        <v>12</v>
      </c>
      <c r="AF59" s="12">
        <v>4</v>
      </c>
      <c r="AG59" s="38">
        <f t="shared" si="8"/>
        <v>12.833333333333332</v>
      </c>
      <c r="AH59" s="32">
        <f t="shared" si="9"/>
        <v>10</v>
      </c>
      <c r="AI59" s="37">
        <f t="shared" si="10"/>
        <v>12.833333333333334</v>
      </c>
      <c r="AJ59" s="37">
        <f t="shared" si="11"/>
        <v>10</v>
      </c>
      <c r="AK59" s="7">
        <f t="shared" si="12"/>
        <v>154</v>
      </c>
      <c r="AL59" s="7">
        <f t="shared" si="2"/>
        <v>116</v>
      </c>
      <c r="AM59" s="13"/>
      <c r="AN59" s="11" t="s">
        <v>71</v>
      </c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X59" s="13"/>
      <c r="BY59" s="13"/>
      <c r="BZ59" s="13"/>
      <c r="CA59" s="13"/>
      <c r="CB59" s="13"/>
      <c r="CC59" s="11" t="s">
        <v>71</v>
      </c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22" t="s">
        <v>1391</v>
      </c>
      <c r="CS59" s="20">
        <v>6</v>
      </c>
      <c r="CT59" s="20">
        <v>325005616</v>
      </c>
      <c r="CU59" s="13"/>
      <c r="CV59" s="13"/>
      <c r="CW59" s="13"/>
      <c r="CX59" s="13"/>
      <c r="CY59" s="13"/>
      <c r="CZ59" s="13"/>
      <c r="DA59" s="13"/>
      <c r="DB59" s="13"/>
      <c r="DC59" s="13"/>
      <c r="DD59" s="13"/>
    </row>
    <row r="60" spans="1:108" ht="24.95" hidden="1" customHeight="1" x14ac:dyDescent="0.2">
      <c r="A60" s="3">
        <v>56</v>
      </c>
      <c r="B60" s="3" t="s">
        <v>1448</v>
      </c>
      <c r="C60" s="3" t="s">
        <v>84</v>
      </c>
      <c r="D60" s="3" t="s">
        <v>111</v>
      </c>
      <c r="E60" s="3" t="s">
        <v>225</v>
      </c>
      <c r="F60" s="3" t="s">
        <v>226</v>
      </c>
      <c r="G60" s="11" t="s">
        <v>71</v>
      </c>
      <c r="H60" s="12"/>
      <c r="I60" s="17"/>
      <c r="J60" s="11" t="s">
        <v>71</v>
      </c>
      <c r="K60" s="12"/>
      <c r="L60" s="3" t="s">
        <v>490</v>
      </c>
      <c r="M60" s="12"/>
      <c r="N60" s="12"/>
      <c r="O60" s="12"/>
      <c r="P60" s="4" t="s">
        <v>565</v>
      </c>
      <c r="Q60" s="5">
        <v>9159806906</v>
      </c>
      <c r="R60" s="3" t="s">
        <v>892</v>
      </c>
      <c r="S60" s="14">
        <v>54</v>
      </c>
      <c r="T60" s="3" t="s">
        <v>1032</v>
      </c>
      <c r="U60" s="3" t="s">
        <v>1082</v>
      </c>
      <c r="V60" s="12"/>
      <c r="W60" s="12"/>
      <c r="X60" s="7">
        <f t="shared" si="0"/>
        <v>120</v>
      </c>
      <c r="Y60" s="7">
        <f t="shared" si="1"/>
        <v>7</v>
      </c>
      <c r="Z60" s="7">
        <f t="shared" si="3"/>
        <v>127</v>
      </c>
      <c r="AA60" s="37">
        <v>10</v>
      </c>
      <c r="AB60" s="33">
        <f t="shared" si="5"/>
        <v>7</v>
      </c>
      <c r="AC60" s="8">
        <f t="shared" si="6"/>
        <v>18.666666666666668</v>
      </c>
      <c r="AD60" s="7">
        <f t="shared" si="7"/>
        <v>8</v>
      </c>
      <c r="AE60" s="34">
        <v>28</v>
      </c>
      <c r="AF60" s="12">
        <v>9</v>
      </c>
      <c r="AG60" s="38">
        <v>30</v>
      </c>
      <c r="AH60" s="32">
        <v>3</v>
      </c>
      <c r="AI60" s="37">
        <f t="shared" si="10"/>
        <v>29.25</v>
      </c>
      <c r="AJ60" s="37">
        <f t="shared" si="11"/>
        <v>3</v>
      </c>
      <c r="AK60" s="7">
        <f t="shared" si="12"/>
        <v>351</v>
      </c>
      <c r="AL60" s="7">
        <f t="shared" si="2"/>
        <v>224</v>
      </c>
      <c r="AM60" s="13"/>
      <c r="AN60" s="11" t="s">
        <v>71</v>
      </c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X60" s="13"/>
      <c r="BY60" s="13"/>
      <c r="BZ60" s="13"/>
      <c r="CA60" s="13"/>
      <c r="CB60" s="13"/>
      <c r="CC60" s="13"/>
      <c r="CD60" s="13"/>
      <c r="CE60" s="13"/>
      <c r="CF60" s="13"/>
      <c r="CG60" s="11" t="s">
        <v>71</v>
      </c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22" t="s">
        <v>1380</v>
      </c>
      <c r="CS60" s="21">
        <v>6</v>
      </c>
      <c r="CT60" s="20">
        <v>494216898</v>
      </c>
      <c r="CU60" s="13"/>
      <c r="CV60" s="13"/>
      <c r="CW60" s="13"/>
      <c r="CX60" s="13"/>
      <c r="CY60" s="13"/>
      <c r="CZ60" s="13"/>
      <c r="DA60" s="13"/>
      <c r="DB60" s="13"/>
      <c r="DC60" s="13"/>
      <c r="DD60" s="13"/>
    </row>
    <row r="61" spans="1:108" ht="24.95" hidden="1" customHeight="1" x14ac:dyDescent="0.2">
      <c r="A61" s="3">
        <v>57</v>
      </c>
      <c r="B61" s="3" t="s">
        <v>1448</v>
      </c>
      <c r="C61" s="3" t="s">
        <v>88</v>
      </c>
      <c r="D61" s="3" t="s">
        <v>227</v>
      </c>
      <c r="E61" s="3" t="s">
        <v>228</v>
      </c>
      <c r="F61" s="3" t="s">
        <v>229</v>
      </c>
      <c r="G61" s="11" t="s">
        <v>71</v>
      </c>
      <c r="H61" s="12"/>
      <c r="I61" s="17"/>
      <c r="J61" s="11" t="s">
        <v>71</v>
      </c>
      <c r="K61" s="12"/>
      <c r="L61" s="3" t="s">
        <v>492</v>
      </c>
      <c r="M61" s="12"/>
      <c r="N61" s="12"/>
      <c r="O61" s="12"/>
      <c r="P61" s="4" t="s">
        <v>566</v>
      </c>
      <c r="Q61" s="5" t="s">
        <v>739</v>
      </c>
      <c r="R61" s="3" t="s">
        <v>893</v>
      </c>
      <c r="S61" s="14">
        <v>34</v>
      </c>
      <c r="T61" s="3" t="s">
        <v>1024</v>
      </c>
      <c r="U61" s="3" t="s">
        <v>1048</v>
      </c>
      <c r="V61" s="12"/>
      <c r="W61" s="12"/>
      <c r="X61" s="7">
        <f t="shared" si="0"/>
        <v>24</v>
      </c>
      <c r="Y61" s="7">
        <f t="shared" si="1"/>
        <v>14</v>
      </c>
      <c r="Z61" s="7">
        <f t="shared" si="3"/>
        <v>38</v>
      </c>
      <c r="AA61" s="37">
        <f t="shared" si="4"/>
        <v>3.1666666666666665</v>
      </c>
      <c r="AB61" s="33">
        <f t="shared" si="5"/>
        <v>2</v>
      </c>
      <c r="AC61" s="8">
        <f t="shared" si="6"/>
        <v>2.8333333333333335</v>
      </c>
      <c r="AD61" s="7">
        <f t="shared" si="7"/>
        <v>10</v>
      </c>
      <c r="AE61" s="34">
        <v>5</v>
      </c>
      <c r="AF61" s="12">
        <v>6</v>
      </c>
      <c r="AG61" s="38">
        <v>7</v>
      </c>
      <c r="AH61" s="32">
        <v>0</v>
      </c>
      <c r="AI61" s="37">
        <f t="shared" si="10"/>
        <v>6</v>
      </c>
      <c r="AJ61" s="37">
        <f t="shared" si="11"/>
        <v>0</v>
      </c>
      <c r="AK61" s="7">
        <f t="shared" si="12"/>
        <v>72</v>
      </c>
      <c r="AL61" s="7">
        <f t="shared" si="2"/>
        <v>34</v>
      </c>
      <c r="AM61" s="13"/>
      <c r="AN61" s="11" t="s">
        <v>71</v>
      </c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X61" s="13"/>
      <c r="BY61" s="13"/>
      <c r="BZ61" s="13"/>
      <c r="CA61" s="13"/>
      <c r="CB61" s="13"/>
      <c r="CC61" s="11" t="s">
        <v>71</v>
      </c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22" t="s">
        <v>1383</v>
      </c>
      <c r="CS61" s="20">
        <v>4</v>
      </c>
      <c r="CT61" s="20">
        <v>336360133</v>
      </c>
      <c r="CU61" s="13"/>
      <c r="CV61" s="13"/>
      <c r="CW61" s="13"/>
      <c r="CX61" s="13"/>
      <c r="CY61" s="13"/>
      <c r="CZ61" s="13"/>
      <c r="DA61" s="13"/>
      <c r="DB61" s="13"/>
      <c r="DC61" s="13"/>
      <c r="DD61" s="13"/>
    </row>
    <row r="62" spans="1:108" ht="24.95" hidden="1" customHeight="1" x14ac:dyDescent="0.2">
      <c r="A62" s="3">
        <v>58</v>
      </c>
      <c r="B62" s="3" t="s">
        <v>1448</v>
      </c>
      <c r="C62" s="3" t="s">
        <v>83</v>
      </c>
      <c r="D62" s="3" t="s">
        <v>107</v>
      </c>
      <c r="E62" s="3" t="s">
        <v>230</v>
      </c>
      <c r="F62" s="3" t="s">
        <v>97</v>
      </c>
      <c r="G62" s="11" t="s">
        <v>71</v>
      </c>
      <c r="H62" s="12"/>
      <c r="I62" s="17"/>
      <c r="J62" s="11" t="s">
        <v>71</v>
      </c>
      <c r="K62" s="12"/>
      <c r="L62" s="3" t="s">
        <v>492</v>
      </c>
      <c r="M62" s="12"/>
      <c r="N62" s="12"/>
      <c r="O62" s="12"/>
      <c r="P62" s="4" t="s">
        <v>567</v>
      </c>
      <c r="Q62" s="5" t="s">
        <v>740</v>
      </c>
      <c r="R62" s="3" t="s">
        <v>894</v>
      </c>
      <c r="S62" s="14">
        <v>40</v>
      </c>
      <c r="T62" s="3" t="s">
        <v>75</v>
      </c>
      <c r="U62" s="3" t="s">
        <v>1083</v>
      </c>
      <c r="V62" s="12"/>
      <c r="W62" s="12"/>
      <c r="X62" s="7">
        <f t="shared" si="0"/>
        <v>24</v>
      </c>
      <c r="Y62" s="7">
        <f t="shared" si="1"/>
        <v>14</v>
      </c>
      <c r="Z62" s="7">
        <f t="shared" si="3"/>
        <v>38</v>
      </c>
      <c r="AA62" s="37">
        <v>4</v>
      </c>
      <c r="AB62" s="33">
        <f t="shared" si="5"/>
        <v>2</v>
      </c>
      <c r="AC62" s="8">
        <f t="shared" si="6"/>
        <v>9.75</v>
      </c>
      <c r="AD62" s="7">
        <f t="shared" si="7"/>
        <v>9</v>
      </c>
      <c r="AE62" s="34">
        <v>12</v>
      </c>
      <c r="AF62" s="12">
        <v>5</v>
      </c>
      <c r="AG62" s="38">
        <f t="shared" si="8"/>
        <v>13.75</v>
      </c>
      <c r="AH62" s="32">
        <f t="shared" si="9"/>
        <v>11</v>
      </c>
      <c r="AI62" s="37">
        <f t="shared" si="10"/>
        <v>12.916666666666666</v>
      </c>
      <c r="AJ62" s="37">
        <f t="shared" si="11"/>
        <v>11</v>
      </c>
      <c r="AK62" s="7">
        <f t="shared" si="12"/>
        <v>155</v>
      </c>
      <c r="AL62" s="7">
        <f t="shared" si="2"/>
        <v>117</v>
      </c>
      <c r="AM62" s="13"/>
      <c r="AN62" s="11" t="s">
        <v>71</v>
      </c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X62" s="13"/>
      <c r="BY62" s="13"/>
      <c r="BZ62" s="13"/>
      <c r="CA62" s="13"/>
      <c r="CB62" s="13"/>
      <c r="CC62" s="11" t="s">
        <v>71</v>
      </c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22" t="s">
        <v>1391</v>
      </c>
      <c r="CS62" s="20">
        <v>6</v>
      </c>
      <c r="CT62" s="20">
        <v>360405399</v>
      </c>
      <c r="CU62" s="13"/>
      <c r="CV62" s="13"/>
      <c r="CW62" s="13"/>
      <c r="CX62" s="13"/>
      <c r="CY62" s="13"/>
      <c r="CZ62" s="13"/>
      <c r="DA62" s="13"/>
      <c r="DB62" s="13"/>
      <c r="DC62" s="13"/>
      <c r="DD62" s="13"/>
    </row>
    <row r="63" spans="1:108" ht="24.95" hidden="1" customHeight="1" x14ac:dyDescent="0.2">
      <c r="A63" s="3">
        <v>59</v>
      </c>
      <c r="B63" s="3" t="s">
        <v>1448</v>
      </c>
      <c r="C63" s="3" t="s">
        <v>93</v>
      </c>
      <c r="D63" s="3" t="s">
        <v>231</v>
      </c>
      <c r="E63" s="3" t="s">
        <v>232</v>
      </c>
      <c r="F63" s="3" t="s">
        <v>233</v>
      </c>
      <c r="G63" s="11" t="s">
        <v>71</v>
      </c>
      <c r="H63" s="12"/>
      <c r="I63" s="17"/>
      <c r="J63" s="11" t="s">
        <v>71</v>
      </c>
      <c r="K63" s="12"/>
      <c r="L63" s="3" t="s">
        <v>492</v>
      </c>
      <c r="M63" s="12"/>
      <c r="N63" s="12"/>
      <c r="O63" s="12"/>
      <c r="P63" s="4" t="s">
        <v>568</v>
      </c>
      <c r="Q63" s="5" t="s">
        <v>741</v>
      </c>
      <c r="R63" s="3" t="s">
        <v>895</v>
      </c>
      <c r="S63" s="14">
        <v>47</v>
      </c>
      <c r="T63" s="3" t="s">
        <v>1024</v>
      </c>
      <c r="U63" s="3" t="s">
        <v>1084</v>
      </c>
      <c r="V63" s="12"/>
      <c r="W63" s="12"/>
      <c r="X63" s="7">
        <f t="shared" si="0"/>
        <v>24</v>
      </c>
      <c r="Y63" s="7">
        <f t="shared" si="1"/>
        <v>14</v>
      </c>
      <c r="Z63" s="7">
        <f t="shared" si="3"/>
        <v>38</v>
      </c>
      <c r="AA63" s="37">
        <f t="shared" si="4"/>
        <v>3.1666666666666665</v>
      </c>
      <c r="AB63" s="33">
        <f t="shared" si="5"/>
        <v>2</v>
      </c>
      <c r="AC63" s="8">
        <f t="shared" si="6"/>
        <v>8.9166666666666661</v>
      </c>
      <c r="AD63" s="7">
        <f t="shared" si="7"/>
        <v>11</v>
      </c>
      <c r="AE63" s="34">
        <v>11</v>
      </c>
      <c r="AF63" s="12">
        <v>7</v>
      </c>
      <c r="AG63" s="38">
        <v>13</v>
      </c>
      <c r="AH63" s="32">
        <v>1</v>
      </c>
      <c r="AI63" s="37">
        <f t="shared" si="10"/>
        <v>12.083333333333334</v>
      </c>
      <c r="AJ63" s="37">
        <f t="shared" si="11"/>
        <v>1</v>
      </c>
      <c r="AK63" s="7">
        <f t="shared" si="12"/>
        <v>145</v>
      </c>
      <c r="AL63" s="7">
        <f t="shared" si="2"/>
        <v>107</v>
      </c>
      <c r="AM63" s="13"/>
      <c r="AN63" s="11" t="s">
        <v>71</v>
      </c>
      <c r="AO63" s="13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X63" s="13"/>
      <c r="BY63" s="13"/>
      <c r="BZ63" s="13"/>
      <c r="CA63" s="13"/>
      <c r="CB63" s="13"/>
      <c r="CC63" s="11" t="s">
        <v>71</v>
      </c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22" t="s">
        <v>1382</v>
      </c>
      <c r="CS63" s="20">
        <v>1</v>
      </c>
      <c r="CT63" s="20">
        <v>383062544</v>
      </c>
      <c r="CU63" s="13"/>
      <c r="CV63" s="13"/>
      <c r="CW63" s="13"/>
      <c r="CX63" s="13"/>
      <c r="CY63" s="13"/>
      <c r="CZ63" s="13"/>
      <c r="DA63" s="13"/>
      <c r="DB63" s="13"/>
      <c r="DC63" s="13"/>
      <c r="DD63" s="13"/>
    </row>
    <row r="64" spans="1:108" ht="24.95" hidden="1" customHeight="1" x14ac:dyDescent="0.2">
      <c r="A64" s="3">
        <v>60</v>
      </c>
      <c r="B64" s="3" t="s">
        <v>1448</v>
      </c>
      <c r="C64" s="3" t="s">
        <v>86</v>
      </c>
      <c r="D64" s="3" t="s">
        <v>135</v>
      </c>
      <c r="E64" s="3" t="s">
        <v>234</v>
      </c>
      <c r="F64" s="3" t="s">
        <v>235</v>
      </c>
      <c r="G64" s="11" t="s">
        <v>71</v>
      </c>
      <c r="H64" s="12"/>
      <c r="I64" s="17"/>
      <c r="J64" s="11" t="s">
        <v>71</v>
      </c>
      <c r="K64" s="12"/>
      <c r="L64" s="3" t="s">
        <v>492</v>
      </c>
      <c r="M64" s="12"/>
      <c r="N64" s="12"/>
      <c r="O64" s="12"/>
      <c r="P64" s="4" t="s">
        <v>569</v>
      </c>
      <c r="Q64" s="5" t="s">
        <v>742</v>
      </c>
      <c r="R64" s="3" t="s">
        <v>896</v>
      </c>
      <c r="S64" s="14">
        <v>38</v>
      </c>
      <c r="T64" s="3" t="s">
        <v>76</v>
      </c>
      <c r="U64" s="3" t="s">
        <v>1085</v>
      </c>
      <c r="V64" s="12"/>
      <c r="W64" s="12"/>
      <c r="X64" s="7">
        <f t="shared" si="0"/>
        <v>24</v>
      </c>
      <c r="Y64" s="7">
        <f t="shared" si="1"/>
        <v>14</v>
      </c>
      <c r="Z64" s="7">
        <f t="shared" si="3"/>
        <v>38</v>
      </c>
      <c r="AA64" s="37">
        <f t="shared" si="4"/>
        <v>3.1666666666666665</v>
      </c>
      <c r="AB64" s="33">
        <f t="shared" si="5"/>
        <v>2</v>
      </c>
      <c r="AC64" s="8">
        <f t="shared" si="6"/>
        <v>5.166666666666667</v>
      </c>
      <c r="AD64" s="7">
        <f t="shared" si="7"/>
        <v>2</v>
      </c>
      <c r="AE64" s="34">
        <v>7</v>
      </c>
      <c r="AF64" s="12">
        <v>10</v>
      </c>
      <c r="AG64" s="38">
        <f t="shared" si="8"/>
        <v>8.3333333333333339</v>
      </c>
      <c r="AH64" s="32">
        <f t="shared" si="9"/>
        <v>4</v>
      </c>
      <c r="AI64" s="37">
        <f t="shared" si="10"/>
        <v>8.3333333333333339</v>
      </c>
      <c r="AJ64" s="37">
        <f t="shared" si="11"/>
        <v>4</v>
      </c>
      <c r="AK64" s="7">
        <f t="shared" si="12"/>
        <v>100</v>
      </c>
      <c r="AL64" s="7">
        <f t="shared" si="2"/>
        <v>62</v>
      </c>
      <c r="AM64" s="13"/>
      <c r="AN64" s="11" t="s">
        <v>71</v>
      </c>
      <c r="AO64" s="13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X64" s="13"/>
      <c r="BY64" s="13"/>
      <c r="BZ64" s="13"/>
      <c r="CA64" s="13"/>
      <c r="CB64" s="13"/>
      <c r="CC64" s="13"/>
      <c r="CD64" s="13"/>
      <c r="CE64" s="13"/>
      <c r="CF64" s="13"/>
      <c r="CG64" s="11" t="s">
        <v>71</v>
      </c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22" t="s">
        <v>1380</v>
      </c>
      <c r="CS64" s="20">
        <v>4</v>
      </c>
      <c r="CT64" s="20">
        <v>367581970</v>
      </c>
      <c r="CU64" s="13"/>
      <c r="CV64" s="13"/>
      <c r="CW64" s="13"/>
      <c r="CX64" s="13"/>
      <c r="CY64" s="13"/>
      <c r="CZ64" s="13"/>
      <c r="DA64" s="13"/>
      <c r="DB64" s="13"/>
      <c r="DC64" s="13"/>
      <c r="DD64" s="13"/>
    </row>
    <row r="65" spans="1:108" ht="24.95" hidden="1" customHeight="1" x14ac:dyDescent="0.2">
      <c r="A65" s="3">
        <v>61</v>
      </c>
      <c r="B65" s="3" t="s">
        <v>1448</v>
      </c>
      <c r="C65" s="3" t="s">
        <v>84</v>
      </c>
      <c r="D65" s="3" t="s">
        <v>100</v>
      </c>
      <c r="E65" s="3" t="s">
        <v>236</v>
      </c>
      <c r="F65" s="3" t="s">
        <v>237</v>
      </c>
      <c r="G65" s="11" t="s">
        <v>71</v>
      </c>
      <c r="H65" s="12"/>
      <c r="I65" s="17"/>
      <c r="J65" s="11" t="s">
        <v>71</v>
      </c>
      <c r="K65" s="12"/>
      <c r="L65" s="3" t="s">
        <v>492</v>
      </c>
      <c r="M65" s="12"/>
      <c r="N65" s="12"/>
      <c r="O65" s="12"/>
      <c r="P65" s="4" t="s">
        <v>570</v>
      </c>
      <c r="Q65" s="5" t="s">
        <v>743</v>
      </c>
      <c r="R65" s="3" t="s">
        <v>897</v>
      </c>
      <c r="S65" s="14">
        <v>49</v>
      </c>
      <c r="T65" s="3" t="s">
        <v>1024</v>
      </c>
      <c r="U65" s="3" t="s">
        <v>1052</v>
      </c>
      <c r="V65" s="12"/>
      <c r="W65" s="12"/>
      <c r="X65" s="7">
        <f t="shared" si="0"/>
        <v>24</v>
      </c>
      <c r="Y65" s="7">
        <f t="shared" si="1"/>
        <v>14</v>
      </c>
      <c r="Z65" s="7">
        <f t="shared" si="3"/>
        <v>38</v>
      </c>
      <c r="AA65" s="37">
        <v>4</v>
      </c>
      <c r="AB65" s="33">
        <f t="shared" si="5"/>
        <v>2</v>
      </c>
      <c r="AC65" s="8">
        <f t="shared" si="6"/>
        <v>11.916666666666666</v>
      </c>
      <c r="AD65" s="7">
        <f t="shared" si="7"/>
        <v>11</v>
      </c>
      <c r="AE65" s="34">
        <v>14</v>
      </c>
      <c r="AF65" s="12">
        <v>7</v>
      </c>
      <c r="AG65" s="38">
        <v>17</v>
      </c>
      <c r="AH65" s="32">
        <v>1</v>
      </c>
      <c r="AI65" s="37">
        <f t="shared" si="10"/>
        <v>15.083333333333334</v>
      </c>
      <c r="AJ65" s="37">
        <f t="shared" si="11"/>
        <v>1</v>
      </c>
      <c r="AK65" s="7">
        <f t="shared" si="12"/>
        <v>181</v>
      </c>
      <c r="AL65" s="7">
        <f t="shared" si="2"/>
        <v>143</v>
      </c>
      <c r="AM65" s="13"/>
      <c r="AN65" s="11" t="s">
        <v>71</v>
      </c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X65" s="13"/>
      <c r="BY65" s="13"/>
      <c r="BZ65" s="13"/>
      <c r="CA65" s="13"/>
      <c r="CB65" s="13"/>
      <c r="CC65" s="11" t="s">
        <v>71</v>
      </c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22" t="s">
        <v>1427</v>
      </c>
      <c r="CS65" s="20">
        <v>1</v>
      </c>
      <c r="CT65" s="20">
        <v>349073652</v>
      </c>
      <c r="CU65" s="13"/>
      <c r="CV65" s="13"/>
      <c r="CW65" s="13"/>
      <c r="CX65" s="13"/>
      <c r="CY65" s="13"/>
      <c r="CZ65" s="13"/>
      <c r="DA65" s="13"/>
      <c r="DB65" s="13"/>
      <c r="DC65" s="13"/>
      <c r="DD65" s="13"/>
    </row>
    <row r="66" spans="1:108" ht="24.95" hidden="1" customHeight="1" x14ac:dyDescent="0.2">
      <c r="A66" s="3">
        <v>62</v>
      </c>
      <c r="B66" s="3" t="s">
        <v>1448</v>
      </c>
      <c r="C66" s="3" t="s">
        <v>83</v>
      </c>
      <c r="D66" s="3" t="s">
        <v>238</v>
      </c>
      <c r="E66" s="3" t="s">
        <v>239</v>
      </c>
      <c r="F66" s="3" t="s">
        <v>100</v>
      </c>
      <c r="G66" s="11" t="s">
        <v>71</v>
      </c>
      <c r="H66" s="12"/>
      <c r="I66" s="17"/>
      <c r="J66" s="11" t="s">
        <v>71</v>
      </c>
      <c r="K66" s="12"/>
      <c r="L66" s="3" t="s">
        <v>492</v>
      </c>
      <c r="M66" s="12"/>
      <c r="N66" s="12"/>
      <c r="O66" s="12"/>
      <c r="P66" s="4">
        <v>1060491052</v>
      </c>
      <c r="Q66" s="5" t="s">
        <v>744</v>
      </c>
      <c r="R66" s="3" t="s">
        <v>898</v>
      </c>
      <c r="S66" s="14">
        <v>49</v>
      </c>
      <c r="T66" s="3" t="s">
        <v>1024</v>
      </c>
      <c r="U66" s="3" t="s">
        <v>1086</v>
      </c>
      <c r="V66" s="12"/>
      <c r="W66" s="12"/>
      <c r="X66" s="7">
        <f t="shared" si="0"/>
        <v>24</v>
      </c>
      <c r="Y66" s="7">
        <f t="shared" si="1"/>
        <v>14</v>
      </c>
      <c r="Z66" s="7">
        <f t="shared" si="3"/>
        <v>38</v>
      </c>
      <c r="AA66" s="37">
        <v>4</v>
      </c>
      <c r="AB66" s="33">
        <f t="shared" si="5"/>
        <v>2</v>
      </c>
      <c r="AC66" s="8">
        <f t="shared" si="6"/>
        <v>16.666666666666668</v>
      </c>
      <c r="AD66" s="7">
        <f t="shared" si="7"/>
        <v>8</v>
      </c>
      <c r="AE66" s="34">
        <v>19</v>
      </c>
      <c r="AF66" s="12">
        <v>4</v>
      </c>
      <c r="AG66" s="38">
        <f t="shared" si="8"/>
        <v>20.666666666666668</v>
      </c>
      <c r="AH66" s="32">
        <f t="shared" si="9"/>
        <v>10</v>
      </c>
      <c r="AI66" s="37">
        <f t="shared" si="10"/>
        <v>19.833333333333332</v>
      </c>
      <c r="AJ66" s="37">
        <f t="shared" si="11"/>
        <v>10</v>
      </c>
      <c r="AK66" s="7">
        <f t="shared" si="12"/>
        <v>238</v>
      </c>
      <c r="AL66" s="7">
        <f t="shared" si="2"/>
        <v>200</v>
      </c>
      <c r="AM66" s="13"/>
      <c r="AN66" s="11" t="s">
        <v>71</v>
      </c>
      <c r="AO66" s="13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X66" s="13"/>
      <c r="BY66" s="13"/>
      <c r="BZ66" s="13"/>
      <c r="CA66" s="13"/>
      <c r="CB66" s="13"/>
      <c r="CC66" s="13"/>
      <c r="CD66" s="13"/>
      <c r="CE66" s="13"/>
      <c r="CF66" s="13"/>
      <c r="CG66" s="11" t="s">
        <v>71</v>
      </c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22" t="s">
        <v>1380</v>
      </c>
      <c r="CS66" s="20">
        <v>4</v>
      </c>
      <c r="CT66" s="20">
        <v>370199476</v>
      </c>
      <c r="CU66" s="13"/>
      <c r="CV66" s="13"/>
      <c r="CW66" s="13"/>
      <c r="CX66" s="13"/>
      <c r="CY66" s="13"/>
      <c r="CZ66" s="13"/>
      <c r="DA66" s="13"/>
      <c r="DB66" s="13"/>
      <c r="DC66" s="13"/>
      <c r="DD66" s="13"/>
    </row>
    <row r="67" spans="1:108" ht="24.95" hidden="1" customHeight="1" x14ac:dyDescent="0.2">
      <c r="A67" s="3">
        <v>63</v>
      </c>
      <c r="B67" s="3" t="s">
        <v>1448</v>
      </c>
      <c r="C67" s="3" t="s">
        <v>83</v>
      </c>
      <c r="D67" s="3" t="s">
        <v>140</v>
      </c>
      <c r="E67" s="3" t="s">
        <v>240</v>
      </c>
      <c r="F67" s="3" t="s">
        <v>241</v>
      </c>
      <c r="G67" s="11" t="s">
        <v>71</v>
      </c>
      <c r="H67" s="12"/>
      <c r="I67" s="17"/>
      <c r="J67" s="11" t="s">
        <v>71</v>
      </c>
      <c r="K67" s="12"/>
      <c r="L67" s="3" t="s">
        <v>492</v>
      </c>
      <c r="M67" s="12"/>
      <c r="N67" s="12"/>
      <c r="O67" s="12"/>
      <c r="P67" s="4" t="s">
        <v>571</v>
      </c>
      <c r="Q67" s="5" t="s">
        <v>745</v>
      </c>
      <c r="R67" s="3" t="s">
        <v>899</v>
      </c>
      <c r="S67" s="14">
        <v>38</v>
      </c>
      <c r="T67" s="3" t="s">
        <v>75</v>
      </c>
      <c r="U67" s="3" t="s">
        <v>1057</v>
      </c>
      <c r="V67" s="12"/>
      <c r="W67" s="12"/>
      <c r="X67" s="7">
        <f t="shared" si="0"/>
        <v>24</v>
      </c>
      <c r="Y67" s="7">
        <f t="shared" si="1"/>
        <v>14</v>
      </c>
      <c r="Z67" s="7">
        <f t="shared" si="3"/>
        <v>38</v>
      </c>
      <c r="AA67" s="37">
        <v>4</v>
      </c>
      <c r="AB67" s="33">
        <f t="shared" si="5"/>
        <v>2</v>
      </c>
      <c r="AC67" s="8">
        <f t="shared" si="6"/>
        <v>10.916666666666666</v>
      </c>
      <c r="AD67" s="7">
        <f t="shared" si="7"/>
        <v>11</v>
      </c>
      <c r="AE67" s="34">
        <v>13</v>
      </c>
      <c r="AF67" s="12">
        <v>7</v>
      </c>
      <c r="AG67" s="38">
        <v>16</v>
      </c>
      <c r="AH67" s="32">
        <v>1</v>
      </c>
      <c r="AI67" s="37">
        <f t="shared" si="10"/>
        <v>14.083333333333334</v>
      </c>
      <c r="AJ67" s="37">
        <f t="shared" si="11"/>
        <v>1</v>
      </c>
      <c r="AK67" s="7">
        <f t="shared" si="12"/>
        <v>169</v>
      </c>
      <c r="AL67" s="7">
        <f t="shared" si="2"/>
        <v>131</v>
      </c>
      <c r="AM67" s="13"/>
      <c r="AN67" s="11" t="s">
        <v>71</v>
      </c>
      <c r="AO67" s="13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X67" s="13"/>
      <c r="BY67" s="13"/>
      <c r="BZ67" s="13"/>
      <c r="CA67" s="13"/>
      <c r="CB67" s="13"/>
      <c r="CC67" s="11" t="s">
        <v>71</v>
      </c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22" t="s">
        <v>1382</v>
      </c>
      <c r="CS67" s="20">
        <v>1</v>
      </c>
      <c r="CT67" s="20">
        <v>314175109</v>
      </c>
      <c r="CU67" s="13"/>
      <c r="CV67" s="13"/>
      <c r="CW67" s="13"/>
      <c r="CX67" s="13"/>
      <c r="CY67" s="13"/>
      <c r="CZ67" s="13"/>
      <c r="DA67" s="13"/>
      <c r="DB67" s="13"/>
      <c r="DC67" s="13"/>
      <c r="DD67" s="13"/>
    </row>
    <row r="68" spans="1:108" ht="24.95" customHeight="1" x14ac:dyDescent="0.2">
      <c r="A68" s="3">
        <v>64</v>
      </c>
      <c r="B68" s="3" t="s">
        <v>1448</v>
      </c>
      <c r="C68" s="3" t="s">
        <v>87</v>
      </c>
      <c r="D68" s="3" t="s">
        <v>122</v>
      </c>
      <c r="E68" s="3" t="s">
        <v>242</v>
      </c>
      <c r="F68" s="3" t="s">
        <v>111</v>
      </c>
      <c r="G68" s="11" t="s">
        <v>71</v>
      </c>
      <c r="H68" s="12"/>
      <c r="I68" s="11" t="s">
        <v>71</v>
      </c>
      <c r="K68" s="12"/>
      <c r="L68" s="3" t="s">
        <v>492</v>
      </c>
      <c r="M68" s="12"/>
      <c r="N68" s="12"/>
      <c r="O68" s="12"/>
      <c r="P68" s="4" t="s">
        <v>572</v>
      </c>
      <c r="Q68" s="5" t="s">
        <v>746</v>
      </c>
      <c r="R68" s="3" t="s">
        <v>900</v>
      </c>
      <c r="S68" s="14">
        <v>29</v>
      </c>
      <c r="T68" s="3" t="s">
        <v>76</v>
      </c>
      <c r="U68" s="3" t="s">
        <v>1087</v>
      </c>
      <c r="V68" s="12"/>
      <c r="W68" s="12"/>
      <c r="X68" s="7">
        <f t="shared" si="0"/>
        <v>24</v>
      </c>
      <c r="Y68" s="7">
        <f t="shared" si="1"/>
        <v>14</v>
      </c>
      <c r="Z68" s="7">
        <f t="shared" si="3"/>
        <v>38</v>
      </c>
      <c r="AA68" s="37">
        <f t="shared" si="4"/>
        <v>3.1666666666666665</v>
      </c>
      <c r="AB68" s="33">
        <f t="shared" si="5"/>
        <v>2</v>
      </c>
      <c r="AC68" s="8">
        <f t="shared" si="6"/>
        <v>0.83333333333333337</v>
      </c>
      <c r="AD68" s="7">
        <f t="shared" si="7"/>
        <v>10</v>
      </c>
      <c r="AE68" s="34">
        <v>3</v>
      </c>
      <c r="AF68" s="12">
        <v>6</v>
      </c>
      <c r="AG68" s="38">
        <v>5</v>
      </c>
      <c r="AH68" s="32">
        <v>0</v>
      </c>
      <c r="AI68" s="37">
        <f t="shared" si="10"/>
        <v>4</v>
      </c>
      <c r="AJ68" s="37">
        <f t="shared" si="11"/>
        <v>0</v>
      </c>
      <c r="AK68" s="7">
        <f t="shared" si="12"/>
        <v>48</v>
      </c>
      <c r="AL68" s="7">
        <f t="shared" si="2"/>
        <v>10</v>
      </c>
      <c r="AM68" s="13"/>
      <c r="AN68" s="11" t="s">
        <v>71</v>
      </c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X68" s="13"/>
      <c r="BY68" s="13"/>
      <c r="BZ68" s="13"/>
      <c r="CA68" s="13"/>
      <c r="CB68" s="13"/>
      <c r="CC68" s="11" t="s">
        <v>71</v>
      </c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22" t="s">
        <v>73</v>
      </c>
      <c r="CS68" s="20">
        <v>6</v>
      </c>
      <c r="CT68" s="20">
        <v>326489115</v>
      </c>
      <c r="CU68" s="13"/>
      <c r="CV68" s="13"/>
      <c r="CW68" s="13"/>
      <c r="CX68" s="13"/>
      <c r="CY68" s="13"/>
      <c r="CZ68" s="13"/>
      <c r="DA68" s="13"/>
      <c r="DB68" s="13"/>
      <c r="DC68" s="13"/>
      <c r="DD68" s="13"/>
    </row>
    <row r="69" spans="1:108" ht="24.95" hidden="1" customHeight="1" x14ac:dyDescent="0.2">
      <c r="A69" s="3">
        <v>65</v>
      </c>
      <c r="B69" s="3" t="s">
        <v>1448</v>
      </c>
      <c r="C69" s="3" t="s">
        <v>83</v>
      </c>
      <c r="D69" s="3" t="s">
        <v>140</v>
      </c>
      <c r="E69" s="3" t="s">
        <v>243</v>
      </c>
      <c r="F69" s="3" t="s">
        <v>154</v>
      </c>
      <c r="G69" s="11" t="s">
        <v>71</v>
      </c>
      <c r="H69" s="12"/>
      <c r="I69" s="11" t="s">
        <v>71</v>
      </c>
      <c r="K69" s="12"/>
      <c r="L69" s="3" t="s">
        <v>492</v>
      </c>
      <c r="M69" s="12"/>
      <c r="N69" s="12"/>
      <c r="O69" s="12"/>
      <c r="P69" s="4" t="s">
        <v>573</v>
      </c>
      <c r="Q69" s="5" t="s">
        <v>747</v>
      </c>
      <c r="R69" s="3" t="s">
        <v>901</v>
      </c>
      <c r="S69" s="14">
        <v>28</v>
      </c>
      <c r="T69" s="3" t="s">
        <v>75</v>
      </c>
      <c r="U69" s="3" t="s">
        <v>1057</v>
      </c>
      <c r="V69" s="12"/>
      <c r="W69" s="12"/>
      <c r="X69" s="7">
        <f t="shared" si="0"/>
        <v>24</v>
      </c>
      <c r="Y69" s="7">
        <f t="shared" si="1"/>
        <v>14</v>
      </c>
      <c r="Z69" s="7">
        <f t="shared" si="3"/>
        <v>38</v>
      </c>
      <c r="AA69" s="37">
        <v>3</v>
      </c>
      <c r="AB69" s="33">
        <f t="shared" si="5"/>
        <v>2</v>
      </c>
      <c r="AC69" s="8">
        <f t="shared" si="6"/>
        <v>0.25</v>
      </c>
      <c r="AD69" s="7">
        <f t="shared" si="7"/>
        <v>3</v>
      </c>
      <c r="AE69" s="34">
        <v>2</v>
      </c>
      <c r="AF69" s="12">
        <v>11</v>
      </c>
      <c r="AG69" s="38">
        <f t="shared" si="8"/>
        <v>3.25</v>
      </c>
      <c r="AH69" s="32">
        <f t="shared" si="9"/>
        <v>5</v>
      </c>
      <c r="AI69" s="37">
        <f t="shared" si="10"/>
        <v>3.4166666666666665</v>
      </c>
      <c r="AJ69" s="37">
        <f t="shared" si="11"/>
        <v>5</v>
      </c>
      <c r="AK69" s="7">
        <f t="shared" si="12"/>
        <v>41</v>
      </c>
      <c r="AL69" s="7">
        <f t="shared" ref="AL69:AL132" si="13">AK69-Z69</f>
        <v>3</v>
      </c>
      <c r="AM69" s="13"/>
      <c r="AN69" s="11" t="s">
        <v>71</v>
      </c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X69" s="13"/>
      <c r="BY69" s="13"/>
      <c r="BZ69" s="13"/>
      <c r="CA69" s="13"/>
      <c r="CB69" s="13"/>
      <c r="CC69" s="11" t="s">
        <v>71</v>
      </c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22" t="s">
        <v>1391</v>
      </c>
      <c r="CS69" s="20">
        <v>6</v>
      </c>
      <c r="CT69" s="20">
        <v>316531842</v>
      </c>
      <c r="CU69" s="13"/>
      <c r="CV69" s="13"/>
      <c r="CW69" s="13"/>
      <c r="CX69" s="13"/>
      <c r="CY69" s="13"/>
      <c r="CZ69" s="13"/>
      <c r="DA69" s="13"/>
      <c r="DB69" s="13"/>
      <c r="DC69" s="13"/>
      <c r="DD69" s="13"/>
    </row>
    <row r="70" spans="1:108" ht="24.95" hidden="1" customHeight="1" x14ac:dyDescent="0.2">
      <c r="A70" s="3">
        <v>66</v>
      </c>
      <c r="B70" s="3" t="s">
        <v>1448</v>
      </c>
      <c r="C70" s="3" t="s">
        <v>83</v>
      </c>
      <c r="D70" s="3" t="s">
        <v>107</v>
      </c>
      <c r="E70" s="3" t="s">
        <v>244</v>
      </c>
      <c r="F70" s="3" t="s">
        <v>245</v>
      </c>
      <c r="G70" s="11" t="s">
        <v>71</v>
      </c>
      <c r="H70" s="12"/>
      <c r="I70" s="17"/>
      <c r="J70" s="11" t="s">
        <v>71</v>
      </c>
      <c r="K70" s="12"/>
      <c r="L70" s="3" t="s">
        <v>492</v>
      </c>
      <c r="M70" s="12"/>
      <c r="N70" s="12"/>
      <c r="O70" s="12"/>
      <c r="P70" s="4" t="s">
        <v>574</v>
      </c>
      <c r="Q70" s="5" t="s">
        <v>748</v>
      </c>
      <c r="R70" s="3" t="s">
        <v>902</v>
      </c>
      <c r="S70" s="14">
        <v>29</v>
      </c>
      <c r="T70" s="3" t="s">
        <v>1024</v>
      </c>
      <c r="U70" s="3" t="s">
        <v>1048</v>
      </c>
      <c r="V70" s="12"/>
      <c r="W70" s="12"/>
      <c r="X70" s="7">
        <f t="shared" ref="X70:X133" si="14">(1405-LEFT(L70,4)-1)*12</f>
        <v>24</v>
      </c>
      <c r="Y70" s="7">
        <f t="shared" ref="Y70:Y133" si="15">17-RIGHT(LEFT(L70,7),2)</f>
        <v>14</v>
      </c>
      <c r="Z70" s="7">
        <f t="shared" ref="Z70:Z133" si="16">Y70+X70</f>
        <v>38</v>
      </c>
      <c r="AA70" s="37">
        <v>2</v>
      </c>
      <c r="AB70" s="33">
        <f t="shared" ref="AB70:AB133" si="17">MOD(Z70,12)</f>
        <v>2</v>
      </c>
      <c r="AC70" s="8">
        <f t="shared" ref="AC70:AC133" si="18">AL70/12</f>
        <v>8.3333333333333329E-2</v>
      </c>
      <c r="AD70" s="7">
        <f t="shared" ref="AD70:AD133" si="19">MOD(AL70,12)</f>
        <v>1</v>
      </c>
      <c r="AE70" s="34">
        <v>2</v>
      </c>
      <c r="AF70" s="12">
        <v>9</v>
      </c>
      <c r="AG70" s="38">
        <f t="shared" ref="AG70:AG132" si="20">AA70+AC70</f>
        <v>2.0833333333333335</v>
      </c>
      <c r="AH70" s="32">
        <f t="shared" ref="AH70:AH132" si="21">AB70+AD70</f>
        <v>3</v>
      </c>
      <c r="AI70" s="37">
        <f t="shared" ref="AI70:AI133" si="22">AK70/12</f>
        <v>3.25</v>
      </c>
      <c r="AJ70" s="37">
        <f t="shared" ref="AJ70:AJ133" si="23">MOD(AK70,12)</f>
        <v>3</v>
      </c>
      <c r="AK70" s="7">
        <f t="shared" ref="AK70:AK133" si="24">AE70*12+AF70+6</f>
        <v>39</v>
      </c>
      <c r="AL70" s="7">
        <f t="shared" si="13"/>
        <v>1</v>
      </c>
      <c r="AM70" s="13"/>
      <c r="AN70" s="11" t="s">
        <v>71</v>
      </c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X70" s="13"/>
      <c r="BY70" s="13"/>
      <c r="BZ70" s="13"/>
      <c r="CA70" s="13"/>
      <c r="CB70" s="13"/>
      <c r="CC70" s="11" t="s">
        <v>71</v>
      </c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22" t="s">
        <v>1391</v>
      </c>
      <c r="CS70" s="20">
        <v>6</v>
      </c>
      <c r="CT70" s="20">
        <v>354468606</v>
      </c>
      <c r="CU70" s="13"/>
      <c r="CV70" s="13"/>
      <c r="CW70" s="13"/>
      <c r="CX70" s="13"/>
      <c r="CY70" s="13"/>
      <c r="CZ70" s="13"/>
      <c r="DA70" s="13"/>
      <c r="DB70" s="13"/>
      <c r="DC70" s="13"/>
      <c r="DD70" s="13"/>
    </row>
    <row r="71" spans="1:108" ht="24.95" hidden="1" customHeight="1" x14ac:dyDescent="0.2">
      <c r="A71" s="3">
        <v>67</v>
      </c>
      <c r="B71" s="3" t="s">
        <v>1448</v>
      </c>
      <c r="C71" s="3" t="s">
        <v>89</v>
      </c>
      <c r="D71" s="3" t="s">
        <v>246</v>
      </c>
      <c r="E71" s="3" t="s">
        <v>247</v>
      </c>
      <c r="F71" s="3" t="s">
        <v>119</v>
      </c>
      <c r="G71" s="11" t="s">
        <v>71</v>
      </c>
      <c r="H71" s="12"/>
      <c r="I71" s="17"/>
      <c r="J71" s="11" t="s">
        <v>71</v>
      </c>
      <c r="K71" s="12"/>
      <c r="L71" s="3" t="s">
        <v>491</v>
      </c>
      <c r="M71" s="12"/>
      <c r="N71" s="12"/>
      <c r="O71" s="12"/>
      <c r="P71" s="4" t="s">
        <v>575</v>
      </c>
      <c r="Q71" s="5">
        <v>9153002755</v>
      </c>
      <c r="R71" s="3" t="s">
        <v>903</v>
      </c>
      <c r="S71" s="14">
        <v>32</v>
      </c>
      <c r="T71" s="3" t="s">
        <v>1033</v>
      </c>
      <c r="U71" s="3" t="s">
        <v>1088</v>
      </c>
      <c r="V71" s="12"/>
      <c r="W71" s="12"/>
      <c r="X71" s="7">
        <f t="shared" si="14"/>
        <v>132</v>
      </c>
      <c r="Y71" s="7">
        <f t="shared" si="15"/>
        <v>5</v>
      </c>
      <c r="Z71" s="7">
        <f t="shared" si="16"/>
        <v>137</v>
      </c>
      <c r="AA71" s="37">
        <v>10</v>
      </c>
      <c r="AB71" s="33">
        <f t="shared" si="17"/>
        <v>5</v>
      </c>
      <c r="AC71" s="8">
        <f t="shared" si="18"/>
        <v>3.0833333333333335</v>
      </c>
      <c r="AD71" s="7">
        <f t="shared" si="19"/>
        <v>1</v>
      </c>
      <c r="AE71" s="34">
        <v>14</v>
      </c>
      <c r="AF71" s="12">
        <v>0</v>
      </c>
      <c r="AG71" s="38">
        <f t="shared" si="20"/>
        <v>13.083333333333334</v>
      </c>
      <c r="AH71" s="32">
        <f t="shared" si="21"/>
        <v>6</v>
      </c>
      <c r="AI71" s="37">
        <f t="shared" si="22"/>
        <v>14.5</v>
      </c>
      <c r="AJ71" s="37">
        <f t="shared" si="23"/>
        <v>6</v>
      </c>
      <c r="AK71" s="7">
        <f t="shared" si="24"/>
        <v>174</v>
      </c>
      <c r="AL71" s="7">
        <f t="shared" si="13"/>
        <v>37</v>
      </c>
      <c r="AM71" s="13"/>
      <c r="AN71" s="11" t="s">
        <v>71</v>
      </c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1" t="s">
        <v>71</v>
      </c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22" t="s">
        <v>1432</v>
      </c>
      <c r="CS71" s="21">
        <v>15</v>
      </c>
      <c r="CT71" s="20">
        <v>513803385</v>
      </c>
      <c r="CU71" s="13"/>
      <c r="CV71" s="13"/>
      <c r="CW71" s="13"/>
      <c r="CX71" s="13"/>
      <c r="CY71" s="13"/>
      <c r="CZ71" s="13"/>
      <c r="DA71" s="13"/>
      <c r="DB71" s="13"/>
      <c r="DC71" s="13"/>
      <c r="DD71" s="13"/>
    </row>
    <row r="72" spans="1:108" ht="24.95" hidden="1" customHeight="1" x14ac:dyDescent="0.2">
      <c r="A72" s="3">
        <v>68</v>
      </c>
      <c r="B72" s="3" t="s">
        <v>1448</v>
      </c>
      <c r="C72" s="3" t="s">
        <v>86</v>
      </c>
      <c r="D72" s="3" t="s">
        <v>227</v>
      </c>
      <c r="E72" s="3" t="s">
        <v>248</v>
      </c>
      <c r="F72" s="3" t="s">
        <v>249</v>
      </c>
      <c r="G72" s="11" t="s">
        <v>71</v>
      </c>
      <c r="H72" s="12"/>
      <c r="I72" s="17"/>
      <c r="J72" s="11" t="s">
        <v>71</v>
      </c>
      <c r="K72" s="12"/>
      <c r="L72" s="3" t="s">
        <v>476</v>
      </c>
      <c r="M72" s="12"/>
      <c r="N72" s="12"/>
      <c r="O72" s="12"/>
      <c r="P72" s="4" t="s">
        <v>576</v>
      </c>
      <c r="Q72" s="5">
        <v>9150470416</v>
      </c>
      <c r="R72" s="3" t="s">
        <v>904</v>
      </c>
      <c r="S72" s="14">
        <v>38</v>
      </c>
      <c r="T72" s="3" t="s">
        <v>75</v>
      </c>
      <c r="U72" s="3" t="s">
        <v>77</v>
      </c>
      <c r="V72" s="12"/>
      <c r="W72" s="12"/>
      <c r="X72" s="7">
        <f t="shared" si="14"/>
        <v>120</v>
      </c>
      <c r="Y72" s="7">
        <f t="shared" si="15"/>
        <v>16</v>
      </c>
      <c r="Z72" s="7">
        <f t="shared" si="16"/>
        <v>136</v>
      </c>
      <c r="AA72" s="37">
        <f t="shared" ref="AA72:AA132" si="25">Z72/12</f>
        <v>11.333333333333334</v>
      </c>
      <c r="AB72" s="33">
        <f t="shared" si="17"/>
        <v>4</v>
      </c>
      <c r="AC72" s="8">
        <f t="shared" si="18"/>
        <v>0.16666666666666666</v>
      </c>
      <c r="AD72" s="7">
        <f t="shared" si="19"/>
        <v>2</v>
      </c>
      <c r="AE72" s="34">
        <v>11</v>
      </c>
      <c r="AF72" s="12">
        <v>0</v>
      </c>
      <c r="AG72" s="38">
        <f t="shared" si="20"/>
        <v>11.5</v>
      </c>
      <c r="AH72" s="32">
        <f t="shared" si="21"/>
        <v>6</v>
      </c>
      <c r="AI72" s="37">
        <f t="shared" si="22"/>
        <v>11.5</v>
      </c>
      <c r="AJ72" s="37">
        <f t="shared" si="23"/>
        <v>6</v>
      </c>
      <c r="AK72" s="7">
        <f t="shared" si="24"/>
        <v>138</v>
      </c>
      <c r="AL72" s="7">
        <f t="shared" si="13"/>
        <v>2</v>
      </c>
      <c r="AM72" s="13"/>
      <c r="AN72" s="11" t="s">
        <v>71</v>
      </c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1" t="s">
        <v>71</v>
      </c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22" t="s">
        <v>1428</v>
      </c>
      <c r="CS72" s="21">
        <v>12</v>
      </c>
      <c r="CT72" s="20">
        <v>476945292</v>
      </c>
      <c r="CU72" s="13"/>
      <c r="CV72" s="13"/>
      <c r="CW72" s="13"/>
      <c r="CX72" s="13"/>
      <c r="CY72" s="13"/>
      <c r="CZ72" s="13"/>
      <c r="DA72" s="13"/>
      <c r="DB72" s="13"/>
      <c r="DC72" s="13"/>
      <c r="DD72" s="13"/>
    </row>
    <row r="73" spans="1:108" ht="24.95" hidden="1" customHeight="1" x14ac:dyDescent="0.2">
      <c r="A73" s="3">
        <v>69</v>
      </c>
      <c r="B73" s="3" t="s">
        <v>1448</v>
      </c>
      <c r="C73" s="3" t="s">
        <v>83</v>
      </c>
      <c r="D73" s="3" t="s">
        <v>107</v>
      </c>
      <c r="E73" s="3" t="s">
        <v>250</v>
      </c>
      <c r="F73" s="3" t="s">
        <v>138</v>
      </c>
      <c r="G73" s="11" t="s">
        <v>71</v>
      </c>
      <c r="H73" s="12"/>
      <c r="I73" s="17"/>
      <c r="J73" s="11" t="s">
        <v>71</v>
      </c>
      <c r="K73" s="12"/>
      <c r="L73" s="3" t="s">
        <v>492</v>
      </c>
      <c r="M73" s="12"/>
      <c r="N73" s="12"/>
      <c r="O73" s="12"/>
      <c r="P73" s="4" t="s">
        <v>577</v>
      </c>
      <c r="Q73" s="5" t="s">
        <v>749</v>
      </c>
      <c r="R73" s="3" t="s">
        <v>905</v>
      </c>
      <c r="S73" s="14">
        <v>31</v>
      </c>
      <c r="T73" s="3" t="s">
        <v>75</v>
      </c>
      <c r="U73" s="3" t="s">
        <v>1045</v>
      </c>
      <c r="V73" s="12"/>
      <c r="W73" s="12"/>
      <c r="X73" s="7">
        <f t="shared" si="14"/>
        <v>24</v>
      </c>
      <c r="Y73" s="7">
        <f t="shared" si="15"/>
        <v>14</v>
      </c>
      <c r="Z73" s="7">
        <f t="shared" si="16"/>
        <v>38</v>
      </c>
      <c r="AA73" s="37">
        <v>3</v>
      </c>
      <c r="AB73" s="33">
        <f t="shared" si="17"/>
        <v>2</v>
      </c>
      <c r="AC73" s="8">
        <f t="shared" si="18"/>
        <v>0.16666666666666666</v>
      </c>
      <c r="AD73" s="7">
        <f t="shared" si="19"/>
        <v>2</v>
      </c>
      <c r="AE73" s="34">
        <v>2</v>
      </c>
      <c r="AF73" s="12">
        <v>10</v>
      </c>
      <c r="AG73" s="38">
        <f t="shared" si="20"/>
        <v>3.1666666666666665</v>
      </c>
      <c r="AH73" s="32">
        <f t="shared" si="21"/>
        <v>4</v>
      </c>
      <c r="AI73" s="37">
        <f t="shared" si="22"/>
        <v>3.3333333333333335</v>
      </c>
      <c r="AJ73" s="37">
        <f t="shared" si="23"/>
        <v>4</v>
      </c>
      <c r="AK73" s="7">
        <f t="shared" si="24"/>
        <v>40</v>
      </c>
      <c r="AL73" s="7">
        <f t="shared" si="13"/>
        <v>2</v>
      </c>
      <c r="AM73" s="13"/>
      <c r="AN73" s="11" t="s">
        <v>71</v>
      </c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X73" s="13"/>
      <c r="BY73" s="13"/>
      <c r="BZ73" s="13"/>
      <c r="CA73" s="13"/>
      <c r="CB73" s="13"/>
      <c r="CC73" s="11" t="s">
        <v>71</v>
      </c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22" t="s">
        <v>1391</v>
      </c>
      <c r="CS73" s="20">
        <v>6</v>
      </c>
      <c r="CT73" s="20">
        <v>321217506</v>
      </c>
      <c r="CU73" s="13"/>
      <c r="CV73" s="13"/>
      <c r="CW73" s="13"/>
      <c r="CX73" s="13"/>
      <c r="CY73" s="13"/>
      <c r="CZ73" s="13"/>
      <c r="DA73" s="13"/>
      <c r="DB73" s="13"/>
      <c r="DC73" s="13"/>
      <c r="DD73" s="13"/>
    </row>
    <row r="74" spans="1:108" ht="24.95" hidden="1" customHeight="1" x14ac:dyDescent="0.2">
      <c r="A74" s="3">
        <v>70</v>
      </c>
      <c r="B74" s="3" t="s">
        <v>1448</v>
      </c>
      <c r="C74" s="3" t="s">
        <v>84</v>
      </c>
      <c r="D74" s="3" t="s">
        <v>251</v>
      </c>
      <c r="E74" s="3" t="s">
        <v>252</v>
      </c>
      <c r="F74" s="3" t="s">
        <v>253</v>
      </c>
      <c r="G74" s="11" t="s">
        <v>71</v>
      </c>
      <c r="H74" s="12"/>
      <c r="I74" s="17"/>
      <c r="J74" s="11" t="s">
        <v>71</v>
      </c>
      <c r="K74" s="12"/>
      <c r="L74" s="3" t="s">
        <v>476</v>
      </c>
      <c r="M74" s="12"/>
      <c r="N74" s="12"/>
      <c r="O74" s="12"/>
      <c r="P74" s="4" t="s">
        <v>578</v>
      </c>
      <c r="Q74" s="5">
        <v>9157593646</v>
      </c>
      <c r="R74" s="3" t="s">
        <v>906</v>
      </c>
      <c r="S74" s="14">
        <v>42</v>
      </c>
      <c r="T74" s="3" t="s">
        <v>1027</v>
      </c>
      <c r="U74" s="3" t="s">
        <v>1089</v>
      </c>
      <c r="V74" s="12"/>
      <c r="W74" s="12"/>
      <c r="X74" s="7">
        <f t="shared" si="14"/>
        <v>120</v>
      </c>
      <c r="Y74" s="7">
        <f t="shared" si="15"/>
        <v>16</v>
      </c>
      <c r="Z74" s="7">
        <f t="shared" si="16"/>
        <v>136</v>
      </c>
      <c r="AA74" s="37">
        <f t="shared" si="25"/>
        <v>11.333333333333334</v>
      </c>
      <c r="AB74" s="33">
        <f t="shared" si="17"/>
        <v>4</v>
      </c>
      <c r="AC74" s="8">
        <f t="shared" si="18"/>
        <v>0.33333333333333331</v>
      </c>
      <c r="AD74" s="7">
        <f t="shared" si="19"/>
        <v>4</v>
      </c>
      <c r="AE74" s="34">
        <v>11</v>
      </c>
      <c r="AF74" s="12">
        <v>2</v>
      </c>
      <c r="AG74" s="38">
        <f t="shared" si="20"/>
        <v>11.666666666666668</v>
      </c>
      <c r="AH74" s="32">
        <f t="shared" si="21"/>
        <v>8</v>
      </c>
      <c r="AI74" s="37">
        <f t="shared" si="22"/>
        <v>11.666666666666666</v>
      </c>
      <c r="AJ74" s="37">
        <f t="shared" si="23"/>
        <v>8</v>
      </c>
      <c r="AK74" s="7">
        <f t="shared" si="24"/>
        <v>140</v>
      </c>
      <c r="AL74" s="7">
        <f t="shared" si="13"/>
        <v>4</v>
      </c>
      <c r="AM74" s="13"/>
      <c r="AN74" s="11" t="s">
        <v>71</v>
      </c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1" t="s">
        <v>71</v>
      </c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22" t="s">
        <v>1431</v>
      </c>
      <c r="CS74" s="21">
        <v>12</v>
      </c>
      <c r="CT74" s="20">
        <v>555310234</v>
      </c>
      <c r="CU74" s="13"/>
      <c r="CV74" s="13"/>
      <c r="CW74" s="13"/>
      <c r="CX74" s="13"/>
      <c r="CY74" s="13"/>
      <c r="CZ74" s="13"/>
      <c r="DA74" s="13"/>
      <c r="DB74" s="13"/>
      <c r="DC74" s="13"/>
      <c r="DD74" s="13"/>
    </row>
    <row r="75" spans="1:108" ht="24.95" hidden="1" customHeight="1" x14ac:dyDescent="0.2">
      <c r="A75" s="3">
        <v>71</v>
      </c>
      <c r="B75" s="3" t="s">
        <v>1448</v>
      </c>
      <c r="C75" s="3" t="s">
        <v>83</v>
      </c>
      <c r="D75" s="3" t="s">
        <v>254</v>
      </c>
      <c r="E75" s="3" t="s">
        <v>255</v>
      </c>
      <c r="F75" s="3" t="s">
        <v>256</v>
      </c>
      <c r="G75" s="11" t="s">
        <v>71</v>
      </c>
      <c r="H75" s="12"/>
      <c r="I75" s="11" t="s">
        <v>71</v>
      </c>
      <c r="K75" s="12"/>
      <c r="L75" s="3" t="s">
        <v>492</v>
      </c>
      <c r="M75" s="12"/>
      <c r="N75" s="12"/>
      <c r="O75" s="12"/>
      <c r="P75" s="4" t="s">
        <v>579</v>
      </c>
      <c r="Q75" s="5" t="s">
        <v>750</v>
      </c>
      <c r="R75" s="3" t="s">
        <v>907</v>
      </c>
      <c r="S75" s="14">
        <v>30</v>
      </c>
      <c r="T75" s="3" t="s">
        <v>75</v>
      </c>
      <c r="U75" s="3" t="s">
        <v>1066</v>
      </c>
      <c r="V75" s="12"/>
      <c r="W75" s="12"/>
      <c r="X75" s="7">
        <f t="shared" si="14"/>
        <v>24</v>
      </c>
      <c r="Y75" s="7">
        <f t="shared" si="15"/>
        <v>14</v>
      </c>
      <c r="Z75" s="7">
        <f t="shared" si="16"/>
        <v>38</v>
      </c>
      <c r="AA75" s="37">
        <f t="shared" si="25"/>
        <v>3.1666666666666665</v>
      </c>
      <c r="AB75" s="33">
        <f t="shared" si="17"/>
        <v>2</v>
      </c>
      <c r="AC75" s="8">
        <f t="shared" si="18"/>
        <v>0.66666666666666663</v>
      </c>
      <c r="AD75" s="7">
        <f t="shared" si="19"/>
        <v>8</v>
      </c>
      <c r="AE75" s="34">
        <v>3</v>
      </c>
      <c r="AF75" s="12">
        <v>4</v>
      </c>
      <c r="AG75" s="38">
        <f t="shared" si="20"/>
        <v>3.833333333333333</v>
      </c>
      <c r="AH75" s="32">
        <f t="shared" si="21"/>
        <v>10</v>
      </c>
      <c r="AI75" s="37">
        <f t="shared" si="22"/>
        <v>3.8333333333333335</v>
      </c>
      <c r="AJ75" s="37">
        <f t="shared" si="23"/>
        <v>10</v>
      </c>
      <c r="AK75" s="7">
        <f t="shared" si="24"/>
        <v>46</v>
      </c>
      <c r="AL75" s="7">
        <f t="shared" si="13"/>
        <v>8</v>
      </c>
      <c r="AM75" s="13"/>
      <c r="AN75" s="11" t="s">
        <v>71</v>
      </c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X75" s="13"/>
      <c r="BY75" s="13"/>
      <c r="BZ75" s="13"/>
      <c r="CA75" s="13"/>
      <c r="CB75" s="13"/>
      <c r="CD75" s="13"/>
      <c r="CE75" s="13"/>
      <c r="CF75" s="13"/>
      <c r="CG75" s="13"/>
      <c r="CH75" s="13"/>
      <c r="CI75" s="13"/>
      <c r="CJ75" s="13"/>
      <c r="CK75" s="11" t="s">
        <v>71</v>
      </c>
      <c r="CL75" s="13"/>
      <c r="CM75" s="13"/>
      <c r="CN75" s="13"/>
      <c r="CO75" s="13"/>
      <c r="CP75" s="13"/>
      <c r="CQ75" s="13"/>
      <c r="CR75" s="22" t="s">
        <v>73</v>
      </c>
      <c r="CS75" s="20">
        <v>6</v>
      </c>
      <c r="CT75" s="20">
        <v>326144718</v>
      </c>
      <c r="CU75" s="13"/>
      <c r="CV75" s="13"/>
      <c r="CW75" s="13"/>
      <c r="CX75" s="13"/>
      <c r="CY75" s="13"/>
      <c r="CZ75" s="13"/>
      <c r="DA75" s="13"/>
      <c r="DB75" s="13"/>
      <c r="DC75" s="13"/>
      <c r="DD75" s="13"/>
    </row>
    <row r="76" spans="1:108" ht="24.95" hidden="1" customHeight="1" x14ac:dyDescent="0.2">
      <c r="A76" s="3">
        <v>72</v>
      </c>
      <c r="B76" s="3" t="s">
        <v>1448</v>
      </c>
      <c r="C76" s="3" t="s">
        <v>92</v>
      </c>
      <c r="D76" s="3" t="s">
        <v>127</v>
      </c>
      <c r="E76" s="3" t="s">
        <v>257</v>
      </c>
      <c r="F76" s="3" t="s">
        <v>258</v>
      </c>
      <c r="G76" s="11" t="s">
        <v>71</v>
      </c>
      <c r="H76" s="12"/>
      <c r="I76" s="17"/>
      <c r="J76" s="11" t="s">
        <v>71</v>
      </c>
      <c r="K76" s="12"/>
      <c r="L76" s="3" t="s">
        <v>476</v>
      </c>
      <c r="M76" s="12"/>
      <c r="N76" s="12"/>
      <c r="O76" s="12"/>
      <c r="P76" s="4" t="s">
        <v>580</v>
      </c>
      <c r="Q76" s="5">
        <v>9392332377</v>
      </c>
      <c r="R76" s="3" t="s">
        <v>908</v>
      </c>
      <c r="S76" s="14">
        <v>39</v>
      </c>
      <c r="T76" s="3" t="s">
        <v>1022</v>
      </c>
      <c r="U76" s="3" t="s">
        <v>1090</v>
      </c>
      <c r="V76" s="12"/>
      <c r="W76" s="12"/>
      <c r="X76" s="7">
        <f t="shared" si="14"/>
        <v>120</v>
      </c>
      <c r="Y76" s="7">
        <f t="shared" si="15"/>
        <v>16</v>
      </c>
      <c r="Z76" s="7">
        <f t="shared" si="16"/>
        <v>136</v>
      </c>
      <c r="AA76" s="37">
        <f t="shared" si="25"/>
        <v>11.333333333333334</v>
      </c>
      <c r="AB76" s="33">
        <f t="shared" si="17"/>
        <v>4</v>
      </c>
      <c r="AC76" s="8">
        <f t="shared" si="18"/>
        <v>1.9166666666666667</v>
      </c>
      <c r="AD76" s="7">
        <f t="shared" si="19"/>
        <v>11</v>
      </c>
      <c r="AE76" s="34">
        <v>12</v>
      </c>
      <c r="AF76" s="12">
        <v>9</v>
      </c>
      <c r="AG76" s="38">
        <v>14</v>
      </c>
      <c r="AH76" s="32">
        <v>3</v>
      </c>
      <c r="AI76" s="37">
        <f t="shared" si="22"/>
        <v>13.25</v>
      </c>
      <c r="AJ76" s="37">
        <f t="shared" si="23"/>
        <v>3</v>
      </c>
      <c r="AK76" s="7">
        <f t="shared" si="24"/>
        <v>159</v>
      </c>
      <c r="AL76" s="7">
        <f t="shared" si="13"/>
        <v>23</v>
      </c>
      <c r="AM76" s="13"/>
      <c r="AN76" s="11" t="s">
        <v>71</v>
      </c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X76" s="13"/>
      <c r="BY76" s="13"/>
      <c r="BZ76" s="13"/>
      <c r="CA76" s="13"/>
      <c r="CB76" s="13"/>
      <c r="CC76" s="13"/>
      <c r="CD76" s="13"/>
      <c r="CE76" s="13"/>
      <c r="CF76" s="13"/>
      <c r="CG76" s="11" t="s">
        <v>71</v>
      </c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22" t="s">
        <v>1380</v>
      </c>
      <c r="CS76" s="21">
        <v>6</v>
      </c>
      <c r="CT76" s="20">
        <v>497230530</v>
      </c>
      <c r="CU76" s="13"/>
      <c r="CV76" s="13"/>
      <c r="CW76" s="13"/>
      <c r="CX76" s="13"/>
      <c r="CY76" s="13"/>
      <c r="CZ76" s="13"/>
      <c r="DA76" s="13"/>
      <c r="DB76" s="13"/>
      <c r="DC76" s="13"/>
      <c r="DD76" s="13"/>
    </row>
    <row r="77" spans="1:108" ht="24.95" customHeight="1" x14ac:dyDescent="0.2">
      <c r="A77" s="3">
        <v>73</v>
      </c>
      <c r="B77" s="3" t="s">
        <v>1448</v>
      </c>
      <c r="C77" s="3" t="s">
        <v>87</v>
      </c>
      <c r="D77" s="3" t="s">
        <v>259</v>
      </c>
      <c r="E77" s="3" t="s">
        <v>260</v>
      </c>
      <c r="F77" s="3" t="s">
        <v>98</v>
      </c>
      <c r="G77" s="11" t="s">
        <v>71</v>
      </c>
      <c r="H77" s="12"/>
      <c r="I77" s="11" t="s">
        <v>71</v>
      </c>
      <c r="K77" s="12"/>
      <c r="L77" s="3" t="s">
        <v>492</v>
      </c>
      <c r="M77" s="12"/>
      <c r="N77" s="12"/>
      <c r="O77" s="12"/>
      <c r="P77" s="4" t="s">
        <v>581</v>
      </c>
      <c r="Q77" s="5" t="s">
        <v>751</v>
      </c>
      <c r="R77" s="3" t="s">
        <v>909</v>
      </c>
      <c r="S77" s="14">
        <v>43</v>
      </c>
      <c r="T77" s="3" t="s">
        <v>76</v>
      </c>
      <c r="U77" s="3" t="s">
        <v>77</v>
      </c>
      <c r="V77" s="12"/>
      <c r="W77" s="12"/>
      <c r="X77" s="7">
        <f t="shared" si="14"/>
        <v>24</v>
      </c>
      <c r="Y77" s="7">
        <f t="shared" si="15"/>
        <v>14</v>
      </c>
      <c r="Z77" s="7">
        <f t="shared" si="16"/>
        <v>38</v>
      </c>
      <c r="AA77" s="37">
        <f t="shared" si="25"/>
        <v>3.1666666666666665</v>
      </c>
      <c r="AB77" s="33">
        <f t="shared" si="17"/>
        <v>2</v>
      </c>
      <c r="AC77" s="8">
        <f t="shared" si="18"/>
        <v>2.3333333333333335</v>
      </c>
      <c r="AD77" s="7">
        <f t="shared" si="19"/>
        <v>4</v>
      </c>
      <c r="AE77" s="34">
        <v>5</v>
      </c>
      <c r="AF77" s="12">
        <v>0</v>
      </c>
      <c r="AG77" s="38">
        <f t="shared" si="20"/>
        <v>5.5</v>
      </c>
      <c r="AH77" s="32">
        <f t="shared" si="21"/>
        <v>6</v>
      </c>
      <c r="AI77" s="37">
        <f t="shared" si="22"/>
        <v>5.5</v>
      </c>
      <c r="AJ77" s="37">
        <f t="shared" si="23"/>
        <v>6</v>
      </c>
      <c r="AK77" s="7">
        <f t="shared" si="24"/>
        <v>66</v>
      </c>
      <c r="AL77" s="7">
        <f t="shared" si="13"/>
        <v>28</v>
      </c>
      <c r="AM77" s="13"/>
      <c r="AN77" s="11" t="s">
        <v>71</v>
      </c>
      <c r="AO77" s="13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X77" s="13"/>
      <c r="BY77" s="13"/>
      <c r="BZ77" s="13"/>
      <c r="CA77" s="13"/>
      <c r="CB77" s="13"/>
      <c r="CC77" s="11" t="s">
        <v>71</v>
      </c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22" t="s">
        <v>1391</v>
      </c>
      <c r="CS77" s="20">
        <v>6</v>
      </c>
      <c r="CT77" s="20">
        <v>328187416</v>
      </c>
      <c r="CU77" s="13"/>
      <c r="CV77" s="13"/>
      <c r="CW77" s="13"/>
      <c r="CX77" s="13"/>
      <c r="CY77" s="13"/>
      <c r="CZ77" s="13"/>
      <c r="DA77" s="13"/>
      <c r="DB77" s="13"/>
      <c r="DC77" s="13"/>
      <c r="DD77" s="13"/>
    </row>
    <row r="78" spans="1:108" ht="24.95" hidden="1" customHeight="1" x14ac:dyDescent="0.2">
      <c r="A78" s="3">
        <v>74</v>
      </c>
      <c r="B78" s="3" t="s">
        <v>1448</v>
      </c>
      <c r="C78" s="3" t="s">
        <v>88</v>
      </c>
      <c r="D78" s="3" t="s">
        <v>261</v>
      </c>
      <c r="E78" s="3" t="s">
        <v>262</v>
      </c>
      <c r="F78" s="3" t="s">
        <v>107</v>
      </c>
      <c r="G78" s="11" t="s">
        <v>71</v>
      </c>
      <c r="H78" s="12"/>
      <c r="I78" s="17"/>
      <c r="J78" s="11" t="s">
        <v>71</v>
      </c>
      <c r="K78" s="12"/>
      <c r="L78" s="3" t="s">
        <v>492</v>
      </c>
      <c r="M78" s="12"/>
      <c r="N78" s="12"/>
      <c r="O78" s="12"/>
      <c r="P78" s="4" t="s">
        <v>582</v>
      </c>
      <c r="Q78" s="5" t="s">
        <v>752</v>
      </c>
      <c r="R78" s="3" t="s">
        <v>910</v>
      </c>
      <c r="S78" s="14">
        <v>32</v>
      </c>
      <c r="T78" s="3" t="s">
        <v>76</v>
      </c>
      <c r="U78" s="3" t="s">
        <v>1091</v>
      </c>
      <c r="V78" s="12"/>
      <c r="W78" s="12"/>
      <c r="X78" s="7">
        <f t="shared" si="14"/>
        <v>24</v>
      </c>
      <c r="Y78" s="7">
        <f t="shared" si="15"/>
        <v>14</v>
      </c>
      <c r="Z78" s="7">
        <f t="shared" si="16"/>
        <v>38</v>
      </c>
      <c r="AA78" s="37">
        <f t="shared" si="25"/>
        <v>3.1666666666666665</v>
      </c>
      <c r="AB78" s="33">
        <f t="shared" si="17"/>
        <v>2</v>
      </c>
      <c r="AC78" s="8">
        <f t="shared" si="18"/>
        <v>1.3333333333333333</v>
      </c>
      <c r="AD78" s="7">
        <f t="shared" si="19"/>
        <v>4</v>
      </c>
      <c r="AE78" s="34">
        <v>4</v>
      </c>
      <c r="AF78" s="12"/>
      <c r="AG78" s="38">
        <f t="shared" si="20"/>
        <v>4.5</v>
      </c>
      <c r="AH78" s="32">
        <f t="shared" si="21"/>
        <v>6</v>
      </c>
      <c r="AI78" s="37">
        <f t="shared" si="22"/>
        <v>4.5</v>
      </c>
      <c r="AJ78" s="37">
        <f t="shared" si="23"/>
        <v>6</v>
      </c>
      <c r="AK78" s="7">
        <f t="shared" si="24"/>
        <v>54</v>
      </c>
      <c r="AL78" s="7">
        <f t="shared" si="13"/>
        <v>16</v>
      </c>
      <c r="AM78" s="13"/>
      <c r="AN78" s="11" t="s">
        <v>71</v>
      </c>
      <c r="AO78" s="13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X78" s="13"/>
      <c r="BY78" s="13"/>
      <c r="BZ78" s="13"/>
      <c r="CA78" s="13"/>
      <c r="CB78" s="13"/>
      <c r="CC78" s="11" t="s">
        <v>71</v>
      </c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22" t="s">
        <v>73</v>
      </c>
      <c r="CS78" s="20">
        <v>6</v>
      </c>
      <c r="CT78" s="20">
        <v>347770676</v>
      </c>
      <c r="CU78" s="13"/>
      <c r="CV78" s="13"/>
      <c r="CW78" s="13"/>
      <c r="CX78" s="13"/>
      <c r="CY78" s="13"/>
      <c r="CZ78" s="13"/>
      <c r="DA78" s="13"/>
      <c r="DB78" s="13"/>
      <c r="DC78" s="13"/>
      <c r="DD78" s="13"/>
    </row>
    <row r="79" spans="1:108" ht="24.95" hidden="1" customHeight="1" x14ac:dyDescent="0.2">
      <c r="A79" s="3">
        <v>75</v>
      </c>
      <c r="B79" s="3" t="s">
        <v>1448</v>
      </c>
      <c r="C79" s="3" t="s">
        <v>92</v>
      </c>
      <c r="D79" s="3" t="s">
        <v>263</v>
      </c>
      <c r="E79" s="3" t="s">
        <v>264</v>
      </c>
      <c r="F79" s="3" t="s">
        <v>107</v>
      </c>
      <c r="G79" s="11" t="s">
        <v>71</v>
      </c>
      <c r="H79" s="12"/>
      <c r="I79" s="17"/>
      <c r="J79" s="11" t="s">
        <v>71</v>
      </c>
      <c r="K79" s="12"/>
      <c r="L79" s="3" t="s">
        <v>476</v>
      </c>
      <c r="M79" s="12"/>
      <c r="N79" s="12"/>
      <c r="O79" s="12"/>
      <c r="P79" s="4" t="s">
        <v>583</v>
      </c>
      <c r="Q79" s="5">
        <v>9150730492</v>
      </c>
      <c r="R79" s="3" t="s">
        <v>911</v>
      </c>
      <c r="S79" s="14">
        <v>38</v>
      </c>
      <c r="T79" s="3" t="s">
        <v>1027</v>
      </c>
      <c r="U79" s="3" t="s">
        <v>1092</v>
      </c>
      <c r="V79" s="12"/>
      <c r="W79" s="12"/>
      <c r="X79" s="7">
        <f t="shared" si="14"/>
        <v>120</v>
      </c>
      <c r="Y79" s="7">
        <f t="shared" si="15"/>
        <v>16</v>
      </c>
      <c r="Z79" s="7">
        <f t="shared" si="16"/>
        <v>136</v>
      </c>
      <c r="AA79" s="37">
        <f t="shared" si="25"/>
        <v>11.333333333333334</v>
      </c>
      <c r="AB79" s="33">
        <f t="shared" si="17"/>
        <v>4</v>
      </c>
      <c r="AC79" s="8">
        <f t="shared" si="18"/>
        <v>0.16666666666666666</v>
      </c>
      <c r="AD79" s="7">
        <f t="shared" si="19"/>
        <v>2</v>
      </c>
      <c r="AE79" s="34">
        <v>11</v>
      </c>
      <c r="AF79" s="12"/>
      <c r="AG79" s="38">
        <f t="shared" si="20"/>
        <v>11.5</v>
      </c>
      <c r="AH79" s="32">
        <f t="shared" si="21"/>
        <v>6</v>
      </c>
      <c r="AI79" s="37">
        <f t="shared" si="22"/>
        <v>11.5</v>
      </c>
      <c r="AJ79" s="37">
        <f t="shared" si="23"/>
        <v>6</v>
      </c>
      <c r="AK79" s="7">
        <f t="shared" si="24"/>
        <v>138</v>
      </c>
      <c r="AL79" s="7">
        <f t="shared" si="13"/>
        <v>2</v>
      </c>
      <c r="AM79" s="13"/>
      <c r="AN79" s="11" t="s">
        <v>71</v>
      </c>
      <c r="AO79" s="13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X79" s="13"/>
      <c r="BY79" s="13"/>
      <c r="BZ79" s="13"/>
      <c r="CA79" s="13"/>
      <c r="CB79" s="13"/>
      <c r="CC79" s="13"/>
      <c r="CD79" s="13"/>
      <c r="CE79" s="13"/>
      <c r="CF79" s="13"/>
      <c r="CG79" s="11" t="s">
        <v>71</v>
      </c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22" t="s">
        <v>1380</v>
      </c>
      <c r="CS79" s="21">
        <v>6</v>
      </c>
      <c r="CT79" s="20">
        <v>493188894</v>
      </c>
      <c r="CU79" s="13"/>
      <c r="CV79" s="13"/>
      <c r="CW79" s="13"/>
      <c r="CX79" s="13"/>
      <c r="CY79" s="13"/>
      <c r="CZ79" s="13"/>
      <c r="DA79" s="13"/>
      <c r="DB79" s="13"/>
      <c r="DC79" s="13"/>
      <c r="DD79" s="13"/>
    </row>
    <row r="80" spans="1:108" ht="24.95" customHeight="1" x14ac:dyDescent="0.2">
      <c r="A80" s="3">
        <v>76</v>
      </c>
      <c r="B80" s="3" t="s">
        <v>1448</v>
      </c>
      <c r="C80" s="3" t="s">
        <v>87</v>
      </c>
      <c r="D80" s="3" t="s">
        <v>265</v>
      </c>
      <c r="E80" s="3" t="s">
        <v>266</v>
      </c>
      <c r="F80" s="3" t="s">
        <v>241</v>
      </c>
      <c r="G80" s="11" t="s">
        <v>71</v>
      </c>
      <c r="H80" s="12"/>
      <c r="I80" s="17"/>
      <c r="J80" s="11" t="s">
        <v>71</v>
      </c>
      <c r="K80" s="12"/>
      <c r="L80" s="3" t="s">
        <v>492</v>
      </c>
      <c r="M80" s="12"/>
      <c r="N80" s="12"/>
      <c r="O80" s="12"/>
      <c r="P80" s="4">
        <v>6430007162</v>
      </c>
      <c r="Q80" s="5" t="s">
        <v>753</v>
      </c>
      <c r="R80" s="3" t="s">
        <v>912</v>
      </c>
      <c r="S80" s="14">
        <v>34</v>
      </c>
      <c r="T80" s="3" t="s">
        <v>75</v>
      </c>
      <c r="U80" s="3" t="s">
        <v>1093</v>
      </c>
      <c r="V80" s="12"/>
      <c r="W80" s="12"/>
      <c r="X80" s="7">
        <f t="shared" si="14"/>
        <v>24</v>
      </c>
      <c r="Y80" s="7">
        <f t="shared" si="15"/>
        <v>14</v>
      </c>
      <c r="Z80" s="7">
        <f t="shared" si="16"/>
        <v>38</v>
      </c>
      <c r="AA80" s="37">
        <v>3</v>
      </c>
      <c r="AB80" s="33">
        <f t="shared" si="17"/>
        <v>2</v>
      </c>
      <c r="AC80" s="8">
        <f t="shared" si="18"/>
        <v>6.75</v>
      </c>
      <c r="AD80" s="7">
        <f t="shared" si="19"/>
        <v>9</v>
      </c>
      <c r="AE80" s="34">
        <v>9</v>
      </c>
      <c r="AF80" s="12">
        <v>5</v>
      </c>
      <c r="AG80" s="38">
        <f t="shared" si="20"/>
        <v>9.75</v>
      </c>
      <c r="AH80" s="32">
        <f t="shared" si="21"/>
        <v>11</v>
      </c>
      <c r="AI80" s="37">
        <f t="shared" si="22"/>
        <v>9.9166666666666661</v>
      </c>
      <c r="AJ80" s="37">
        <f t="shared" si="23"/>
        <v>11</v>
      </c>
      <c r="AK80" s="7">
        <f t="shared" si="24"/>
        <v>119</v>
      </c>
      <c r="AL80" s="7">
        <f t="shared" si="13"/>
        <v>81</v>
      </c>
      <c r="AM80" s="13"/>
      <c r="AN80" s="11" t="s">
        <v>71</v>
      </c>
      <c r="AO80" s="13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X80" s="13"/>
      <c r="BY80" s="13"/>
      <c r="BZ80" s="13"/>
      <c r="CA80" s="13"/>
      <c r="CB80" s="13"/>
      <c r="CC80" s="11" t="s">
        <v>71</v>
      </c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22" t="s">
        <v>1391</v>
      </c>
      <c r="CS80" s="20">
        <v>6</v>
      </c>
      <c r="CT80" s="20">
        <v>350471721</v>
      </c>
      <c r="CU80" s="13"/>
      <c r="CV80" s="13"/>
      <c r="CW80" s="13"/>
      <c r="CX80" s="13"/>
      <c r="CY80" s="13"/>
      <c r="CZ80" s="13"/>
      <c r="DA80" s="13"/>
      <c r="DB80" s="13"/>
      <c r="DC80" s="13"/>
      <c r="DD80" s="13"/>
    </row>
    <row r="81" spans="1:108" ht="24.95" hidden="1" customHeight="1" x14ac:dyDescent="0.2">
      <c r="A81" s="3">
        <v>77</v>
      </c>
      <c r="B81" s="3" t="s">
        <v>1448</v>
      </c>
      <c r="C81" s="3" t="s">
        <v>93</v>
      </c>
      <c r="D81" s="3" t="s">
        <v>179</v>
      </c>
      <c r="E81" s="3" t="s">
        <v>267</v>
      </c>
      <c r="F81" s="3" t="s">
        <v>268</v>
      </c>
      <c r="G81" s="11" t="s">
        <v>71</v>
      </c>
      <c r="H81" s="12"/>
      <c r="I81" s="17"/>
      <c r="J81" s="11" t="s">
        <v>71</v>
      </c>
      <c r="K81" s="12"/>
      <c r="L81" s="3" t="s">
        <v>492</v>
      </c>
      <c r="M81" s="12"/>
      <c r="N81" s="12"/>
      <c r="O81" s="12"/>
      <c r="P81" s="4" t="s">
        <v>584</v>
      </c>
      <c r="Q81" s="5" t="s">
        <v>754</v>
      </c>
      <c r="R81" s="3" t="s">
        <v>867</v>
      </c>
      <c r="S81" s="14">
        <v>53</v>
      </c>
      <c r="T81" s="3" t="s">
        <v>76</v>
      </c>
      <c r="U81" s="3" t="s">
        <v>1094</v>
      </c>
      <c r="V81" s="12"/>
      <c r="W81" s="12"/>
      <c r="X81" s="7">
        <f t="shared" si="14"/>
        <v>24</v>
      </c>
      <c r="Y81" s="7">
        <f t="shared" si="15"/>
        <v>14</v>
      </c>
      <c r="Z81" s="7">
        <f t="shared" si="16"/>
        <v>38</v>
      </c>
      <c r="AA81" s="37">
        <f t="shared" si="25"/>
        <v>3.1666666666666665</v>
      </c>
      <c r="AB81" s="33">
        <f t="shared" si="17"/>
        <v>2</v>
      </c>
      <c r="AC81" s="8">
        <f t="shared" si="18"/>
        <v>14.833333333333334</v>
      </c>
      <c r="AD81" s="7">
        <f t="shared" si="19"/>
        <v>10</v>
      </c>
      <c r="AE81" s="34">
        <v>17</v>
      </c>
      <c r="AF81" s="12">
        <v>6</v>
      </c>
      <c r="AG81" s="38">
        <v>19</v>
      </c>
      <c r="AH81" s="32">
        <v>0</v>
      </c>
      <c r="AI81" s="37">
        <f t="shared" si="22"/>
        <v>18</v>
      </c>
      <c r="AJ81" s="37">
        <f t="shared" si="23"/>
        <v>0</v>
      </c>
      <c r="AK81" s="7">
        <f t="shared" si="24"/>
        <v>216</v>
      </c>
      <c r="AL81" s="7">
        <f t="shared" si="13"/>
        <v>178</v>
      </c>
      <c r="AM81" s="13"/>
      <c r="AN81" s="11" t="s">
        <v>71</v>
      </c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X81" s="13"/>
      <c r="BY81" s="13"/>
      <c r="BZ81" s="13"/>
      <c r="CA81" s="13"/>
      <c r="CB81" s="13"/>
      <c r="CC81" s="11" t="s">
        <v>71</v>
      </c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22" t="s">
        <v>1412</v>
      </c>
      <c r="CS81" s="20">
        <v>6</v>
      </c>
      <c r="CT81" s="20">
        <v>353341779</v>
      </c>
      <c r="CU81" s="13"/>
      <c r="CV81" s="13"/>
      <c r="CW81" s="13"/>
      <c r="CX81" s="13"/>
      <c r="CY81" s="13"/>
      <c r="CZ81" s="13"/>
      <c r="DA81" s="13"/>
      <c r="DB81" s="13"/>
      <c r="DC81" s="13"/>
      <c r="DD81" s="13"/>
    </row>
    <row r="82" spans="1:108" ht="24.95" hidden="1" customHeight="1" x14ac:dyDescent="0.2">
      <c r="A82" s="3">
        <v>78</v>
      </c>
      <c r="B82" s="3" t="s">
        <v>1448</v>
      </c>
      <c r="C82" s="3" t="s">
        <v>83</v>
      </c>
      <c r="D82" s="3" t="s">
        <v>269</v>
      </c>
      <c r="E82" s="3" t="s">
        <v>270</v>
      </c>
      <c r="F82" s="3" t="s">
        <v>271</v>
      </c>
      <c r="G82" s="11" t="s">
        <v>71</v>
      </c>
      <c r="H82" s="12"/>
      <c r="I82" s="17"/>
      <c r="J82" s="11" t="s">
        <v>71</v>
      </c>
      <c r="K82" s="12"/>
      <c r="L82" s="3" t="s">
        <v>492</v>
      </c>
      <c r="M82" s="12"/>
      <c r="N82" s="12"/>
      <c r="O82" s="12"/>
      <c r="P82" s="4" t="s">
        <v>585</v>
      </c>
      <c r="Q82" s="5" t="s">
        <v>755</v>
      </c>
      <c r="R82" s="3" t="s">
        <v>913</v>
      </c>
      <c r="S82" s="14">
        <v>39</v>
      </c>
      <c r="T82" s="3" t="s">
        <v>76</v>
      </c>
      <c r="U82" s="3" t="s">
        <v>1095</v>
      </c>
      <c r="V82" s="12"/>
      <c r="W82" s="12"/>
      <c r="X82" s="7">
        <f t="shared" si="14"/>
        <v>24</v>
      </c>
      <c r="Y82" s="7">
        <f t="shared" si="15"/>
        <v>14</v>
      </c>
      <c r="Z82" s="7">
        <f t="shared" si="16"/>
        <v>38</v>
      </c>
      <c r="AA82" s="37">
        <v>4</v>
      </c>
      <c r="AB82" s="33">
        <f t="shared" si="17"/>
        <v>2</v>
      </c>
      <c r="AC82" s="8">
        <f t="shared" si="18"/>
        <v>2.3333333333333335</v>
      </c>
      <c r="AD82" s="7">
        <f t="shared" si="19"/>
        <v>4</v>
      </c>
      <c r="AE82" s="34">
        <v>5</v>
      </c>
      <c r="AF82" s="12"/>
      <c r="AG82" s="38">
        <f t="shared" si="20"/>
        <v>6.3333333333333339</v>
      </c>
      <c r="AH82" s="32">
        <f t="shared" si="21"/>
        <v>6</v>
      </c>
      <c r="AI82" s="37">
        <f t="shared" si="22"/>
        <v>5.5</v>
      </c>
      <c r="AJ82" s="37">
        <f t="shared" si="23"/>
        <v>6</v>
      </c>
      <c r="AK82" s="7">
        <f t="shared" si="24"/>
        <v>66</v>
      </c>
      <c r="AL82" s="7">
        <f t="shared" si="13"/>
        <v>28</v>
      </c>
      <c r="AM82" s="13"/>
      <c r="AN82" s="11" t="s">
        <v>71</v>
      </c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X82" s="13"/>
      <c r="BY82" s="13"/>
      <c r="BZ82" s="13"/>
      <c r="CA82" s="13"/>
      <c r="CB82" s="13"/>
      <c r="CC82" s="13"/>
      <c r="CD82" s="13"/>
      <c r="CE82" s="13"/>
      <c r="CF82" s="13"/>
      <c r="CG82" s="11" t="s">
        <v>71</v>
      </c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22" t="s">
        <v>1380</v>
      </c>
      <c r="CS82" s="20">
        <v>4</v>
      </c>
      <c r="CT82" s="20">
        <v>352545151</v>
      </c>
      <c r="CU82" s="13"/>
      <c r="CV82" s="13"/>
      <c r="CW82" s="13"/>
      <c r="CX82" s="13"/>
      <c r="CY82" s="13"/>
      <c r="CZ82" s="13"/>
      <c r="DA82" s="13"/>
      <c r="DB82" s="13"/>
      <c r="DC82" s="13"/>
      <c r="DD82" s="13"/>
    </row>
    <row r="83" spans="1:108" ht="24.95" hidden="1" customHeight="1" x14ac:dyDescent="0.2">
      <c r="A83" s="3">
        <v>79</v>
      </c>
      <c r="B83" s="3" t="s">
        <v>1448</v>
      </c>
      <c r="C83" s="3" t="s">
        <v>89</v>
      </c>
      <c r="D83" s="3" t="s">
        <v>261</v>
      </c>
      <c r="E83" s="3" t="s">
        <v>272</v>
      </c>
      <c r="F83" s="3" t="s">
        <v>163</v>
      </c>
      <c r="G83" s="11" t="s">
        <v>71</v>
      </c>
      <c r="H83" s="12"/>
      <c r="I83" s="17"/>
      <c r="J83" s="11" t="s">
        <v>71</v>
      </c>
      <c r="K83" s="12"/>
      <c r="L83" s="3" t="s">
        <v>477</v>
      </c>
      <c r="M83" s="12"/>
      <c r="N83" s="12"/>
      <c r="O83" s="12"/>
      <c r="P83" s="4" t="s">
        <v>586</v>
      </c>
      <c r="Q83" s="5">
        <v>9153157526</v>
      </c>
      <c r="R83" s="3" t="s">
        <v>914</v>
      </c>
      <c r="S83" s="14">
        <v>45</v>
      </c>
      <c r="T83" s="3" t="s">
        <v>1032</v>
      </c>
      <c r="U83" s="3" t="s">
        <v>1032</v>
      </c>
      <c r="V83" s="12"/>
      <c r="W83" s="12"/>
      <c r="X83" s="7">
        <f t="shared" si="14"/>
        <v>132</v>
      </c>
      <c r="Y83" s="7">
        <f t="shared" si="15"/>
        <v>16</v>
      </c>
      <c r="Z83" s="7">
        <f t="shared" si="16"/>
        <v>148</v>
      </c>
      <c r="AA83" s="37">
        <f t="shared" si="25"/>
        <v>12.333333333333334</v>
      </c>
      <c r="AB83" s="33">
        <f t="shared" si="17"/>
        <v>4</v>
      </c>
      <c r="AC83" s="8">
        <f t="shared" si="18"/>
        <v>3.4166666666666665</v>
      </c>
      <c r="AD83" s="7">
        <f t="shared" si="19"/>
        <v>5</v>
      </c>
      <c r="AE83" s="34">
        <v>15</v>
      </c>
      <c r="AF83" s="12">
        <v>3</v>
      </c>
      <c r="AG83" s="38">
        <f t="shared" si="20"/>
        <v>15.75</v>
      </c>
      <c r="AH83" s="32">
        <f t="shared" si="21"/>
        <v>9</v>
      </c>
      <c r="AI83" s="37">
        <f t="shared" si="22"/>
        <v>15.75</v>
      </c>
      <c r="AJ83" s="37">
        <f t="shared" si="23"/>
        <v>9</v>
      </c>
      <c r="AK83" s="7">
        <f t="shared" si="24"/>
        <v>189</v>
      </c>
      <c r="AL83" s="7">
        <f t="shared" si="13"/>
        <v>41</v>
      </c>
      <c r="AM83" s="13"/>
      <c r="AN83" s="11" t="s">
        <v>71</v>
      </c>
      <c r="AO83" s="13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1" t="s">
        <v>71</v>
      </c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22" t="s">
        <v>1381</v>
      </c>
      <c r="CS83" s="21">
        <v>8</v>
      </c>
      <c r="CT83" s="20">
        <v>472599640</v>
      </c>
      <c r="CU83" s="13"/>
      <c r="CV83" s="13"/>
      <c r="CW83" s="13"/>
      <c r="CX83" s="13"/>
      <c r="CY83" s="13"/>
      <c r="CZ83" s="13"/>
      <c r="DA83" s="13"/>
      <c r="DB83" s="13"/>
      <c r="DC83" s="13"/>
      <c r="DD83" s="13"/>
    </row>
    <row r="84" spans="1:108" ht="24.95" hidden="1" customHeight="1" x14ac:dyDescent="0.2">
      <c r="A84" s="3">
        <v>80</v>
      </c>
      <c r="B84" s="3" t="s">
        <v>1448</v>
      </c>
      <c r="C84" s="3" t="s">
        <v>85</v>
      </c>
      <c r="D84" s="3" t="s">
        <v>107</v>
      </c>
      <c r="E84" s="3" t="s">
        <v>273</v>
      </c>
      <c r="F84" s="3" t="s">
        <v>274</v>
      </c>
      <c r="G84" s="11" t="s">
        <v>71</v>
      </c>
      <c r="H84" s="12"/>
      <c r="I84" s="17"/>
      <c r="J84" s="11" t="s">
        <v>71</v>
      </c>
      <c r="K84" s="12"/>
      <c r="L84" s="3" t="s">
        <v>492</v>
      </c>
      <c r="M84" s="12"/>
      <c r="N84" s="12"/>
      <c r="O84" s="12"/>
      <c r="P84" s="4" t="s">
        <v>587</v>
      </c>
      <c r="Q84" s="5" t="s">
        <v>756</v>
      </c>
      <c r="R84" s="3" t="s">
        <v>915</v>
      </c>
      <c r="S84" s="14">
        <v>28</v>
      </c>
      <c r="T84" s="3" t="s">
        <v>1023</v>
      </c>
      <c r="U84" s="3" t="s">
        <v>1096</v>
      </c>
      <c r="V84" s="12"/>
      <c r="W84" s="12"/>
      <c r="X84" s="7">
        <f t="shared" si="14"/>
        <v>24</v>
      </c>
      <c r="Y84" s="7">
        <f t="shared" si="15"/>
        <v>14</v>
      </c>
      <c r="Z84" s="7">
        <f t="shared" si="16"/>
        <v>38</v>
      </c>
      <c r="AA84" s="37">
        <f t="shared" si="25"/>
        <v>3.1666666666666665</v>
      </c>
      <c r="AB84" s="33">
        <f t="shared" si="17"/>
        <v>2</v>
      </c>
      <c r="AC84" s="8">
        <f t="shared" si="18"/>
        <v>3.25</v>
      </c>
      <c r="AD84" s="7">
        <f t="shared" si="19"/>
        <v>3</v>
      </c>
      <c r="AE84" s="34">
        <v>5</v>
      </c>
      <c r="AF84" s="12">
        <v>11</v>
      </c>
      <c r="AG84" s="38">
        <f t="shared" si="20"/>
        <v>6.4166666666666661</v>
      </c>
      <c r="AH84" s="32">
        <f t="shared" si="21"/>
        <v>5</v>
      </c>
      <c r="AI84" s="37">
        <f t="shared" si="22"/>
        <v>6.416666666666667</v>
      </c>
      <c r="AJ84" s="37">
        <f t="shared" si="23"/>
        <v>5</v>
      </c>
      <c r="AK84" s="7">
        <f t="shared" si="24"/>
        <v>77</v>
      </c>
      <c r="AL84" s="7">
        <f t="shared" si="13"/>
        <v>39</v>
      </c>
      <c r="AM84" s="13"/>
      <c r="AN84" s="11" t="s">
        <v>71</v>
      </c>
      <c r="AO84" s="13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X84" s="13"/>
      <c r="BY84" s="13"/>
      <c r="BZ84" s="13"/>
      <c r="CA84" s="13"/>
      <c r="CB84" s="13"/>
      <c r="CC84" s="13"/>
      <c r="CD84" s="13"/>
      <c r="CE84" s="13"/>
      <c r="CF84" s="13"/>
      <c r="CG84" s="11" t="s">
        <v>71</v>
      </c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22" t="s">
        <v>1380</v>
      </c>
      <c r="CS84" s="20">
        <v>4</v>
      </c>
      <c r="CT84" s="20">
        <v>339005926</v>
      </c>
      <c r="CU84" s="13"/>
      <c r="CV84" s="13"/>
      <c r="CW84" s="13"/>
      <c r="CX84" s="13"/>
      <c r="CY84" s="13"/>
      <c r="CZ84" s="13"/>
      <c r="DA84" s="13"/>
      <c r="DB84" s="13"/>
      <c r="DC84" s="13"/>
      <c r="DD84" s="13"/>
    </row>
    <row r="85" spans="1:108" ht="24.95" hidden="1" customHeight="1" x14ac:dyDescent="0.2">
      <c r="A85" s="3">
        <v>81</v>
      </c>
      <c r="B85" s="3" t="s">
        <v>1448</v>
      </c>
      <c r="C85" s="3" t="s">
        <v>83</v>
      </c>
      <c r="D85" s="3" t="s">
        <v>141</v>
      </c>
      <c r="E85" s="3" t="s">
        <v>275</v>
      </c>
      <c r="F85" s="3" t="s">
        <v>276</v>
      </c>
      <c r="G85" s="11" t="s">
        <v>71</v>
      </c>
      <c r="H85" s="12"/>
      <c r="I85" s="17"/>
      <c r="J85" s="11" t="s">
        <v>71</v>
      </c>
      <c r="K85" s="12"/>
      <c r="L85" s="3" t="s">
        <v>492</v>
      </c>
      <c r="M85" s="12"/>
      <c r="N85" s="12"/>
      <c r="O85" s="12"/>
      <c r="P85" s="4" t="s">
        <v>588</v>
      </c>
      <c r="Q85" s="5" t="s">
        <v>757</v>
      </c>
      <c r="R85" s="3" t="s">
        <v>916</v>
      </c>
      <c r="S85" s="14">
        <v>48</v>
      </c>
      <c r="T85" s="3" t="s">
        <v>75</v>
      </c>
      <c r="U85" s="3" t="s">
        <v>1057</v>
      </c>
      <c r="V85" s="12"/>
      <c r="W85" s="12"/>
      <c r="X85" s="7">
        <f t="shared" si="14"/>
        <v>24</v>
      </c>
      <c r="Y85" s="7">
        <f t="shared" si="15"/>
        <v>14</v>
      </c>
      <c r="Z85" s="7">
        <f t="shared" si="16"/>
        <v>38</v>
      </c>
      <c r="AA85" s="37">
        <v>3</v>
      </c>
      <c r="AB85" s="33">
        <f t="shared" si="17"/>
        <v>2</v>
      </c>
      <c r="AC85" s="8">
        <f t="shared" si="18"/>
        <v>6.5</v>
      </c>
      <c r="AD85" s="7">
        <f t="shared" si="19"/>
        <v>6</v>
      </c>
      <c r="AE85" s="34">
        <v>9</v>
      </c>
      <c r="AF85" s="12">
        <v>2</v>
      </c>
      <c r="AG85" s="38">
        <f t="shared" si="20"/>
        <v>9.5</v>
      </c>
      <c r="AH85" s="32">
        <f t="shared" si="21"/>
        <v>8</v>
      </c>
      <c r="AI85" s="37">
        <f t="shared" si="22"/>
        <v>9.6666666666666661</v>
      </c>
      <c r="AJ85" s="37">
        <f t="shared" si="23"/>
        <v>8</v>
      </c>
      <c r="AK85" s="7">
        <f t="shared" si="24"/>
        <v>116</v>
      </c>
      <c r="AL85" s="7">
        <f t="shared" si="13"/>
        <v>78</v>
      </c>
      <c r="AM85" s="13"/>
      <c r="AN85" s="11" t="s">
        <v>71</v>
      </c>
      <c r="AO85" s="13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X85" s="13"/>
      <c r="BY85" s="13"/>
      <c r="BZ85" s="13"/>
      <c r="CA85" s="13"/>
      <c r="CB85" s="13"/>
      <c r="CC85" s="11" t="s">
        <v>71</v>
      </c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22" t="s">
        <v>73</v>
      </c>
      <c r="CS85" s="20">
        <v>6</v>
      </c>
      <c r="CT85" s="20">
        <v>375084983</v>
      </c>
      <c r="CU85" s="13"/>
      <c r="CV85" s="13"/>
      <c r="CW85" s="13"/>
      <c r="CX85" s="13"/>
      <c r="CY85" s="13"/>
      <c r="CZ85" s="13"/>
      <c r="DA85" s="13"/>
      <c r="DB85" s="13"/>
      <c r="DC85" s="13"/>
      <c r="DD85" s="13"/>
    </row>
    <row r="86" spans="1:108" ht="24.95" hidden="1" customHeight="1" x14ac:dyDescent="0.2">
      <c r="A86" s="3">
        <v>82</v>
      </c>
      <c r="B86" s="3" t="s">
        <v>1448</v>
      </c>
      <c r="C86" s="3" t="s">
        <v>84</v>
      </c>
      <c r="D86" s="3" t="s">
        <v>125</v>
      </c>
      <c r="E86" s="3" t="s">
        <v>277</v>
      </c>
      <c r="F86" s="3" t="s">
        <v>278</v>
      </c>
      <c r="G86" s="11" t="s">
        <v>71</v>
      </c>
      <c r="H86" s="12"/>
      <c r="I86" s="17"/>
      <c r="J86" s="11" t="s">
        <v>71</v>
      </c>
      <c r="K86" s="12"/>
      <c r="L86" s="3" t="s">
        <v>492</v>
      </c>
      <c r="M86" s="12"/>
      <c r="N86" s="12"/>
      <c r="O86" s="12"/>
      <c r="P86" s="4" t="s">
        <v>589</v>
      </c>
      <c r="Q86" s="5" t="s">
        <v>758</v>
      </c>
      <c r="R86" s="3" t="s">
        <v>917</v>
      </c>
      <c r="S86" s="14">
        <v>33</v>
      </c>
      <c r="T86" s="3" t="s">
        <v>1024</v>
      </c>
      <c r="U86" s="3" t="s">
        <v>1045</v>
      </c>
      <c r="V86" s="12"/>
      <c r="W86" s="12"/>
      <c r="X86" s="7">
        <f t="shared" si="14"/>
        <v>24</v>
      </c>
      <c r="Y86" s="7">
        <f t="shared" si="15"/>
        <v>14</v>
      </c>
      <c r="Z86" s="7">
        <f t="shared" si="16"/>
        <v>38</v>
      </c>
      <c r="AA86" s="37">
        <v>4</v>
      </c>
      <c r="AB86" s="33">
        <f t="shared" si="17"/>
        <v>2</v>
      </c>
      <c r="AC86" s="8">
        <f t="shared" si="18"/>
        <v>1.5833333333333333</v>
      </c>
      <c r="AD86" s="7">
        <f t="shared" si="19"/>
        <v>7</v>
      </c>
      <c r="AE86" s="34">
        <v>4</v>
      </c>
      <c r="AF86" s="12">
        <v>3</v>
      </c>
      <c r="AG86" s="38">
        <f t="shared" si="20"/>
        <v>5.583333333333333</v>
      </c>
      <c r="AH86" s="32">
        <f t="shared" si="21"/>
        <v>9</v>
      </c>
      <c r="AI86" s="37">
        <f t="shared" si="22"/>
        <v>4.75</v>
      </c>
      <c r="AJ86" s="37">
        <f t="shared" si="23"/>
        <v>9</v>
      </c>
      <c r="AK86" s="7">
        <f t="shared" si="24"/>
        <v>57</v>
      </c>
      <c r="AL86" s="7">
        <f t="shared" si="13"/>
        <v>19</v>
      </c>
      <c r="AM86" s="13"/>
      <c r="AN86" s="11" t="s">
        <v>71</v>
      </c>
      <c r="AO86" s="13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X86" s="13"/>
      <c r="BY86" s="13"/>
      <c r="BZ86" s="13"/>
      <c r="CA86" s="13"/>
      <c r="CB86" s="13"/>
      <c r="CC86" s="13"/>
      <c r="CD86" s="13"/>
      <c r="CE86" s="13"/>
      <c r="CF86" s="13"/>
      <c r="CG86" s="11" t="s">
        <v>71</v>
      </c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22" t="s">
        <v>1380</v>
      </c>
      <c r="CS86" s="20">
        <v>4</v>
      </c>
      <c r="CT86" s="20">
        <v>337977151</v>
      </c>
      <c r="CU86" s="13"/>
      <c r="CV86" s="13"/>
      <c r="CW86" s="13"/>
      <c r="CX86" s="13"/>
      <c r="CY86" s="13"/>
      <c r="CZ86" s="13"/>
      <c r="DA86" s="13"/>
      <c r="DB86" s="13"/>
      <c r="DC86" s="13"/>
      <c r="DD86" s="13"/>
    </row>
    <row r="87" spans="1:108" ht="24.95" customHeight="1" x14ac:dyDescent="0.2">
      <c r="A87" s="3">
        <v>83</v>
      </c>
      <c r="B87" s="3" t="s">
        <v>1448</v>
      </c>
      <c r="C87" s="3" t="s">
        <v>87</v>
      </c>
      <c r="D87" s="3" t="s">
        <v>184</v>
      </c>
      <c r="E87" s="3" t="s">
        <v>279</v>
      </c>
      <c r="F87" s="3" t="s">
        <v>107</v>
      </c>
      <c r="G87" s="11" t="s">
        <v>71</v>
      </c>
      <c r="H87" s="12"/>
      <c r="I87" s="17"/>
      <c r="J87" s="11" t="s">
        <v>71</v>
      </c>
      <c r="K87" s="12"/>
      <c r="L87" s="3" t="s">
        <v>476</v>
      </c>
      <c r="M87" s="12"/>
      <c r="N87" s="12"/>
      <c r="O87" s="12"/>
      <c r="P87" s="4" t="s">
        <v>590</v>
      </c>
      <c r="Q87" s="5">
        <v>9359958133</v>
      </c>
      <c r="R87" s="3" t="s">
        <v>918</v>
      </c>
      <c r="S87" s="14">
        <v>38</v>
      </c>
      <c r="T87" s="3" t="s">
        <v>1034</v>
      </c>
      <c r="U87" s="3" t="s">
        <v>1097</v>
      </c>
      <c r="V87" s="12"/>
      <c r="W87" s="12"/>
      <c r="X87" s="7">
        <f t="shared" si="14"/>
        <v>120</v>
      </c>
      <c r="Y87" s="7">
        <f t="shared" si="15"/>
        <v>16</v>
      </c>
      <c r="Z87" s="7">
        <f t="shared" si="16"/>
        <v>136</v>
      </c>
      <c r="AA87" s="37">
        <f t="shared" si="25"/>
        <v>11.333333333333334</v>
      </c>
      <c r="AB87" s="33">
        <f t="shared" si="17"/>
        <v>4</v>
      </c>
      <c r="AC87" s="8">
        <f t="shared" si="18"/>
        <v>0.16666666666666666</v>
      </c>
      <c r="AD87" s="7">
        <f t="shared" si="19"/>
        <v>2</v>
      </c>
      <c r="AE87" s="34">
        <v>11</v>
      </c>
      <c r="AF87" s="12"/>
      <c r="AG87" s="38">
        <f t="shared" si="20"/>
        <v>11.5</v>
      </c>
      <c r="AH87" s="32">
        <f t="shared" si="21"/>
        <v>6</v>
      </c>
      <c r="AI87" s="37">
        <f t="shared" si="22"/>
        <v>11.5</v>
      </c>
      <c r="AJ87" s="37">
        <f t="shared" si="23"/>
        <v>6</v>
      </c>
      <c r="AK87" s="7">
        <f t="shared" si="24"/>
        <v>138</v>
      </c>
      <c r="AL87" s="7">
        <f t="shared" si="13"/>
        <v>2</v>
      </c>
      <c r="AM87" s="13"/>
      <c r="AN87" s="11" t="s">
        <v>71</v>
      </c>
      <c r="AO87" s="13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X87" s="13"/>
      <c r="BY87" s="13"/>
      <c r="BZ87" s="13"/>
      <c r="CA87" s="13"/>
      <c r="CB87" s="13"/>
      <c r="CC87" s="11" t="s">
        <v>71</v>
      </c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22" t="s">
        <v>1431</v>
      </c>
      <c r="CS87" s="21">
        <v>12</v>
      </c>
      <c r="CT87" s="20">
        <v>555196624</v>
      </c>
      <c r="CU87" s="13"/>
      <c r="CV87" s="13"/>
      <c r="CW87" s="13"/>
      <c r="CX87" s="13"/>
      <c r="CY87" s="13"/>
      <c r="CZ87" s="13"/>
      <c r="DA87" s="13"/>
      <c r="DB87" s="13"/>
      <c r="DC87" s="13"/>
      <c r="DD87" s="13"/>
    </row>
    <row r="88" spans="1:108" ht="24.95" hidden="1" customHeight="1" x14ac:dyDescent="0.2">
      <c r="A88" s="3">
        <v>84</v>
      </c>
      <c r="B88" s="3" t="s">
        <v>1448</v>
      </c>
      <c r="C88" s="3" t="s">
        <v>92</v>
      </c>
      <c r="D88" s="3" t="s">
        <v>127</v>
      </c>
      <c r="E88" s="3" t="s">
        <v>280</v>
      </c>
      <c r="F88" s="3" t="s">
        <v>281</v>
      </c>
      <c r="G88" s="11" t="s">
        <v>71</v>
      </c>
      <c r="H88" s="12"/>
      <c r="J88" s="11" t="s">
        <v>71</v>
      </c>
      <c r="K88" s="12"/>
      <c r="L88" s="3" t="s">
        <v>493</v>
      </c>
      <c r="M88" s="12"/>
      <c r="N88" s="12"/>
      <c r="O88" s="12"/>
      <c r="P88" s="4" t="s">
        <v>591</v>
      </c>
      <c r="Q88" s="5" t="s">
        <v>1444</v>
      </c>
      <c r="R88" s="3" t="s">
        <v>1447</v>
      </c>
      <c r="S88" s="14">
        <v>37</v>
      </c>
      <c r="T88" s="3" t="s">
        <v>75</v>
      </c>
      <c r="U88" s="3" t="s">
        <v>1121</v>
      </c>
      <c r="V88" s="12"/>
      <c r="W88" s="12"/>
      <c r="X88" s="7">
        <f t="shared" si="14"/>
        <v>72</v>
      </c>
      <c r="Y88" s="7">
        <f t="shared" si="15"/>
        <v>6</v>
      </c>
      <c r="Z88" s="7">
        <f t="shared" si="16"/>
        <v>78</v>
      </c>
      <c r="AA88" s="37">
        <v>6</v>
      </c>
      <c r="AB88" s="33">
        <f t="shared" si="17"/>
        <v>6</v>
      </c>
      <c r="AC88" s="8">
        <f t="shared" si="18"/>
        <v>0.75</v>
      </c>
      <c r="AD88" s="7">
        <f t="shared" si="19"/>
        <v>9</v>
      </c>
      <c r="AE88" s="34">
        <v>6</v>
      </c>
      <c r="AF88" s="12">
        <v>9</v>
      </c>
      <c r="AG88" s="38">
        <v>8</v>
      </c>
      <c r="AH88" s="32">
        <v>3</v>
      </c>
      <c r="AI88" s="37">
        <f t="shared" si="22"/>
        <v>7.25</v>
      </c>
      <c r="AJ88" s="37">
        <f t="shared" si="23"/>
        <v>3</v>
      </c>
      <c r="AK88" s="7">
        <f t="shared" si="24"/>
        <v>87</v>
      </c>
      <c r="AL88" s="7">
        <f t="shared" si="13"/>
        <v>9</v>
      </c>
      <c r="AM88" s="13"/>
      <c r="AN88" s="11" t="s">
        <v>71</v>
      </c>
      <c r="AO88" s="13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X88" s="13"/>
      <c r="BY88" s="13"/>
      <c r="BZ88" s="13"/>
      <c r="CA88" s="13"/>
      <c r="CB88" s="13"/>
      <c r="CC88" s="11" t="s">
        <v>71</v>
      </c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22" t="s">
        <v>1421</v>
      </c>
      <c r="CS88" s="20">
        <v>10</v>
      </c>
      <c r="CT88" s="20">
        <v>399913578</v>
      </c>
      <c r="CU88" s="13"/>
      <c r="CV88" s="13"/>
      <c r="CW88" s="13"/>
      <c r="CX88" s="13"/>
      <c r="CY88" s="13"/>
      <c r="CZ88" s="13"/>
      <c r="DA88" s="13"/>
      <c r="DB88" s="13"/>
      <c r="DC88" s="13"/>
      <c r="DD88" s="13"/>
    </row>
    <row r="89" spans="1:108" ht="24.95" hidden="1" customHeight="1" x14ac:dyDescent="0.2">
      <c r="A89" s="3">
        <v>85</v>
      </c>
      <c r="B89" s="3" t="s">
        <v>1448</v>
      </c>
      <c r="C89" s="3" t="s">
        <v>89</v>
      </c>
      <c r="D89" s="3" t="s">
        <v>282</v>
      </c>
      <c r="E89" s="3" t="s">
        <v>283</v>
      </c>
      <c r="F89" s="3" t="s">
        <v>163</v>
      </c>
      <c r="G89" s="11" t="s">
        <v>71</v>
      </c>
      <c r="H89" s="12"/>
      <c r="I89" s="11" t="s">
        <v>71</v>
      </c>
      <c r="K89" s="12"/>
      <c r="L89" s="3" t="s">
        <v>494</v>
      </c>
      <c r="M89" s="12"/>
      <c r="N89" s="12"/>
      <c r="O89" s="12"/>
      <c r="P89" s="4" t="s">
        <v>592</v>
      </c>
      <c r="Q89" s="5">
        <v>9154164424</v>
      </c>
      <c r="R89" s="3" t="s">
        <v>919</v>
      </c>
      <c r="S89" s="14">
        <v>48</v>
      </c>
      <c r="T89" s="3" t="s">
        <v>1022</v>
      </c>
      <c r="U89" s="3" t="s">
        <v>1044</v>
      </c>
      <c r="V89" s="12"/>
      <c r="W89" s="12"/>
      <c r="X89" s="7">
        <f t="shared" si="14"/>
        <v>180</v>
      </c>
      <c r="Y89" s="7">
        <f t="shared" si="15"/>
        <v>7</v>
      </c>
      <c r="Z89" s="7">
        <f t="shared" si="16"/>
        <v>187</v>
      </c>
      <c r="AA89" s="37">
        <v>15</v>
      </c>
      <c r="AB89" s="33">
        <f t="shared" si="17"/>
        <v>7</v>
      </c>
      <c r="AC89" s="8">
        <f t="shared" si="18"/>
        <v>0.5</v>
      </c>
      <c r="AD89" s="7">
        <f t="shared" si="19"/>
        <v>6</v>
      </c>
      <c r="AE89" s="34">
        <v>15</v>
      </c>
      <c r="AF89" s="12">
        <v>7</v>
      </c>
      <c r="AG89" s="38">
        <v>17</v>
      </c>
      <c r="AH89" s="32">
        <v>1</v>
      </c>
      <c r="AI89" s="37">
        <f t="shared" si="22"/>
        <v>16.083333333333332</v>
      </c>
      <c r="AJ89" s="37">
        <f t="shared" si="23"/>
        <v>1</v>
      </c>
      <c r="AK89" s="7">
        <f t="shared" si="24"/>
        <v>193</v>
      </c>
      <c r="AL89" s="7">
        <f t="shared" si="13"/>
        <v>6</v>
      </c>
      <c r="AM89" s="13"/>
      <c r="AN89" s="11" t="s">
        <v>71</v>
      </c>
      <c r="AO89" s="13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1"/>
      <c r="BD89" s="13"/>
      <c r="BE89" s="13"/>
      <c r="BF89" s="13"/>
      <c r="BG89" s="13"/>
      <c r="BH89" s="13"/>
      <c r="BI89" s="13"/>
      <c r="BJ89" s="13"/>
      <c r="BK89" s="11" t="s">
        <v>71</v>
      </c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22" t="s">
        <v>1437</v>
      </c>
      <c r="CS89" s="21">
        <v>14</v>
      </c>
      <c r="CT89" s="20">
        <v>555226023</v>
      </c>
      <c r="CU89" s="13"/>
      <c r="CV89" s="13"/>
      <c r="CW89" s="13"/>
      <c r="CX89" s="13"/>
      <c r="CY89" s="13"/>
      <c r="CZ89" s="13"/>
      <c r="DA89" s="13"/>
      <c r="DB89" s="13"/>
      <c r="DC89" s="13"/>
      <c r="DD89" s="13"/>
    </row>
    <row r="90" spans="1:108" ht="24.95" hidden="1" customHeight="1" x14ac:dyDescent="0.2">
      <c r="A90" s="3">
        <v>86</v>
      </c>
      <c r="B90" s="3" t="s">
        <v>1448</v>
      </c>
      <c r="C90" s="3" t="s">
        <v>84</v>
      </c>
      <c r="D90" s="3" t="s">
        <v>127</v>
      </c>
      <c r="E90" s="3" t="s">
        <v>284</v>
      </c>
      <c r="F90" s="3" t="s">
        <v>285</v>
      </c>
      <c r="G90" s="11" t="s">
        <v>71</v>
      </c>
      <c r="H90" s="12"/>
      <c r="I90" s="17"/>
      <c r="J90" s="11" t="s">
        <v>71</v>
      </c>
      <c r="K90" s="12"/>
      <c r="L90" s="3" t="s">
        <v>476</v>
      </c>
      <c r="M90" s="12"/>
      <c r="N90" s="12"/>
      <c r="O90" s="12"/>
      <c r="P90" s="4" t="s">
        <v>593</v>
      </c>
      <c r="Q90" s="5">
        <v>9154646506</v>
      </c>
      <c r="R90" s="3" t="s">
        <v>920</v>
      </c>
      <c r="S90" s="14">
        <v>40</v>
      </c>
      <c r="T90" s="3" t="s">
        <v>1027</v>
      </c>
      <c r="U90" s="3" t="s">
        <v>1098</v>
      </c>
      <c r="V90" s="12"/>
      <c r="W90" s="12"/>
      <c r="X90" s="7">
        <f t="shared" si="14"/>
        <v>120</v>
      </c>
      <c r="Y90" s="7">
        <f t="shared" si="15"/>
        <v>16</v>
      </c>
      <c r="Z90" s="7">
        <f t="shared" si="16"/>
        <v>136</v>
      </c>
      <c r="AA90" s="37">
        <f t="shared" si="25"/>
        <v>11.333333333333334</v>
      </c>
      <c r="AB90" s="33">
        <f t="shared" si="17"/>
        <v>4</v>
      </c>
      <c r="AC90" s="8">
        <f t="shared" si="18"/>
        <v>1.5</v>
      </c>
      <c r="AD90" s="7">
        <f t="shared" si="19"/>
        <v>6</v>
      </c>
      <c r="AE90" s="34">
        <v>12</v>
      </c>
      <c r="AF90" s="12">
        <v>4</v>
      </c>
      <c r="AG90" s="38">
        <f t="shared" si="20"/>
        <v>12.833333333333334</v>
      </c>
      <c r="AH90" s="32">
        <f t="shared" si="21"/>
        <v>10</v>
      </c>
      <c r="AI90" s="37">
        <f t="shared" si="22"/>
        <v>12.833333333333334</v>
      </c>
      <c r="AJ90" s="37">
        <f t="shared" si="23"/>
        <v>10</v>
      </c>
      <c r="AK90" s="7">
        <f t="shared" si="24"/>
        <v>154</v>
      </c>
      <c r="AL90" s="7">
        <f t="shared" si="13"/>
        <v>18</v>
      </c>
      <c r="AM90" s="13"/>
      <c r="AN90" s="11" t="s">
        <v>71</v>
      </c>
      <c r="AO90" s="13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1" t="s">
        <v>71</v>
      </c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X90" s="13"/>
      <c r="BY90" s="13"/>
      <c r="BZ90" s="13"/>
      <c r="CA90" s="13"/>
      <c r="CB90" s="13"/>
      <c r="CC90" s="13"/>
      <c r="CD90" s="13"/>
      <c r="CE90" s="13"/>
      <c r="CF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22" t="s">
        <v>1380</v>
      </c>
      <c r="CS90" s="21">
        <v>6</v>
      </c>
      <c r="CT90" s="20">
        <v>481615644</v>
      </c>
      <c r="CU90" s="13"/>
      <c r="CV90" s="13"/>
      <c r="CW90" s="13"/>
      <c r="CX90" s="13"/>
      <c r="CY90" s="13"/>
      <c r="CZ90" s="13"/>
      <c r="DA90" s="13"/>
      <c r="DB90" s="13"/>
      <c r="DC90" s="13"/>
      <c r="DD90" s="13"/>
    </row>
    <row r="91" spans="1:108" ht="24.95" hidden="1" customHeight="1" x14ac:dyDescent="0.2">
      <c r="A91" s="3">
        <v>87</v>
      </c>
      <c r="B91" s="3" t="s">
        <v>1448</v>
      </c>
      <c r="C91" s="3" t="s">
        <v>92</v>
      </c>
      <c r="D91" s="3" t="s">
        <v>125</v>
      </c>
      <c r="E91" s="3" t="s">
        <v>286</v>
      </c>
      <c r="F91" s="3" t="s">
        <v>112</v>
      </c>
      <c r="G91" s="11" t="s">
        <v>71</v>
      </c>
      <c r="H91" s="12"/>
      <c r="I91" s="17"/>
      <c r="J91" s="11" t="s">
        <v>71</v>
      </c>
      <c r="K91" s="12"/>
      <c r="L91" s="3" t="s">
        <v>475</v>
      </c>
      <c r="M91" s="12"/>
      <c r="N91" s="12"/>
      <c r="O91" s="12"/>
      <c r="P91" s="4" t="s">
        <v>594</v>
      </c>
      <c r="Q91" s="5">
        <v>9153057947</v>
      </c>
      <c r="R91" s="3" t="s">
        <v>921</v>
      </c>
      <c r="S91" s="14">
        <v>39</v>
      </c>
      <c r="T91" s="3" t="s">
        <v>1032</v>
      </c>
      <c r="U91" s="3" t="s">
        <v>1032</v>
      </c>
      <c r="V91" s="12"/>
      <c r="W91" s="12"/>
      <c r="X91" s="7">
        <f t="shared" si="14"/>
        <v>120</v>
      </c>
      <c r="Y91" s="7">
        <f t="shared" si="15"/>
        <v>11</v>
      </c>
      <c r="Z91" s="7">
        <f t="shared" si="16"/>
        <v>131</v>
      </c>
      <c r="AA91" s="37">
        <v>10</v>
      </c>
      <c r="AB91" s="33">
        <f t="shared" si="17"/>
        <v>11</v>
      </c>
      <c r="AC91" s="8">
        <f t="shared" si="18"/>
        <v>4.75</v>
      </c>
      <c r="AD91" s="7">
        <f t="shared" si="19"/>
        <v>9</v>
      </c>
      <c r="AE91" s="34">
        <v>15</v>
      </c>
      <c r="AF91" s="12">
        <v>2</v>
      </c>
      <c r="AG91" s="38">
        <v>16</v>
      </c>
      <c r="AH91" s="32">
        <v>8</v>
      </c>
      <c r="AI91" s="37">
        <f t="shared" si="22"/>
        <v>15.666666666666666</v>
      </c>
      <c r="AJ91" s="37">
        <f t="shared" si="23"/>
        <v>8</v>
      </c>
      <c r="AK91" s="7">
        <f t="shared" si="24"/>
        <v>188</v>
      </c>
      <c r="AL91" s="7">
        <f t="shared" si="13"/>
        <v>57</v>
      </c>
      <c r="AM91" s="13"/>
      <c r="AN91" s="11" t="s">
        <v>71</v>
      </c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X91" s="13"/>
      <c r="BY91" s="13"/>
      <c r="BZ91" s="13"/>
      <c r="CA91" s="13"/>
      <c r="CB91" s="13"/>
      <c r="CC91" s="13"/>
      <c r="CD91" s="13"/>
      <c r="CE91" s="13"/>
      <c r="CF91" s="13"/>
      <c r="CG91" s="11" t="s">
        <v>71</v>
      </c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22" t="s">
        <v>1380</v>
      </c>
      <c r="CS91" s="21">
        <v>6</v>
      </c>
      <c r="CT91" s="20">
        <v>497172863</v>
      </c>
      <c r="CU91" s="13"/>
      <c r="CV91" s="13"/>
      <c r="CW91" s="13"/>
      <c r="CX91" s="13"/>
      <c r="CY91" s="13"/>
      <c r="CZ91" s="13"/>
      <c r="DA91" s="13"/>
      <c r="DB91" s="13"/>
      <c r="DC91" s="13"/>
      <c r="DD91" s="13"/>
    </row>
    <row r="92" spans="1:108" ht="24.95" customHeight="1" x14ac:dyDescent="0.2">
      <c r="A92" s="3">
        <v>88</v>
      </c>
      <c r="B92" s="3" t="s">
        <v>1448</v>
      </c>
      <c r="C92" s="3" t="s">
        <v>87</v>
      </c>
      <c r="D92" s="3" t="s">
        <v>127</v>
      </c>
      <c r="E92" s="3" t="s">
        <v>287</v>
      </c>
      <c r="F92" s="3" t="s">
        <v>288</v>
      </c>
      <c r="G92" s="11" t="s">
        <v>71</v>
      </c>
      <c r="H92" s="12"/>
      <c r="I92" s="17"/>
      <c r="J92" s="11" t="s">
        <v>71</v>
      </c>
      <c r="K92" s="12"/>
      <c r="L92" s="3" t="s">
        <v>495</v>
      </c>
      <c r="M92" s="12"/>
      <c r="N92" s="12"/>
      <c r="O92" s="12"/>
      <c r="P92" s="4" t="s">
        <v>595</v>
      </c>
      <c r="Q92" s="5" t="s">
        <v>1445</v>
      </c>
      <c r="R92" s="3" t="s">
        <v>922</v>
      </c>
      <c r="S92" s="14">
        <v>45</v>
      </c>
      <c r="T92" s="3" t="s">
        <v>1035</v>
      </c>
      <c r="U92" s="3" t="s">
        <v>1035</v>
      </c>
      <c r="V92" s="12"/>
      <c r="W92" s="12"/>
      <c r="X92" s="7">
        <f t="shared" si="14"/>
        <v>144</v>
      </c>
      <c r="Y92" s="7">
        <f t="shared" si="15"/>
        <v>8</v>
      </c>
      <c r="Z92" s="7">
        <f t="shared" si="16"/>
        <v>152</v>
      </c>
      <c r="AA92" s="37">
        <v>12</v>
      </c>
      <c r="AB92" s="33">
        <f t="shared" si="17"/>
        <v>8</v>
      </c>
      <c r="AC92" s="8">
        <f t="shared" si="18"/>
        <v>9.0833333333333339</v>
      </c>
      <c r="AD92" s="7">
        <f t="shared" si="19"/>
        <v>1</v>
      </c>
      <c r="AE92" s="34">
        <v>21</v>
      </c>
      <c r="AF92" s="12">
        <v>3</v>
      </c>
      <c r="AG92" s="38">
        <f t="shared" si="20"/>
        <v>21.083333333333336</v>
      </c>
      <c r="AH92" s="32">
        <f t="shared" si="21"/>
        <v>9</v>
      </c>
      <c r="AI92" s="37">
        <f t="shared" si="22"/>
        <v>21.75</v>
      </c>
      <c r="AJ92" s="37">
        <f t="shared" si="23"/>
        <v>9</v>
      </c>
      <c r="AK92" s="7">
        <f t="shared" si="24"/>
        <v>261</v>
      </c>
      <c r="AL92" s="7">
        <f t="shared" si="13"/>
        <v>109</v>
      </c>
      <c r="AM92" s="13"/>
      <c r="AN92" s="11" t="s">
        <v>71</v>
      </c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1" t="s">
        <v>71</v>
      </c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22" t="s">
        <v>1428</v>
      </c>
      <c r="CS92" s="21">
        <v>12</v>
      </c>
      <c r="CT92" s="20">
        <v>533279886</v>
      </c>
      <c r="CU92" s="13"/>
      <c r="CV92" s="13"/>
      <c r="CW92" s="13"/>
      <c r="CX92" s="13"/>
      <c r="CY92" s="13"/>
      <c r="CZ92" s="13"/>
      <c r="DA92" s="13"/>
      <c r="DB92" s="13"/>
      <c r="DC92" s="13"/>
      <c r="DD92" s="13"/>
    </row>
    <row r="93" spans="1:108" ht="24.95" hidden="1" customHeight="1" x14ac:dyDescent="0.2">
      <c r="A93" s="3">
        <v>89</v>
      </c>
      <c r="B93" s="3" t="s">
        <v>1448</v>
      </c>
      <c r="C93" s="3" t="s">
        <v>88</v>
      </c>
      <c r="D93" s="3" t="s">
        <v>289</v>
      </c>
      <c r="E93" s="3" t="s">
        <v>290</v>
      </c>
      <c r="F93" s="3" t="s">
        <v>291</v>
      </c>
      <c r="G93" s="11" t="s">
        <v>71</v>
      </c>
      <c r="H93" s="12"/>
      <c r="I93" s="17"/>
      <c r="J93" s="11" t="s">
        <v>71</v>
      </c>
      <c r="K93" s="12"/>
      <c r="L93" s="3" t="s">
        <v>492</v>
      </c>
      <c r="M93" s="12"/>
      <c r="N93" s="12"/>
      <c r="O93" s="12"/>
      <c r="P93" s="4" t="s">
        <v>596</v>
      </c>
      <c r="Q93" s="5" t="s">
        <v>759</v>
      </c>
      <c r="R93" s="3" t="s">
        <v>923</v>
      </c>
      <c r="S93" s="14">
        <v>32</v>
      </c>
      <c r="T93" s="3" t="s">
        <v>1026</v>
      </c>
      <c r="U93" s="3"/>
      <c r="V93" s="12"/>
      <c r="W93" s="12"/>
      <c r="X93" s="7">
        <f t="shared" si="14"/>
        <v>24</v>
      </c>
      <c r="Y93" s="7">
        <f t="shared" si="15"/>
        <v>14</v>
      </c>
      <c r="Z93" s="7">
        <f t="shared" si="16"/>
        <v>38</v>
      </c>
      <c r="AA93" s="37">
        <v>3</v>
      </c>
      <c r="AB93" s="33">
        <f t="shared" si="17"/>
        <v>2</v>
      </c>
      <c r="AC93" s="8">
        <f t="shared" si="18"/>
        <v>0.33333333333333331</v>
      </c>
      <c r="AD93" s="7">
        <f t="shared" si="19"/>
        <v>4</v>
      </c>
      <c r="AE93" s="34">
        <v>3</v>
      </c>
      <c r="AF93" s="12"/>
      <c r="AG93" s="38">
        <f t="shared" si="20"/>
        <v>3.3333333333333335</v>
      </c>
      <c r="AH93" s="32">
        <f t="shared" si="21"/>
        <v>6</v>
      </c>
      <c r="AI93" s="37">
        <f t="shared" si="22"/>
        <v>3.5</v>
      </c>
      <c r="AJ93" s="37">
        <f t="shared" si="23"/>
        <v>6</v>
      </c>
      <c r="AK93" s="7">
        <f t="shared" si="24"/>
        <v>42</v>
      </c>
      <c r="AL93" s="7">
        <f t="shared" si="13"/>
        <v>4</v>
      </c>
      <c r="AM93" s="13"/>
      <c r="AN93" s="11" t="s">
        <v>71</v>
      </c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X93" s="13"/>
      <c r="BY93" s="13"/>
      <c r="BZ93" s="13"/>
      <c r="CA93" s="13"/>
      <c r="CB93" s="13"/>
      <c r="CC93" s="11" t="s">
        <v>71</v>
      </c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22" t="s">
        <v>1383</v>
      </c>
      <c r="CS93" s="20">
        <v>4</v>
      </c>
      <c r="CT93" s="20">
        <v>363807600</v>
      </c>
      <c r="CU93" s="13"/>
      <c r="CV93" s="13"/>
      <c r="CW93" s="13"/>
      <c r="CX93" s="13"/>
      <c r="CY93" s="13"/>
      <c r="CZ93" s="13"/>
      <c r="DA93" s="13"/>
      <c r="DB93" s="13"/>
      <c r="DC93" s="13"/>
      <c r="DD93" s="13"/>
    </row>
    <row r="94" spans="1:108" ht="24.95" hidden="1" customHeight="1" x14ac:dyDescent="0.2">
      <c r="A94" s="3">
        <v>90</v>
      </c>
      <c r="B94" s="3" t="s">
        <v>1448</v>
      </c>
      <c r="C94" s="3" t="s">
        <v>88</v>
      </c>
      <c r="D94" s="3" t="s">
        <v>292</v>
      </c>
      <c r="E94" s="3" t="s">
        <v>293</v>
      </c>
      <c r="F94" s="3" t="s">
        <v>294</v>
      </c>
      <c r="G94" s="11" t="s">
        <v>71</v>
      </c>
      <c r="H94" s="12"/>
      <c r="I94" s="17"/>
      <c r="J94" s="11" t="s">
        <v>71</v>
      </c>
      <c r="K94" s="12"/>
      <c r="L94" s="3" t="s">
        <v>492</v>
      </c>
      <c r="M94" s="12"/>
      <c r="N94" s="12"/>
      <c r="O94" s="12"/>
      <c r="P94" s="4" t="s">
        <v>597</v>
      </c>
      <c r="Q94" s="5" t="s">
        <v>760</v>
      </c>
      <c r="R94" s="3" t="s">
        <v>924</v>
      </c>
      <c r="S94" s="14">
        <v>32</v>
      </c>
      <c r="T94" s="3" t="s">
        <v>76</v>
      </c>
      <c r="U94" s="3" t="s">
        <v>1099</v>
      </c>
      <c r="V94" s="12"/>
      <c r="W94" s="12"/>
      <c r="X94" s="7">
        <f t="shared" si="14"/>
        <v>24</v>
      </c>
      <c r="Y94" s="7">
        <f t="shared" si="15"/>
        <v>14</v>
      </c>
      <c r="Z94" s="7">
        <f t="shared" si="16"/>
        <v>38</v>
      </c>
      <c r="AA94" s="37">
        <v>4</v>
      </c>
      <c r="AB94" s="33">
        <f t="shared" si="17"/>
        <v>2</v>
      </c>
      <c r="AC94" s="8">
        <f t="shared" si="18"/>
        <v>2.75</v>
      </c>
      <c r="AD94" s="7">
        <f t="shared" si="19"/>
        <v>9</v>
      </c>
      <c r="AE94" s="34">
        <v>5</v>
      </c>
      <c r="AF94" s="12">
        <v>5</v>
      </c>
      <c r="AG94" s="38">
        <f t="shared" si="20"/>
        <v>6.75</v>
      </c>
      <c r="AH94" s="32">
        <f t="shared" si="21"/>
        <v>11</v>
      </c>
      <c r="AI94" s="37">
        <f t="shared" si="22"/>
        <v>5.916666666666667</v>
      </c>
      <c r="AJ94" s="37">
        <f t="shared" si="23"/>
        <v>11</v>
      </c>
      <c r="AK94" s="7">
        <f t="shared" si="24"/>
        <v>71</v>
      </c>
      <c r="AL94" s="7">
        <f t="shared" si="13"/>
        <v>33</v>
      </c>
      <c r="AM94" s="13"/>
      <c r="AN94" s="11" t="s">
        <v>71</v>
      </c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X94" s="13"/>
      <c r="BY94" s="13"/>
      <c r="BZ94" s="13"/>
      <c r="CA94" s="13"/>
      <c r="CB94" s="13"/>
      <c r="CC94" s="11" t="s">
        <v>71</v>
      </c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22" t="s">
        <v>1422</v>
      </c>
      <c r="CS94" s="20">
        <v>6</v>
      </c>
      <c r="CT94" s="20">
        <v>371926607</v>
      </c>
      <c r="CU94" s="13"/>
      <c r="CV94" s="13"/>
      <c r="CW94" s="13"/>
      <c r="CX94" s="13"/>
      <c r="CY94" s="13"/>
      <c r="CZ94" s="13"/>
      <c r="DA94" s="13"/>
      <c r="DB94" s="13"/>
      <c r="DC94" s="13"/>
      <c r="DD94" s="13"/>
    </row>
    <row r="95" spans="1:108" ht="24.95" hidden="1" customHeight="1" x14ac:dyDescent="0.2">
      <c r="A95" s="3">
        <v>91</v>
      </c>
      <c r="B95" s="3" t="s">
        <v>1448</v>
      </c>
      <c r="C95" s="3" t="s">
        <v>85</v>
      </c>
      <c r="D95" s="3" t="s">
        <v>295</v>
      </c>
      <c r="E95" s="3" t="s">
        <v>296</v>
      </c>
      <c r="F95" s="3" t="s">
        <v>161</v>
      </c>
      <c r="G95" s="11" t="s">
        <v>71</v>
      </c>
      <c r="H95" s="12"/>
      <c r="I95" s="17"/>
      <c r="J95" s="11" t="s">
        <v>71</v>
      </c>
      <c r="K95" s="12"/>
      <c r="L95" s="3" t="s">
        <v>492</v>
      </c>
      <c r="M95" s="12"/>
      <c r="N95" s="12"/>
      <c r="O95" s="12"/>
      <c r="P95" s="4" t="s">
        <v>598</v>
      </c>
      <c r="Q95" s="5" t="s">
        <v>761</v>
      </c>
      <c r="R95" s="3" t="s">
        <v>925</v>
      </c>
      <c r="S95" s="14">
        <v>35</v>
      </c>
      <c r="T95" s="3" t="s">
        <v>1023</v>
      </c>
      <c r="U95" s="3" t="s">
        <v>1100</v>
      </c>
      <c r="V95" s="12"/>
      <c r="W95" s="12"/>
      <c r="X95" s="7">
        <f t="shared" si="14"/>
        <v>24</v>
      </c>
      <c r="Y95" s="7">
        <f t="shared" si="15"/>
        <v>14</v>
      </c>
      <c r="Z95" s="7">
        <f t="shared" si="16"/>
        <v>38</v>
      </c>
      <c r="AA95" s="37">
        <v>3</v>
      </c>
      <c r="AB95" s="33">
        <f t="shared" si="17"/>
        <v>2</v>
      </c>
      <c r="AC95" s="8">
        <f t="shared" si="18"/>
        <v>0.58333333333333337</v>
      </c>
      <c r="AD95" s="7">
        <f t="shared" si="19"/>
        <v>7</v>
      </c>
      <c r="AE95" s="34">
        <v>3</v>
      </c>
      <c r="AF95" s="12">
        <v>3</v>
      </c>
      <c r="AG95" s="38">
        <f t="shared" si="20"/>
        <v>3.5833333333333335</v>
      </c>
      <c r="AH95" s="32">
        <f t="shared" si="21"/>
        <v>9</v>
      </c>
      <c r="AI95" s="37">
        <f t="shared" si="22"/>
        <v>3.75</v>
      </c>
      <c r="AJ95" s="37">
        <f t="shared" si="23"/>
        <v>9</v>
      </c>
      <c r="AK95" s="7">
        <f t="shared" si="24"/>
        <v>45</v>
      </c>
      <c r="AL95" s="7">
        <f t="shared" si="13"/>
        <v>7</v>
      </c>
      <c r="AM95" s="13"/>
      <c r="AN95" s="11" t="s">
        <v>71</v>
      </c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X95" s="13"/>
      <c r="BY95" s="13"/>
      <c r="BZ95" s="13"/>
      <c r="CA95" s="13"/>
      <c r="CB95" s="13"/>
      <c r="CC95" s="11" t="s">
        <v>71</v>
      </c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22" t="s">
        <v>1424</v>
      </c>
      <c r="CS95" s="20">
        <v>6</v>
      </c>
      <c r="CT95" s="20">
        <v>340816089</v>
      </c>
      <c r="CU95" s="13"/>
      <c r="CV95" s="13"/>
      <c r="CW95" s="13"/>
      <c r="CX95" s="13"/>
      <c r="CY95" s="13"/>
      <c r="CZ95" s="13"/>
      <c r="DA95" s="13"/>
      <c r="DB95" s="13"/>
      <c r="DC95" s="13"/>
      <c r="DD95" s="13"/>
    </row>
    <row r="96" spans="1:108" ht="24.95" hidden="1" customHeight="1" x14ac:dyDescent="0.2">
      <c r="A96" s="3">
        <v>92</v>
      </c>
      <c r="B96" s="3" t="s">
        <v>1448</v>
      </c>
      <c r="C96" s="3" t="s">
        <v>84</v>
      </c>
      <c r="D96" s="3" t="s">
        <v>125</v>
      </c>
      <c r="E96" s="3" t="s">
        <v>297</v>
      </c>
      <c r="F96" s="3" t="s">
        <v>298</v>
      </c>
      <c r="G96" s="11" t="s">
        <v>71</v>
      </c>
      <c r="H96" s="12"/>
      <c r="I96" s="17"/>
      <c r="J96" s="11" t="s">
        <v>71</v>
      </c>
      <c r="K96" s="12"/>
      <c r="L96" s="3" t="s">
        <v>492</v>
      </c>
      <c r="M96" s="12"/>
      <c r="N96" s="12"/>
      <c r="O96" s="12"/>
      <c r="P96" s="4" t="s">
        <v>599</v>
      </c>
      <c r="Q96" s="5" t="s">
        <v>762</v>
      </c>
      <c r="R96" s="3" t="s">
        <v>926</v>
      </c>
      <c r="S96" s="14">
        <v>41</v>
      </c>
      <c r="T96" s="3" t="s">
        <v>1024</v>
      </c>
      <c r="U96" s="3" t="s">
        <v>1101</v>
      </c>
      <c r="V96" s="12"/>
      <c r="W96" s="12"/>
      <c r="X96" s="7">
        <f t="shared" si="14"/>
        <v>24</v>
      </c>
      <c r="Y96" s="7">
        <f t="shared" si="15"/>
        <v>14</v>
      </c>
      <c r="Z96" s="7">
        <f t="shared" si="16"/>
        <v>38</v>
      </c>
      <c r="AA96" s="37">
        <v>4</v>
      </c>
      <c r="AB96" s="33">
        <f t="shared" si="17"/>
        <v>2</v>
      </c>
      <c r="AC96" s="8">
        <f t="shared" si="18"/>
        <v>2.3333333333333335</v>
      </c>
      <c r="AD96" s="7">
        <f t="shared" si="19"/>
        <v>4</v>
      </c>
      <c r="AE96" s="34">
        <v>5</v>
      </c>
      <c r="AF96" s="12"/>
      <c r="AG96" s="38">
        <f t="shared" si="20"/>
        <v>6.3333333333333339</v>
      </c>
      <c r="AH96" s="32">
        <f t="shared" si="21"/>
        <v>6</v>
      </c>
      <c r="AI96" s="37">
        <f t="shared" si="22"/>
        <v>5.5</v>
      </c>
      <c r="AJ96" s="37">
        <f t="shared" si="23"/>
        <v>6</v>
      </c>
      <c r="AK96" s="7">
        <f t="shared" si="24"/>
        <v>66</v>
      </c>
      <c r="AL96" s="7">
        <f t="shared" si="13"/>
        <v>28</v>
      </c>
      <c r="AM96" s="13"/>
      <c r="AN96" s="11" t="s">
        <v>71</v>
      </c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X96" s="13"/>
      <c r="BY96" s="13"/>
      <c r="BZ96" s="13"/>
      <c r="CA96" s="13"/>
      <c r="CB96" s="13"/>
      <c r="CC96" s="11"/>
      <c r="CD96" s="13"/>
      <c r="CE96" s="13"/>
      <c r="CF96" s="13"/>
      <c r="CG96" s="13"/>
      <c r="CH96" s="13"/>
      <c r="CI96" s="13"/>
      <c r="CJ96" s="13"/>
      <c r="CK96" s="11" t="s">
        <v>71</v>
      </c>
      <c r="CL96" s="13"/>
      <c r="CM96" s="13"/>
      <c r="CN96" s="13"/>
      <c r="CO96" s="13"/>
      <c r="CP96" s="13"/>
      <c r="CQ96" s="13"/>
      <c r="CR96" s="22" t="s">
        <v>1426</v>
      </c>
      <c r="CS96" s="20">
        <v>6</v>
      </c>
      <c r="CT96" s="20">
        <v>350313240</v>
      </c>
      <c r="CU96" s="13"/>
      <c r="CV96" s="13"/>
      <c r="CW96" s="13"/>
      <c r="CX96" s="13"/>
      <c r="CY96" s="13"/>
      <c r="CZ96" s="13"/>
      <c r="DA96" s="13"/>
      <c r="DB96" s="13"/>
      <c r="DC96" s="13"/>
      <c r="DD96" s="13"/>
    </row>
    <row r="97" spans="1:108" ht="24.95" hidden="1" customHeight="1" x14ac:dyDescent="0.2">
      <c r="A97" s="3">
        <v>93</v>
      </c>
      <c r="B97" s="3" t="s">
        <v>1448</v>
      </c>
      <c r="C97" s="3" t="s">
        <v>91</v>
      </c>
      <c r="D97" s="3" t="s">
        <v>299</v>
      </c>
      <c r="E97" s="3" t="s">
        <v>300</v>
      </c>
      <c r="F97" s="3" t="s">
        <v>291</v>
      </c>
      <c r="G97" s="11" t="s">
        <v>71</v>
      </c>
      <c r="H97" s="12"/>
      <c r="I97" s="17"/>
      <c r="J97" s="11" t="s">
        <v>71</v>
      </c>
      <c r="K97" s="12"/>
      <c r="L97" s="3" t="s">
        <v>492</v>
      </c>
      <c r="M97" s="12"/>
      <c r="N97" s="12"/>
      <c r="O97" s="12"/>
      <c r="P97" s="4" t="s">
        <v>600</v>
      </c>
      <c r="Q97" s="5" t="s">
        <v>763</v>
      </c>
      <c r="R97" s="3" t="s">
        <v>927</v>
      </c>
      <c r="S97" s="14">
        <v>37</v>
      </c>
      <c r="T97" s="3" t="s">
        <v>76</v>
      </c>
      <c r="U97" s="3" t="s">
        <v>1045</v>
      </c>
      <c r="V97" s="12"/>
      <c r="W97" s="12"/>
      <c r="X97" s="7">
        <f t="shared" si="14"/>
        <v>24</v>
      </c>
      <c r="Y97" s="7">
        <f t="shared" si="15"/>
        <v>14</v>
      </c>
      <c r="Z97" s="7">
        <f t="shared" si="16"/>
        <v>38</v>
      </c>
      <c r="AA97" s="37">
        <v>4</v>
      </c>
      <c r="AB97" s="33">
        <f t="shared" si="17"/>
        <v>2</v>
      </c>
      <c r="AC97" s="8">
        <f t="shared" si="18"/>
        <v>9</v>
      </c>
      <c r="AD97" s="7">
        <f t="shared" si="19"/>
        <v>0</v>
      </c>
      <c r="AE97" s="34">
        <v>11</v>
      </c>
      <c r="AF97" s="12">
        <v>8</v>
      </c>
      <c r="AG97" s="38">
        <f t="shared" si="20"/>
        <v>13</v>
      </c>
      <c r="AH97" s="32">
        <f t="shared" si="21"/>
        <v>2</v>
      </c>
      <c r="AI97" s="37">
        <f t="shared" si="22"/>
        <v>12.166666666666666</v>
      </c>
      <c r="AJ97" s="37">
        <f t="shared" si="23"/>
        <v>2</v>
      </c>
      <c r="AK97" s="7">
        <f t="shared" si="24"/>
        <v>146</v>
      </c>
      <c r="AL97" s="7">
        <f t="shared" si="13"/>
        <v>108</v>
      </c>
      <c r="AM97" s="13"/>
      <c r="AN97" s="11" t="s">
        <v>71</v>
      </c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X97" s="13"/>
      <c r="BY97" s="13"/>
      <c r="BZ97" s="13"/>
      <c r="CA97" s="13"/>
      <c r="CB97" s="13"/>
      <c r="CC97" s="13"/>
      <c r="CD97" s="13"/>
      <c r="CE97" s="13"/>
      <c r="CF97" s="13"/>
      <c r="CG97" s="11" t="s">
        <v>71</v>
      </c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22" t="s">
        <v>1380</v>
      </c>
      <c r="CS97" s="20">
        <v>4</v>
      </c>
      <c r="CT97" s="20">
        <v>348555916</v>
      </c>
      <c r="CU97" s="13"/>
      <c r="CV97" s="13"/>
      <c r="CW97" s="13"/>
      <c r="CX97" s="13"/>
      <c r="CY97" s="13"/>
      <c r="CZ97" s="13"/>
      <c r="DA97" s="13"/>
      <c r="DB97" s="13"/>
      <c r="DC97" s="13"/>
      <c r="DD97" s="13"/>
    </row>
    <row r="98" spans="1:108" ht="24.95" hidden="1" customHeight="1" x14ac:dyDescent="0.2">
      <c r="A98" s="3">
        <v>94</v>
      </c>
      <c r="B98" s="3" t="s">
        <v>1448</v>
      </c>
      <c r="C98" s="3" t="s">
        <v>83</v>
      </c>
      <c r="D98" s="3" t="s">
        <v>301</v>
      </c>
      <c r="E98" s="3" t="s">
        <v>302</v>
      </c>
      <c r="F98" s="3" t="s">
        <v>303</v>
      </c>
      <c r="G98" s="11" t="s">
        <v>71</v>
      </c>
      <c r="H98" s="12"/>
      <c r="I98" s="17"/>
      <c r="J98" s="11" t="s">
        <v>71</v>
      </c>
      <c r="K98" s="12"/>
      <c r="L98" s="3" t="s">
        <v>492</v>
      </c>
      <c r="M98" s="12"/>
      <c r="N98" s="12"/>
      <c r="O98" s="12"/>
      <c r="P98" s="4" t="s">
        <v>601</v>
      </c>
      <c r="Q98" s="5" t="s">
        <v>764</v>
      </c>
      <c r="R98" s="3" t="s">
        <v>928</v>
      </c>
      <c r="S98" s="14">
        <v>33</v>
      </c>
      <c r="T98" s="3" t="s">
        <v>1024</v>
      </c>
      <c r="U98" s="3" t="s">
        <v>1048</v>
      </c>
      <c r="V98" s="12"/>
      <c r="W98" s="12"/>
      <c r="X98" s="7">
        <f t="shared" si="14"/>
        <v>24</v>
      </c>
      <c r="Y98" s="7">
        <f t="shared" si="15"/>
        <v>14</v>
      </c>
      <c r="Z98" s="7">
        <f t="shared" si="16"/>
        <v>38</v>
      </c>
      <c r="AA98" s="37">
        <f t="shared" si="25"/>
        <v>3.1666666666666665</v>
      </c>
      <c r="AB98" s="33">
        <f t="shared" si="17"/>
        <v>2</v>
      </c>
      <c r="AC98" s="8">
        <f t="shared" si="18"/>
        <v>2.5833333333333335</v>
      </c>
      <c r="AD98" s="7">
        <f t="shared" si="19"/>
        <v>7</v>
      </c>
      <c r="AE98" s="34">
        <v>5</v>
      </c>
      <c r="AF98" s="12">
        <v>3</v>
      </c>
      <c r="AG98" s="38">
        <f t="shared" si="20"/>
        <v>5.75</v>
      </c>
      <c r="AH98" s="32">
        <f t="shared" si="21"/>
        <v>9</v>
      </c>
      <c r="AI98" s="37">
        <f t="shared" si="22"/>
        <v>5.75</v>
      </c>
      <c r="AJ98" s="37">
        <f t="shared" si="23"/>
        <v>9</v>
      </c>
      <c r="AK98" s="7">
        <f t="shared" si="24"/>
        <v>69</v>
      </c>
      <c r="AL98" s="7">
        <f t="shared" si="13"/>
        <v>31</v>
      </c>
      <c r="AM98" s="13"/>
      <c r="AN98" s="11" t="s">
        <v>71</v>
      </c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X98" s="13"/>
      <c r="BY98" s="13"/>
      <c r="BZ98" s="13"/>
      <c r="CA98" s="13"/>
      <c r="CB98" s="13"/>
      <c r="CC98" s="11" t="s">
        <v>71</v>
      </c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22" t="s">
        <v>1422</v>
      </c>
      <c r="CS98" s="20">
        <v>6</v>
      </c>
      <c r="CT98" s="20">
        <v>368754315</v>
      </c>
      <c r="CU98" s="13"/>
      <c r="CV98" s="13"/>
      <c r="CW98" s="13"/>
      <c r="CX98" s="13"/>
      <c r="CY98" s="13"/>
      <c r="CZ98" s="13"/>
      <c r="DA98" s="13"/>
      <c r="DB98" s="13"/>
      <c r="DC98" s="13"/>
      <c r="DD98" s="13"/>
    </row>
    <row r="99" spans="1:108" ht="24.95" customHeight="1" x14ac:dyDescent="0.2">
      <c r="A99" s="3">
        <v>95</v>
      </c>
      <c r="B99" s="3" t="s">
        <v>1448</v>
      </c>
      <c r="C99" s="3" t="s">
        <v>87</v>
      </c>
      <c r="D99" s="3" t="s">
        <v>291</v>
      </c>
      <c r="E99" s="3" t="s">
        <v>304</v>
      </c>
      <c r="F99" s="3" t="s">
        <v>305</v>
      </c>
      <c r="G99" s="11" t="s">
        <v>71</v>
      </c>
      <c r="H99" s="12"/>
      <c r="I99" s="17"/>
      <c r="J99" s="11" t="s">
        <v>71</v>
      </c>
      <c r="K99" s="12"/>
      <c r="L99" s="3" t="s">
        <v>492</v>
      </c>
      <c r="M99" s="12"/>
      <c r="N99" s="12"/>
      <c r="O99" s="12"/>
      <c r="P99" s="4" t="s">
        <v>602</v>
      </c>
      <c r="Q99" s="5" t="s">
        <v>765</v>
      </c>
      <c r="R99" s="3" t="s">
        <v>929</v>
      </c>
      <c r="S99" s="14">
        <v>53</v>
      </c>
      <c r="T99" s="3" t="s">
        <v>1036</v>
      </c>
      <c r="U99" s="3" t="s">
        <v>1050</v>
      </c>
      <c r="V99" s="12"/>
      <c r="W99" s="12"/>
      <c r="X99" s="7">
        <f t="shared" si="14"/>
        <v>24</v>
      </c>
      <c r="Y99" s="7">
        <f t="shared" si="15"/>
        <v>14</v>
      </c>
      <c r="Z99" s="7">
        <f t="shared" si="16"/>
        <v>38</v>
      </c>
      <c r="AA99" s="37">
        <v>4</v>
      </c>
      <c r="AB99" s="33">
        <f t="shared" si="17"/>
        <v>2</v>
      </c>
      <c r="AC99" s="8">
        <f t="shared" si="18"/>
        <v>22.666666666666668</v>
      </c>
      <c r="AD99" s="7">
        <f t="shared" si="19"/>
        <v>8</v>
      </c>
      <c r="AE99" s="34">
        <v>25</v>
      </c>
      <c r="AF99" s="12">
        <v>4</v>
      </c>
      <c r="AG99" s="38">
        <f t="shared" si="20"/>
        <v>26.666666666666668</v>
      </c>
      <c r="AH99" s="32">
        <f t="shared" si="21"/>
        <v>10</v>
      </c>
      <c r="AI99" s="37">
        <f t="shared" si="22"/>
        <v>25.833333333333332</v>
      </c>
      <c r="AJ99" s="37">
        <f t="shared" si="23"/>
        <v>10</v>
      </c>
      <c r="AK99" s="7">
        <f t="shared" si="24"/>
        <v>310</v>
      </c>
      <c r="AL99" s="7">
        <f t="shared" si="13"/>
        <v>272</v>
      </c>
      <c r="AM99" s="13"/>
      <c r="AN99" s="11" t="s">
        <v>71</v>
      </c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X99" s="13"/>
      <c r="BY99" s="13"/>
      <c r="BZ99" s="13"/>
      <c r="CA99" s="13"/>
      <c r="CB99" s="13"/>
      <c r="CC99" s="11" t="s">
        <v>71</v>
      </c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22" t="s">
        <v>1422</v>
      </c>
      <c r="CS99" s="20">
        <v>6</v>
      </c>
      <c r="CT99" s="20">
        <v>370343736</v>
      </c>
      <c r="CU99" s="13"/>
      <c r="CV99" s="13"/>
      <c r="CW99" s="13"/>
      <c r="CX99" s="13"/>
      <c r="CY99" s="13"/>
      <c r="CZ99" s="13"/>
      <c r="DA99" s="13"/>
      <c r="DB99" s="13"/>
      <c r="DC99" s="13"/>
      <c r="DD99" s="13"/>
    </row>
    <row r="100" spans="1:108" ht="24.95" hidden="1" customHeight="1" x14ac:dyDescent="0.2">
      <c r="A100" s="3">
        <v>96</v>
      </c>
      <c r="B100" s="3" t="s">
        <v>1448</v>
      </c>
      <c r="C100" s="3" t="s">
        <v>88</v>
      </c>
      <c r="D100" s="3" t="s">
        <v>306</v>
      </c>
      <c r="E100" s="3" t="s">
        <v>307</v>
      </c>
      <c r="F100" s="3" t="s">
        <v>308</v>
      </c>
      <c r="G100" s="11" t="s">
        <v>71</v>
      </c>
      <c r="H100" s="12"/>
      <c r="I100" s="17"/>
      <c r="J100" s="11" t="s">
        <v>71</v>
      </c>
      <c r="K100" s="12"/>
      <c r="L100" s="3" t="s">
        <v>492</v>
      </c>
      <c r="M100" s="12"/>
      <c r="N100" s="12"/>
      <c r="O100" s="12"/>
      <c r="P100" s="4" t="s">
        <v>603</v>
      </c>
      <c r="Q100" s="5" t="s">
        <v>766</v>
      </c>
      <c r="R100" s="3" t="s">
        <v>930</v>
      </c>
      <c r="S100" s="14">
        <v>34</v>
      </c>
      <c r="T100" s="3" t="s">
        <v>1026</v>
      </c>
      <c r="U100" s="3"/>
      <c r="V100" s="12"/>
      <c r="W100" s="12"/>
      <c r="X100" s="7">
        <f t="shared" si="14"/>
        <v>24</v>
      </c>
      <c r="Y100" s="7">
        <f t="shared" si="15"/>
        <v>14</v>
      </c>
      <c r="Z100" s="7">
        <f t="shared" si="16"/>
        <v>38</v>
      </c>
      <c r="AA100" s="37">
        <v>4</v>
      </c>
      <c r="AB100" s="33">
        <f t="shared" si="17"/>
        <v>2</v>
      </c>
      <c r="AC100" s="8">
        <f t="shared" si="18"/>
        <v>9.3333333333333339</v>
      </c>
      <c r="AD100" s="7">
        <f t="shared" si="19"/>
        <v>4</v>
      </c>
      <c r="AE100" s="34">
        <v>12</v>
      </c>
      <c r="AF100" s="12"/>
      <c r="AG100" s="38">
        <f t="shared" si="20"/>
        <v>13.333333333333334</v>
      </c>
      <c r="AH100" s="32">
        <f t="shared" si="21"/>
        <v>6</v>
      </c>
      <c r="AI100" s="37">
        <f t="shared" si="22"/>
        <v>12.5</v>
      </c>
      <c r="AJ100" s="37">
        <f t="shared" si="23"/>
        <v>6</v>
      </c>
      <c r="AK100" s="7">
        <f t="shared" si="24"/>
        <v>150</v>
      </c>
      <c r="AL100" s="7">
        <f t="shared" si="13"/>
        <v>112</v>
      </c>
      <c r="AM100" s="13"/>
      <c r="AN100" s="11" t="s">
        <v>71</v>
      </c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X100" s="13"/>
      <c r="BY100" s="13"/>
      <c r="BZ100" s="13"/>
      <c r="CA100" s="13"/>
      <c r="CB100" s="13"/>
      <c r="CC100" s="11" t="s">
        <v>71</v>
      </c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22" t="s">
        <v>1429</v>
      </c>
      <c r="CS100" s="20">
        <v>4</v>
      </c>
      <c r="CT100" s="20">
        <v>377575393</v>
      </c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</row>
    <row r="101" spans="1:108" ht="24.95" hidden="1" customHeight="1" x14ac:dyDescent="0.2">
      <c r="A101" s="3">
        <v>97</v>
      </c>
      <c r="B101" s="3" t="s">
        <v>1448</v>
      </c>
      <c r="C101" s="3" t="s">
        <v>89</v>
      </c>
      <c r="D101" s="3" t="s">
        <v>261</v>
      </c>
      <c r="E101" s="3" t="s">
        <v>309</v>
      </c>
      <c r="F101" s="3" t="s">
        <v>241</v>
      </c>
      <c r="G101" s="11" t="s">
        <v>71</v>
      </c>
      <c r="H101" s="12"/>
      <c r="I101" s="17"/>
      <c r="J101" s="11" t="s">
        <v>71</v>
      </c>
      <c r="K101" s="12"/>
      <c r="L101" s="3" t="s">
        <v>478</v>
      </c>
      <c r="M101" s="12"/>
      <c r="N101" s="12"/>
      <c r="O101" s="12"/>
      <c r="P101" s="4" t="s">
        <v>604</v>
      </c>
      <c r="Q101" s="5" t="s">
        <v>767</v>
      </c>
      <c r="R101" s="3" t="s">
        <v>931</v>
      </c>
      <c r="S101" s="14">
        <v>32</v>
      </c>
      <c r="T101" s="3" t="s">
        <v>75</v>
      </c>
      <c r="U101" s="3" t="s">
        <v>1102</v>
      </c>
      <c r="V101" s="12"/>
      <c r="W101" s="12"/>
      <c r="X101" s="7">
        <f t="shared" si="14"/>
        <v>24</v>
      </c>
      <c r="Y101" s="7">
        <f t="shared" si="15"/>
        <v>10</v>
      </c>
      <c r="Z101" s="7">
        <f t="shared" si="16"/>
        <v>34</v>
      </c>
      <c r="AA101" s="37">
        <v>2</v>
      </c>
      <c r="AB101" s="33">
        <f t="shared" si="17"/>
        <v>10</v>
      </c>
      <c r="AC101" s="8">
        <f t="shared" si="18"/>
        <v>9.5</v>
      </c>
      <c r="AD101" s="7">
        <f t="shared" si="19"/>
        <v>6</v>
      </c>
      <c r="AE101" s="34">
        <v>11</v>
      </c>
      <c r="AF101" s="12">
        <v>10</v>
      </c>
      <c r="AG101" s="38">
        <v>13</v>
      </c>
      <c r="AH101" s="32">
        <v>4</v>
      </c>
      <c r="AI101" s="37">
        <f t="shared" si="22"/>
        <v>12.333333333333334</v>
      </c>
      <c r="AJ101" s="37">
        <f t="shared" si="23"/>
        <v>4</v>
      </c>
      <c r="AK101" s="7">
        <f t="shared" si="24"/>
        <v>148</v>
      </c>
      <c r="AL101" s="7">
        <f t="shared" si="13"/>
        <v>114</v>
      </c>
      <c r="AM101" s="13"/>
      <c r="AN101" s="11" t="s">
        <v>71</v>
      </c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1" t="s">
        <v>71</v>
      </c>
      <c r="BX101" s="13"/>
      <c r="BY101" s="13"/>
      <c r="BZ101" s="13"/>
      <c r="CA101" s="13"/>
      <c r="CB101" s="13"/>
      <c r="CC101" s="13"/>
      <c r="CD101" s="13"/>
      <c r="CE101" s="13"/>
      <c r="CF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22" t="s">
        <v>1380</v>
      </c>
      <c r="CS101" s="20">
        <v>7</v>
      </c>
      <c r="CT101" s="20">
        <v>357882625</v>
      </c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</row>
    <row r="102" spans="1:108" ht="24.95" hidden="1" customHeight="1" x14ac:dyDescent="0.2">
      <c r="A102" s="3">
        <v>98</v>
      </c>
      <c r="B102" s="3" t="s">
        <v>1448</v>
      </c>
      <c r="C102" s="3" t="s">
        <v>92</v>
      </c>
      <c r="D102" s="3" t="s">
        <v>310</v>
      </c>
      <c r="E102" s="3" t="s">
        <v>311</v>
      </c>
      <c r="F102" s="3" t="s">
        <v>312</v>
      </c>
      <c r="G102" s="11" t="s">
        <v>71</v>
      </c>
      <c r="H102" s="12"/>
      <c r="I102" s="17"/>
      <c r="J102" s="11" t="s">
        <v>71</v>
      </c>
      <c r="K102" s="12"/>
      <c r="L102" s="3" t="s">
        <v>483</v>
      </c>
      <c r="M102" s="12"/>
      <c r="N102" s="12"/>
      <c r="O102" s="12"/>
      <c r="P102" s="4" t="s">
        <v>605</v>
      </c>
      <c r="Q102" s="5">
        <v>9356206443</v>
      </c>
      <c r="R102" s="3" t="s">
        <v>932</v>
      </c>
      <c r="S102" s="14">
        <v>56</v>
      </c>
      <c r="T102" s="3" t="s">
        <v>1025</v>
      </c>
      <c r="U102" s="3" t="s">
        <v>1025</v>
      </c>
      <c r="V102" s="12"/>
      <c r="W102" s="12"/>
      <c r="X102" s="7">
        <f t="shared" si="14"/>
        <v>144</v>
      </c>
      <c r="Y102" s="7">
        <f t="shared" si="15"/>
        <v>15</v>
      </c>
      <c r="Z102" s="7">
        <f t="shared" si="16"/>
        <v>159</v>
      </c>
      <c r="AA102" s="37">
        <f t="shared" si="25"/>
        <v>13.25</v>
      </c>
      <c r="AB102" s="33">
        <f t="shared" si="17"/>
        <v>3</v>
      </c>
      <c r="AC102" s="8">
        <f t="shared" si="18"/>
        <v>10.916666666666666</v>
      </c>
      <c r="AD102" s="7">
        <f t="shared" si="19"/>
        <v>11</v>
      </c>
      <c r="AE102" s="34">
        <v>23</v>
      </c>
      <c r="AF102" s="12">
        <v>8</v>
      </c>
      <c r="AG102" s="38">
        <v>25</v>
      </c>
      <c r="AH102" s="32">
        <v>2</v>
      </c>
      <c r="AI102" s="37">
        <f t="shared" si="22"/>
        <v>24.166666666666668</v>
      </c>
      <c r="AJ102" s="37">
        <f t="shared" si="23"/>
        <v>2</v>
      </c>
      <c r="AK102" s="7">
        <f t="shared" si="24"/>
        <v>290</v>
      </c>
      <c r="AL102" s="7">
        <f t="shared" si="13"/>
        <v>131</v>
      </c>
      <c r="AM102" s="13"/>
      <c r="AN102" s="11" t="s">
        <v>71</v>
      </c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X102" s="13"/>
      <c r="BY102" s="13"/>
      <c r="BZ102" s="13"/>
      <c r="CA102" s="13"/>
      <c r="CB102" s="13"/>
      <c r="CC102" s="11" t="s">
        <v>71</v>
      </c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22" t="s">
        <v>1422</v>
      </c>
      <c r="CS102" s="21">
        <v>7</v>
      </c>
      <c r="CT102" s="20">
        <v>480006814</v>
      </c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</row>
    <row r="103" spans="1:108" ht="24.95" hidden="1" customHeight="1" x14ac:dyDescent="0.2">
      <c r="A103" s="3">
        <v>99</v>
      </c>
      <c r="B103" s="3" t="s">
        <v>1448</v>
      </c>
      <c r="C103" s="3" t="s">
        <v>86</v>
      </c>
      <c r="D103" s="3" t="s">
        <v>109</v>
      </c>
      <c r="E103" s="3" t="s">
        <v>313</v>
      </c>
      <c r="F103" s="3" t="s">
        <v>197</v>
      </c>
      <c r="G103" s="11" t="s">
        <v>71</v>
      </c>
      <c r="H103" s="12"/>
      <c r="I103" s="11" t="s">
        <v>71</v>
      </c>
      <c r="K103" s="12"/>
      <c r="L103" s="3" t="s">
        <v>492</v>
      </c>
      <c r="M103" s="12"/>
      <c r="N103" s="12"/>
      <c r="O103" s="12"/>
      <c r="P103" s="4" t="s">
        <v>606</v>
      </c>
      <c r="Q103" s="5" t="s">
        <v>768</v>
      </c>
      <c r="R103" s="3" t="s">
        <v>933</v>
      </c>
      <c r="S103" s="14">
        <v>30</v>
      </c>
      <c r="T103" s="3" t="s">
        <v>75</v>
      </c>
      <c r="U103" s="3" t="s">
        <v>77</v>
      </c>
      <c r="V103" s="12"/>
      <c r="W103" s="12"/>
      <c r="X103" s="7">
        <f t="shared" si="14"/>
        <v>24</v>
      </c>
      <c r="Y103" s="7">
        <f t="shared" si="15"/>
        <v>14</v>
      </c>
      <c r="Z103" s="7">
        <f t="shared" si="16"/>
        <v>38</v>
      </c>
      <c r="AA103" s="37">
        <f t="shared" si="25"/>
        <v>3.1666666666666665</v>
      </c>
      <c r="AB103" s="33">
        <f t="shared" si="17"/>
        <v>2</v>
      </c>
      <c r="AC103" s="8">
        <f t="shared" si="18"/>
        <v>1.3333333333333333</v>
      </c>
      <c r="AD103" s="7">
        <f t="shared" si="19"/>
        <v>4</v>
      </c>
      <c r="AE103" s="34">
        <v>4</v>
      </c>
      <c r="AF103" s="12"/>
      <c r="AG103" s="38">
        <f t="shared" si="20"/>
        <v>4.5</v>
      </c>
      <c r="AH103" s="32">
        <f t="shared" si="21"/>
        <v>6</v>
      </c>
      <c r="AI103" s="37">
        <f t="shared" si="22"/>
        <v>4.5</v>
      </c>
      <c r="AJ103" s="37">
        <f t="shared" si="23"/>
        <v>6</v>
      </c>
      <c r="AK103" s="7">
        <f t="shared" si="24"/>
        <v>54</v>
      </c>
      <c r="AL103" s="7">
        <f t="shared" si="13"/>
        <v>16</v>
      </c>
      <c r="AM103" s="13"/>
      <c r="AN103" s="11" t="s">
        <v>71</v>
      </c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1" t="s">
        <v>71</v>
      </c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22" t="s">
        <v>1425</v>
      </c>
      <c r="CS103" s="20">
        <v>6</v>
      </c>
      <c r="CT103" s="20">
        <v>322498245</v>
      </c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</row>
    <row r="104" spans="1:108" ht="24.95" hidden="1" customHeight="1" x14ac:dyDescent="0.2">
      <c r="A104" s="3">
        <v>100</v>
      </c>
      <c r="B104" s="3" t="s">
        <v>1448</v>
      </c>
      <c r="C104" s="3" t="s">
        <v>93</v>
      </c>
      <c r="D104" s="3" t="s">
        <v>314</v>
      </c>
      <c r="E104" s="3" t="s">
        <v>315</v>
      </c>
      <c r="F104" s="3" t="s">
        <v>316</v>
      </c>
      <c r="G104" s="11" t="s">
        <v>71</v>
      </c>
      <c r="H104" s="12"/>
      <c r="I104" s="11" t="s">
        <v>71</v>
      </c>
      <c r="J104" s="11"/>
      <c r="K104" s="12"/>
      <c r="L104" s="3" t="s">
        <v>492</v>
      </c>
      <c r="M104" s="12"/>
      <c r="N104" s="12"/>
      <c r="O104" s="12"/>
      <c r="P104" s="4" t="s">
        <v>607</v>
      </c>
      <c r="Q104" s="5" t="s">
        <v>769</v>
      </c>
      <c r="R104" s="3" t="s">
        <v>934</v>
      </c>
      <c r="S104" s="14">
        <v>32</v>
      </c>
      <c r="T104" s="3" t="s">
        <v>75</v>
      </c>
      <c r="U104" s="3" t="s">
        <v>1103</v>
      </c>
      <c r="V104" s="12"/>
      <c r="W104" s="12"/>
      <c r="X104" s="7">
        <f t="shared" si="14"/>
        <v>24</v>
      </c>
      <c r="Y104" s="7">
        <f t="shared" si="15"/>
        <v>14</v>
      </c>
      <c r="Z104" s="7">
        <f t="shared" si="16"/>
        <v>38</v>
      </c>
      <c r="AA104" s="37">
        <f t="shared" si="25"/>
        <v>3.1666666666666665</v>
      </c>
      <c r="AB104" s="33">
        <f t="shared" si="17"/>
        <v>2</v>
      </c>
      <c r="AC104" s="8">
        <f t="shared" si="18"/>
        <v>2.6666666666666665</v>
      </c>
      <c r="AD104" s="7">
        <f t="shared" si="19"/>
        <v>8</v>
      </c>
      <c r="AE104" s="34">
        <v>5</v>
      </c>
      <c r="AF104" s="12">
        <v>4</v>
      </c>
      <c r="AG104" s="38">
        <f t="shared" si="20"/>
        <v>5.833333333333333</v>
      </c>
      <c r="AH104" s="32">
        <f t="shared" si="21"/>
        <v>10</v>
      </c>
      <c r="AI104" s="37">
        <f t="shared" si="22"/>
        <v>5.833333333333333</v>
      </c>
      <c r="AJ104" s="37">
        <f t="shared" si="23"/>
        <v>10</v>
      </c>
      <c r="AK104" s="7">
        <f t="shared" si="24"/>
        <v>70</v>
      </c>
      <c r="AL104" s="7">
        <f t="shared" si="13"/>
        <v>32</v>
      </c>
      <c r="AM104" s="13"/>
      <c r="AN104" s="11" t="s">
        <v>71</v>
      </c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X104" s="13"/>
      <c r="BY104" s="13"/>
      <c r="BZ104" s="13"/>
      <c r="CA104" s="13"/>
      <c r="CB104" s="13"/>
      <c r="CC104" s="11" t="s">
        <v>71</v>
      </c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22" t="s">
        <v>73</v>
      </c>
      <c r="CS104" s="20">
        <v>6</v>
      </c>
      <c r="CT104" s="20">
        <v>331489515</v>
      </c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</row>
    <row r="105" spans="1:108" ht="24.95" customHeight="1" x14ac:dyDescent="0.2">
      <c r="A105" s="3">
        <v>101</v>
      </c>
      <c r="B105" s="3" t="s">
        <v>1448</v>
      </c>
      <c r="C105" s="3" t="s">
        <v>87</v>
      </c>
      <c r="D105" s="3" t="s">
        <v>163</v>
      </c>
      <c r="E105" s="3" t="s">
        <v>317</v>
      </c>
      <c r="F105" s="3" t="s">
        <v>318</v>
      </c>
      <c r="G105" s="11" t="s">
        <v>71</v>
      </c>
      <c r="H105" s="12"/>
      <c r="I105" s="11" t="s">
        <v>71</v>
      </c>
      <c r="J105" s="11"/>
      <c r="K105" s="12"/>
      <c r="L105" s="3" t="s">
        <v>477</v>
      </c>
      <c r="M105" s="12"/>
      <c r="N105" s="12"/>
      <c r="O105" s="12"/>
      <c r="P105" s="4" t="s">
        <v>608</v>
      </c>
      <c r="Q105" s="5">
        <v>9158882704</v>
      </c>
      <c r="R105" s="3" t="s">
        <v>935</v>
      </c>
      <c r="S105" s="14">
        <v>37</v>
      </c>
      <c r="T105" s="3" t="s">
        <v>1032</v>
      </c>
      <c r="U105" s="3" t="s">
        <v>1032</v>
      </c>
      <c r="V105" s="12"/>
      <c r="W105" s="12"/>
      <c r="X105" s="7">
        <f t="shared" si="14"/>
        <v>132</v>
      </c>
      <c r="Y105" s="7">
        <f t="shared" si="15"/>
        <v>16</v>
      </c>
      <c r="Z105" s="7">
        <f t="shared" si="16"/>
        <v>148</v>
      </c>
      <c r="AA105" s="37">
        <f t="shared" si="25"/>
        <v>12.333333333333334</v>
      </c>
      <c r="AB105" s="33">
        <f t="shared" si="17"/>
        <v>4</v>
      </c>
      <c r="AC105" s="8">
        <f t="shared" si="18"/>
        <v>0.5</v>
      </c>
      <c r="AD105" s="7">
        <f t="shared" si="19"/>
        <v>6</v>
      </c>
      <c r="AE105" s="34">
        <v>12</v>
      </c>
      <c r="AF105" s="12">
        <v>4</v>
      </c>
      <c r="AG105" s="38">
        <f t="shared" si="20"/>
        <v>12.833333333333334</v>
      </c>
      <c r="AH105" s="32">
        <f t="shared" si="21"/>
        <v>10</v>
      </c>
      <c r="AI105" s="37">
        <f t="shared" si="22"/>
        <v>12.833333333333334</v>
      </c>
      <c r="AJ105" s="37">
        <f t="shared" si="23"/>
        <v>10</v>
      </c>
      <c r="AK105" s="7">
        <f t="shared" si="24"/>
        <v>154</v>
      </c>
      <c r="AL105" s="7">
        <f t="shared" si="13"/>
        <v>6</v>
      </c>
      <c r="AM105" s="13"/>
      <c r="AN105" s="11" t="s">
        <v>71</v>
      </c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1" t="s">
        <v>71</v>
      </c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22" t="s">
        <v>1380</v>
      </c>
      <c r="CS105" s="21">
        <v>6</v>
      </c>
      <c r="CT105" s="20">
        <v>462800911</v>
      </c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</row>
    <row r="106" spans="1:108" ht="24.95" hidden="1" customHeight="1" x14ac:dyDescent="0.2">
      <c r="A106" s="3">
        <v>102</v>
      </c>
      <c r="B106" s="3" t="s">
        <v>1448</v>
      </c>
      <c r="C106" s="3" t="s">
        <v>86</v>
      </c>
      <c r="D106" s="3" t="s">
        <v>119</v>
      </c>
      <c r="E106" s="3" t="s">
        <v>319</v>
      </c>
      <c r="F106" s="3" t="s">
        <v>229</v>
      </c>
      <c r="G106" s="11" t="s">
        <v>71</v>
      </c>
      <c r="H106" s="12"/>
      <c r="I106" s="17"/>
      <c r="J106" s="11" t="s">
        <v>71</v>
      </c>
      <c r="K106" s="12"/>
      <c r="L106" s="3" t="s">
        <v>492</v>
      </c>
      <c r="M106" s="12"/>
      <c r="N106" s="12"/>
      <c r="O106" s="12"/>
      <c r="P106" s="4" t="s">
        <v>609</v>
      </c>
      <c r="Q106" s="5" t="s">
        <v>770</v>
      </c>
      <c r="R106" s="3" t="s">
        <v>936</v>
      </c>
      <c r="S106" s="14">
        <v>52</v>
      </c>
      <c r="T106" s="3" t="s">
        <v>1037</v>
      </c>
      <c r="U106" s="3"/>
      <c r="V106" s="12"/>
      <c r="W106" s="12"/>
      <c r="X106" s="7">
        <f t="shared" si="14"/>
        <v>24</v>
      </c>
      <c r="Y106" s="7">
        <f t="shared" si="15"/>
        <v>14</v>
      </c>
      <c r="Z106" s="7">
        <f t="shared" si="16"/>
        <v>38</v>
      </c>
      <c r="AA106" s="37">
        <f t="shared" si="25"/>
        <v>3.1666666666666665</v>
      </c>
      <c r="AB106" s="33">
        <f t="shared" si="17"/>
        <v>2</v>
      </c>
      <c r="AC106" s="8">
        <f t="shared" si="18"/>
        <v>9.0833333333333339</v>
      </c>
      <c r="AD106" s="7">
        <f t="shared" si="19"/>
        <v>1</v>
      </c>
      <c r="AE106" s="34">
        <v>11</v>
      </c>
      <c r="AF106" s="12">
        <v>9</v>
      </c>
      <c r="AG106" s="38">
        <f t="shared" si="20"/>
        <v>12.25</v>
      </c>
      <c r="AH106" s="32">
        <f t="shared" si="21"/>
        <v>3</v>
      </c>
      <c r="AI106" s="37">
        <f t="shared" si="22"/>
        <v>12.25</v>
      </c>
      <c r="AJ106" s="37">
        <f t="shared" si="23"/>
        <v>3</v>
      </c>
      <c r="AK106" s="7">
        <f t="shared" si="24"/>
        <v>147</v>
      </c>
      <c r="AL106" s="7">
        <f t="shared" si="13"/>
        <v>109</v>
      </c>
      <c r="AM106" s="13"/>
      <c r="AN106" s="11" t="s">
        <v>71</v>
      </c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X106" s="13"/>
      <c r="BY106" s="13"/>
      <c r="BZ106" s="13"/>
      <c r="CA106" s="13"/>
      <c r="CB106" s="13"/>
      <c r="CC106" s="11" t="s">
        <v>71</v>
      </c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22" t="s">
        <v>1422</v>
      </c>
      <c r="CS106" s="20">
        <v>6</v>
      </c>
      <c r="CT106" s="20">
        <v>353537682</v>
      </c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</row>
    <row r="107" spans="1:108" ht="24.95" hidden="1" customHeight="1" x14ac:dyDescent="0.2">
      <c r="A107" s="3">
        <v>103</v>
      </c>
      <c r="B107" s="3" t="s">
        <v>1448</v>
      </c>
      <c r="C107" s="3" t="s">
        <v>92</v>
      </c>
      <c r="D107" s="3" t="s">
        <v>213</v>
      </c>
      <c r="E107" s="3" t="s">
        <v>320</v>
      </c>
      <c r="F107" s="3" t="s">
        <v>321</v>
      </c>
      <c r="G107" s="11" t="s">
        <v>71</v>
      </c>
      <c r="H107" s="12"/>
      <c r="I107" s="17"/>
      <c r="J107" s="11" t="s">
        <v>71</v>
      </c>
      <c r="K107" s="12"/>
      <c r="L107" s="3" t="s">
        <v>477</v>
      </c>
      <c r="M107" s="12"/>
      <c r="N107" s="12"/>
      <c r="O107" s="12"/>
      <c r="P107" s="4" t="s">
        <v>610</v>
      </c>
      <c r="Q107" s="5" t="s">
        <v>1446</v>
      </c>
      <c r="R107" s="3" t="s">
        <v>937</v>
      </c>
      <c r="S107" s="14">
        <v>45</v>
      </c>
      <c r="T107" s="3" t="s">
        <v>1030</v>
      </c>
      <c r="U107" s="3" t="s">
        <v>1030</v>
      </c>
      <c r="V107" s="12"/>
      <c r="W107" s="12"/>
      <c r="X107" s="7">
        <f t="shared" si="14"/>
        <v>132</v>
      </c>
      <c r="Y107" s="7">
        <f t="shared" si="15"/>
        <v>16</v>
      </c>
      <c r="Z107" s="7">
        <f t="shared" si="16"/>
        <v>148</v>
      </c>
      <c r="AA107" s="37">
        <f t="shared" si="25"/>
        <v>12.333333333333334</v>
      </c>
      <c r="AB107" s="33">
        <f t="shared" si="17"/>
        <v>4</v>
      </c>
      <c r="AC107" s="8">
        <f t="shared" si="18"/>
        <v>10.25</v>
      </c>
      <c r="AD107" s="7">
        <f t="shared" si="19"/>
        <v>3</v>
      </c>
      <c r="AE107" s="34">
        <v>22</v>
      </c>
      <c r="AF107" s="12">
        <v>1</v>
      </c>
      <c r="AG107" s="38">
        <f t="shared" si="20"/>
        <v>22.583333333333336</v>
      </c>
      <c r="AH107" s="32">
        <f t="shared" si="21"/>
        <v>7</v>
      </c>
      <c r="AI107" s="37">
        <f t="shared" si="22"/>
        <v>22.583333333333332</v>
      </c>
      <c r="AJ107" s="37">
        <f t="shared" si="23"/>
        <v>7</v>
      </c>
      <c r="AK107" s="7">
        <f t="shared" si="24"/>
        <v>271</v>
      </c>
      <c r="AL107" s="7">
        <f t="shared" si="13"/>
        <v>123</v>
      </c>
      <c r="AM107" s="13"/>
      <c r="AN107" s="11" t="s">
        <v>71</v>
      </c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X107" s="13"/>
      <c r="BY107" s="13"/>
      <c r="BZ107" s="13"/>
      <c r="CA107" s="13"/>
      <c r="CB107" s="13"/>
      <c r="CC107" s="11" t="s">
        <v>71</v>
      </c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22" t="s">
        <v>1422</v>
      </c>
      <c r="CS107" s="21">
        <v>7</v>
      </c>
      <c r="CT107" s="20">
        <v>460085467</v>
      </c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</row>
    <row r="108" spans="1:108" ht="24.95" hidden="1" customHeight="1" x14ac:dyDescent="0.2">
      <c r="A108" s="3">
        <v>104</v>
      </c>
      <c r="B108" s="3" t="s">
        <v>1448</v>
      </c>
      <c r="C108" s="3" t="s">
        <v>86</v>
      </c>
      <c r="D108" s="3" t="s">
        <v>181</v>
      </c>
      <c r="E108" s="3" t="s">
        <v>322</v>
      </c>
      <c r="F108" s="3" t="s">
        <v>100</v>
      </c>
      <c r="G108" s="11" t="s">
        <v>71</v>
      </c>
      <c r="H108" s="12"/>
      <c r="I108" s="17"/>
      <c r="J108" s="11" t="s">
        <v>71</v>
      </c>
      <c r="K108" s="12"/>
      <c r="L108" s="3" t="s">
        <v>492</v>
      </c>
      <c r="M108" s="12"/>
      <c r="N108" s="12"/>
      <c r="O108" s="12"/>
      <c r="P108" s="4" t="s">
        <v>611</v>
      </c>
      <c r="Q108" s="5" t="s">
        <v>771</v>
      </c>
      <c r="R108" s="3" t="s">
        <v>938</v>
      </c>
      <c r="S108" s="14">
        <v>42</v>
      </c>
      <c r="T108" s="3" t="s">
        <v>75</v>
      </c>
      <c r="U108" s="3" t="s">
        <v>1062</v>
      </c>
      <c r="V108" s="12"/>
      <c r="W108" s="12"/>
      <c r="X108" s="7">
        <f t="shared" si="14"/>
        <v>24</v>
      </c>
      <c r="Y108" s="7">
        <f t="shared" si="15"/>
        <v>14</v>
      </c>
      <c r="Z108" s="7">
        <f t="shared" si="16"/>
        <v>38</v>
      </c>
      <c r="AA108" s="37">
        <v>3</v>
      </c>
      <c r="AB108" s="33">
        <f t="shared" si="17"/>
        <v>2</v>
      </c>
      <c r="AC108" s="8">
        <f t="shared" si="18"/>
        <v>9.75</v>
      </c>
      <c r="AD108" s="7">
        <f t="shared" si="19"/>
        <v>9</v>
      </c>
      <c r="AE108" s="34">
        <v>12</v>
      </c>
      <c r="AF108" s="12">
        <v>5</v>
      </c>
      <c r="AG108" s="38">
        <f t="shared" si="20"/>
        <v>12.75</v>
      </c>
      <c r="AH108" s="32">
        <f t="shared" si="21"/>
        <v>11</v>
      </c>
      <c r="AI108" s="37">
        <f t="shared" si="22"/>
        <v>12.916666666666666</v>
      </c>
      <c r="AJ108" s="37">
        <f t="shared" si="23"/>
        <v>11</v>
      </c>
      <c r="AK108" s="7">
        <f t="shared" si="24"/>
        <v>155</v>
      </c>
      <c r="AL108" s="7">
        <f t="shared" si="13"/>
        <v>117</v>
      </c>
      <c r="AM108" s="13"/>
      <c r="AN108" s="11" t="s">
        <v>71</v>
      </c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X108" s="13"/>
      <c r="BY108" s="13"/>
      <c r="BZ108" s="13"/>
      <c r="CA108" s="13"/>
      <c r="CB108" s="13"/>
      <c r="CC108" s="11" t="s">
        <v>71</v>
      </c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22" t="s">
        <v>73</v>
      </c>
      <c r="CS108" s="20">
        <v>6</v>
      </c>
      <c r="CT108" s="20">
        <v>363707490</v>
      </c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</row>
    <row r="109" spans="1:108" ht="24.95" hidden="1" customHeight="1" x14ac:dyDescent="0.2">
      <c r="A109" s="3">
        <v>105</v>
      </c>
      <c r="B109" s="3" t="s">
        <v>1448</v>
      </c>
      <c r="C109" s="3" t="s">
        <v>83</v>
      </c>
      <c r="D109" s="3" t="s">
        <v>323</v>
      </c>
      <c r="E109" s="3" t="s">
        <v>324</v>
      </c>
      <c r="F109" s="3" t="s">
        <v>97</v>
      </c>
      <c r="G109" s="11" t="s">
        <v>71</v>
      </c>
      <c r="H109" s="12"/>
      <c r="I109" s="17"/>
      <c r="J109" s="11" t="s">
        <v>71</v>
      </c>
      <c r="K109" s="12"/>
      <c r="L109" s="3" t="s">
        <v>492</v>
      </c>
      <c r="M109" s="12"/>
      <c r="N109" s="12"/>
      <c r="O109" s="12"/>
      <c r="P109" s="4" t="s">
        <v>612</v>
      </c>
      <c r="Q109" s="5" t="s">
        <v>772</v>
      </c>
      <c r="R109" s="3" t="s">
        <v>939</v>
      </c>
      <c r="S109" s="14">
        <v>50</v>
      </c>
      <c r="T109" s="3" t="s">
        <v>1024</v>
      </c>
      <c r="U109" s="3" t="s">
        <v>1048</v>
      </c>
      <c r="V109" s="12"/>
      <c r="W109" s="12"/>
      <c r="X109" s="7">
        <f t="shared" si="14"/>
        <v>24</v>
      </c>
      <c r="Y109" s="7">
        <f t="shared" si="15"/>
        <v>14</v>
      </c>
      <c r="Z109" s="7">
        <f t="shared" si="16"/>
        <v>38</v>
      </c>
      <c r="AA109" s="37">
        <f t="shared" si="25"/>
        <v>3.1666666666666665</v>
      </c>
      <c r="AB109" s="33">
        <f t="shared" si="17"/>
        <v>2</v>
      </c>
      <c r="AC109" s="8">
        <f t="shared" si="18"/>
        <v>4.583333333333333</v>
      </c>
      <c r="AD109" s="7">
        <f t="shared" si="19"/>
        <v>7</v>
      </c>
      <c r="AE109" s="34">
        <v>7</v>
      </c>
      <c r="AF109" s="12">
        <v>3</v>
      </c>
      <c r="AG109" s="38">
        <f t="shared" si="20"/>
        <v>7.75</v>
      </c>
      <c r="AH109" s="32">
        <f t="shared" si="21"/>
        <v>9</v>
      </c>
      <c r="AI109" s="37">
        <f t="shared" si="22"/>
        <v>7.75</v>
      </c>
      <c r="AJ109" s="37">
        <f t="shared" si="23"/>
        <v>9</v>
      </c>
      <c r="AK109" s="7">
        <f t="shared" si="24"/>
        <v>93</v>
      </c>
      <c r="AL109" s="7">
        <f t="shared" si="13"/>
        <v>55</v>
      </c>
      <c r="AM109" s="13"/>
      <c r="AN109" s="11" t="s">
        <v>71</v>
      </c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X109" s="13"/>
      <c r="BY109" s="13"/>
      <c r="BZ109" s="13"/>
      <c r="CA109" s="13"/>
      <c r="CB109" s="13"/>
      <c r="CC109" s="11" t="s">
        <v>71</v>
      </c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22" t="s">
        <v>73</v>
      </c>
      <c r="CS109" s="20">
        <v>6</v>
      </c>
      <c r="CT109" s="20">
        <v>381710555</v>
      </c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</row>
    <row r="110" spans="1:108" ht="24.95" hidden="1" customHeight="1" x14ac:dyDescent="0.2">
      <c r="A110" s="3">
        <v>106</v>
      </c>
      <c r="B110" s="3" t="s">
        <v>1448</v>
      </c>
      <c r="C110" s="3" t="s">
        <v>89</v>
      </c>
      <c r="D110" s="3" t="s">
        <v>325</v>
      </c>
      <c r="E110" s="3" t="s">
        <v>326</v>
      </c>
      <c r="F110" s="3" t="s">
        <v>327</v>
      </c>
      <c r="G110" s="11" t="s">
        <v>71</v>
      </c>
      <c r="H110" s="12"/>
      <c r="J110" s="11" t="s">
        <v>71</v>
      </c>
      <c r="K110" s="12"/>
      <c r="L110" s="3" t="s">
        <v>496</v>
      </c>
      <c r="M110" s="12"/>
      <c r="N110" s="12"/>
      <c r="O110" s="12"/>
      <c r="P110" s="4" t="s">
        <v>613</v>
      </c>
      <c r="Q110" s="5" t="s">
        <v>773</v>
      </c>
      <c r="R110" s="3" t="s">
        <v>940</v>
      </c>
      <c r="S110" s="14">
        <v>36</v>
      </c>
      <c r="T110" s="3" t="s">
        <v>1038</v>
      </c>
      <c r="U110" s="3" t="s">
        <v>1104</v>
      </c>
      <c r="V110" s="12"/>
      <c r="W110" s="12"/>
      <c r="X110" s="7">
        <f t="shared" si="14"/>
        <v>60</v>
      </c>
      <c r="Y110" s="7">
        <f t="shared" si="15"/>
        <v>10</v>
      </c>
      <c r="Z110" s="7">
        <f t="shared" si="16"/>
        <v>70</v>
      </c>
      <c r="AA110" s="37">
        <v>5</v>
      </c>
      <c r="AB110" s="33">
        <f t="shared" si="17"/>
        <v>10</v>
      </c>
      <c r="AC110" s="8">
        <f t="shared" si="18"/>
        <v>3.8333333333333335</v>
      </c>
      <c r="AD110" s="7">
        <f t="shared" si="19"/>
        <v>10</v>
      </c>
      <c r="AE110" s="34">
        <v>9</v>
      </c>
      <c r="AF110" s="12">
        <v>2</v>
      </c>
      <c r="AG110" s="38">
        <v>10</v>
      </c>
      <c r="AH110" s="32">
        <v>8</v>
      </c>
      <c r="AI110" s="37">
        <f t="shared" si="22"/>
        <v>9.6666666666666661</v>
      </c>
      <c r="AJ110" s="37">
        <f t="shared" si="23"/>
        <v>8</v>
      </c>
      <c r="AK110" s="7">
        <f t="shared" si="24"/>
        <v>116</v>
      </c>
      <c r="AL110" s="7">
        <f t="shared" si="13"/>
        <v>46</v>
      </c>
      <c r="AM110" s="13"/>
      <c r="AN110" s="11" t="s">
        <v>71</v>
      </c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1" t="s">
        <v>71</v>
      </c>
      <c r="CL110" s="13"/>
      <c r="CM110" s="13"/>
      <c r="CN110" s="13"/>
      <c r="CO110" s="13"/>
      <c r="CP110" s="13"/>
      <c r="CQ110" s="13"/>
      <c r="CR110" s="22" t="s">
        <v>1440</v>
      </c>
      <c r="CS110" s="20">
        <v>12</v>
      </c>
      <c r="CT110" s="20">
        <v>390270577</v>
      </c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</row>
    <row r="111" spans="1:108" ht="24.95" hidden="1" customHeight="1" x14ac:dyDescent="0.2">
      <c r="A111" s="3">
        <v>107</v>
      </c>
      <c r="B111" s="3" t="s">
        <v>1448</v>
      </c>
      <c r="C111" s="3" t="s">
        <v>86</v>
      </c>
      <c r="D111" s="3" t="s">
        <v>109</v>
      </c>
      <c r="E111" s="3" t="s">
        <v>328</v>
      </c>
      <c r="F111" s="3" t="s">
        <v>107</v>
      </c>
      <c r="G111" s="11" t="s">
        <v>71</v>
      </c>
      <c r="H111" s="12"/>
      <c r="I111" s="17"/>
      <c r="J111" s="11" t="s">
        <v>71</v>
      </c>
      <c r="K111" s="12"/>
      <c r="L111" s="3" t="s">
        <v>475</v>
      </c>
      <c r="M111" s="12"/>
      <c r="N111" s="12"/>
      <c r="O111" s="12"/>
      <c r="P111" s="4" t="s">
        <v>614</v>
      </c>
      <c r="Q111" s="5">
        <v>9159234744</v>
      </c>
      <c r="R111" s="3" t="s">
        <v>941</v>
      </c>
      <c r="S111" s="14">
        <v>43</v>
      </c>
      <c r="T111" s="3" t="s">
        <v>1041</v>
      </c>
      <c r="U111" s="3" t="s">
        <v>1401</v>
      </c>
      <c r="V111" s="12"/>
      <c r="W111" s="12"/>
      <c r="X111" s="7">
        <f t="shared" si="14"/>
        <v>120</v>
      </c>
      <c r="Y111" s="7">
        <f t="shared" si="15"/>
        <v>11</v>
      </c>
      <c r="Z111" s="7">
        <f t="shared" si="16"/>
        <v>131</v>
      </c>
      <c r="AA111" s="37">
        <v>10</v>
      </c>
      <c r="AB111" s="33">
        <f t="shared" si="17"/>
        <v>11</v>
      </c>
      <c r="AC111" s="8">
        <f t="shared" si="18"/>
        <v>3.3333333333333335</v>
      </c>
      <c r="AD111" s="7">
        <f t="shared" si="19"/>
        <v>4</v>
      </c>
      <c r="AE111" s="34">
        <v>13</v>
      </c>
      <c r="AF111" s="12">
        <v>9</v>
      </c>
      <c r="AG111" s="38">
        <v>14</v>
      </c>
      <c r="AH111" s="32">
        <v>3</v>
      </c>
      <c r="AI111" s="37">
        <f t="shared" si="22"/>
        <v>14.25</v>
      </c>
      <c r="AJ111" s="37">
        <f t="shared" si="23"/>
        <v>3</v>
      </c>
      <c r="AK111" s="7">
        <f t="shared" si="24"/>
        <v>171</v>
      </c>
      <c r="AL111" s="7">
        <f t="shared" si="13"/>
        <v>40</v>
      </c>
      <c r="AM111" s="13"/>
      <c r="AN111" s="11" t="s">
        <v>71</v>
      </c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1" t="s">
        <v>71</v>
      </c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22" t="s">
        <v>1380</v>
      </c>
      <c r="CS111" s="21">
        <v>6</v>
      </c>
      <c r="CT111" s="20">
        <v>513798414</v>
      </c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</row>
    <row r="112" spans="1:108" ht="24.95" hidden="1" customHeight="1" x14ac:dyDescent="0.2">
      <c r="A112" s="3">
        <v>108</v>
      </c>
      <c r="B112" s="3" t="s">
        <v>1448</v>
      </c>
      <c r="C112" s="3" t="s">
        <v>83</v>
      </c>
      <c r="D112" s="3" t="s">
        <v>329</v>
      </c>
      <c r="E112" s="3" t="s">
        <v>330</v>
      </c>
      <c r="F112" s="3" t="s">
        <v>331</v>
      </c>
      <c r="G112" s="11" t="s">
        <v>71</v>
      </c>
      <c r="H112" s="12"/>
      <c r="I112" s="17"/>
      <c r="J112" s="11" t="s">
        <v>71</v>
      </c>
      <c r="K112" s="12"/>
      <c r="L112" s="3" t="s">
        <v>492</v>
      </c>
      <c r="M112" s="12"/>
      <c r="N112" s="12"/>
      <c r="O112" s="12"/>
      <c r="P112" s="4" t="s">
        <v>615</v>
      </c>
      <c r="Q112" s="5" t="s">
        <v>774</v>
      </c>
      <c r="R112" s="3" t="s">
        <v>942</v>
      </c>
      <c r="S112" s="14">
        <v>36</v>
      </c>
      <c r="T112" s="3" t="s">
        <v>1024</v>
      </c>
      <c r="U112" s="3" t="s">
        <v>1105</v>
      </c>
      <c r="V112" s="12"/>
      <c r="W112" s="12"/>
      <c r="X112" s="7">
        <f t="shared" si="14"/>
        <v>24</v>
      </c>
      <c r="Y112" s="7">
        <f t="shared" si="15"/>
        <v>14</v>
      </c>
      <c r="Z112" s="7">
        <f t="shared" si="16"/>
        <v>38</v>
      </c>
      <c r="AA112" s="37">
        <v>4</v>
      </c>
      <c r="AB112" s="33">
        <f t="shared" si="17"/>
        <v>2</v>
      </c>
      <c r="AC112" s="8">
        <f t="shared" si="18"/>
        <v>6.333333333333333</v>
      </c>
      <c r="AD112" s="7">
        <f t="shared" si="19"/>
        <v>4</v>
      </c>
      <c r="AE112" s="34">
        <v>9</v>
      </c>
      <c r="AF112" s="12"/>
      <c r="AG112" s="38">
        <f t="shared" si="20"/>
        <v>10.333333333333332</v>
      </c>
      <c r="AH112" s="32">
        <f t="shared" si="21"/>
        <v>6</v>
      </c>
      <c r="AI112" s="37">
        <f t="shared" si="22"/>
        <v>9.5</v>
      </c>
      <c r="AJ112" s="37">
        <f t="shared" si="23"/>
        <v>6</v>
      </c>
      <c r="AK112" s="7">
        <f t="shared" si="24"/>
        <v>114</v>
      </c>
      <c r="AL112" s="7">
        <f t="shared" si="13"/>
        <v>76</v>
      </c>
      <c r="AM112" s="13"/>
      <c r="AN112" s="11" t="s">
        <v>71</v>
      </c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X112" s="13"/>
      <c r="BY112" s="13"/>
      <c r="BZ112" s="13"/>
      <c r="CA112" s="13"/>
      <c r="CB112" s="13"/>
      <c r="CD112" s="13"/>
      <c r="CE112" s="13"/>
      <c r="CF112" s="13"/>
      <c r="CG112" s="13"/>
      <c r="CH112" s="13"/>
      <c r="CI112" s="13"/>
      <c r="CJ112" s="13"/>
      <c r="CK112" s="11" t="s">
        <v>71</v>
      </c>
      <c r="CL112" s="13"/>
      <c r="CM112" s="13"/>
      <c r="CN112" s="13"/>
      <c r="CO112" s="13"/>
      <c r="CP112" s="13"/>
      <c r="CQ112" s="13"/>
      <c r="CR112" s="22" t="s">
        <v>1426</v>
      </c>
      <c r="CS112" s="20">
        <v>6</v>
      </c>
      <c r="CT112" s="20">
        <v>350313240</v>
      </c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</row>
    <row r="113" spans="1:108" ht="24.95" hidden="1" customHeight="1" x14ac:dyDescent="0.2">
      <c r="A113" s="3">
        <v>109</v>
      </c>
      <c r="B113" s="3" t="s">
        <v>1448</v>
      </c>
      <c r="C113" s="3" t="s">
        <v>89</v>
      </c>
      <c r="D113" s="3" t="s">
        <v>332</v>
      </c>
      <c r="E113" s="3" t="s">
        <v>333</v>
      </c>
      <c r="F113" s="3" t="s">
        <v>119</v>
      </c>
      <c r="G113" s="11" t="s">
        <v>71</v>
      </c>
      <c r="H113" s="12"/>
      <c r="I113" s="17"/>
      <c r="J113" s="11" t="s">
        <v>71</v>
      </c>
      <c r="K113" s="12"/>
      <c r="L113" s="3" t="s">
        <v>497</v>
      </c>
      <c r="M113" s="12"/>
      <c r="N113" s="12"/>
      <c r="O113" s="12"/>
      <c r="P113" s="4" t="s">
        <v>616</v>
      </c>
      <c r="Q113" s="5" t="s">
        <v>775</v>
      </c>
      <c r="R113" s="3" t="s">
        <v>943</v>
      </c>
      <c r="S113" s="14">
        <v>46</v>
      </c>
      <c r="T113" s="3" t="s">
        <v>75</v>
      </c>
      <c r="U113" s="3" t="s">
        <v>77</v>
      </c>
      <c r="V113" s="12"/>
      <c r="W113" s="12"/>
      <c r="X113" s="7">
        <f t="shared" si="14"/>
        <v>72</v>
      </c>
      <c r="Y113" s="7">
        <f t="shared" si="15"/>
        <v>6</v>
      </c>
      <c r="Z113" s="7">
        <f t="shared" si="16"/>
        <v>78</v>
      </c>
      <c r="AA113" s="37">
        <v>6</v>
      </c>
      <c r="AB113" s="33">
        <f t="shared" si="17"/>
        <v>6</v>
      </c>
      <c r="AC113" s="8">
        <f t="shared" si="18"/>
        <v>0.5</v>
      </c>
      <c r="AD113" s="7">
        <f t="shared" si="19"/>
        <v>6</v>
      </c>
      <c r="AE113" s="34">
        <v>6</v>
      </c>
      <c r="AF113" s="12">
        <v>6</v>
      </c>
      <c r="AG113" s="38">
        <f t="shared" si="20"/>
        <v>6.5</v>
      </c>
      <c r="AH113" s="32">
        <f t="shared" si="21"/>
        <v>12</v>
      </c>
      <c r="AI113" s="37">
        <f t="shared" si="22"/>
        <v>7</v>
      </c>
      <c r="AJ113" s="37">
        <f t="shared" si="23"/>
        <v>0</v>
      </c>
      <c r="AK113" s="7">
        <f t="shared" si="24"/>
        <v>84</v>
      </c>
      <c r="AL113" s="7">
        <f t="shared" si="13"/>
        <v>6</v>
      </c>
      <c r="AM113" s="13"/>
      <c r="AN113" s="11" t="s">
        <v>71</v>
      </c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1" t="s">
        <v>71</v>
      </c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22" t="s">
        <v>1435</v>
      </c>
      <c r="CS113" s="20">
        <v>12</v>
      </c>
      <c r="CT113" s="20">
        <v>423849412</v>
      </c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</row>
    <row r="114" spans="1:108" ht="24.95" hidden="1" customHeight="1" x14ac:dyDescent="0.2">
      <c r="A114" s="3">
        <v>110</v>
      </c>
      <c r="B114" s="3" t="s">
        <v>1448</v>
      </c>
      <c r="C114" s="3" t="s">
        <v>83</v>
      </c>
      <c r="D114" s="3" t="s">
        <v>334</v>
      </c>
      <c r="E114" s="3" t="s">
        <v>335</v>
      </c>
      <c r="F114" s="3" t="s">
        <v>336</v>
      </c>
      <c r="G114" s="11" t="s">
        <v>71</v>
      </c>
      <c r="H114" s="12"/>
      <c r="I114" s="17"/>
      <c r="J114" s="11" t="s">
        <v>71</v>
      </c>
      <c r="K114" s="12"/>
      <c r="L114" s="3" t="s">
        <v>492</v>
      </c>
      <c r="M114" s="12"/>
      <c r="N114" s="12"/>
      <c r="O114" s="12"/>
      <c r="P114" s="4" t="s">
        <v>617</v>
      </c>
      <c r="Q114" s="5" t="s">
        <v>776</v>
      </c>
      <c r="R114" s="3" t="s">
        <v>944</v>
      </c>
      <c r="S114" s="14">
        <v>42</v>
      </c>
      <c r="T114" s="3" t="s">
        <v>1024</v>
      </c>
      <c r="U114" s="3" t="s">
        <v>1076</v>
      </c>
      <c r="V114" s="12"/>
      <c r="W114" s="12"/>
      <c r="X114" s="7">
        <f t="shared" si="14"/>
        <v>24</v>
      </c>
      <c r="Y114" s="7">
        <f t="shared" si="15"/>
        <v>14</v>
      </c>
      <c r="Z114" s="7">
        <f t="shared" si="16"/>
        <v>38</v>
      </c>
      <c r="AA114" s="37">
        <v>4</v>
      </c>
      <c r="AB114" s="33">
        <f t="shared" si="17"/>
        <v>2</v>
      </c>
      <c r="AC114" s="8">
        <f t="shared" si="18"/>
        <v>3.75</v>
      </c>
      <c r="AD114" s="7">
        <f t="shared" si="19"/>
        <v>9</v>
      </c>
      <c r="AE114" s="34">
        <v>6</v>
      </c>
      <c r="AF114" s="12">
        <v>5</v>
      </c>
      <c r="AG114" s="38">
        <f t="shared" si="20"/>
        <v>7.75</v>
      </c>
      <c r="AH114" s="32">
        <f t="shared" si="21"/>
        <v>11</v>
      </c>
      <c r="AI114" s="37">
        <f t="shared" si="22"/>
        <v>6.916666666666667</v>
      </c>
      <c r="AJ114" s="37">
        <f t="shared" si="23"/>
        <v>11</v>
      </c>
      <c r="AK114" s="7">
        <f t="shared" si="24"/>
        <v>83</v>
      </c>
      <c r="AL114" s="7">
        <f t="shared" si="13"/>
        <v>45</v>
      </c>
      <c r="AM114" s="13"/>
      <c r="AN114" s="11" t="s">
        <v>71</v>
      </c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1" t="s">
        <v>71</v>
      </c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22" t="s">
        <v>1380</v>
      </c>
      <c r="CS114" s="20">
        <v>4</v>
      </c>
      <c r="CT114" s="20">
        <v>381807016</v>
      </c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</row>
    <row r="115" spans="1:108" ht="24.95" hidden="1" customHeight="1" x14ac:dyDescent="0.2">
      <c r="A115" s="3">
        <v>111</v>
      </c>
      <c r="B115" s="3" t="s">
        <v>1448</v>
      </c>
      <c r="C115" s="3" t="s">
        <v>83</v>
      </c>
      <c r="D115" s="3" t="s">
        <v>337</v>
      </c>
      <c r="E115" s="3" t="s">
        <v>338</v>
      </c>
      <c r="F115" s="3" t="s">
        <v>100</v>
      </c>
      <c r="G115" s="11" t="s">
        <v>71</v>
      </c>
      <c r="H115" s="12"/>
      <c r="I115" s="17"/>
      <c r="J115" s="11" t="s">
        <v>71</v>
      </c>
      <c r="K115" s="12"/>
      <c r="L115" s="3" t="s">
        <v>492</v>
      </c>
      <c r="M115" s="12"/>
      <c r="N115" s="12"/>
      <c r="O115" s="12"/>
      <c r="P115" s="4" t="s">
        <v>618</v>
      </c>
      <c r="Q115" s="5" t="s">
        <v>777</v>
      </c>
      <c r="R115" s="3" t="s">
        <v>945</v>
      </c>
      <c r="S115" s="14">
        <v>50</v>
      </c>
      <c r="T115" s="3" t="s">
        <v>76</v>
      </c>
      <c r="U115" s="3" t="s">
        <v>1106</v>
      </c>
      <c r="V115" s="12"/>
      <c r="W115" s="12"/>
      <c r="X115" s="7">
        <f t="shared" si="14"/>
        <v>24</v>
      </c>
      <c r="Y115" s="7">
        <f t="shared" si="15"/>
        <v>14</v>
      </c>
      <c r="Z115" s="7">
        <f t="shared" si="16"/>
        <v>38</v>
      </c>
      <c r="AA115" s="37">
        <v>3</v>
      </c>
      <c r="AB115" s="33">
        <f t="shared" si="17"/>
        <v>2</v>
      </c>
      <c r="AC115" s="8">
        <f t="shared" si="18"/>
        <v>0.41666666666666669</v>
      </c>
      <c r="AD115" s="7">
        <f t="shared" si="19"/>
        <v>5</v>
      </c>
      <c r="AE115" s="34">
        <v>3</v>
      </c>
      <c r="AF115" s="12">
        <v>1</v>
      </c>
      <c r="AG115" s="38">
        <f t="shared" si="20"/>
        <v>3.4166666666666665</v>
      </c>
      <c r="AH115" s="32">
        <f t="shared" si="21"/>
        <v>7</v>
      </c>
      <c r="AI115" s="37">
        <f t="shared" si="22"/>
        <v>3.5833333333333335</v>
      </c>
      <c r="AJ115" s="37">
        <f t="shared" si="23"/>
        <v>7</v>
      </c>
      <c r="AK115" s="7">
        <f t="shared" si="24"/>
        <v>43</v>
      </c>
      <c r="AL115" s="7">
        <f t="shared" si="13"/>
        <v>5</v>
      </c>
      <c r="AM115" s="13"/>
      <c r="AN115" s="11" t="s">
        <v>71</v>
      </c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X115" s="13"/>
      <c r="BY115" s="13"/>
      <c r="BZ115" s="13"/>
      <c r="CA115" s="13"/>
      <c r="CB115" s="13"/>
      <c r="CC115" s="11" t="s">
        <v>71</v>
      </c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22" t="s">
        <v>1391</v>
      </c>
      <c r="CS115" s="20">
        <v>6</v>
      </c>
      <c r="CT115" s="20">
        <v>349782942</v>
      </c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</row>
    <row r="116" spans="1:108" ht="24.95" customHeight="1" x14ac:dyDescent="0.2">
      <c r="A116" s="3">
        <v>112</v>
      </c>
      <c r="B116" s="3" t="s">
        <v>1448</v>
      </c>
      <c r="C116" s="3" t="s">
        <v>87</v>
      </c>
      <c r="D116" s="3" t="s">
        <v>127</v>
      </c>
      <c r="E116" s="3" t="s">
        <v>339</v>
      </c>
      <c r="F116" s="3" t="s">
        <v>340</v>
      </c>
      <c r="G116" s="11" t="s">
        <v>71</v>
      </c>
      <c r="H116" s="12"/>
      <c r="I116" s="17"/>
      <c r="J116" s="11" t="s">
        <v>71</v>
      </c>
      <c r="K116" s="12"/>
      <c r="L116" s="3" t="s">
        <v>498</v>
      </c>
      <c r="M116" s="12"/>
      <c r="N116" s="12"/>
      <c r="O116" s="12"/>
      <c r="P116" s="4">
        <v>5749750221</v>
      </c>
      <c r="Q116" s="5">
        <v>9159192518</v>
      </c>
      <c r="R116" s="3" t="s">
        <v>946</v>
      </c>
      <c r="S116" s="14">
        <v>50</v>
      </c>
      <c r="T116" s="3" t="s">
        <v>1024</v>
      </c>
      <c r="U116" s="3" t="s">
        <v>1056</v>
      </c>
      <c r="V116" s="12"/>
      <c r="W116" s="12"/>
      <c r="X116" s="7">
        <f t="shared" si="14"/>
        <v>72</v>
      </c>
      <c r="Y116" s="7">
        <f t="shared" si="15"/>
        <v>5</v>
      </c>
      <c r="Z116" s="7">
        <f t="shared" si="16"/>
        <v>77</v>
      </c>
      <c r="AA116" s="37">
        <v>5</v>
      </c>
      <c r="AB116" s="33">
        <f t="shared" si="17"/>
        <v>5</v>
      </c>
      <c r="AC116" s="8">
        <f t="shared" si="18"/>
        <v>16.666666666666668</v>
      </c>
      <c r="AD116" s="7">
        <f t="shared" si="19"/>
        <v>8</v>
      </c>
      <c r="AE116" s="34">
        <v>22</v>
      </c>
      <c r="AF116" s="12">
        <v>7</v>
      </c>
      <c r="AG116" s="38">
        <v>23</v>
      </c>
      <c r="AH116" s="32">
        <v>1</v>
      </c>
      <c r="AI116" s="37">
        <f t="shared" si="22"/>
        <v>23.083333333333332</v>
      </c>
      <c r="AJ116" s="37">
        <f t="shared" si="23"/>
        <v>1</v>
      </c>
      <c r="AK116" s="7">
        <f t="shared" si="24"/>
        <v>277</v>
      </c>
      <c r="AL116" s="7">
        <f t="shared" si="13"/>
        <v>200</v>
      </c>
      <c r="AM116" s="13"/>
      <c r="AN116" s="11" t="s">
        <v>71</v>
      </c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X116" s="13"/>
      <c r="BY116" s="13"/>
      <c r="BZ116" s="13"/>
      <c r="CA116" s="13"/>
      <c r="CB116" s="13"/>
      <c r="CC116" s="11" t="s">
        <v>71</v>
      </c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22" t="s">
        <v>1383</v>
      </c>
      <c r="CS116" s="20">
        <v>4</v>
      </c>
      <c r="CT116" s="20">
        <v>377825416</v>
      </c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</row>
    <row r="117" spans="1:108" ht="24.95" hidden="1" customHeight="1" x14ac:dyDescent="0.2">
      <c r="A117" s="3">
        <v>113</v>
      </c>
      <c r="B117" s="3" t="s">
        <v>1448</v>
      </c>
      <c r="C117" s="3" t="s">
        <v>84</v>
      </c>
      <c r="D117" s="3" t="s">
        <v>138</v>
      </c>
      <c r="E117" s="3" t="s">
        <v>341</v>
      </c>
      <c r="F117" s="3" t="s">
        <v>107</v>
      </c>
      <c r="G117" s="11" t="s">
        <v>71</v>
      </c>
      <c r="H117" s="12"/>
      <c r="I117" s="17"/>
      <c r="J117" s="11" t="s">
        <v>71</v>
      </c>
      <c r="K117" s="12"/>
      <c r="L117" s="3" t="s">
        <v>492</v>
      </c>
      <c r="M117" s="12"/>
      <c r="N117" s="12"/>
      <c r="O117" s="12"/>
      <c r="P117" s="4" t="s">
        <v>619</v>
      </c>
      <c r="Q117" s="5" t="s">
        <v>778</v>
      </c>
      <c r="R117" s="3" t="s">
        <v>947</v>
      </c>
      <c r="S117" s="14">
        <v>41</v>
      </c>
      <c r="T117" s="3" t="s">
        <v>1039</v>
      </c>
      <c r="U117" s="3"/>
      <c r="V117" s="12"/>
      <c r="W117" s="12"/>
      <c r="X117" s="7">
        <f t="shared" si="14"/>
        <v>24</v>
      </c>
      <c r="Y117" s="7">
        <f t="shared" si="15"/>
        <v>14</v>
      </c>
      <c r="Z117" s="7">
        <f t="shared" si="16"/>
        <v>38</v>
      </c>
      <c r="AA117" s="37">
        <v>4</v>
      </c>
      <c r="AB117" s="33">
        <f t="shared" si="17"/>
        <v>2</v>
      </c>
      <c r="AC117" s="8">
        <f t="shared" si="18"/>
        <v>5</v>
      </c>
      <c r="AD117" s="7">
        <f t="shared" si="19"/>
        <v>0</v>
      </c>
      <c r="AE117" s="34">
        <v>7</v>
      </c>
      <c r="AF117" s="12">
        <v>8</v>
      </c>
      <c r="AG117" s="38">
        <f t="shared" si="20"/>
        <v>9</v>
      </c>
      <c r="AH117" s="32">
        <f t="shared" si="21"/>
        <v>2</v>
      </c>
      <c r="AI117" s="37">
        <f t="shared" si="22"/>
        <v>8.1666666666666661</v>
      </c>
      <c r="AJ117" s="37">
        <f t="shared" si="23"/>
        <v>2</v>
      </c>
      <c r="AK117" s="7">
        <f t="shared" si="24"/>
        <v>98</v>
      </c>
      <c r="AL117" s="7">
        <f t="shared" si="13"/>
        <v>60</v>
      </c>
      <c r="AM117" s="13"/>
      <c r="AN117" s="11" t="s">
        <v>71</v>
      </c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X117" s="13"/>
      <c r="BY117" s="13"/>
      <c r="BZ117" s="13"/>
      <c r="CA117" s="13"/>
      <c r="CB117" s="13"/>
      <c r="CC117" s="11" t="s">
        <v>71</v>
      </c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22" t="s">
        <v>1422</v>
      </c>
      <c r="CS117" s="20">
        <v>6</v>
      </c>
      <c r="CT117" s="20">
        <v>370708155</v>
      </c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</row>
    <row r="118" spans="1:108" ht="24.95" hidden="1" customHeight="1" x14ac:dyDescent="0.2">
      <c r="A118" s="3">
        <v>114</v>
      </c>
      <c r="B118" s="3" t="s">
        <v>1448</v>
      </c>
      <c r="C118" s="3" t="s">
        <v>84</v>
      </c>
      <c r="D118" s="3" t="s">
        <v>100</v>
      </c>
      <c r="E118" s="3" t="s">
        <v>341</v>
      </c>
      <c r="F118" s="3" t="s">
        <v>111</v>
      </c>
      <c r="G118" s="11" t="s">
        <v>71</v>
      </c>
      <c r="H118" s="12"/>
      <c r="I118" s="17"/>
      <c r="J118" s="11" t="s">
        <v>71</v>
      </c>
      <c r="K118" s="12"/>
      <c r="L118" s="3" t="s">
        <v>492</v>
      </c>
      <c r="M118" s="12"/>
      <c r="N118" s="12"/>
      <c r="O118" s="12"/>
      <c r="P118" s="4" t="s">
        <v>620</v>
      </c>
      <c r="Q118" s="5" t="s">
        <v>779</v>
      </c>
      <c r="R118" s="3" t="s">
        <v>948</v>
      </c>
      <c r="S118" s="14">
        <v>55</v>
      </c>
      <c r="T118" s="3" t="s">
        <v>1026</v>
      </c>
      <c r="U118" s="3"/>
      <c r="V118" s="12"/>
      <c r="W118" s="12"/>
      <c r="X118" s="7">
        <f t="shared" si="14"/>
        <v>24</v>
      </c>
      <c r="Y118" s="7">
        <f t="shared" si="15"/>
        <v>14</v>
      </c>
      <c r="Z118" s="7">
        <f t="shared" si="16"/>
        <v>38</v>
      </c>
      <c r="AA118" s="37">
        <f t="shared" si="25"/>
        <v>3.1666666666666665</v>
      </c>
      <c r="AB118" s="33">
        <f t="shared" si="17"/>
        <v>2</v>
      </c>
      <c r="AC118" s="8">
        <f t="shared" si="18"/>
        <v>21.666666666666668</v>
      </c>
      <c r="AD118" s="7">
        <f t="shared" si="19"/>
        <v>8</v>
      </c>
      <c r="AE118" s="34">
        <v>24</v>
      </c>
      <c r="AF118" s="12">
        <v>4</v>
      </c>
      <c r="AG118" s="38">
        <f t="shared" si="20"/>
        <v>24.833333333333336</v>
      </c>
      <c r="AH118" s="32">
        <f t="shared" si="21"/>
        <v>10</v>
      </c>
      <c r="AI118" s="37">
        <f t="shared" si="22"/>
        <v>24.833333333333332</v>
      </c>
      <c r="AJ118" s="37">
        <f t="shared" si="23"/>
        <v>10</v>
      </c>
      <c r="AK118" s="7">
        <f t="shared" si="24"/>
        <v>298</v>
      </c>
      <c r="AL118" s="7">
        <f t="shared" si="13"/>
        <v>260</v>
      </c>
      <c r="AM118" s="13"/>
      <c r="AN118" s="11" t="s">
        <v>71</v>
      </c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X118" s="13"/>
      <c r="BY118" s="13"/>
      <c r="BZ118" s="13"/>
      <c r="CA118" s="13"/>
      <c r="CB118" s="13"/>
      <c r="CC118" s="11" t="s">
        <v>71</v>
      </c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22" t="s">
        <v>1383</v>
      </c>
      <c r="CS118" s="20">
        <v>4</v>
      </c>
      <c r="CT118" s="20">
        <v>335117257</v>
      </c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</row>
    <row r="119" spans="1:108" ht="24.95" hidden="1" customHeight="1" x14ac:dyDescent="0.2">
      <c r="A119" s="3">
        <v>115</v>
      </c>
      <c r="B119" s="3" t="s">
        <v>1448</v>
      </c>
      <c r="C119" s="3" t="s">
        <v>83</v>
      </c>
      <c r="D119" s="3" t="s">
        <v>97</v>
      </c>
      <c r="E119" s="3" t="s">
        <v>342</v>
      </c>
      <c r="F119" s="3" t="s">
        <v>181</v>
      </c>
      <c r="G119" s="11" t="s">
        <v>71</v>
      </c>
      <c r="H119" s="12"/>
      <c r="I119" s="17"/>
      <c r="J119" s="11" t="s">
        <v>71</v>
      </c>
      <c r="K119" s="12"/>
      <c r="L119" s="3" t="s">
        <v>492</v>
      </c>
      <c r="M119" s="12"/>
      <c r="N119" s="12"/>
      <c r="O119" s="12"/>
      <c r="P119" s="4" t="s">
        <v>621</v>
      </c>
      <c r="Q119" s="5" t="s">
        <v>780</v>
      </c>
      <c r="R119" s="3" t="s">
        <v>949</v>
      </c>
      <c r="S119" s="14">
        <v>35</v>
      </c>
      <c r="T119" s="3" t="s">
        <v>75</v>
      </c>
      <c r="U119" s="3" t="s">
        <v>1107</v>
      </c>
      <c r="V119" s="12"/>
      <c r="W119" s="12"/>
      <c r="X119" s="7">
        <f t="shared" si="14"/>
        <v>24</v>
      </c>
      <c r="Y119" s="7">
        <f t="shared" si="15"/>
        <v>14</v>
      </c>
      <c r="Z119" s="7">
        <f t="shared" si="16"/>
        <v>38</v>
      </c>
      <c r="AA119" s="37">
        <f t="shared" si="25"/>
        <v>3.1666666666666665</v>
      </c>
      <c r="AB119" s="33">
        <f t="shared" si="17"/>
        <v>2</v>
      </c>
      <c r="AC119" s="8">
        <f t="shared" si="18"/>
        <v>4</v>
      </c>
      <c r="AD119" s="7">
        <f t="shared" si="19"/>
        <v>0</v>
      </c>
      <c r="AE119" s="34">
        <v>6</v>
      </c>
      <c r="AF119" s="12">
        <v>8</v>
      </c>
      <c r="AG119" s="38">
        <f t="shared" si="20"/>
        <v>7.1666666666666661</v>
      </c>
      <c r="AH119" s="32">
        <f t="shared" si="21"/>
        <v>2</v>
      </c>
      <c r="AI119" s="37">
        <f t="shared" si="22"/>
        <v>7.166666666666667</v>
      </c>
      <c r="AJ119" s="37">
        <f t="shared" si="23"/>
        <v>2</v>
      </c>
      <c r="AK119" s="7">
        <f t="shared" si="24"/>
        <v>86</v>
      </c>
      <c r="AL119" s="7">
        <f t="shared" si="13"/>
        <v>48</v>
      </c>
      <c r="AM119" s="13"/>
      <c r="AN119" s="11" t="s">
        <v>71</v>
      </c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1" t="s">
        <v>71</v>
      </c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22" t="s">
        <v>1381</v>
      </c>
      <c r="CS119" s="20">
        <v>6</v>
      </c>
      <c r="CT119" s="20">
        <v>385286200</v>
      </c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</row>
    <row r="120" spans="1:108" ht="24.95" hidden="1" customHeight="1" x14ac:dyDescent="0.2">
      <c r="A120" s="3">
        <v>116</v>
      </c>
      <c r="B120" s="3" t="s">
        <v>1448</v>
      </c>
      <c r="C120" s="3" t="s">
        <v>83</v>
      </c>
      <c r="D120" s="3" t="s">
        <v>138</v>
      </c>
      <c r="E120" s="3" t="s">
        <v>343</v>
      </c>
      <c r="F120" s="3" t="s">
        <v>344</v>
      </c>
      <c r="G120" s="11" t="s">
        <v>71</v>
      </c>
      <c r="H120" s="12"/>
      <c r="I120" s="17"/>
      <c r="J120" s="11" t="s">
        <v>71</v>
      </c>
      <c r="K120" s="12"/>
      <c r="L120" s="3" t="s">
        <v>492</v>
      </c>
      <c r="M120" s="12"/>
      <c r="N120" s="12"/>
      <c r="O120" s="12"/>
      <c r="P120" s="4" t="s">
        <v>622</v>
      </c>
      <c r="Q120" s="5" t="s">
        <v>781</v>
      </c>
      <c r="R120" s="3" t="s">
        <v>950</v>
      </c>
      <c r="S120" s="14">
        <v>34</v>
      </c>
      <c r="T120" s="3" t="s">
        <v>75</v>
      </c>
      <c r="U120" s="3" t="s">
        <v>1057</v>
      </c>
      <c r="V120" s="12"/>
      <c r="W120" s="12"/>
      <c r="X120" s="7">
        <f t="shared" si="14"/>
        <v>24</v>
      </c>
      <c r="Y120" s="7">
        <f t="shared" si="15"/>
        <v>14</v>
      </c>
      <c r="Z120" s="7">
        <f t="shared" si="16"/>
        <v>38</v>
      </c>
      <c r="AA120" s="37">
        <v>3</v>
      </c>
      <c r="AB120" s="33">
        <f t="shared" si="17"/>
        <v>2</v>
      </c>
      <c r="AC120" s="8">
        <f t="shared" si="18"/>
        <v>1.25</v>
      </c>
      <c r="AD120" s="7">
        <f t="shared" si="19"/>
        <v>3</v>
      </c>
      <c r="AE120" s="34">
        <v>3</v>
      </c>
      <c r="AF120" s="12">
        <v>11</v>
      </c>
      <c r="AG120" s="38">
        <f t="shared" si="20"/>
        <v>4.25</v>
      </c>
      <c r="AH120" s="32">
        <f t="shared" si="21"/>
        <v>5</v>
      </c>
      <c r="AI120" s="37">
        <f t="shared" si="22"/>
        <v>4.416666666666667</v>
      </c>
      <c r="AJ120" s="37">
        <f t="shared" si="23"/>
        <v>5</v>
      </c>
      <c r="AK120" s="7">
        <f t="shared" si="24"/>
        <v>53</v>
      </c>
      <c r="AL120" s="7">
        <f t="shared" si="13"/>
        <v>15</v>
      </c>
      <c r="AM120" s="13"/>
      <c r="AN120" s="11" t="s">
        <v>71</v>
      </c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1" t="s">
        <v>71</v>
      </c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22" t="s">
        <v>1380</v>
      </c>
      <c r="CS120" s="20">
        <v>4</v>
      </c>
      <c r="CT120" s="20">
        <v>349241780</v>
      </c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</row>
    <row r="121" spans="1:108" ht="24.95" customHeight="1" x14ac:dyDescent="0.2">
      <c r="A121" s="3">
        <v>117</v>
      </c>
      <c r="B121" s="3" t="s">
        <v>1448</v>
      </c>
      <c r="C121" s="3" t="s">
        <v>87</v>
      </c>
      <c r="D121" s="3" t="s">
        <v>154</v>
      </c>
      <c r="E121" s="3" t="s">
        <v>345</v>
      </c>
      <c r="F121" s="3" t="s">
        <v>346</v>
      </c>
      <c r="G121" s="11" t="s">
        <v>71</v>
      </c>
      <c r="H121" s="12"/>
      <c r="I121" s="17"/>
      <c r="J121" s="11" t="s">
        <v>71</v>
      </c>
      <c r="K121" s="12"/>
      <c r="L121" s="3" t="s">
        <v>492</v>
      </c>
      <c r="M121" s="12"/>
      <c r="N121" s="12"/>
      <c r="O121" s="12"/>
      <c r="P121" s="4" t="s">
        <v>623</v>
      </c>
      <c r="Q121" s="5" t="s">
        <v>782</v>
      </c>
      <c r="R121" s="3" t="s">
        <v>951</v>
      </c>
      <c r="S121" s="14">
        <v>30</v>
      </c>
      <c r="T121" s="3" t="s">
        <v>75</v>
      </c>
      <c r="U121" s="3" t="s">
        <v>1108</v>
      </c>
      <c r="V121" s="12"/>
      <c r="W121" s="12"/>
      <c r="X121" s="7">
        <f t="shared" si="14"/>
        <v>24</v>
      </c>
      <c r="Y121" s="7">
        <f t="shared" si="15"/>
        <v>14</v>
      </c>
      <c r="Z121" s="7">
        <f t="shared" si="16"/>
        <v>38</v>
      </c>
      <c r="AA121" s="37">
        <v>4</v>
      </c>
      <c r="AB121" s="33">
        <f t="shared" si="17"/>
        <v>2</v>
      </c>
      <c r="AC121" s="8">
        <f t="shared" si="18"/>
        <v>1.3333333333333333</v>
      </c>
      <c r="AD121" s="7">
        <f t="shared" si="19"/>
        <v>4</v>
      </c>
      <c r="AE121" s="34">
        <v>4</v>
      </c>
      <c r="AF121" s="12"/>
      <c r="AG121" s="38">
        <f t="shared" si="20"/>
        <v>5.333333333333333</v>
      </c>
      <c r="AH121" s="32">
        <f t="shared" si="21"/>
        <v>6</v>
      </c>
      <c r="AI121" s="37">
        <f t="shared" si="22"/>
        <v>4.5</v>
      </c>
      <c r="AJ121" s="37">
        <f t="shared" si="23"/>
        <v>6</v>
      </c>
      <c r="AK121" s="7">
        <f t="shared" si="24"/>
        <v>54</v>
      </c>
      <c r="AL121" s="7">
        <f t="shared" si="13"/>
        <v>16</v>
      </c>
      <c r="AM121" s="13"/>
      <c r="AN121" s="11" t="s">
        <v>71</v>
      </c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X121" s="13"/>
      <c r="BY121" s="13"/>
      <c r="BZ121" s="13"/>
      <c r="CA121" s="13"/>
      <c r="CB121" s="13"/>
      <c r="CC121" s="11" t="s">
        <v>71</v>
      </c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22" t="s">
        <v>1412</v>
      </c>
      <c r="CS121" s="20">
        <v>6</v>
      </c>
      <c r="CT121" s="20">
        <v>353756221</v>
      </c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</row>
    <row r="122" spans="1:108" ht="24.95" customHeight="1" x14ac:dyDescent="0.2">
      <c r="A122" s="3">
        <v>118</v>
      </c>
      <c r="B122" s="3" t="s">
        <v>1448</v>
      </c>
      <c r="C122" s="3" t="s">
        <v>87</v>
      </c>
      <c r="D122" s="3" t="s">
        <v>140</v>
      </c>
      <c r="E122" s="3" t="s">
        <v>347</v>
      </c>
      <c r="F122" s="3" t="s">
        <v>323</v>
      </c>
      <c r="G122" s="11" t="s">
        <v>71</v>
      </c>
      <c r="H122" s="12"/>
      <c r="J122" s="11" t="s">
        <v>71</v>
      </c>
      <c r="K122" s="12"/>
      <c r="L122" s="3" t="s">
        <v>498</v>
      </c>
      <c r="M122" s="12"/>
      <c r="N122" s="12"/>
      <c r="O122" s="12"/>
      <c r="P122" s="4" t="s">
        <v>624</v>
      </c>
      <c r="Q122" s="5" t="s">
        <v>783</v>
      </c>
      <c r="R122" s="3" t="s">
        <v>952</v>
      </c>
      <c r="S122" s="14">
        <v>43</v>
      </c>
      <c r="T122" s="3" t="s">
        <v>1038</v>
      </c>
      <c r="U122" s="3" t="s">
        <v>1062</v>
      </c>
      <c r="V122" s="12"/>
      <c r="W122" s="12"/>
      <c r="X122" s="7">
        <f t="shared" si="14"/>
        <v>72</v>
      </c>
      <c r="Y122" s="7">
        <f t="shared" si="15"/>
        <v>5</v>
      </c>
      <c r="Z122" s="7">
        <f t="shared" si="16"/>
        <v>77</v>
      </c>
      <c r="AA122" s="37">
        <v>5</v>
      </c>
      <c r="AB122" s="33">
        <f t="shared" si="17"/>
        <v>5</v>
      </c>
      <c r="AC122" s="8">
        <f t="shared" si="18"/>
        <v>10.25</v>
      </c>
      <c r="AD122" s="7">
        <f t="shared" si="19"/>
        <v>3</v>
      </c>
      <c r="AE122" s="34">
        <v>16</v>
      </c>
      <c r="AF122" s="12">
        <v>2</v>
      </c>
      <c r="AG122" s="38">
        <f t="shared" si="20"/>
        <v>15.25</v>
      </c>
      <c r="AH122" s="32">
        <f t="shared" si="21"/>
        <v>8</v>
      </c>
      <c r="AI122" s="37">
        <f t="shared" si="22"/>
        <v>16.666666666666668</v>
      </c>
      <c r="AJ122" s="37">
        <f t="shared" si="23"/>
        <v>8</v>
      </c>
      <c r="AK122" s="7">
        <f t="shared" si="24"/>
        <v>200</v>
      </c>
      <c r="AL122" s="7">
        <f t="shared" si="13"/>
        <v>123</v>
      </c>
      <c r="AM122" s="13"/>
      <c r="AN122" s="11" t="s">
        <v>71</v>
      </c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X122" s="13"/>
      <c r="BY122" s="13"/>
      <c r="BZ122" s="13"/>
      <c r="CA122" s="13"/>
      <c r="CB122" s="13"/>
      <c r="CC122" s="11" t="s">
        <v>71</v>
      </c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22" t="s">
        <v>1380</v>
      </c>
      <c r="CS122" s="20">
        <v>4</v>
      </c>
      <c r="CT122" s="20">
        <v>341617981</v>
      </c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</row>
    <row r="123" spans="1:108" ht="24.95" hidden="1" customHeight="1" x14ac:dyDescent="0.2">
      <c r="A123" s="3">
        <v>119</v>
      </c>
      <c r="B123" s="3" t="s">
        <v>1448</v>
      </c>
      <c r="C123" s="3" t="s">
        <v>85</v>
      </c>
      <c r="D123" s="3" t="s">
        <v>348</v>
      </c>
      <c r="E123" s="3" t="s">
        <v>349</v>
      </c>
      <c r="F123" s="3" t="s">
        <v>350</v>
      </c>
      <c r="G123" s="11" t="s">
        <v>71</v>
      </c>
      <c r="H123" s="12"/>
      <c r="I123" s="11" t="s">
        <v>71</v>
      </c>
      <c r="K123" s="12"/>
      <c r="L123" s="3" t="s">
        <v>492</v>
      </c>
      <c r="M123" s="12"/>
      <c r="N123" s="12"/>
      <c r="O123" s="12"/>
      <c r="P123" s="4" t="s">
        <v>625</v>
      </c>
      <c r="Q123" s="5" t="s">
        <v>784</v>
      </c>
      <c r="R123" s="3" t="s">
        <v>862</v>
      </c>
      <c r="S123" s="14">
        <v>37</v>
      </c>
      <c r="T123" s="3" t="s">
        <v>1040</v>
      </c>
      <c r="U123" s="3" t="s">
        <v>1109</v>
      </c>
      <c r="V123" s="12"/>
      <c r="W123" s="12"/>
      <c r="X123" s="7">
        <f t="shared" si="14"/>
        <v>24</v>
      </c>
      <c r="Y123" s="7">
        <f t="shared" si="15"/>
        <v>14</v>
      </c>
      <c r="Z123" s="7">
        <f t="shared" si="16"/>
        <v>38</v>
      </c>
      <c r="AA123" s="37">
        <v>4</v>
      </c>
      <c r="AB123" s="33">
        <f t="shared" si="17"/>
        <v>2</v>
      </c>
      <c r="AC123" s="8">
        <f t="shared" si="18"/>
        <v>4.5</v>
      </c>
      <c r="AD123" s="7">
        <f t="shared" si="19"/>
        <v>6</v>
      </c>
      <c r="AE123" s="34">
        <v>7</v>
      </c>
      <c r="AF123" s="12">
        <v>2</v>
      </c>
      <c r="AG123" s="38">
        <f t="shared" si="20"/>
        <v>8.5</v>
      </c>
      <c r="AH123" s="32">
        <f t="shared" si="21"/>
        <v>8</v>
      </c>
      <c r="AI123" s="37">
        <f t="shared" si="22"/>
        <v>7.666666666666667</v>
      </c>
      <c r="AJ123" s="37">
        <f t="shared" si="23"/>
        <v>8</v>
      </c>
      <c r="AK123" s="7">
        <f t="shared" si="24"/>
        <v>92</v>
      </c>
      <c r="AL123" s="7">
        <f t="shared" si="13"/>
        <v>54</v>
      </c>
      <c r="AM123" s="13"/>
      <c r="AN123" s="11" t="s">
        <v>71</v>
      </c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1" t="s">
        <v>71</v>
      </c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22" t="s">
        <v>1380</v>
      </c>
      <c r="CS123" s="20">
        <v>4</v>
      </c>
      <c r="CT123" s="20">
        <v>328987516</v>
      </c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</row>
    <row r="124" spans="1:108" ht="24.95" hidden="1" customHeight="1" x14ac:dyDescent="0.2">
      <c r="A124" s="3">
        <v>120</v>
      </c>
      <c r="B124" s="3" t="s">
        <v>1448</v>
      </c>
      <c r="C124" s="3" t="s">
        <v>83</v>
      </c>
      <c r="D124" s="3" t="s">
        <v>351</v>
      </c>
      <c r="E124" s="3" t="s">
        <v>352</v>
      </c>
      <c r="F124" s="3" t="s">
        <v>137</v>
      </c>
      <c r="G124" s="11" t="s">
        <v>71</v>
      </c>
      <c r="H124" s="12"/>
      <c r="I124" s="17"/>
      <c r="J124" s="11" t="s">
        <v>71</v>
      </c>
      <c r="K124" s="12"/>
      <c r="L124" s="3" t="s">
        <v>492</v>
      </c>
      <c r="M124" s="12"/>
      <c r="N124" s="12"/>
      <c r="O124" s="12"/>
      <c r="P124" s="4" t="s">
        <v>626</v>
      </c>
      <c r="Q124" s="5" t="s">
        <v>785</v>
      </c>
      <c r="R124" s="3" t="s">
        <v>953</v>
      </c>
      <c r="S124" s="14">
        <v>37</v>
      </c>
      <c r="T124" s="3" t="s">
        <v>1024</v>
      </c>
      <c r="U124" s="3" t="s">
        <v>1110</v>
      </c>
      <c r="V124" s="12"/>
      <c r="W124" s="12"/>
      <c r="X124" s="7">
        <f t="shared" si="14"/>
        <v>24</v>
      </c>
      <c r="Y124" s="7">
        <f t="shared" si="15"/>
        <v>14</v>
      </c>
      <c r="Z124" s="7">
        <f t="shared" si="16"/>
        <v>38</v>
      </c>
      <c r="AA124" s="37">
        <v>4</v>
      </c>
      <c r="AB124" s="33">
        <f t="shared" si="17"/>
        <v>2</v>
      </c>
      <c r="AC124" s="8">
        <f t="shared" si="18"/>
        <v>4.166666666666667</v>
      </c>
      <c r="AD124" s="7">
        <f t="shared" si="19"/>
        <v>2</v>
      </c>
      <c r="AE124" s="34">
        <v>6</v>
      </c>
      <c r="AF124" s="12">
        <v>10</v>
      </c>
      <c r="AG124" s="38">
        <f t="shared" si="20"/>
        <v>8.1666666666666679</v>
      </c>
      <c r="AH124" s="32">
        <f t="shared" si="21"/>
        <v>4</v>
      </c>
      <c r="AI124" s="37">
        <f t="shared" si="22"/>
        <v>7.333333333333333</v>
      </c>
      <c r="AJ124" s="37">
        <f t="shared" si="23"/>
        <v>4</v>
      </c>
      <c r="AK124" s="7">
        <f t="shared" si="24"/>
        <v>88</v>
      </c>
      <c r="AL124" s="7">
        <f t="shared" si="13"/>
        <v>50</v>
      </c>
      <c r="AM124" s="13"/>
      <c r="AN124" s="11" t="s">
        <v>71</v>
      </c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1" t="s">
        <v>71</v>
      </c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22" t="s">
        <v>1380</v>
      </c>
      <c r="CS124" s="20">
        <v>5</v>
      </c>
      <c r="CT124" s="20">
        <v>345309733</v>
      </c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</row>
    <row r="125" spans="1:108" ht="24.95" hidden="1" customHeight="1" x14ac:dyDescent="0.2">
      <c r="A125" s="3">
        <v>121</v>
      </c>
      <c r="B125" s="3" t="s">
        <v>1448</v>
      </c>
      <c r="C125" s="3" t="s">
        <v>83</v>
      </c>
      <c r="D125" s="3" t="s">
        <v>353</v>
      </c>
      <c r="E125" s="3" t="s">
        <v>354</v>
      </c>
      <c r="F125" s="3" t="s">
        <v>355</v>
      </c>
      <c r="G125" s="11" t="s">
        <v>71</v>
      </c>
      <c r="H125" s="12"/>
      <c r="I125" s="17"/>
      <c r="J125" s="11" t="s">
        <v>71</v>
      </c>
      <c r="K125" s="12"/>
      <c r="L125" s="3" t="s">
        <v>492</v>
      </c>
      <c r="M125" s="12"/>
      <c r="N125" s="12"/>
      <c r="O125" s="12"/>
      <c r="P125" s="4" t="s">
        <v>627</v>
      </c>
      <c r="Q125" s="5" t="s">
        <v>786</v>
      </c>
      <c r="R125" s="3" t="s">
        <v>954</v>
      </c>
      <c r="S125" s="14">
        <v>39</v>
      </c>
      <c r="T125" s="3" t="s">
        <v>75</v>
      </c>
      <c r="U125" s="3" t="s">
        <v>77</v>
      </c>
      <c r="V125" s="12"/>
      <c r="W125" s="12"/>
      <c r="X125" s="7">
        <f t="shared" si="14"/>
        <v>24</v>
      </c>
      <c r="Y125" s="7">
        <f t="shared" si="15"/>
        <v>14</v>
      </c>
      <c r="Z125" s="7">
        <f t="shared" si="16"/>
        <v>38</v>
      </c>
      <c r="AA125" s="37">
        <v>4</v>
      </c>
      <c r="AB125" s="33">
        <f t="shared" si="17"/>
        <v>2</v>
      </c>
      <c r="AC125" s="8">
        <f t="shared" si="18"/>
        <v>2.8333333333333335</v>
      </c>
      <c r="AD125" s="7">
        <f t="shared" si="19"/>
        <v>10</v>
      </c>
      <c r="AE125" s="34">
        <v>5</v>
      </c>
      <c r="AF125" s="12">
        <v>6</v>
      </c>
      <c r="AG125" s="38">
        <f t="shared" si="20"/>
        <v>6.8333333333333339</v>
      </c>
      <c r="AH125" s="32">
        <f t="shared" si="21"/>
        <v>12</v>
      </c>
      <c r="AI125" s="37">
        <f t="shared" si="22"/>
        <v>6</v>
      </c>
      <c r="AJ125" s="37">
        <f t="shared" si="23"/>
        <v>0</v>
      </c>
      <c r="AK125" s="7">
        <f t="shared" si="24"/>
        <v>72</v>
      </c>
      <c r="AL125" s="7">
        <f t="shared" si="13"/>
        <v>34</v>
      </c>
      <c r="AM125" s="13"/>
      <c r="AN125" s="11" t="s">
        <v>71</v>
      </c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X125" s="13"/>
      <c r="BY125" s="13"/>
      <c r="BZ125" s="13"/>
      <c r="CA125" s="13"/>
      <c r="CB125" s="13"/>
      <c r="CC125" s="11" t="s">
        <v>71</v>
      </c>
      <c r="CD125" s="13"/>
      <c r="CE125" s="13"/>
      <c r="CF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22" t="s">
        <v>1380</v>
      </c>
      <c r="CS125" s="20">
        <v>4</v>
      </c>
      <c r="CT125" s="20">
        <v>352545151</v>
      </c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</row>
    <row r="126" spans="1:108" ht="24.95" hidden="1" customHeight="1" x14ac:dyDescent="0.2">
      <c r="A126" s="3">
        <v>122</v>
      </c>
      <c r="B126" s="3" t="s">
        <v>1448</v>
      </c>
      <c r="C126" s="3" t="s">
        <v>89</v>
      </c>
      <c r="D126" s="3" t="s">
        <v>163</v>
      </c>
      <c r="E126" s="3" t="s">
        <v>356</v>
      </c>
      <c r="F126" s="3" t="s">
        <v>357</v>
      </c>
      <c r="G126" s="11" t="s">
        <v>71</v>
      </c>
      <c r="H126" s="12"/>
      <c r="I126" s="17"/>
      <c r="J126" s="11" t="s">
        <v>71</v>
      </c>
      <c r="K126" s="12"/>
      <c r="L126" s="3" t="s">
        <v>477</v>
      </c>
      <c r="M126" s="12"/>
      <c r="N126" s="12"/>
      <c r="O126" s="12"/>
      <c r="P126" s="4" t="s">
        <v>628</v>
      </c>
      <c r="Q126" s="5">
        <v>9358885447</v>
      </c>
      <c r="R126" s="3" t="s">
        <v>955</v>
      </c>
      <c r="S126" s="14">
        <v>41</v>
      </c>
      <c r="T126" s="3" t="s">
        <v>1034</v>
      </c>
      <c r="U126" s="3" t="s">
        <v>1111</v>
      </c>
      <c r="V126" s="12"/>
      <c r="W126" s="12"/>
      <c r="X126" s="7">
        <f t="shared" si="14"/>
        <v>132</v>
      </c>
      <c r="Y126" s="7">
        <f t="shared" si="15"/>
        <v>16</v>
      </c>
      <c r="Z126" s="7">
        <f t="shared" si="16"/>
        <v>148</v>
      </c>
      <c r="AA126" s="37">
        <f t="shared" si="25"/>
        <v>12.333333333333334</v>
      </c>
      <c r="AB126" s="33">
        <f t="shared" si="17"/>
        <v>4</v>
      </c>
      <c r="AC126" s="8">
        <f t="shared" si="18"/>
        <v>1.9166666666666667</v>
      </c>
      <c r="AD126" s="7">
        <f t="shared" si="19"/>
        <v>11</v>
      </c>
      <c r="AE126" s="34">
        <v>13</v>
      </c>
      <c r="AF126" s="12">
        <v>9</v>
      </c>
      <c r="AG126" s="38">
        <v>15</v>
      </c>
      <c r="AH126" s="32">
        <v>3</v>
      </c>
      <c r="AI126" s="37">
        <f t="shared" si="22"/>
        <v>14.25</v>
      </c>
      <c r="AJ126" s="37">
        <f t="shared" si="23"/>
        <v>3</v>
      </c>
      <c r="AK126" s="7">
        <f t="shared" si="24"/>
        <v>171</v>
      </c>
      <c r="AL126" s="7">
        <f t="shared" si="13"/>
        <v>23</v>
      </c>
      <c r="AM126" s="13"/>
      <c r="AN126" s="11" t="s">
        <v>71</v>
      </c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1" t="s">
        <v>71</v>
      </c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22" t="s">
        <v>1435</v>
      </c>
      <c r="CS126" s="21">
        <v>13</v>
      </c>
      <c r="CT126" s="20">
        <v>488452386</v>
      </c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</row>
    <row r="127" spans="1:108" ht="24.95" hidden="1" customHeight="1" x14ac:dyDescent="0.2">
      <c r="A127" s="3">
        <v>123</v>
      </c>
      <c r="B127" s="3" t="s">
        <v>1448</v>
      </c>
      <c r="C127" s="3" t="s">
        <v>83</v>
      </c>
      <c r="D127" s="3" t="s">
        <v>152</v>
      </c>
      <c r="E127" s="3" t="s">
        <v>358</v>
      </c>
      <c r="F127" s="3" t="s">
        <v>359</v>
      </c>
      <c r="G127" s="11" t="s">
        <v>71</v>
      </c>
      <c r="H127" s="12"/>
      <c r="I127" s="17"/>
      <c r="J127" s="11" t="s">
        <v>71</v>
      </c>
      <c r="K127" s="12"/>
      <c r="L127" s="3" t="s">
        <v>492</v>
      </c>
      <c r="M127" s="12"/>
      <c r="N127" s="12"/>
      <c r="O127" s="12"/>
      <c r="P127" s="4" t="s">
        <v>629</v>
      </c>
      <c r="Q127" s="5" t="s">
        <v>787</v>
      </c>
      <c r="R127" s="3" t="s">
        <v>956</v>
      </c>
      <c r="S127" s="14">
        <v>31</v>
      </c>
      <c r="T127" s="3" t="s">
        <v>75</v>
      </c>
      <c r="U127" s="3" t="s">
        <v>77</v>
      </c>
      <c r="V127" s="12"/>
      <c r="W127" s="12"/>
      <c r="X127" s="7">
        <f t="shared" si="14"/>
        <v>24</v>
      </c>
      <c r="Y127" s="7">
        <f t="shared" si="15"/>
        <v>14</v>
      </c>
      <c r="Z127" s="7">
        <f t="shared" si="16"/>
        <v>38</v>
      </c>
      <c r="AA127" s="37">
        <v>4</v>
      </c>
      <c r="AB127" s="33">
        <f t="shared" si="17"/>
        <v>2</v>
      </c>
      <c r="AC127" s="8">
        <f t="shared" si="18"/>
        <v>1.4166666666666667</v>
      </c>
      <c r="AD127" s="7">
        <f t="shared" si="19"/>
        <v>5</v>
      </c>
      <c r="AE127" s="34">
        <v>4</v>
      </c>
      <c r="AF127" s="12">
        <v>1</v>
      </c>
      <c r="AG127" s="38">
        <f t="shared" si="20"/>
        <v>5.416666666666667</v>
      </c>
      <c r="AH127" s="32">
        <f t="shared" si="21"/>
        <v>7</v>
      </c>
      <c r="AI127" s="37">
        <f t="shared" si="22"/>
        <v>4.583333333333333</v>
      </c>
      <c r="AJ127" s="37">
        <f t="shared" si="23"/>
        <v>7</v>
      </c>
      <c r="AK127" s="7">
        <f t="shared" si="24"/>
        <v>55</v>
      </c>
      <c r="AL127" s="7">
        <f t="shared" si="13"/>
        <v>17</v>
      </c>
      <c r="AM127" s="13"/>
      <c r="AN127" s="11" t="s">
        <v>71</v>
      </c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X127" s="13"/>
      <c r="BY127" s="13"/>
      <c r="BZ127" s="13"/>
      <c r="CA127" s="13"/>
      <c r="CB127" s="13"/>
      <c r="CC127" s="11" t="s">
        <v>71</v>
      </c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22" t="s">
        <v>1391</v>
      </c>
      <c r="CS127" s="20">
        <v>6</v>
      </c>
      <c r="CT127" s="20">
        <v>343779849</v>
      </c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</row>
    <row r="128" spans="1:108" ht="24.95" hidden="1" customHeight="1" x14ac:dyDescent="0.2">
      <c r="A128" s="3">
        <v>124</v>
      </c>
      <c r="B128" s="3" t="s">
        <v>1448</v>
      </c>
      <c r="C128" s="3" t="s">
        <v>83</v>
      </c>
      <c r="D128" s="3" t="s">
        <v>186</v>
      </c>
      <c r="E128" s="3" t="s">
        <v>360</v>
      </c>
      <c r="F128" s="3" t="s">
        <v>245</v>
      </c>
      <c r="G128" s="11" t="s">
        <v>71</v>
      </c>
      <c r="H128" s="12"/>
      <c r="I128" s="17"/>
      <c r="J128" s="11" t="s">
        <v>71</v>
      </c>
      <c r="K128" s="12"/>
      <c r="L128" s="3" t="s">
        <v>492</v>
      </c>
      <c r="M128" s="12"/>
      <c r="N128" s="12"/>
      <c r="O128" s="12"/>
      <c r="P128" s="4" t="s">
        <v>630</v>
      </c>
      <c r="Q128" s="5" t="s">
        <v>788</v>
      </c>
      <c r="R128" s="3" t="s">
        <v>957</v>
      </c>
      <c r="S128" s="14">
        <v>41</v>
      </c>
      <c r="T128" s="3" t="s">
        <v>75</v>
      </c>
      <c r="U128" s="3" t="s">
        <v>1112</v>
      </c>
      <c r="V128" s="12"/>
      <c r="W128" s="12"/>
      <c r="X128" s="7">
        <f t="shared" si="14"/>
        <v>24</v>
      </c>
      <c r="Y128" s="7">
        <f t="shared" si="15"/>
        <v>14</v>
      </c>
      <c r="Z128" s="7">
        <f t="shared" si="16"/>
        <v>38</v>
      </c>
      <c r="AA128" s="37">
        <v>3</v>
      </c>
      <c r="AB128" s="33">
        <f t="shared" si="17"/>
        <v>2</v>
      </c>
      <c r="AC128" s="8">
        <f t="shared" si="18"/>
        <v>12</v>
      </c>
      <c r="AD128" s="7">
        <f t="shared" si="19"/>
        <v>0</v>
      </c>
      <c r="AE128" s="34">
        <v>14</v>
      </c>
      <c r="AF128" s="12">
        <v>8</v>
      </c>
      <c r="AG128" s="38">
        <f t="shared" si="20"/>
        <v>15</v>
      </c>
      <c r="AH128" s="32">
        <f t="shared" si="21"/>
        <v>2</v>
      </c>
      <c r="AI128" s="37">
        <f t="shared" si="22"/>
        <v>15.166666666666666</v>
      </c>
      <c r="AJ128" s="37">
        <f t="shared" si="23"/>
        <v>2</v>
      </c>
      <c r="AK128" s="7">
        <f t="shared" si="24"/>
        <v>182</v>
      </c>
      <c r="AL128" s="7">
        <f t="shared" si="13"/>
        <v>144</v>
      </c>
      <c r="AM128" s="13"/>
      <c r="AN128" s="11" t="s">
        <v>71</v>
      </c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1" t="s">
        <v>71</v>
      </c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22" t="s">
        <v>1380</v>
      </c>
      <c r="CS128" s="20">
        <v>4</v>
      </c>
      <c r="CT128" s="20">
        <v>354259790</v>
      </c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</row>
    <row r="129" spans="1:108" ht="24.95" hidden="1" customHeight="1" x14ac:dyDescent="0.2">
      <c r="A129" s="3">
        <v>125</v>
      </c>
      <c r="B129" s="3" t="s">
        <v>1448</v>
      </c>
      <c r="C129" s="3" t="s">
        <v>89</v>
      </c>
      <c r="D129" s="3" t="s">
        <v>361</v>
      </c>
      <c r="E129" s="3" t="s">
        <v>362</v>
      </c>
      <c r="F129" s="3" t="s">
        <v>100</v>
      </c>
      <c r="G129" s="11" t="s">
        <v>71</v>
      </c>
      <c r="H129" s="12"/>
      <c r="I129" s="17"/>
      <c r="J129" s="11" t="s">
        <v>71</v>
      </c>
      <c r="K129" s="12"/>
      <c r="L129" s="3" t="s">
        <v>492</v>
      </c>
      <c r="M129" s="12"/>
      <c r="N129" s="12"/>
      <c r="O129" s="12"/>
      <c r="P129" s="4" t="s">
        <v>631</v>
      </c>
      <c r="Q129" s="5" t="s">
        <v>789</v>
      </c>
      <c r="R129" s="3" t="s">
        <v>850</v>
      </c>
      <c r="S129" s="14">
        <v>44</v>
      </c>
      <c r="T129" s="3" t="s">
        <v>75</v>
      </c>
      <c r="U129" s="3" t="s">
        <v>77</v>
      </c>
      <c r="V129" s="12"/>
      <c r="W129" s="12"/>
      <c r="X129" s="7">
        <f t="shared" si="14"/>
        <v>24</v>
      </c>
      <c r="Y129" s="7">
        <f t="shared" si="15"/>
        <v>14</v>
      </c>
      <c r="Z129" s="7">
        <f t="shared" si="16"/>
        <v>38</v>
      </c>
      <c r="AA129" s="37">
        <f t="shared" si="25"/>
        <v>3.1666666666666665</v>
      </c>
      <c r="AB129" s="33">
        <f t="shared" si="17"/>
        <v>2</v>
      </c>
      <c r="AC129" s="8">
        <f t="shared" si="18"/>
        <v>11.666666666666666</v>
      </c>
      <c r="AD129" s="7">
        <f t="shared" si="19"/>
        <v>8</v>
      </c>
      <c r="AE129" s="34">
        <v>14</v>
      </c>
      <c r="AF129" s="12">
        <v>4</v>
      </c>
      <c r="AG129" s="38">
        <f t="shared" si="20"/>
        <v>14.833333333333332</v>
      </c>
      <c r="AH129" s="32">
        <f t="shared" si="21"/>
        <v>10</v>
      </c>
      <c r="AI129" s="37">
        <f t="shared" si="22"/>
        <v>14.833333333333334</v>
      </c>
      <c r="AJ129" s="37">
        <f t="shared" si="23"/>
        <v>10</v>
      </c>
      <c r="AK129" s="7">
        <f t="shared" si="24"/>
        <v>178</v>
      </c>
      <c r="AL129" s="7">
        <f t="shared" si="13"/>
        <v>140</v>
      </c>
      <c r="AM129" s="13"/>
      <c r="AN129" s="11" t="s">
        <v>71</v>
      </c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1" t="s">
        <v>71</v>
      </c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22" t="s">
        <v>1425</v>
      </c>
      <c r="CS129" s="20">
        <v>6</v>
      </c>
      <c r="CT129" s="20">
        <v>361852922</v>
      </c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</row>
    <row r="130" spans="1:108" ht="24.95" hidden="1" customHeight="1" x14ac:dyDescent="0.2">
      <c r="A130" s="3">
        <v>126</v>
      </c>
      <c r="B130" s="3" t="s">
        <v>1448</v>
      </c>
      <c r="C130" s="3" t="s">
        <v>83</v>
      </c>
      <c r="D130" s="3" t="s">
        <v>363</v>
      </c>
      <c r="E130" s="3" t="s">
        <v>364</v>
      </c>
      <c r="F130" s="3" t="s">
        <v>365</v>
      </c>
      <c r="G130" s="11" t="s">
        <v>71</v>
      </c>
      <c r="H130" s="12"/>
      <c r="I130" s="17"/>
      <c r="J130" s="11" t="s">
        <v>71</v>
      </c>
      <c r="K130" s="12"/>
      <c r="L130" s="3" t="s">
        <v>492</v>
      </c>
      <c r="M130" s="12"/>
      <c r="N130" s="12"/>
      <c r="O130" s="12"/>
      <c r="P130" s="4" t="s">
        <v>632</v>
      </c>
      <c r="Q130" s="5" t="s">
        <v>790</v>
      </c>
      <c r="R130" s="3" t="s">
        <v>958</v>
      </c>
      <c r="S130" s="14">
        <v>39</v>
      </c>
      <c r="T130" s="3" t="s">
        <v>76</v>
      </c>
      <c r="U130" s="3" t="s">
        <v>1081</v>
      </c>
      <c r="V130" s="12"/>
      <c r="W130" s="12"/>
      <c r="X130" s="7">
        <f t="shared" si="14"/>
        <v>24</v>
      </c>
      <c r="Y130" s="7">
        <f t="shared" si="15"/>
        <v>14</v>
      </c>
      <c r="Z130" s="7">
        <f t="shared" si="16"/>
        <v>38</v>
      </c>
      <c r="AA130" s="37">
        <v>4</v>
      </c>
      <c r="AB130" s="33">
        <f t="shared" si="17"/>
        <v>2</v>
      </c>
      <c r="AC130" s="8">
        <f t="shared" si="18"/>
        <v>5.833333333333333</v>
      </c>
      <c r="AD130" s="7">
        <f t="shared" si="19"/>
        <v>10</v>
      </c>
      <c r="AE130" s="34">
        <v>8</v>
      </c>
      <c r="AF130" s="12">
        <v>6</v>
      </c>
      <c r="AG130" s="38">
        <v>11</v>
      </c>
      <c r="AH130" s="32">
        <v>0</v>
      </c>
      <c r="AI130" s="37">
        <f t="shared" si="22"/>
        <v>9</v>
      </c>
      <c r="AJ130" s="37">
        <f t="shared" si="23"/>
        <v>0</v>
      </c>
      <c r="AK130" s="7">
        <f t="shared" si="24"/>
        <v>108</v>
      </c>
      <c r="AL130" s="7">
        <f t="shared" si="13"/>
        <v>70</v>
      </c>
      <c r="AM130" s="13"/>
      <c r="AN130" s="11" t="s">
        <v>71</v>
      </c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X130" s="13"/>
      <c r="BY130" s="13"/>
      <c r="BZ130" s="13"/>
      <c r="CA130" s="13"/>
      <c r="CB130" s="13"/>
      <c r="CD130" s="13"/>
      <c r="CE130" s="13"/>
      <c r="CF130" s="13"/>
      <c r="CG130" s="13"/>
      <c r="CH130" s="13"/>
      <c r="CI130" s="13"/>
      <c r="CJ130" s="13"/>
      <c r="CK130" s="11" t="s">
        <v>71</v>
      </c>
      <c r="CL130" s="13"/>
      <c r="CM130" s="13"/>
      <c r="CN130" s="13"/>
      <c r="CO130" s="13"/>
      <c r="CP130" s="13"/>
      <c r="CQ130" s="13"/>
      <c r="CR130" s="22" t="s">
        <v>1426</v>
      </c>
      <c r="CS130" s="20">
        <v>6</v>
      </c>
      <c r="CT130" s="20">
        <v>350313240</v>
      </c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</row>
    <row r="131" spans="1:108" ht="24.95" hidden="1" customHeight="1" x14ac:dyDescent="0.2">
      <c r="A131" s="3">
        <v>127</v>
      </c>
      <c r="B131" s="3" t="s">
        <v>1448</v>
      </c>
      <c r="C131" s="3" t="s">
        <v>90</v>
      </c>
      <c r="D131" s="3" t="s">
        <v>366</v>
      </c>
      <c r="E131" s="3" t="s">
        <v>367</v>
      </c>
      <c r="F131" s="3" t="s">
        <v>368</v>
      </c>
      <c r="G131" s="11" t="s">
        <v>71</v>
      </c>
      <c r="H131" s="12"/>
      <c r="I131" s="17"/>
      <c r="J131" s="11" t="s">
        <v>71</v>
      </c>
      <c r="K131" s="12"/>
      <c r="L131" s="3" t="s">
        <v>492</v>
      </c>
      <c r="M131" s="12"/>
      <c r="N131" s="12"/>
      <c r="O131" s="12"/>
      <c r="P131" s="4" t="s">
        <v>633</v>
      </c>
      <c r="Q131" s="5" t="s">
        <v>791</v>
      </c>
      <c r="R131" s="3" t="s">
        <v>959</v>
      </c>
      <c r="S131" s="14">
        <v>39</v>
      </c>
      <c r="T131" s="3" t="s">
        <v>75</v>
      </c>
      <c r="U131" s="3" t="s">
        <v>77</v>
      </c>
      <c r="V131" s="12"/>
      <c r="W131" s="12"/>
      <c r="X131" s="7">
        <f t="shared" si="14"/>
        <v>24</v>
      </c>
      <c r="Y131" s="7">
        <f t="shared" si="15"/>
        <v>14</v>
      </c>
      <c r="Z131" s="7">
        <f t="shared" si="16"/>
        <v>38</v>
      </c>
      <c r="AA131" s="37">
        <v>4</v>
      </c>
      <c r="AB131" s="33">
        <f t="shared" si="17"/>
        <v>2</v>
      </c>
      <c r="AC131" s="8">
        <f t="shared" si="18"/>
        <v>7.083333333333333</v>
      </c>
      <c r="AD131" s="7">
        <f t="shared" si="19"/>
        <v>1</v>
      </c>
      <c r="AE131" s="34">
        <v>9</v>
      </c>
      <c r="AF131" s="12">
        <v>9</v>
      </c>
      <c r="AG131" s="38">
        <f t="shared" si="20"/>
        <v>11.083333333333332</v>
      </c>
      <c r="AH131" s="32">
        <f t="shared" si="21"/>
        <v>3</v>
      </c>
      <c r="AI131" s="37">
        <f t="shared" si="22"/>
        <v>10.25</v>
      </c>
      <c r="AJ131" s="37">
        <f t="shared" si="23"/>
        <v>3</v>
      </c>
      <c r="AK131" s="7">
        <f t="shared" si="24"/>
        <v>123</v>
      </c>
      <c r="AL131" s="7">
        <f t="shared" si="13"/>
        <v>85</v>
      </c>
      <c r="AM131" s="13"/>
      <c r="AN131" s="11" t="s">
        <v>71</v>
      </c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1" t="s">
        <v>71</v>
      </c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22" t="s">
        <v>1425</v>
      </c>
      <c r="CS131" s="20">
        <v>6</v>
      </c>
      <c r="CT131" s="20">
        <v>344124195</v>
      </c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</row>
    <row r="132" spans="1:108" ht="24.95" hidden="1" customHeight="1" x14ac:dyDescent="0.2">
      <c r="A132" s="3">
        <v>128</v>
      </c>
      <c r="B132" s="3" t="s">
        <v>1448</v>
      </c>
      <c r="C132" s="3" t="s">
        <v>83</v>
      </c>
      <c r="D132" s="3" t="s">
        <v>369</v>
      </c>
      <c r="E132" s="3" t="s">
        <v>370</v>
      </c>
      <c r="F132" s="3" t="s">
        <v>371</v>
      </c>
      <c r="G132" s="11" t="s">
        <v>71</v>
      </c>
      <c r="H132" s="12"/>
      <c r="I132" s="17"/>
      <c r="J132" s="11" t="s">
        <v>71</v>
      </c>
      <c r="K132" s="12"/>
      <c r="L132" s="3" t="s">
        <v>492</v>
      </c>
      <c r="M132" s="12"/>
      <c r="N132" s="12"/>
      <c r="O132" s="12"/>
      <c r="P132" s="5" t="s">
        <v>634</v>
      </c>
      <c r="Q132" s="5" t="s">
        <v>792</v>
      </c>
      <c r="R132" s="3" t="s">
        <v>960</v>
      </c>
      <c r="S132" s="14">
        <v>37</v>
      </c>
      <c r="T132" s="3" t="s">
        <v>75</v>
      </c>
      <c r="U132" s="3" t="s">
        <v>1113</v>
      </c>
      <c r="V132" s="12"/>
      <c r="W132" s="12"/>
      <c r="X132" s="7">
        <f t="shared" si="14"/>
        <v>24</v>
      </c>
      <c r="Y132" s="7">
        <f t="shared" si="15"/>
        <v>14</v>
      </c>
      <c r="Z132" s="7">
        <f t="shared" si="16"/>
        <v>38</v>
      </c>
      <c r="AA132" s="37">
        <f t="shared" si="25"/>
        <v>3.1666666666666665</v>
      </c>
      <c r="AB132" s="33">
        <f t="shared" si="17"/>
        <v>2</v>
      </c>
      <c r="AC132" s="8">
        <f t="shared" si="18"/>
        <v>1</v>
      </c>
      <c r="AD132" s="7">
        <f t="shared" si="19"/>
        <v>0</v>
      </c>
      <c r="AE132" s="34">
        <v>3.3333333333333335</v>
      </c>
      <c r="AF132" s="12">
        <v>4</v>
      </c>
      <c r="AG132" s="38">
        <f t="shared" si="20"/>
        <v>4.1666666666666661</v>
      </c>
      <c r="AH132" s="32">
        <f t="shared" si="21"/>
        <v>2</v>
      </c>
      <c r="AI132" s="37">
        <f t="shared" si="22"/>
        <v>4.166666666666667</v>
      </c>
      <c r="AJ132" s="37">
        <f t="shared" si="23"/>
        <v>2</v>
      </c>
      <c r="AK132" s="7">
        <f t="shared" si="24"/>
        <v>50</v>
      </c>
      <c r="AL132" s="7">
        <f t="shared" si="13"/>
        <v>12</v>
      </c>
      <c r="AM132" s="13"/>
      <c r="AN132" s="11" t="s">
        <v>71</v>
      </c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X132" s="13"/>
      <c r="BY132" s="13"/>
      <c r="BZ132" s="13"/>
      <c r="CA132" s="13"/>
      <c r="CB132" s="13"/>
      <c r="CC132" s="11" t="s">
        <v>71</v>
      </c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22" t="s">
        <v>1391</v>
      </c>
      <c r="CS132" s="20">
        <v>6</v>
      </c>
      <c r="CT132" s="20">
        <v>358256716</v>
      </c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</row>
    <row r="133" spans="1:108" ht="24.95" hidden="1" customHeight="1" x14ac:dyDescent="0.2">
      <c r="A133" s="3">
        <v>129</v>
      </c>
      <c r="B133" s="3" t="s">
        <v>1448</v>
      </c>
      <c r="C133" s="3" t="s">
        <v>92</v>
      </c>
      <c r="D133" s="3" t="s">
        <v>127</v>
      </c>
      <c r="E133" s="3" t="s">
        <v>372</v>
      </c>
      <c r="F133" s="3" t="s">
        <v>214</v>
      </c>
      <c r="G133" s="11" t="s">
        <v>71</v>
      </c>
      <c r="H133" s="12"/>
      <c r="I133" s="17"/>
      <c r="J133" s="11" t="s">
        <v>71</v>
      </c>
      <c r="K133" s="12"/>
      <c r="L133" s="3" t="s">
        <v>499</v>
      </c>
      <c r="M133" s="12"/>
      <c r="N133" s="12"/>
      <c r="O133" s="12"/>
      <c r="P133" s="4" t="s">
        <v>635</v>
      </c>
      <c r="Q133" s="5">
        <v>9159152975</v>
      </c>
      <c r="R133" s="3" t="s">
        <v>961</v>
      </c>
      <c r="S133" s="14">
        <v>47</v>
      </c>
      <c r="T133" s="3" t="s">
        <v>1022</v>
      </c>
      <c r="U133" s="3" t="s">
        <v>1044</v>
      </c>
      <c r="V133" s="12"/>
      <c r="W133" s="12"/>
      <c r="X133" s="7">
        <f t="shared" si="14"/>
        <v>276</v>
      </c>
      <c r="Y133" s="7">
        <f t="shared" si="15"/>
        <v>8</v>
      </c>
      <c r="Z133" s="7">
        <f t="shared" si="16"/>
        <v>284</v>
      </c>
      <c r="AA133" s="37">
        <v>23</v>
      </c>
      <c r="AB133" s="33">
        <f t="shared" si="17"/>
        <v>8</v>
      </c>
      <c r="AC133" s="8">
        <f t="shared" si="18"/>
        <v>-0.16666666666666666</v>
      </c>
      <c r="AD133" s="7">
        <f t="shared" si="19"/>
        <v>10</v>
      </c>
      <c r="AE133" s="34">
        <v>23</v>
      </c>
      <c r="AF133" s="12"/>
      <c r="AG133" s="38">
        <v>24</v>
      </c>
      <c r="AH133" s="32">
        <v>6</v>
      </c>
      <c r="AI133" s="37">
        <f t="shared" si="22"/>
        <v>23.5</v>
      </c>
      <c r="AJ133" s="37">
        <f t="shared" si="23"/>
        <v>6</v>
      </c>
      <c r="AK133" s="7">
        <f t="shared" si="24"/>
        <v>282</v>
      </c>
      <c r="AL133" s="7">
        <f t="shared" ref="AL133:AL196" si="26">AK133-Z133</f>
        <v>-2</v>
      </c>
      <c r="AM133" s="13"/>
      <c r="AN133" s="11" t="s">
        <v>71</v>
      </c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X133" s="13"/>
      <c r="BY133" s="13"/>
      <c r="BZ133" s="13"/>
      <c r="CA133" s="13"/>
      <c r="CB133" s="13"/>
      <c r="CC133" s="11" t="s">
        <v>71</v>
      </c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22" t="s">
        <v>1438</v>
      </c>
      <c r="CS133" s="21">
        <v>13</v>
      </c>
      <c r="CT133" s="20">
        <v>536461381</v>
      </c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</row>
    <row r="134" spans="1:108" ht="24.95" hidden="1" customHeight="1" x14ac:dyDescent="0.2">
      <c r="A134" s="3">
        <v>130</v>
      </c>
      <c r="B134" s="3" t="s">
        <v>1448</v>
      </c>
      <c r="C134" s="3" t="s">
        <v>86</v>
      </c>
      <c r="D134" s="3" t="s">
        <v>111</v>
      </c>
      <c r="E134" s="3" t="s">
        <v>373</v>
      </c>
      <c r="F134" s="3" t="s">
        <v>106</v>
      </c>
      <c r="G134" s="11" t="s">
        <v>71</v>
      </c>
      <c r="H134" s="12"/>
      <c r="I134" s="17"/>
      <c r="J134" s="11" t="s">
        <v>71</v>
      </c>
      <c r="K134" s="12"/>
      <c r="L134" s="3" t="s">
        <v>476</v>
      </c>
      <c r="M134" s="12"/>
      <c r="N134" s="12"/>
      <c r="O134" s="12"/>
      <c r="P134" s="4" t="s">
        <v>636</v>
      </c>
      <c r="Q134" s="5">
        <v>9395230599</v>
      </c>
      <c r="R134" s="3" t="s">
        <v>962</v>
      </c>
      <c r="S134" s="14">
        <v>34</v>
      </c>
      <c r="T134" s="3" t="s">
        <v>1021</v>
      </c>
      <c r="U134" s="3" t="s">
        <v>1061</v>
      </c>
      <c r="V134" s="12"/>
      <c r="W134" s="12"/>
      <c r="X134" s="7">
        <f t="shared" ref="X134:X197" si="27">(1405-LEFT(L134,4)-1)*12</f>
        <v>120</v>
      </c>
      <c r="Y134" s="7">
        <f t="shared" ref="Y134:Y197" si="28">17-RIGHT(LEFT(L134,7),2)</f>
        <v>16</v>
      </c>
      <c r="Z134" s="7">
        <f t="shared" ref="Z134:Z197" si="29">Y134+X134</f>
        <v>136</v>
      </c>
      <c r="AA134" s="37">
        <f t="shared" ref="AA134:AA194" si="30">Z134/12</f>
        <v>11.333333333333334</v>
      </c>
      <c r="AB134" s="33">
        <f t="shared" ref="AB134:AB197" si="31">MOD(Z134,12)</f>
        <v>4</v>
      </c>
      <c r="AC134" s="8">
        <f t="shared" ref="AC134:AC197" si="32">AL134/12</f>
        <v>0.16666666666666666</v>
      </c>
      <c r="AD134" s="7">
        <f t="shared" ref="AD134:AD197" si="33">MOD(AL134,12)</f>
        <v>2</v>
      </c>
      <c r="AE134" s="34">
        <v>11</v>
      </c>
      <c r="AF134" s="12"/>
      <c r="AG134" s="38">
        <f t="shared" ref="AG134:AG196" si="34">AA134+AC134</f>
        <v>11.5</v>
      </c>
      <c r="AH134" s="32">
        <f t="shared" ref="AH134:AH196" si="35">AB134+AD134</f>
        <v>6</v>
      </c>
      <c r="AI134" s="37">
        <f t="shared" ref="AI134:AI197" si="36">AK134/12</f>
        <v>11.5</v>
      </c>
      <c r="AJ134" s="37">
        <f t="shared" ref="AJ134:AJ197" si="37">MOD(AK134,12)</f>
        <v>6</v>
      </c>
      <c r="AK134" s="7">
        <f t="shared" ref="AK134:AK197" si="38">AE134*12+AF134+6</f>
        <v>138</v>
      </c>
      <c r="AL134" s="7">
        <f t="shared" si="26"/>
        <v>2</v>
      </c>
      <c r="AM134" s="13"/>
      <c r="AN134" s="11" t="s">
        <v>71</v>
      </c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1" t="s">
        <v>71</v>
      </c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22" t="s">
        <v>1380</v>
      </c>
      <c r="CS134" s="21">
        <v>6</v>
      </c>
      <c r="CT134" s="20">
        <v>479684250</v>
      </c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</row>
    <row r="135" spans="1:108" ht="24.95" hidden="1" customHeight="1" x14ac:dyDescent="0.2">
      <c r="A135" s="3">
        <v>131</v>
      </c>
      <c r="B135" s="3" t="s">
        <v>1448</v>
      </c>
      <c r="C135" s="3" t="s">
        <v>92</v>
      </c>
      <c r="D135" s="3" t="s">
        <v>374</v>
      </c>
      <c r="E135" s="3" t="s">
        <v>373</v>
      </c>
      <c r="F135" s="3" t="s">
        <v>375</v>
      </c>
      <c r="G135" s="11" t="s">
        <v>71</v>
      </c>
      <c r="H135" s="12"/>
      <c r="I135" s="17"/>
      <c r="J135" s="11" t="s">
        <v>71</v>
      </c>
      <c r="K135" s="12"/>
      <c r="L135" s="3" t="s">
        <v>476</v>
      </c>
      <c r="M135" s="12"/>
      <c r="N135" s="12"/>
      <c r="O135" s="12"/>
      <c r="P135" s="4" t="s">
        <v>637</v>
      </c>
      <c r="Q135" s="5">
        <v>9156590281</v>
      </c>
      <c r="R135" s="3" t="s">
        <v>963</v>
      </c>
      <c r="S135" s="14">
        <v>41</v>
      </c>
      <c r="T135" s="3" t="s">
        <v>76</v>
      </c>
      <c r="U135" s="3" t="s">
        <v>1056</v>
      </c>
      <c r="V135" s="12"/>
      <c r="W135" s="12"/>
      <c r="X135" s="7">
        <f t="shared" si="27"/>
        <v>120</v>
      </c>
      <c r="Y135" s="7">
        <f t="shared" si="28"/>
        <v>16</v>
      </c>
      <c r="Z135" s="7">
        <f t="shared" si="29"/>
        <v>136</v>
      </c>
      <c r="AA135" s="37">
        <f t="shared" si="30"/>
        <v>11.333333333333334</v>
      </c>
      <c r="AB135" s="33">
        <f t="shared" si="31"/>
        <v>4</v>
      </c>
      <c r="AC135" s="8">
        <f t="shared" si="32"/>
        <v>-0.16666666666666666</v>
      </c>
      <c r="AD135" s="7">
        <f t="shared" si="33"/>
        <v>10</v>
      </c>
      <c r="AE135" s="34">
        <v>10</v>
      </c>
      <c r="AF135" s="12">
        <v>8</v>
      </c>
      <c r="AG135" s="38">
        <v>12</v>
      </c>
      <c r="AH135" s="32">
        <v>2</v>
      </c>
      <c r="AI135" s="37">
        <f t="shared" si="36"/>
        <v>11.166666666666666</v>
      </c>
      <c r="AJ135" s="37">
        <f t="shared" si="37"/>
        <v>2</v>
      </c>
      <c r="AK135" s="7">
        <f t="shared" si="38"/>
        <v>134</v>
      </c>
      <c r="AL135" s="7">
        <f t="shared" si="26"/>
        <v>-2</v>
      </c>
      <c r="AM135" s="13"/>
      <c r="AN135" s="11" t="s">
        <v>71</v>
      </c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1" t="s">
        <v>71</v>
      </c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22" t="s">
        <v>1380</v>
      </c>
      <c r="CS135" s="21">
        <v>6</v>
      </c>
      <c r="CT135" s="20">
        <v>498218904</v>
      </c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</row>
    <row r="136" spans="1:108" ht="24.95" hidden="1" customHeight="1" x14ac:dyDescent="0.2">
      <c r="A136" s="3">
        <v>132</v>
      </c>
      <c r="B136" s="3" t="s">
        <v>1448</v>
      </c>
      <c r="C136" s="3" t="s">
        <v>83</v>
      </c>
      <c r="D136" s="3" t="s">
        <v>107</v>
      </c>
      <c r="E136" s="3" t="s">
        <v>376</v>
      </c>
      <c r="F136" s="3" t="s">
        <v>138</v>
      </c>
      <c r="G136" s="11" t="s">
        <v>71</v>
      </c>
      <c r="H136" s="12"/>
      <c r="I136" s="17"/>
      <c r="J136" s="11" t="s">
        <v>71</v>
      </c>
      <c r="K136" s="12"/>
      <c r="L136" s="3" t="s">
        <v>492</v>
      </c>
      <c r="M136" s="12"/>
      <c r="N136" s="12"/>
      <c r="O136" s="12"/>
      <c r="P136" s="4" t="s">
        <v>638</v>
      </c>
      <c r="Q136" s="5" t="s">
        <v>793</v>
      </c>
      <c r="R136" s="3" t="s">
        <v>964</v>
      </c>
      <c r="S136" s="14">
        <v>31</v>
      </c>
      <c r="T136" s="3" t="s">
        <v>76</v>
      </c>
      <c r="U136" s="3" t="s">
        <v>77</v>
      </c>
      <c r="V136" s="12"/>
      <c r="W136" s="12"/>
      <c r="X136" s="7">
        <f t="shared" si="27"/>
        <v>24</v>
      </c>
      <c r="Y136" s="7">
        <f t="shared" si="28"/>
        <v>14</v>
      </c>
      <c r="Z136" s="7">
        <f t="shared" si="29"/>
        <v>38</v>
      </c>
      <c r="AA136" s="37">
        <v>4</v>
      </c>
      <c r="AB136" s="33">
        <f t="shared" si="31"/>
        <v>2</v>
      </c>
      <c r="AC136" s="8">
        <f t="shared" si="32"/>
        <v>1.3333333333333333</v>
      </c>
      <c r="AD136" s="7">
        <f t="shared" si="33"/>
        <v>4</v>
      </c>
      <c r="AE136" s="34">
        <v>4</v>
      </c>
      <c r="AF136" s="12"/>
      <c r="AG136" s="38">
        <f t="shared" si="34"/>
        <v>5.333333333333333</v>
      </c>
      <c r="AH136" s="32">
        <f t="shared" si="35"/>
        <v>6</v>
      </c>
      <c r="AI136" s="37">
        <f t="shared" si="36"/>
        <v>4.5</v>
      </c>
      <c r="AJ136" s="37">
        <f t="shared" si="37"/>
        <v>6</v>
      </c>
      <c r="AK136" s="7">
        <f t="shared" si="38"/>
        <v>54</v>
      </c>
      <c r="AL136" s="7">
        <f t="shared" si="26"/>
        <v>16</v>
      </c>
      <c r="AM136" s="13"/>
      <c r="AN136" s="11" t="s">
        <v>71</v>
      </c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X136" s="13"/>
      <c r="BY136" s="13"/>
      <c r="BZ136" s="13"/>
      <c r="CA136" s="13"/>
      <c r="CB136" s="13"/>
      <c r="CC136" s="11" t="s">
        <v>71</v>
      </c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22" t="s">
        <v>1425</v>
      </c>
      <c r="CS136" s="20">
        <v>6</v>
      </c>
      <c r="CT136" s="20">
        <v>344124195</v>
      </c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</row>
    <row r="137" spans="1:108" ht="24.95" customHeight="1" x14ac:dyDescent="0.2">
      <c r="A137" s="3">
        <v>133</v>
      </c>
      <c r="B137" s="3" t="s">
        <v>1448</v>
      </c>
      <c r="C137" s="3" t="s">
        <v>87</v>
      </c>
      <c r="D137" s="3" t="s">
        <v>179</v>
      </c>
      <c r="E137" s="3" t="s">
        <v>377</v>
      </c>
      <c r="F137" s="3" t="s">
        <v>138</v>
      </c>
      <c r="G137" s="11" t="s">
        <v>71</v>
      </c>
      <c r="H137" s="12"/>
      <c r="I137" s="17"/>
      <c r="J137" s="11" t="s">
        <v>71</v>
      </c>
      <c r="K137" s="12"/>
      <c r="L137" s="3" t="s">
        <v>476</v>
      </c>
      <c r="M137" s="12"/>
      <c r="N137" s="12"/>
      <c r="O137" s="12"/>
      <c r="P137" s="4" t="s">
        <v>639</v>
      </c>
      <c r="Q137" s="5">
        <v>9158940596</v>
      </c>
      <c r="R137" s="3" t="s">
        <v>965</v>
      </c>
      <c r="S137" s="14">
        <v>40</v>
      </c>
      <c r="T137" s="3" t="s">
        <v>1035</v>
      </c>
      <c r="U137" s="3" t="s">
        <v>1035</v>
      </c>
      <c r="V137" s="12"/>
      <c r="W137" s="12"/>
      <c r="X137" s="7">
        <f t="shared" si="27"/>
        <v>120</v>
      </c>
      <c r="Y137" s="7">
        <f t="shared" si="28"/>
        <v>16</v>
      </c>
      <c r="Z137" s="7">
        <f t="shared" si="29"/>
        <v>136</v>
      </c>
      <c r="AA137" s="37">
        <f t="shared" si="30"/>
        <v>11.333333333333334</v>
      </c>
      <c r="AB137" s="33">
        <f t="shared" si="31"/>
        <v>4</v>
      </c>
      <c r="AC137" s="8">
        <f t="shared" si="32"/>
        <v>1.4166666666666667</v>
      </c>
      <c r="AD137" s="7">
        <f t="shared" si="33"/>
        <v>5</v>
      </c>
      <c r="AE137" s="34">
        <v>12</v>
      </c>
      <c r="AF137" s="12">
        <v>3</v>
      </c>
      <c r="AG137" s="38">
        <f t="shared" si="34"/>
        <v>12.75</v>
      </c>
      <c r="AH137" s="32">
        <f t="shared" si="35"/>
        <v>9</v>
      </c>
      <c r="AI137" s="37">
        <f t="shared" si="36"/>
        <v>12.75</v>
      </c>
      <c r="AJ137" s="37">
        <f t="shared" si="37"/>
        <v>9</v>
      </c>
      <c r="AK137" s="7">
        <f t="shared" si="38"/>
        <v>153</v>
      </c>
      <c r="AL137" s="7">
        <f t="shared" si="26"/>
        <v>17</v>
      </c>
      <c r="AM137" s="13"/>
      <c r="AN137" s="11" t="s">
        <v>71</v>
      </c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1" t="s">
        <v>71</v>
      </c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22" t="s">
        <v>1380</v>
      </c>
      <c r="CS137" s="21">
        <v>6</v>
      </c>
      <c r="CT137" s="20">
        <v>498218904</v>
      </c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</row>
    <row r="138" spans="1:108" ht="24.95" hidden="1" customHeight="1" x14ac:dyDescent="0.2">
      <c r="A138" s="3">
        <v>134</v>
      </c>
      <c r="B138" s="3" t="s">
        <v>1448</v>
      </c>
      <c r="C138" s="3" t="s">
        <v>83</v>
      </c>
      <c r="D138" s="3" t="s">
        <v>378</v>
      </c>
      <c r="E138" s="3" t="s">
        <v>379</v>
      </c>
      <c r="F138" s="3" t="s">
        <v>138</v>
      </c>
      <c r="G138" s="11" t="s">
        <v>71</v>
      </c>
      <c r="H138" s="12"/>
      <c r="I138" s="17"/>
      <c r="J138" s="11" t="s">
        <v>71</v>
      </c>
      <c r="K138" s="12"/>
      <c r="L138" s="3" t="s">
        <v>492</v>
      </c>
      <c r="M138" s="12"/>
      <c r="N138" s="12"/>
      <c r="O138" s="12"/>
      <c r="P138" s="4" t="s">
        <v>640</v>
      </c>
      <c r="Q138" s="5" t="s">
        <v>794</v>
      </c>
      <c r="R138" s="3" t="s">
        <v>966</v>
      </c>
      <c r="S138" s="14">
        <v>46</v>
      </c>
      <c r="T138" s="3" t="s">
        <v>1024</v>
      </c>
      <c r="U138" s="3" t="s">
        <v>1115</v>
      </c>
      <c r="V138" s="12"/>
      <c r="W138" s="12"/>
      <c r="X138" s="7">
        <f t="shared" si="27"/>
        <v>24</v>
      </c>
      <c r="Y138" s="7">
        <f t="shared" si="28"/>
        <v>14</v>
      </c>
      <c r="Z138" s="7">
        <f t="shared" si="29"/>
        <v>38</v>
      </c>
      <c r="AA138" s="37">
        <v>4</v>
      </c>
      <c r="AB138" s="33">
        <f t="shared" si="31"/>
        <v>2</v>
      </c>
      <c r="AC138" s="8">
        <f t="shared" si="32"/>
        <v>13.916666666666666</v>
      </c>
      <c r="AD138" s="7">
        <f t="shared" si="33"/>
        <v>11</v>
      </c>
      <c r="AE138" s="34">
        <v>16</v>
      </c>
      <c r="AF138" s="12">
        <v>7</v>
      </c>
      <c r="AG138" s="38">
        <v>19</v>
      </c>
      <c r="AH138" s="32">
        <v>1</v>
      </c>
      <c r="AI138" s="37">
        <f t="shared" si="36"/>
        <v>17.083333333333332</v>
      </c>
      <c r="AJ138" s="37">
        <f t="shared" si="37"/>
        <v>1</v>
      </c>
      <c r="AK138" s="7">
        <f t="shared" si="38"/>
        <v>205</v>
      </c>
      <c r="AL138" s="7">
        <f t="shared" si="26"/>
        <v>167</v>
      </c>
      <c r="AM138" s="13"/>
      <c r="AN138" s="11" t="s">
        <v>71</v>
      </c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1" t="s">
        <v>71</v>
      </c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22" t="s">
        <v>1380</v>
      </c>
      <c r="CS138" s="20">
        <v>4</v>
      </c>
      <c r="CT138" s="20">
        <v>370885340</v>
      </c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</row>
    <row r="139" spans="1:108" ht="24.95" customHeight="1" x14ac:dyDescent="0.2">
      <c r="A139" s="3">
        <v>135</v>
      </c>
      <c r="B139" s="3" t="s">
        <v>1448</v>
      </c>
      <c r="C139" s="3" t="s">
        <v>87</v>
      </c>
      <c r="D139" s="3" t="s">
        <v>380</v>
      </c>
      <c r="E139" s="3" t="s">
        <v>381</v>
      </c>
      <c r="F139" s="3" t="s">
        <v>382</v>
      </c>
      <c r="G139" s="11" t="s">
        <v>71</v>
      </c>
      <c r="H139" s="12"/>
      <c r="I139" s="17"/>
      <c r="J139" s="11" t="s">
        <v>71</v>
      </c>
      <c r="K139" s="12"/>
      <c r="L139" s="3" t="s">
        <v>500</v>
      </c>
      <c r="M139" s="12"/>
      <c r="N139" s="12"/>
      <c r="O139" s="12"/>
      <c r="P139" s="4" t="s">
        <v>641</v>
      </c>
      <c r="Q139" s="5">
        <v>9364874313</v>
      </c>
      <c r="R139" s="3" t="s">
        <v>967</v>
      </c>
      <c r="S139" s="14">
        <v>47</v>
      </c>
      <c r="T139" s="3" t="s">
        <v>1027</v>
      </c>
      <c r="U139" s="3" t="s">
        <v>1116</v>
      </c>
      <c r="V139" s="12"/>
      <c r="W139" s="12"/>
      <c r="X139" s="7">
        <f t="shared" si="27"/>
        <v>144</v>
      </c>
      <c r="Y139" s="7">
        <f t="shared" si="28"/>
        <v>12</v>
      </c>
      <c r="Z139" s="7">
        <f t="shared" si="29"/>
        <v>156</v>
      </c>
      <c r="AA139" s="37">
        <f t="shared" si="30"/>
        <v>13</v>
      </c>
      <c r="AB139" s="33">
        <f t="shared" si="31"/>
        <v>0</v>
      </c>
      <c r="AC139" s="8">
        <f t="shared" si="32"/>
        <v>5.166666666666667</v>
      </c>
      <c r="AD139" s="7">
        <f t="shared" si="33"/>
        <v>2</v>
      </c>
      <c r="AE139" s="34">
        <v>17</v>
      </c>
      <c r="AF139" s="12">
        <v>8</v>
      </c>
      <c r="AG139" s="38">
        <f t="shared" si="34"/>
        <v>18.166666666666668</v>
      </c>
      <c r="AH139" s="32">
        <f t="shared" si="35"/>
        <v>2</v>
      </c>
      <c r="AI139" s="37">
        <f t="shared" si="36"/>
        <v>18.166666666666668</v>
      </c>
      <c r="AJ139" s="37">
        <f t="shared" si="37"/>
        <v>2</v>
      </c>
      <c r="AK139" s="7">
        <f t="shared" si="38"/>
        <v>218</v>
      </c>
      <c r="AL139" s="7">
        <f t="shared" si="26"/>
        <v>62</v>
      </c>
      <c r="AM139" s="13"/>
      <c r="AN139" s="11" t="s">
        <v>71</v>
      </c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X139" s="13"/>
      <c r="BY139" s="13"/>
      <c r="BZ139" s="13"/>
      <c r="CA139" s="13"/>
      <c r="CB139" s="13"/>
      <c r="CC139" s="11" t="s">
        <v>71</v>
      </c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22" t="s">
        <v>1442</v>
      </c>
      <c r="CS139" s="21">
        <v>10</v>
      </c>
      <c r="CT139" s="20">
        <v>517581162</v>
      </c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</row>
    <row r="140" spans="1:108" ht="24.95" hidden="1" customHeight="1" x14ac:dyDescent="0.2">
      <c r="A140" s="3">
        <v>136</v>
      </c>
      <c r="B140" s="3" t="s">
        <v>1448</v>
      </c>
      <c r="C140" s="3" t="s">
        <v>83</v>
      </c>
      <c r="D140" s="3" t="s">
        <v>152</v>
      </c>
      <c r="E140" s="3" t="s">
        <v>383</v>
      </c>
      <c r="F140" s="3" t="s">
        <v>384</v>
      </c>
      <c r="G140" s="11" t="s">
        <v>71</v>
      </c>
      <c r="H140" s="12"/>
      <c r="I140" s="17"/>
      <c r="J140" s="11" t="s">
        <v>71</v>
      </c>
      <c r="K140" s="12"/>
      <c r="L140" s="3" t="s">
        <v>492</v>
      </c>
      <c r="M140" s="12"/>
      <c r="N140" s="12"/>
      <c r="O140" s="12"/>
      <c r="P140" s="4" t="s">
        <v>642</v>
      </c>
      <c r="Q140" s="5" t="s">
        <v>795</v>
      </c>
      <c r="R140" s="3" t="s">
        <v>968</v>
      </c>
      <c r="S140" s="14">
        <v>43</v>
      </c>
      <c r="T140" s="3" t="s">
        <v>1024</v>
      </c>
      <c r="U140" s="3" t="s">
        <v>1105</v>
      </c>
      <c r="V140" s="12"/>
      <c r="W140" s="12"/>
      <c r="X140" s="7">
        <f t="shared" si="27"/>
        <v>24</v>
      </c>
      <c r="Y140" s="7">
        <f t="shared" si="28"/>
        <v>14</v>
      </c>
      <c r="Z140" s="7">
        <f t="shared" si="29"/>
        <v>38</v>
      </c>
      <c r="AA140" s="37">
        <f t="shared" si="30"/>
        <v>3.1666666666666665</v>
      </c>
      <c r="AB140" s="33">
        <f t="shared" si="31"/>
        <v>2</v>
      </c>
      <c r="AC140" s="8">
        <f t="shared" si="32"/>
        <v>9.5</v>
      </c>
      <c r="AD140" s="7">
        <f t="shared" si="33"/>
        <v>6</v>
      </c>
      <c r="AE140" s="34">
        <v>12</v>
      </c>
      <c r="AF140" s="12">
        <v>2</v>
      </c>
      <c r="AG140" s="38">
        <f t="shared" si="34"/>
        <v>12.666666666666666</v>
      </c>
      <c r="AH140" s="32">
        <f t="shared" si="35"/>
        <v>8</v>
      </c>
      <c r="AI140" s="37">
        <f t="shared" si="36"/>
        <v>12.666666666666666</v>
      </c>
      <c r="AJ140" s="37">
        <f t="shared" si="37"/>
        <v>8</v>
      </c>
      <c r="AK140" s="7">
        <f t="shared" si="38"/>
        <v>152</v>
      </c>
      <c r="AL140" s="7">
        <f t="shared" si="26"/>
        <v>114</v>
      </c>
      <c r="AM140" s="13"/>
      <c r="AN140" s="11" t="s">
        <v>71</v>
      </c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1" t="s">
        <v>71</v>
      </c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22" t="s">
        <v>1380</v>
      </c>
      <c r="CS140" s="20">
        <v>4</v>
      </c>
      <c r="CT140" s="20">
        <v>338663015</v>
      </c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</row>
    <row r="141" spans="1:108" ht="24.95" hidden="1" customHeight="1" x14ac:dyDescent="0.2">
      <c r="A141" s="3">
        <v>137</v>
      </c>
      <c r="B141" s="3" t="s">
        <v>1448</v>
      </c>
      <c r="C141" s="3" t="s">
        <v>94</v>
      </c>
      <c r="D141" s="3" t="s">
        <v>385</v>
      </c>
      <c r="E141" s="3" t="s">
        <v>386</v>
      </c>
      <c r="F141" s="3" t="s">
        <v>387</v>
      </c>
      <c r="G141" s="11" t="s">
        <v>71</v>
      </c>
      <c r="H141" s="12"/>
      <c r="I141" s="17"/>
      <c r="J141" s="11" t="s">
        <v>71</v>
      </c>
      <c r="K141" s="12"/>
      <c r="L141" s="3" t="s">
        <v>492</v>
      </c>
      <c r="M141" s="12"/>
      <c r="N141" s="12"/>
      <c r="O141" s="12"/>
      <c r="P141" s="4" t="s">
        <v>643</v>
      </c>
      <c r="Q141" s="5" t="s">
        <v>796</v>
      </c>
      <c r="R141" s="3" t="s">
        <v>969</v>
      </c>
      <c r="S141" s="14">
        <v>43</v>
      </c>
      <c r="T141" s="3" t="s">
        <v>1024</v>
      </c>
      <c r="U141" s="3" t="s">
        <v>1117</v>
      </c>
      <c r="V141" s="12"/>
      <c r="W141" s="12"/>
      <c r="X141" s="7">
        <f t="shared" si="27"/>
        <v>24</v>
      </c>
      <c r="Y141" s="7">
        <f t="shared" si="28"/>
        <v>14</v>
      </c>
      <c r="Z141" s="7">
        <f t="shared" si="29"/>
        <v>38</v>
      </c>
      <c r="AA141" s="37">
        <v>4</v>
      </c>
      <c r="AB141" s="33">
        <f t="shared" si="31"/>
        <v>2</v>
      </c>
      <c r="AC141" s="8">
        <f t="shared" si="32"/>
        <v>16.666666666666668</v>
      </c>
      <c r="AD141" s="7">
        <f t="shared" si="33"/>
        <v>8</v>
      </c>
      <c r="AE141" s="34">
        <v>19</v>
      </c>
      <c r="AF141" s="12">
        <v>4</v>
      </c>
      <c r="AG141" s="38">
        <f t="shared" si="34"/>
        <v>20.666666666666668</v>
      </c>
      <c r="AH141" s="32">
        <f t="shared" si="35"/>
        <v>10</v>
      </c>
      <c r="AI141" s="37">
        <f t="shared" si="36"/>
        <v>19.833333333333332</v>
      </c>
      <c r="AJ141" s="37">
        <f t="shared" si="37"/>
        <v>10</v>
      </c>
      <c r="AK141" s="7">
        <f t="shared" si="38"/>
        <v>238</v>
      </c>
      <c r="AL141" s="7">
        <f t="shared" si="26"/>
        <v>200</v>
      </c>
      <c r="AM141" s="13"/>
      <c r="AN141" s="11" t="s">
        <v>71</v>
      </c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X141" s="13"/>
      <c r="BY141" s="13"/>
      <c r="BZ141" s="13"/>
      <c r="CA141" s="13"/>
      <c r="CB141" s="13"/>
      <c r="CC141" s="11" t="s">
        <v>71</v>
      </c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22" t="s">
        <v>1391</v>
      </c>
      <c r="CS141" s="20">
        <v>6</v>
      </c>
      <c r="CT141" s="20">
        <v>379097191</v>
      </c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</row>
    <row r="142" spans="1:108" ht="24.95" hidden="1" customHeight="1" x14ac:dyDescent="0.2">
      <c r="A142" s="3">
        <v>138</v>
      </c>
      <c r="B142" s="3" t="s">
        <v>1448</v>
      </c>
      <c r="C142" s="3" t="s">
        <v>83</v>
      </c>
      <c r="D142" s="3" t="s">
        <v>366</v>
      </c>
      <c r="E142" s="3" t="s">
        <v>386</v>
      </c>
      <c r="F142" s="3" t="s">
        <v>294</v>
      </c>
      <c r="G142" s="11" t="s">
        <v>71</v>
      </c>
      <c r="H142" s="12"/>
      <c r="I142" s="17"/>
      <c r="J142" s="11" t="s">
        <v>71</v>
      </c>
      <c r="K142" s="12"/>
      <c r="L142" s="3" t="s">
        <v>492</v>
      </c>
      <c r="M142" s="12"/>
      <c r="N142" s="12"/>
      <c r="O142" s="12"/>
      <c r="P142" s="4" t="s">
        <v>644</v>
      </c>
      <c r="Q142" s="5" t="s">
        <v>797</v>
      </c>
      <c r="R142" s="3" t="s">
        <v>970</v>
      </c>
      <c r="S142" s="14">
        <v>38</v>
      </c>
      <c r="T142" s="3" t="s">
        <v>1024</v>
      </c>
      <c r="U142" s="3" t="s">
        <v>1052</v>
      </c>
      <c r="V142" s="12"/>
      <c r="W142" s="12"/>
      <c r="X142" s="7">
        <f t="shared" si="27"/>
        <v>24</v>
      </c>
      <c r="Y142" s="7">
        <f t="shared" si="28"/>
        <v>14</v>
      </c>
      <c r="Z142" s="7">
        <f t="shared" si="29"/>
        <v>38</v>
      </c>
      <c r="AA142" s="37">
        <v>2</v>
      </c>
      <c r="AB142" s="33">
        <f t="shared" si="31"/>
        <v>2</v>
      </c>
      <c r="AC142" s="8">
        <f t="shared" si="32"/>
        <v>4.083333333333333</v>
      </c>
      <c r="AD142" s="7">
        <f t="shared" si="33"/>
        <v>1</v>
      </c>
      <c r="AE142" s="34">
        <v>6</v>
      </c>
      <c r="AF142" s="12">
        <v>9</v>
      </c>
      <c r="AG142" s="38">
        <f t="shared" si="34"/>
        <v>6.083333333333333</v>
      </c>
      <c r="AH142" s="32">
        <f t="shared" si="35"/>
        <v>3</v>
      </c>
      <c r="AI142" s="37">
        <f t="shared" si="36"/>
        <v>7.25</v>
      </c>
      <c r="AJ142" s="37">
        <f t="shared" si="37"/>
        <v>3</v>
      </c>
      <c r="AK142" s="7">
        <f t="shared" si="38"/>
        <v>87</v>
      </c>
      <c r="AL142" s="7">
        <f t="shared" si="26"/>
        <v>49</v>
      </c>
      <c r="AM142" s="13"/>
      <c r="AN142" s="11" t="s">
        <v>71</v>
      </c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X142" s="13"/>
      <c r="BY142" s="13"/>
      <c r="BZ142" s="13"/>
      <c r="CA142" s="13"/>
      <c r="CB142" s="13"/>
      <c r="CC142" s="11" t="s">
        <v>71</v>
      </c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22" t="s">
        <v>1391</v>
      </c>
      <c r="CS142" s="20">
        <v>6</v>
      </c>
      <c r="CT142" s="20">
        <v>337843048</v>
      </c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</row>
    <row r="143" spans="1:108" ht="24.95" hidden="1" customHeight="1" x14ac:dyDescent="0.2">
      <c r="A143" s="3">
        <v>139</v>
      </c>
      <c r="B143" s="3" t="s">
        <v>1448</v>
      </c>
      <c r="C143" s="3" t="s">
        <v>89</v>
      </c>
      <c r="D143" s="3" t="s">
        <v>329</v>
      </c>
      <c r="E143" s="3" t="s">
        <v>388</v>
      </c>
      <c r="F143" s="3" t="s">
        <v>389</v>
      </c>
      <c r="G143" s="11" t="s">
        <v>71</v>
      </c>
      <c r="H143" s="12"/>
      <c r="I143" s="17"/>
      <c r="J143" s="11" t="s">
        <v>71</v>
      </c>
      <c r="K143" s="12"/>
      <c r="L143" s="3" t="s">
        <v>492</v>
      </c>
      <c r="M143" s="12"/>
      <c r="N143" s="12"/>
      <c r="O143" s="12"/>
      <c r="P143" s="4" t="s">
        <v>645</v>
      </c>
      <c r="Q143" s="5" t="s">
        <v>798</v>
      </c>
      <c r="R143" s="3" t="s">
        <v>971</v>
      </c>
      <c r="S143" s="14">
        <v>34</v>
      </c>
      <c r="T143" s="3" t="s">
        <v>75</v>
      </c>
      <c r="U143" s="3" t="s">
        <v>1046</v>
      </c>
      <c r="V143" s="12"/>
      <c r="W143" s="12"/>
      <c r="X143" s="7">
        <f t="shared" si="27"/>
        <v>24</v>
      </c>
      <c r="Y143" s="7">
        <f t="shared" si="28"/>
        <v>14</v>
      </c>
      <c r="Z143" s="7">
        <f t="shared" si="29"/>
        <v>38</v>
      </c>
      <c r="AA143" s="37">
        <v>3</v>
      </c>
      <c r="AB143" s="33">
        <f t="shared" si="31"/>
        <v>2</v>
      </c>
      <c r="AC143" s="8">
        <f t="shared" si="32"/>
        <v>1.5</v>
      </c>
      <c r="AD143" s="7">
        <f t="shared" si="33"/>
        <v>6</v>
      </c>
      <c r="AE143" s="34">
        <v>4</v>
      </c>
      <c r="AF143" s="12">
        <v>2</v>
      </c>
      <c r="AG143" s="38">
        <f t="shared" si="34"/>
        <v>4.5</v>
      </c>
      <c r="AH143" s="32">
        <f t="shared" si="35"/>
        <v>8</v>
      </c>
      <c r="AI143" s="37">
        <f t="shared" si="36"/>
        <v>4.666666666666667</v>
      </c>
      <c r="AJ143" s="37">
        <f t="shared" si="37"/>
        <v>8</v>
      </c>
      <c r="AK143" s="7">
        <f t="shared" si="38"/>
        <v>56</v>
      </c>
      <c r="AL143" s="7">
        <f t="shared" si="26"/>
        <v>18</v>
      </c>
      <c r="AM143" s="13"/>
      <c r="AN143" s="11" t="s">
        <v>71</v>
      </c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1" t="s">
        <v>71</v>
      </c>
      <c r="CP143" s="13"/>
      <c r="CQ143" s="13"/>
      <c r="CR143" s="22" t="s">
        <v>1443</v>
      </c>
      <c r="CS143" s="20">
        <v>10</v>
      </c>
      <c r="CT143" s="20">
        <v>390888239</v>
      </c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</row>
    <row r="144" spans="1:108" ht="24.95" customHeight="1" x14ac:dyDescent="0.2">
      <c r="A144" s="3">
        <v>140</v>
      </c>
      <c r="B144" s="3" t="s">
        <v>1448</v>
      </c>
      <c r="C144" s="3" t="s">
        <v>87</v>
      </c>
      <c r="D144" s="3" t="s">
        <v>375</v>
      </c>
      <c r="E144" s="3" t="s">
        <v>390</v>
      </c>
      <c r="F144" s="3" t="s">
        <v>391</v>
      </c>
      <c r="G144" s="11" t="s">
        <v>71</v>
      </c>
      <c r="H144" s="12"/>
      <c r="I144" s="17"/>
      <c r="J144" s="11" t="s">
        <v>71</v>
      </c>
      <c r="K144" s="12"/>
      <c r="L144" s="3" t="s">
        <v>501</v>
      </c>
      <c r="M144" s="12"/>
      <c r="N144" s="12"/>
      <c r="O144" s="12"/>
      <c r="P144" s="4" t="s">
        <v>646</v>
      </c>
      <c r="Q144" s="5" t="s">
        <v>799</v>
      </c>
      <c r="R144" s="3" t="s">
        <v>972</v>
      </c>
      <c r="S144" s="14">
        <v>70</v>
      </c>
      <c r="T144" s="3" t="s">
        <v>1451</v>
      </c>
      <c r="U144" s="3" t="s">
        <v>1128</v>
      </c>
      <c r="V144" s="12"/>
      <c r="W144" s="12"/>
      <c r="X144" s="7">
        <f t="shared" si="27"/>
        <v>120</v>
      </c>
      <c r="Y144" s="7">
        <f t="shared" si="28"/>
        <v>7</v>
      </c>
      <c r="Z144" s="7">
        <f t="shared" si="29"/>
        <v>127</v>
      </c>
      <c r="AA144" s="37">
        <v>10</v>
      </c>
      <c r="AB144" s="33">
        <f t="shared" si="31"/>
        <v>7</v>
      </c>
      <c r="AC144" s="8">
        <f t="shared" si="32"/>
        <v>12.25</v>
      </c>
      <c r="AD144" s="7">
        <f t="shared" si="33"/>
        <v>3</v>
      </c>
      <c r="AE144" s="34">
        <v>22</v>
      </c>
      <c r="AF144" s="12">
        <v>4</v>
      </c>
      <c r="AG144" s="38">
        <f t="shared" si="34"/>
        <v>22.25</v>
      </c>
      <c r="AH144" s="32">
        <f t="shared" si="35"/>
        <v>10</v>
      </c>
      <c r="AI144" s="37">
        <f t="shared" si="36"/>
        <v>22.833333333333332</v>
      </c>
      <c r="AJ144" s="37">
        <f t="shared" si="37"/>
        <v>10</v>
      </c>
      <c r="AK144" s="7">
        <f t="shared" si="38"/>
        <v>274</v>
      </c>
      <c r="AL144" s="7">
        <f t="shared" si="26"/>
        <v>147</v>
      </c>
      <c r="AM144" s="13"/>
      <c r="AN144" s="11" t="s">
        <v>71</v>
      </c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1" t="s">
        <v>71</v>
      </c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22" t="s">
        <v>1380</v>
      </c>
      <c r="CS144" s="20">
        <v>4</v>
      </c>
      <c r="CT144" s="20">
        <v>369393683</v>
      </c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</row>
    <row r="145" spans="1:108" ht="24.95" hidden="1" customHeight="1" x14ac:dyDescent="0.2">
      <c r="A145" s="3">
        <v>141</v>
      </c>
      <c r="B145" s="3" t="s">
        <v>1448</v>
      </c>
      <c r="C145" s="3" t="s">
        <v>83</v>
      </c>
      <c r="D145" s="3" t="s">
        <v>191</v>
      </c>
      <c r="E145" s="3" t="s">
        <v>392</v>
      </c>
      <c r="F145" s="3" t="s">
        <v>393</v>
      </c>
      <c r="G145" s="11" t="s">
        <v>71</v>
      </c>
      <c r="H145" s="12"/>
      <c r="I145" s="17"/>
      <c r="J145" s="11" t="s">
        <v>71</v>
      </c>
      <c r="K145" s="12"/>
      <c r="L145" s="3" t="s">
        <v>502</v>
      </c>
      <c r="M145" s="12"/>
      <c r="N145" s="12"/>
      <c r="O145" s="12"/>
      <c r="P145" s="4" t="s">
        <v>647</v>
      </c>
      <c r="Q145" s="5" t="s">
        <v>800</v>
      </c>
      <c r="R145" s="3" t="s">
        <v>912</v>
      </c>
      <c r="S145" s="14">
        <v>34</v>
      </c>
      <c r="T145" s="3" t="s">
        <v>1024</v>
      </c>
      <c r="U145" s="3" t="s">
        <v>1110</v>
      </c>
      <c r="V145" s="12"/>
      <c r="W145" s="12"/>
      <c r="X145" s="7">
        <f t="shared" si="27"/>
        <v>24</v>
      </c>
      <c r="Y145" s="7">
        <f t="shared" si="28"/>
        <v>6</v>
      </c>
      <c r="Z145" s="7">
        <f t="shared" si="29"/>
        <v>30</v>
      </c>
      <c r="AA145" s="37">
        <v>2</v>
      </c>
      <c r="AB145" s="33">
        <f t="shared" si="31"/>
        <v>6</v>
      </c>
      <c r="AC145" s="8">
        <f t="shared" si="32"/>
        <v>4.166666666666667</v>
      </c>
      <c r="AD145" s="7">
        <f t="shared" si="33"/>
        <v>2</v>
      </c>
      <c r="AE145" s="34">
        <v>6</v>
      </c>
      <c r="AF145" s="12">
        <v>2</v>
      </c>
      <c r="AG145" s="38">
        <f t="shared" si="34"/>
        <v>6.166666666666667</v>
      </c>
      <c r="AH145" s="32">
        <f t="shared" si="35"/>
        <v>8</v>
      </c>
      <c r="AI145" s="37">
        <f t="shared" si="36"/>
        <v>6.666666666666667</v>
      </c>
      <c r="AJ145" s="37">
        <f t="shared" si="37"/>
        <v>8</v>
      </c>
      <c r="AK145" s="7">
        <f t="shared" si="38"/>
        <v>80</v>
      </c>
      <c r="AL145" s="7">
        <f t="shared" si="26"/>
        <v>50</v>
      </c>
      <c r="AM145" s="13"/>
      <c r="AN145" s="11" t="s">
        <v>71</v>
      </c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1" t="s">
        <v>71</v>
      </c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22" t="s">
        <v>1380</v>
      </c>
      <c r="CS145" s="20">
        <v>4</v>
      </c>
      <c r="CT145" s="20">
        <v>364695483</v>
      </c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</row>
    <row r="146" spans="1:108" ht="24.95" hidden="1" customHeight="1" x14ac:dyDescent="0.2">
      <c r="A146" s="3">
        <v>142</v>
      </c>
      <c r="B146" s="3" t="s">
        <v>1448</v>
      </c>
      <c r="C146" s="3" t="s">
        <v>92</v>
      </c>
      <c r="D146" s="3" t="s">
        <v>163</v>
      </c>
      <c r="E146" s="3" t="s">
        <v>394</v>
      </c>
      <c r="F146" s="3" t="s">
        <v>395</v>
      </c>
      <c r="G146" s="11" t="s">
        <v>71</v>
      </c>
      <c r="H146" s="12"/>
      <c r="I146" s="11" t="s">
        <v>71</v>
      </c>
      <c r="K146" s="12"/>
      <c r="L146" s="3" t="s">
        <v>476</v>
      </c>
      <c r="M146" s="12"/>
      <c r="N146" s="12"/>
      <c r="O146" s="12"/>
      <c r="P146" s="4" t="s">
        <v>648</v>
      </c>
      <c r="Q146" s="5">
        <v>9355515430</v>
      </c>
      <c r="R146" s="3" t="s">
        <v>973</v>
      </c>
      <c r="S146" s="14">
        <v>38</v>
      </c>
      <c r="T146" s="3" t="s">
        <v>1027</v>
      </c>
      <c r="U146" s="3" t="s">
        <v>1074</v>
      </c>
      <c r="V146" s="12"/>
      <c r="W146" s="12"/>
      <c r="X146" s="7">
        <f t="shared" si="27"/>
        <v>120</v>
      </c>
      <c r="Y146" s="7">
        <f t="shared" si="28"/>
        <v>16</v>
      </c>
      <c r="Z146" s="7">
        <f t="shared" si="29"/>
        <v>136</v>
      </c>
      <c r="AA146" s="37">
        <f t="shared" si="30"/>
        <v>11.333333333333334</v>
      </c>
      <c r="AB146" s="33">
        <f t="shared" si="31"/>
        <v>4</v>
      </c>
      <c r="AC146" s="8">
        <f t="shared" si="32"/>
        <v>0</v>
      </c>
      <c r="AD146" s="7">
        <f t="shared" si="33"/>
        <v>0</v>
      </c>
      <c r="AE146" s="34">
        <v>10</v>
      </c>
      <c r="AF146" s="12">
        <v>10</v>
      </c>
      <c r="AG146" s="38">
        <f t="shared" si="34"/>
        <v>11.333333333333334</v>
      </c>
      <c r="AH146" s="32">
        <f t="shared" si="35"/>
        <v>4</v>
      </c>
      <c r="AI146" s="37">
        <f t="shared" si="36"/>
        <v>11.333333333333334</v>
      </c>
      <c r="AJ146" s="37">
        <f t="shared" si="37"/>
        <v>4</v>
      </c>
      <c r="AK146" s="7">
        <f t="shared" si="38"/>
        <v>136</v>
      </c>
      <c r="AL146" s="7">
        <f t="shared" si="26"/>
        <v>0</v>
      </c>
      <c r="AM146" s="13"/>
      <c r="AN146" s="11" t="s">
        <v>71</v>
      </c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X146" s="13"/>
      <c r="BY146" s="13"/>
      <c r="BZ146" s="13"/>
      <c r="CA146" s="13"/>
      <c r="CB146" s="13"/>
      <c r="CC146" s="11" t="s">
        <v>71</v>
      </c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22" t="s">
        <v>1430</v>
      </c>
      <c r="CS146" s="21">
        <v>11</v>
      </c>
      <c r="CT146" s="20">
        <v>453646205</v>
      </c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</row>
    <row r="147" spans="1:108" ht="24.95" customHeight="1" x14ac:dyDescent="0.2">
      <c r="A147" s="3">
        <v>143</v>
      </c>
      <c r="B147" s="3" t="s">
        <v>1448</v>
      </c>
      <c r="C147" s="3" t="s">
        <v>87</v>
      </c>
      <c r="D147" s="3" t="s">
        <v>97</v>
      </c>
      <c r="E147" s="3" t="s">
        <v>396</v>
      </c>
      <c r="F147" s="3" t="s">
        <v>397</v>
      </c>
      <c r="G147" s="11" t="s">
        <v>71</v>
      </c>
      <c r="H147" s="12"/>
      <c r="I147" s="17"/>
      <c r="J147" s="11" t="s">
        <v>71</v>
      </c>
      <c r="K147" s="12"/>
      <c r="L147" s="3" t="s">
        <v>492</v>
      </c>
      <c r="M147" s="12"/>
      <c r="N147" s="12"/>
      <c r="O147" s="12"/>
      <c r="P147" s="4" t="s">
        <v>649</v>
      </c>
      <c r="Q147" s="5" t="s">
        <v>801</v>
      </c>
      <c r="R147" s="3" t="s">
        <v>974</v>
      </c>
      <c r="S147" s="14">
        <v>38</v>
      </c>
      <c r="T147" s="3" t="s">
        <v>75</v>
      </c>
      <c r="U147" s="3" t="s">
        <v>1118</v>
      </c>
      <c r="V147" s="12"/>
      <c r="W147" s="12"/>
      <c r="X147" s="7">
        <f t="shared" si="27"/>
        <v>24</v>
      </c>
      <c r="Y147" s="7">
        <f t="shared" si="28"/>
        <v>14</v>
      </c>
      <c r="Z147" s="7">
        <f t="shared" si="29"/>
        <v>38</v>
      </c>
      <c r="AA147" s="37">
        <v>3</v>
      </c>
      <c r="AB147" s="33">
        <f t="shared" si="31"/>
        <v>2</v>
      </c>
      <c r="AC147" s="8">
        <f t="shared" si="32"/>
        <v>11.75</v>
      </c>
      <c r="AD147" s="7">
        <f t="shared" si="33"/>
        <v>9</v>
      </c>
      <c r="AE147" s="34">
        <v>14</v>
      </c>
      <c r="AF147" s="12">
        <v>5</v>
      </c>
      <c r="AG147" s="38">
        <f t="shared" si="34"/>
        <v>14.75</v>
      </c>
      <c r="AH147" s="32">
        <f t="shared" si="35"/>
        <v>11</v>
      </c>
      <c r="AI147" s="37">
        <f t="shared" si="36"/>
        <v>14.916666666666666</v>
      </c>
      <c r="AJ147" s="37">
        <f t="shared" si="37"/>
        <v>11</v>
      </c>
      <c r="AK147" s="7">
        <f t="shared" si="38"/>
        <v>179</v>
      </c>
      <c r="AL147" s="7">
        <f t="shared" si="26"/>
        <v>141</v>
      </c>
      <c r="AM147" s="13"/>
      <c r="AN147" s="11" t="s">
        <v>71</v>
      </c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1" t="s">
        <v>71</v>
      </c>
      <c r="CL147" s="13"/>
      <c r="CM147" s="13"/>
      <c r="CN147" s="13"/>
      <c r="CO147" s="13"/>
      <c r="CP147" s="13"/>
      <c r="CQ147" s="13"/>
      <c r="CR147" s="22" t="s">
        <v>1426</v>
      </c>
      <c r="CS147" s="20">
        <v>6</v>
      </c>
      <c r="CT147" s="20">
        <v>340723908</v>
      </c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</row>
    <row r="148" spans="1:108" ht="24.95" hidden="1" customHeight="1" x14ac:dyDescent="0.2">
      <c r="A148" s="3">
        <v>144</v>
      </c>
      <c r="B148" s="3" t="s">
        <v>1448</v>
      </c>
      <c r="C148" s="3" t="s">
        <v>88</v>
      </c>
      <c r="D148" s="3" t="s">
        <v>140</v>
      </c>
      <c r="E148" s="3" t="s">
        <v>398</v>
      </c>
      <c r="F148" s="3" t="s">
        <v>231</v>
      </c>
      <c r="G148" s="11" t="s">
        <v>71</v>
      </c>
      <c r="H148" s="12"/>
      <c r="I148" s="17"/>
      <c r="J148" s="11" t="s">
        <v>71</v>
      </c>
      <c r="K148" s="12"/>
      <c r="L148" s="3" t="s">
        <v>492</v>
      </c>
      <c r="M148" s="12"/>
      <c r="N148" s="12"/>
      <c r="O148" s="12"/>
      <c r="P148" s="4" t="s">
        <v>650</v>
      </c>
      <c r="Q148" s="5" t="s">
        <v>802</v>
      </c>
      <c r="R148" s="3" t="s">
        <v>975</v>
      </c>
      <c r="S148" s="14">
        <v>49</v>
      </c>
      <c r="T148" s="3" t="s">
        <v>1026</v>
      </c>
      <c r="U148" s="3"/>
      <c r="V148" s="12"/>
      <c r="W148" s="12"/>
      <c r="X148" s="7">
        <f t="shared" si="27"/>
        <v>24</v>
      </c>
      <c r="Y148" s="7">
        <f t="shared" si="28"/>
        <v>14</v>
      </c>
      <c r="Z148" s="7">
        <f t="shared" si="29"/>
        <v>38</v>
      </c>
      <c r="AA148" s="37">
        <v>4</v>
      </c>
      <c r="AB148" s="33">
        <f t="shared" si="31"/>
        <v>2</v>
      </c>
      <c r="AC148" s="8">
        <f t="shared" si="32"/>
        <v>18.5</v>
      </c>
      <c r="AD148" s="7">
        <f t="shared" si="33"/>
        <v>6</v>
      </c>
      <c r="AE148" s="34">
        <v>21</v>
      </c>
      <c r="AF148" s="12">
        <v>2</v>
      </c>
      <c r="AG148" s="38">
        <f t="shared" si="34"/>
        <v>22.5</v>
      </c>
      <c r="AH148" s="32">
        <f t="shared" si="35"/>
        <v>8</v>
      </c>
      <c r="AI148" s="37">
        <f t="shared" si="36"/>
        <v>21.666666666666668</v>
      </c>
      <c r="AJ148" s="37">
        <f t="shared" si="37"/>
        <v>8</v>
      </c>
      <c r="AK148" s="7">
        <f t="shared" si="38"/>
        <v>260</v>
      </c>
      <c r="AL148" s="7">
        <f t="shared" si="26"/>
        <v>222</v>
      </c>
      <c r="AM148" s="13"/>
      <c r="AN148" s="11" t="s">
        <v>71</v>
      </c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X148" s="13"/>
      <c r="BY148" s="13"/>
      <c r="BZ148" s="13"/>
      <c r="CA148" s="13"/>
      <c r="CB148" s="13"/>
      <c r="CC148" s="11" t="s">
        <v>71</v>
      </c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22" t="s">
        <v>1422</v>
      </c>
      <c r="CS148" s="20">
        <v>6</v>
      </c>
      <c r="CT148" s="20">
        <v>385936161</v>
      </c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</row>
    <row r="149" spans="1:108" ht="24.95" hidden="1" customHeight="1" x14ac:dyDescent="0.2">
      <c r="A149" s="3">
        <v>145</v>
      </c>
      <c r="B149" s="3" t="s">
        <v>1448</v>
      </c>
      <c r="C149" s="3" t="s">
        <v>83</v>
      </c>
      <c r="D149" s="3" t="s">
        <v>216</v>
      </c>
      <c r="E149" s="3" t="s">
        <v>398</v>
      </c>
      <c r="F149" s="3" t="s">
        <v>107</v>
      </c>
      <c r="G149" s="11" t="s">
        <v>71</v>
      </c>
      <c r="H149" s="12"/>
      <c r="I149" s="17"/>
      <c r="J149" s="11" t="s">
        <v>71</v>
      </c>
      <c r="K149" s="12"/>
      <c r="L149" s="3" t="s">
        <v>503</v>
      </c>
      <c r="M149" s="12"/>
      <c r="N149" s="12"/>
      <c r="O149" s="12"/>
      <c r="P149" s="4" t="s">
        <v>651</v>
      </c>
      <c r="Q149" s="5" t="s">
        <v>803</v>
      </c>
      <c r="R149" s="3" t="s">
        <v>976</v>
      </c>
      <c r="S149" s="14">
        <v>25</v>
      </c>
      <c r="T149" s="3" t="s">
        <v>1024</v>
      </c>
      <c r="U149" s="3" t="s">
        <v>1119</v>
      </c>
      <c r="V149" s="12"/>
      <c r="W149" s="12"/>
      <c r="X149" s="7">
        <f t="shared" si="27"/>
        <v>24</v>
      </c>
      <c r="Y149" s="7">
        <f t="shared" si="28"/>
        <v>5</v>
      </c>
      <c r="Z149" s="7">
        <f t="shared" si="29"/>
        <v>29</v>
      </c>
      <c r="AA149" s="37">
        <v>1</v>
      </c>
      <c r="AB149" s="33">
        <f t="shared" si="31"/>
        <v>5</v>
      </c>
      <c r="AC149" s="8">
        <f t="shared" si="32"/>
        <v>-0.25</v>
      </c>
      <c r="AD149" s="7">
        <f t="shared" si="33"/>
        <v>9</v>
      </c>
      <c r="AE149" s="34">
        <v>1</v>
      </c>
      <c r="AF149" s="12">
        <v>8</v>
      </c>
      <c r="AG149" s="38">
        <v>2</v>
      </c>
      <c r="AH149" s="32">
        <v>2</v>
      </c>
      <c r="AI149" s="37">
        <f t="shared" si="36"/>
        <v>2.1666666666666665</v>
      </c>
      <c r="AJ149" s="37">
        <f t="shared" si="37"/>
        <v>2</v>
      </c>
      <c r="AK149" s="7">
        <f t="shared" si="38"/>
        <v>26</v>
      </c>
      <c r="AL149" s="7">
        <f t="shared" si="26"/>
        <v>-3</v>
      </c>
      <c r="AM149" s="13"/>
      <c r="AN149" s="11" t="s">
        <v>71</v>
      </c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1" t="s">
        <v>71</v>
      </c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22" t="s">
        <v>1380</v>
      </c>
      <c r="CS149" s="20">
        <v>4</v>
      </c>
      <c r="CT149" s="20">
        <v>331106562</v>
      </c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</row>
    <row r="150" spans="1:108" ht="24.95" customHeight="1" x14ac:dyDescent="0.2">
      <c r="A150" s="3">
        <v>146</v>
      </c>
      <c r="B150" s="3" t="s">
        <v>1448</v>
      </c>
      <c r="C150" s="3" t="s">
        <v>87</v>
      </c>
      <c r="D150" s="3" t="s">
        <v>100</v>
      </c>
      <c r="E150" s="3" t="s">
        <v>399</v>
      </c>
      <c r="F150" s="3" t="s">
        <v>400</v>
      </c>
      <c r="G150" s="11" t="s">
        <v>71</v>
      </c>
      <c r="H150" s="12"/>
      <c r="I150" s="17"/>
      <c r="J150" s="11" t="s">
        <v>71</v>
      </c>
      <c r="K150" s="12"/>
      <c r="L150" s="3" t="s">
        <v>504</v>
      </c>
      <c r="M150" s="12"/>
      <c r="N150" s="12"/>
      <c r="O150" s="12"/>
      <c r="P150" s="4" t="s">
        <v>652</v>
      </c>
      <c r="Q150" s="5" t="s">
        <v>804</v>
      </c>
      <c r="R150" s="3" t="s">
        <v>977</v>
      </c>
      <c r="S150" s="14">
        <v>38</v>
      </c>
      <c r="T150" s="3" t="s">
        <v>1039</v>
      </c>
      <c r="U150" s="3"/>
      <c r="V150" s="12"/>
      <c r="W150" s="12"/>
      <c r="X150" s="7">
        <f t="shared" si="27"/>
        <v>24</v>
      </c>
      <c r="Y150" s="7">
        <f t="shared" si="28"/>
        <v>12</v>
      </c>
      <c r="Z150" s="7">
        <f t="shared" si="29"/>
        <v>36</v>
      </c>
      <c r="AA150" s="37">
        <f t="shared" si="30"/>
        <v>3</v>
      </c>
      <c r="AB150" s="33">
        <f t="shared" si="31"/>
        <v>0</v>
      </c>
      <c r="AC150" s="8">
        <f t="shared" si="32"/>
        <v>4</v>
      </c>
      <c r="AD150" s="7">
        <f t="shared" si="33"/>
        <v>0</v>
      </c>
      <c r="AE150" s="34">
        <v>6</v>
      </c>
      <c r="AF150" s="12">
        <v>6</v>
      </c>
      <c r="AG150" s="38">
        <f t="shared" si="34"/>
        <v>7</v>
      </c>
      <c r="AH150" s="32">
        <f t="shared" si="35"/>
        <v>0</v>
      </c>
      <c r="AI150" s="37">
        <f t="shared" si="36"/>
        <v>7</v>
      </c>
      <c r="AJ150" s="37">
        <f t="shared" si="37"/>
        <v>0</v>
      </c>
      <c r="AK150" s="7">
        <f t="shared" si="38"/>
        <v>84</v>
      </c>
      <c r="AL150" s="7">
        <f t="shared" si="26"/>
        <v>48</v>
      </c>
      <c r="AM150" s="13"/>
      <c r="AN150" s="11" t="s">
        <v>71</v>
      </c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1" t="s">
        <v>71</v>
      </c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22" t="s">
        <v>1380</v>
      </c>
      <c r="CS150" s="20">
        <v>4</v>
      </c>
      <c r="CT150" s="20">
        <v>361366583</v>
      </c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</row>
    <row r="151" spans="1:108" ht="24.95" hidden="1" customHeight="1" x14ac:dyDescent="0.2">
      <c r="A151" s="3">
        <v>147</v>
      </c>
      <c r="B151" s="3" t="s">
        <v>1448</v>
      </c>
      <c r="C151" s="3" t="s">
        <v>83</v>
      </c>
      <c r="D151" s="3" t="s">
        <v>401</v>
      </c>
      <c r="E151" s="3" t="s">
        <v>402</v>
      </c>
      <c r="F151" s="3" t="s">
        <v>107</v>
      </c>
      <c r="G151" s="11" t="s">
        <v>71</v>
      </c>
      <c r="H151" s="12"/>
      <c r="I151" s="11" t="s">
        <v>71</v>
      </c>
      <c r="K151" s="12"/>
      <c r="L151" s="3" t="s">
        <v>492</v>
      </c>
      <c r="M151" s="12"/>
      <c r="N151" s="12"/>
      <c r="O151" s="12"/>
      <c r="P151" s="4" t="s">
        <v>653</v>
      </c>
      <c r="Q151" s="5" t="s">
        <v>805</v>
      </c>
      <c r="R151" s="3" t="s">
        <v>978</v>
      </c>
      <c r="S151" s="14">
        <v>27</v>
      </c>
      <c r="T151" s="3" t="s">
        <v>1024</v>
      </c>
      <c r="U151" s="3" t="s">
        <v>77</v>
      </c>
      <c r="V151" s="12"/>
      <c r="W151" s="12"/>
      <c r="X151" s="7">
        <f t="shared" si="27"/>
        <v>24</v>
      </c>
      <c r="Y151" s="7">
        <f t="shared" si="28"/>
        <v>14</v>
      </c>
      <c r="Z151" s="7">
        <f t="shared" si="29"/>
        <v>38</v>
      </c>
      <c r="AA151" s="37">
        <v>4</v>
      </c>
      <c r="AB151" s="33">
        <f t="shared" si="31"/>
        <v>2</v>
      </c>
      <c r="AC151" s="8">
        <f t="shared" si="32"/>
        <v>1</v>
      </c>
      <c r="AD151" s="7">
        <f t="shared" si="33"/>
        <v>0</v>
      </c>
      <c r="AE151" s="34">
        <v>3</v>
      </c>
      <c r="AF151" s="12">
        <v>8</v>
      </c>
      <c r="AG151" s="38">
        <f t="shared" si="34"/>
        <v>5</v>
      </c>
      <c r="AH151" s="32">
        <f t="shared" si="35"/>
        <v>2</v>
      </c>
      <c r="AI151" s="37">
        <f t="shared" si="36"/>
        <v>4.166666666666667</v>
      </c>
      <c r="AJ151" s="37">
        <f t="shared" si="37"/>
        <v>2</v>
      </c>
      <c r="AK151" s="7">
        <f t="shared" si="38"/>
        <v>50</v>
      </c>
      <c r="AL151" s="7">
        <f t="shared" si="26"/>
        <v>12</v>
      </c>
      <c r="AM151" s="13"/>
      <c r="AN151" s="11" t="s">
        <v>71</v>
      </c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1" t="s">
        <v>71</v>
      </c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22" t="s">
        <v>1380</v>
      </c>
      <c r="CS151" s="20">
        <v>4</v>
      </c>
      <c r="CT151" s="20">
        <v>331947976</v>
      </c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</row>
    <row r="152" spans="1:108" ht="24.95" customHeight="1" x14ac:dyDescent="0.2">
      <c r="A152" s="3">
        <v>148</v>
      </c>
      <c r="B152" s="3" t="s">
        <v>1448</v>
      </c>
      <c r="C152" s="3" t="s">
        <v>87</v>
      </c>
      <c r="D152" s="3" t="s">
        <v>112</v>
      </c>
      <c r="E152" s="3" t="s">
        <v>403</v>
      </c>
      <c r="F152" s="3" t="s">
        <v>111</v>
      </c>
      <c r="G152" s="11" t="s">
        <v>71</v>
      </c>
      <c r="H152" s="12"/>
      <c r="I152" s="17"/>
      <c r="J152" s="11" t="s">
        <v>71</v>
      </c>
      <c r="K152" s="12"/>
      <c r="L152" s="3" t="s">
        <v>483</v>
      </c>
      <c r="M152" s="12"/>
      <c r="N152" s="12"/>
      <c r="O152" s="12"/>
      <c r="P152" s="4" t="s">
        <v>654</v>
      </c>
      <c r="Q152" s="5">
        <v>9156444515</v>
      </c>
      <c r="R152" s="3" t="s">
        <v>979</v>
      </c>
      <c r="S152" s="14">
        <v>44</v>
      </c>
      <c r="T152" s="3" t="s">
        <v>1032</v>
      </c>
      <c r="U152" s="3" t="s">
        <v>1032</v>
      </c>
      <c r="V152" s="12"/>
      <c r="W152" s="12"/>
      <c r="X152" s="7">
        <f t="shared" si="27"/>
        <v>144</v>
      </c>
      <c r="Y152" s="7">
        <f t="shared" si="28"/>
        <v>15</v>
      </c>
      <c r="Z152" s="7">
        <f t="shared" si="29"/>
        <v>159</v>
      </c>
      <c r="AA152" s="37">
        <f t="shared" si="30"/>
        <v>13.25</v>
      </c>
      <c r="AB152" s="33">
        <f t="shared" si="31"/>
        <v>3</v>
      </c>
      <c r="AC152" s="8">
        <f t="shared" si="32"/>
        <v>9.4166666666666661</v>
      </c>
      <c r="AD152" s="7">
        <f t="shared" si="33"/>
        <v>5</v>
      </c>
      <c r="AE152" s="34">
        <v>22</v>
      </c>
      <c r="AF152" s="12">
        <v>2</v>
      </c>
      <c r="AG152" s="38">
        <f t="shared" si="34"/>
        <v>22.666666666666664</v>
      </c>
      <c r="AH152" s="32">
        <f t="shared" si="35"/>
        <v>8</v>
      </c>
      <c r="AI152" s="37">
        <f t="shared" si="36"/>
        <v>22.666666666666668</v>
      </c>
      <c r="AJ152" s="37">
        <f t="shared" si="37"/>
        <v>8</v>
      </c>
      <c r="AK152" s="7">
        <f t="shared" si="38"/>
        <v>272</v>
      </c>
      <c r="AL152" s="7">
        <f t="shared" si="26"/>
        <v>113</v>
      </c>
      <c r="AM152" s="13"/>
      <c r="AN152" s="11" t="s">
        <v>71</v>
      </c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1" t="s">
        <v>71</v>
      </c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22" t="s">
        <v>1380</v>
      </c>
      <c r="CS152" s="21">
        <v>6</v>
      </c>
      <c r="CT152" s="20">
        <v>502500026</v>
      </c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</row>
    <row r="153" spans="1:108" ht="24.95" hidden="1" customHeight="1" x14ac:dyDescent="0.2">
      <c r="A153" s="3">
        <v>149</v>
      </c>
      <c r="B153" s="3" t="s">
        <v>1448</v>
      </c>
      <c r="C153" s="3" t="s">
        <v>92</v>
      </c>
      <c r="D153" s="3" t="s">
        <v>107</v>
      </c>
      <c r="E153" s="3" t="s">
        <v>404</v>
      </c>
      <c r="F153" s="3" t="s">
        <v>405</v>
      </c>
      <c r="G153" s="11" t="s">
        <v>71</v>
      </c>
      <c r="H153" s="12"/>
      <c r="I153" s="17"/>
      <c r="J153" s="11" t="s">
        <v>71</v>
      </c>
      <c r="K153" s="12"/>
      <c r="L153" s="3" t="s">
        <v>490</v>
      </c>
      <c r="M153" s="12"/>
      <c r="N153" s="12"/>
      <c r="O153" s="12"/>
      <c r="P153" s="4" t="s">
        <v>655</v>
      </c>
      <c r="Q153" s="5">
        <v>9152531194</v>
      </c>
      <c r="R153" s="3" t="s">
        <v>980</v>
      </c>
      <c r="S153" s="14">
        <v>35</v>
      </c>
      <c r="T153" s="3" t="s">
        <v>1032</v>
      </c>
      <c r="U153" s="3" t="s">
        <v>1120</v>
      </c>
      <c r="V153" s="12"/>
      <c r="W153" s="12"/>
      <c r="X153" s="7">
        <f t="shared" si="27"/>
        <v>120</v>
      </c>
      <c r="Y153" s="7">
        <f t="shared" si="28"/>
        <v>7</v>
      </c>
      <c r="Z153" s="7">
        <f t="shared" si="29"/>
        <v>127</v>
      </c>
      <c r="AA153" s="37">
        <v>10</v>
      </c>
      <c r="AB153" s="33">
        <f t="shared" si="31"/>
        <v>7</v>
      </c>
      <c r="AC153" s="8">
        <f t="shared" si="32"/>
        <v>0.5</v>
      </c>
      <c r="AD153" s="7">
        <f t="shared" si="33"/>
        <v>6</v>
      </c>
      <c r="AE153" s="34">
        <v>10</v>
      </c>
      <c r="AF153" s="12">
        <v>7</v>
      </c>
      <c r="AG153" s="38">
        <v>12</v>
      </c>
      <c r="AH153" s="32">
        <v>1</v>
      </c>
      <c r="AI153" s="37">
        <f t="shared" si="36"/>
        <v>11.083333333333334</v>
      </c>
      <c r="AJ153" s="37">
        <f t="shared" si="37"/>
        <v>1</v>
      </c>
      <c r="AK153" s="7">
        <f t="shared" si="38"/>
        <v>133</v>
      </c>
      <c r="AL153" s="7">
        <f t="shared" si="26"/>
        <v>6</v>
      </c>
      <c r="AM153" s="13"/>
      <c r="AN153" s="11" t="s">
        <v>71</v>
      </c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1" t="s">
        <v>71</v>
      </c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22" t="s">
        <v>1380</v>
      </c>
      <c r="CS153" s="21">
        <v>6</v>
      </c>
      <c r="CT153" s="20">
        <v>456363958</v>
      </c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</row>
    <row r="154" spans="1:108" ht="24.95" hidden="1" customHeight="1" x14ac:dyDescent="0.2">
      <c r="A154" s="3">
        <v>150</v>
      </c>
      <c r="B154" s="3" t="s">
        <v>1448</v>
      </c>
      <c r="C154" s="3" t="s">
        <v>83</v>
      </c>
      <c r="D154" s="3" t="s">
        <v>140</v>
      </c>
      <c r="E154" s="3" t="s">
        <v>406</v>
      </c>
      <c r="F154" s="3" t="s">
        <v>407</v>
      </c>
      <c r="G154" s="11" t="s">
        <v>71</v>
      </c>
      <c r="H154" s="12"/>
      <c r="I154" s="17"/>
      <c r="J154" s="11" t="s">
        <v>71</v>
      </c>
      <c r="K154" s="12"/>
      <c r="L154" s="3" t="s">
        <v>492</v>
      </c>
      <c r="M154" s="12"/>
      <c r="N154" s="12"/>
      <c r="O154" s="12"/>
      <c r="P154" s="4" t="s">
        <v>656</v>
      </c>
      <c r="Q154" s="5" t="s">
        <v>806</v>
      </c>
      <c r="R154" s="3" t="s">
        <v>981</v>
      </c>
      <c r="S154" s="14">
        <v>38</v>
      </c>
      <c r="T154" s="3" t="s">
        <v>76</v>
      </c>
      <c r="U154" s="3" t="s">
        <v>77</v>
      </c>
      <c r="V154" s="12"/>
      <c r="W154" s="12"/>
      <c r="X154" s="7">
        <f t="shared" si="27"/>
        <v>24</v>
      </c>
      <c r="Y154" s="7">
        <f t="shared" si="28"/>
        <v>14</v>
      </c>
      <c r="Z154" s="7">
        <f t="shared" si="29"/>
        <v>38</v>
      </c>
      <c r="AA154" s="37">
        <v>4</v>
      </c>
      <c r="AB154" s="33">
        <f t="shared" si="31"/>
        <v>2</v>
      </c>
      <c r="AC154" s="8">
        <f t="shared" si="32"/>
        <v>12.166666666666666</v>
      </c>
      <c r="AD154" s="7">
        <f t="shared" si="33"/>
        <v>2</v>
      </c>
      <c r="AE154" s="34">
        <v>14</v>
      </c>
      <c r="AF154" s="12">
        <v>10</v>
      </c>
      <c r="AG154" s="38">
        <f t="shared" si="34"/>
        <v>16.166666666666664</v>
      </c>
      <c r="AH154" s="32">
        <f t="shared" si="35"/>
        <v>4</v>
      </c>
      <c r="AI154" s="37">
        <f t="shared" si="36"/>
        <v>15.333333333333334</v>
      </c>
      <c r="AJ154" s="37">
        <f t="shared" si="37"/>
        <v>4</v>
      </c>
      <c r="AK154" s="7">
        <f t="shared" si="38"/>
        <v>184</v>
      </c>
      <c r="AL154" s="7">
        <f t="shared" si="26"/>
        <v>146</v>
      </c>
      <c r="AM154" s="13"/>
      <c r="AN154" s="11" t="s">
        <v>71</v>
      </c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1" t="s">
        <v>71</v>
      </c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22" t="s">
        <v>1380</v>
      </c>
      <c r="CS154" s="20">
        <v>4</v>
      </c>
      <c r="CT154" s="20">
        <v>370199476</v>
      </c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</row>
    <row r="155" spans="1:108" ht="24.95" hidden="1" customHeight="1" x14ac:dyDescent="0.2">
      <c r="A155" s="3">
        <v>151</v>
      </c>
      <c r="B155" s="3" t="s">
        <v>1448</v>
      </c>
      <c r="C155" s="3" t="s">
        <v>88</v>
      </c>
      <c r="D155" s="3" t="s">
        <v>408</v>
      </c>
      <c r="E155" s="3" t="s">
        <v>409</v>
      </c>
      <c r="F155" s="3" t="s">
        <v>351</v>
      </c>
      <c r="G155" s="11" t="s">
        <v>71</v>
      </c>
      <c r="H155" s="12"/>
      <c r="I155" s="11" t="s">
        <v>71</v>
      </c>
      <c r="K155" s="12"/>
      <c r="L155" s="3" t="s">
        <v>492</v>
      </c>
      <c r="M155" s="12"/>
      <c r="N155" s="12"/>
      <c r="O155" s="12"/>
      <c r="P155" s="4" t="s">
        <v>657</v>
      </c>
      <c r="Q155" s="5" t="s">
        <v>807</v>
      </c>
      <c r="R155" s="3" t="s">
        <v>982</v>
      </c>
      <c r="S155" s="14">
        <v>31</v>
      </c>
      <c r="T155" s="3" t="s">
        <v>75</v>
      </c>
      <c r="U155" s="3" t="s">
        <v>1121</v>
      </c>
      <c r="V155" s="12"/>
      <c r="W155" s="12"/>
      <c r="X155" s="7">
        <f t="shared" si="27"/>
        <v>24</v>
      </c>
      <c r="Y155" s="7">
        <f t="shared" si="28"/>
        <v>14</v>
      </c>
      <c r="Z155" s="7">
        <f t="shared" si="29"/>
        <v>38</v>
      </c>
      <c r="AA155" s="37">
        <v>3</v>
      </c>
      <c r="AB155" s="33">
        <f t="shared" si="31"/>
        <v>2</v>
      </c>
      <c r="AC155" s="8">
        <f t="shared" si="32"/>
        <v>1.5833333333333333</v>
      </c>
      <c r="AD155" s="7">
        <f t="shared" si="33"/>
        <v>7</v>
      </c>
      <c r="AE155" s="34">
        <v>4</v>
      </c>
      <c r="AF155" s="12">
        <v>3</v>
      </c>
      <c r="AG155" s="38">
        <f t="shared" si="34"/>
        <v>4.583333333333333</v>
      </c>
      <c r="AH155" s="32">
        <f t="shared" si="35"/>
        <v>9</v>
      </c>
      <c r="AI155" s="37">
        <f t="shared" si="36"/>
        <v>4.75</v>
      </c>
      <c r="AJ155" s="37">
        <f t="shared" si="37"/>
        <v>9</v>
      </c>
      <c r="AK155" s="7">
        <f t="shared" si="38"/>
        <v>57</v>
      </c>
      <c r="AL155" s="7">
        <f t="shared" si="26"/>
        <v>19</v>
      </c>
      <c r="AM155" s="13"/>
      <c r="AN155" s="11" t="s">
        <v>71</v>
      </c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X155" s="13"/>
      <c r="BY155" s="13"/>
      <c r="BZ155" s="13"/>
      <c r="CA155" s="13"/>
      <c r="CB155" s="13"/>
      <c r="CC155" s="11" t="s">
        <v>71</v>
      </c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22" t="s">
        <v>73</v>
      </c>
      <c r="CS155" s="20">
        <v>6</v>
      </c>
      <c r="CT155" s="20">
        <v>325111601</v>
      </c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</row>
    <row r="156" spans="1:108" ht="24.95" hidden="1" customHeight="1" x14ac:dyDescent="0.2">
      <c r="A156" s="3">
        <v>152</v>
      </c>
      <c r="B156" s="3" t="s">
        <v>1448</v>
      </c>
      <c r="C156" s="3" t="s">
        <v>83</v>
      </c>
      <c r="D156" s="3" t="s">
        <v>146</v>
      </c>
      <c r="E156" s="3" t="s">
        <v>410</v>
      </c>
      <c r="F156" s="3" t="s">
        <v>411</v>
      </c>
      <c r="G156" s="11" t="s">
        <v>71</v>
      </c>
      <c r="H156" s="12"/>
      <c r="I156" s="17"/>
      <c r="J156" s="11" t="s">
        <v>71</v>
      </c>
      <c r="K156" s="12"/>
      <c r="L156" s="3" t="s">
        <v>492</v>
      </c>
      <c r="M156" s="12"/>
      <c r="N156" s="12"/>
      <c r="O156" s="12"/>
      <c r="P156" s="4" t="s">
        <v>658</v>
      </c>
      <c r="Q156" s="5" t="s">
        <v>808</v>
      </c>
      <c r="R156" s="3" t="s">
        <v>983</v>
      </c>
      <c r="S156" s="14">
        <v>29</v>
      </c>
      <c r="T156" s="3" t="s">
        <v>76</v>
      </c>
      <c r="U156" s="3" t="s">
        <v>77</v>
      </c>
      <c r="V156" s="12"/>
      <c r="W156" s="12"/>
      <c r="X156" s="7">
        <f t="shared" si="27"/>
        <v>24</v>
      </c>
      <c r="Y156" s="7">
        <f t="shared" si="28"/>
        <v>14</v>
      </c>
      <c r="Z156" s="7">
        <f t="shared" si="29"/>
        <v>38</v>
      </c>
      <c r="AA156" s="37">
        <v>4</v>
      </c>
      <c r="AB156" s="33">
        <f t="shared" si="31"/>
        <v>2</v>
      </c>
      <c r="AC156" s="8">
        <f t="shared" si="32"/>
        <v>5.25</v>
      </c>
      <c r="AD156" s="7">
        <f t="shared" si="33"/>
        <v>3</v>
      </c>
      <c r="AE156" s="34">
        <v>7</v>
      </c>
      <c r="AF156" s="12">
        <v>11</v>
      </c>
      <c r="AG156" s="38">
        <f t="shared" si="34"/>
        <v>9.25</v>
      </c>
      <c r="AH156" s="32">
        <f t="shared" si="35"/>
        <v>5</v>
      </c>
      <c r="AI156" s="37">
        <f t="shared" si="36"/>
        <v>8.4166666666666661</v>
      </c>
      <c r="AJ156" s="37">
        <f t="shared" si="37"/>
        <v>5</v>
      </c>
      <c r="AK156" s="7">
        <f t="shared" si="38"/>
        <v>101</v>
      </c>
      <c r="AL156" s="7">
        <f t="shared" si="26"/>
        <v>63</v>
      </c>
      <c r="AM156" s="13"/>
      <c r="AN156" s="11" t="s">
        <v>71</v>
      </c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1" t="s">
        <v>71</v>
      </c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22" t="s">
        <v>1380</v>
      </c>
      <c r="CS156" s="20">
        <v>4</v>
      </c>
      <c r="CT156" s="20">
        <v>348555916</v>
      </c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</row>
    <row r="157" spans="1:108" ht="24.95" hidden="1" customHeight="1" x14ac:dyDescent="0.2">
      <c r="A157" s="3">
        <v>153</v>
      </c>
      <c r="B157" s="3" t="s">
        <v>1448</v>
      </c>
      <c r="C157" s="3" t="s">
        <v>85</v>
      </c>
      <c r="D157" s="3" t="s">
        <v>412</v>
      </c>
      <c r="E157" s="3" t="s">
        <v>413</v>
      </c>
      <c r="F157" s="3" t="s">
        <v>163</v>
      </c>
      <c r="G157" s="11" t="s">
        <v>71</v>
      </c>
      <c r="H157" s="12"/>
      <c r="I157" s="17"/>
      <c r="J157" s="11" t="s">
        <v>71</v>
      </c>
      <c r="K157" s="12"/>
      <c r="L157" s="3" t="s">
        <v>492</v>
      </c>
      <c r="M157" s="12"/>
      <c r="N157" s="12"/>
      <c r="O157" s="12"/>
      <c r="P157" s="4" t="s">
        <v>659</v>
      </c>
      <c r="Q157" s="5" t="s">
        <v>809</v>
      </c>
      <c r="R157" s="3" t="s">
        <v>984</v>
      </c>
      <c r="S157" s="14">
        <v>36</v>
      </c>
      <c r="T157" s="3" t="s">
        <v>1023</v>
      </c>
      <c r="U157" s="3" t="s">
        <v>1060</v>
      </c>
      <c r="V157" s="12"/>
      <c r="W157" s="12"/>
      <c r="X157" s="7">
        <f t="shared" si="27"/>
        <v>24</v>
      </c>
      <c r="Y157" s="7">
        <f t="shared" si="28"/>
        <v>14</v>
      </c>
      <c r="Z157" s="7">
        <f t="shared" si="29"/>
        <v>38</v>
      </c>
      <c r="AA157" s="37">
        <f t="shared" si="30"/>
        <v>3.1666666666666665</v>
      </c>
      <c r="AB157" s="33">
        <f t="shared" si="31"/>
        <v>2</v>
      </c>
      <c r="AC157" s="8">
        <f t="shared" si="32"/>
        <v>2.4166666666666665</v>
      </c>
      <c r="AD157" s="7">
        <f t="shared" si="33"/>
        <v>5</v>
      </c>
      <c r="AE157" s="34">
        <v>5</v>
      </c>
      <c r="AF157" s="12">
        <v>1</v>
      </c>
      <c r="AG157" s="38">
        <f t="shared" si="34"/>
        <v>5.583333333333333</v>
      </c>
      <c r="AH157" s="32">
        <f t="shared" si="35"/>
        <v>7</v>
      </c>
      <c r="AI157" s="37">
        <f t="shared" si="36"/>
        <v>5.583333333333333</v>
      </c>
      <c r="AJ157" s="37">
        <f t="shared" si="37"/>
        <v>7</v>
      </c>
      <c r="AK157" s="7">
        <f t="shared" si="38"/>
        <v>67</v>
      </c>
      <c r="AL157" s="7">
        <f t="shared" si="26"/>
        <v>29</v>
      </c>
      <c r="AM157" s="13"/>
      <c r="AN157" s="11" t="s">
        <v>71</v>
      </c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1" t="s">
        <v>71</v>
      </c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22" t="s">
        <v>1380</v>
      </c>
      <c r="CS157" s="20">
        <v>4</v>
      </c>
      <c r="CT157" s="20">
        <v>388882576</v>
      </c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</row>
    <row r="158" spans="1:108" ht="24.95" hidden="1" customHeight="1" x14ac:dyDescent="0.2">
      <c r="A158" s="3">
        <v>154</v>
      </c>
      <c r="B158" s="3" t="s">
        <v>1448</v>
      </c>
      <c r="C158" s="3" t="s">
        <v>88</v>
      </c>
      <c r="D158" s="3" t="s">
        <v>414</v>
      </c>
      <c r="E158" s="3" t="s">
        <v>415</v>
      </c>
      <c r="F158" s="3" t="s">
        <v>111</v>
      </c>
      <c r="G158" s="11" t="s">
        <v>71</v>
      </c>
      <c r="H158" s="12"/>
      <c r="I158" s="17"/>
      <c r="J158" s="11" t="s">
        <v>71</v>
      </c>
      <c r="K158" s="12"/>
      <c r="L158" s="3" t="s">
        <v>492</v>
      </c>
      <c r="M158" s="12"/>
      <c r="N158" s="12"/>
      <c r="O158" s="12"/>
      <c r="P158" s="4" t="s">
        <v>660</v>
      </c>
      <c r="Q158" s="5" t="s">
        <v>810</v>
      </c>
      <c r="R158" s="3" t="s">
        <v>866</v>
      </c>
      <c r="S158" s="14">
        <v>42</v>
      </c>
      <c r="T158" s="3" t="s">
        <v>75</v>
      </c>
      <c r="U158" s="3" t="s">
        <v>1122</v>
      </c>
      <c r="V158" s="12"/>
      <c r="W158" s="12"/>
      <c r="X158" s="7">
        <f t="shared" si="27"/>
        <v>24</v>
      </c>
      <c r="Y158" s="7">
        <f t="shared" si="28"/>
        <v>14</v>
      </c>
      <c r="Z158" s="7">
        <f t="shared" si="29"/>
        <v>38</v>
      </c>
      <c r="AA158" s="37">
        <f t="shared" si="30"/>
        <v>3.1666666666666665</v>
      </c>
      <c r="AB158" s="33">
        <f t="shared" si="31"/>
        <v>2</v>
      </c>
      <c r="AC158" s="8">
        <f t="shared" si="32"/>
        <v>10.75</v>
      </c>
      <c r="AD158" s="7">
        <f t="shared" si="33"/>
        <v>9</v>
      </c>
      <c r="AE158" s="34">
        <v>13</v>
      </c>
      <c r="AF158" s="12">
        <v>5</v>
      </c>
      <c r="AG158" s="38">
        <f t="shared" si="34"/>
        <v>13.916666666666666</v>
      </c>
      <c r="AH158" s="32">
        <f t="shared" si="35"/>
        <v>11</v>
      </c>
      <c r="AI158" s="37">
        <f t="shared" si="36"/>
        <v>13.916666666666666</v>
      </c>
      <c r="AJ158" s="37">
        <f t="shared" si="37"/>
        <v>11</v>
      </c>
      <c r="AK158" s="7">
        <f t="shared" si="38"/>
        <v>167</v>
      </c>
      <c r="AL158" s="7">
        <f t="shared" si="26"/>
        <v>129</v>
      </c>
      <c r="AM158" s="13"/>
      <c r="AN158" s="11" t="s">
        <v>71</v>
      </c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X158" s="13"/>
      <c r="BY158" s="13"/>
      <c r="BZ158" s="13"/>
      <c r="CA158" s="13"/>
      <c r="CB158" s="13"/>
      <c r="CD158" s="13"/>
      <c r="CE158" s="13"/>
      <c r="CF158" s="13"/>
      <c r="CG158" s="13"/>
      <c r="CH158" s="13"/>
      <c r="CI158" s="13"/>
      <c r="CJ158" s="13"/>
      <c r="CK158" s="11" t="s">
        <v>71</v>
      </c>
      <c r="CL158" s="13"/>
      <c r="CM158" s="13"/>
      <c r="CN158" s="13"/>
      <c r="CO158" s="13"/>
      <c r="CP158" s="13"/>
      <c r="CQ158" s="13"/>
      <c r="CR158" s="22" t="s">
        <v>1426</v>
      </c>
      <c r="CS158" s="20">
        <v>6</v>
      </c>
      <c r="CT158" s="20">
        <v>385286200</v>
      </c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</row>
    <row r="159" spans="1:108" ht="24.95" customHeight="1" x14ac:dyDescent="0.2">
      <c r="A159" s="3">
        <v>155</v>
      </c>
      <c r="B159" s="3" t="s">
        <v>1448</v>
      </c>
      <c r="C159" s="3" t="s">
        <v>87</v>
      </c>
      <c r="D159" s="3" t="s">
        <v>100</v>
      </c>
      <c r="E159" s="3" t="s">
        <v>416</v>
      </c>
      <c r="F159" s="3" t="s">
        <v>202</v>
      </c>
      <c r="G159" s="11" t="s">
        <v>71</v>
      </c>
      <c r="H159" s="12"/>
      <c r="I159" s="17"/>
      <c r="J159" s="11" t="s">
        <v>71</v>
      </c>
      <c r="K159" s="12"/>
      <c r="L159" s="3" t="s">
        <v>492</v>
      </c>
      <c r="M159" s="12"/>
      <c r="N159" s="12"/>
      <c r="O159" s="12"/>
      <c r="P159" s="4" t="s">
        <v>661</v>
      </c>
      <c r="Q159" s="5" t="s">
        <v>811</v>
      </c>
      <c r="R159" s="3" t="s">
        <v>985</v>
      </c>
      <c r="S159" s="14">
        <v>31</v>
      </c>
      <c r="T159" s="3" t="s">
        <v>1024</v>
      </c>
      <c r="U159" s="3" t="s">
        <v>1123</v>
      </c>
      <c r="V159" s="12"/>
      <c r="W159" s="12"/>
      <c r="X159" s="7">
        <f t="shared" si="27"/>
        <v>24</v>
      </c>
      <c r="Y159" s="7">
        <f t="shared" si="28"/>
        <v>14</v>
      </c>
      <c r="Z159" s="7">
        <f t="shared" si="29"/>
        <v>38</v>
      </c>
      <c r="AA159" s="37">
        <f t="shared" si="30"/>
        <v>3.1666666666666665</v>
      </c>
      <c r="AB159" s="33">
        <f t="shared" si="31"/>
        <v>2</v>
      </c>
      <c r="AC159" s="8">
        <f t="shared" si="32"/>
        <v>1.4166666666666667</v>
      </c>
      <c r="AD159" s="7">
        <f t="shared" si="33"/>
        <v>5</v>
      </c>
      <c r="AE159" s="34">
        <v>4</v>
      </c>
      <c r="AF159" s="12">
        <v>1</v>
      </c>
      <c r="AG159" s="38">
        <f t="shared" si="34"/>
        <v>4.583333333333333</v>
      </c>
      <c r="AH159" s="32">
        <f t="shared" si="35"/>
        <v>7</v>
      </c>
      <c r="AI159" s="37">
        <f t="shared" si="36"/>
        <v>4.583333333333333</v>
      </c>
      <c r="AJ159" s="37">
        <f t="shared" si="37"/>
        <v>7</v>
      </c>
      <c r="AK159" s="7">
        <f t="shared" si="38"/>
        <v>55</v>
      </c>
      <c r="AL159" s="7">
        <f t="shared" si="26"/>
        <v>17</v>
      </c>
      <c r="AM159" s="13"/>
      <c r="AN159" s="11" t="s">
        <v>71</v>
      </c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1" t="s">
        <v>71</v>
      </c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22" t="s">
        <v>1380</v>
      </c>
      <c r="CS159" s="20">
        <v>4</v>
      </c>
      <c r="CT159" s="20">
        <v>354945655</v>
      </c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</row>
    <row r="160" spans="1:108" ht="24.95" hidden="1" customHeight="1" x14ac:dyDescent="0.2">
      <c r="A160" s="3">
        <v>156</v>
      </c>
      <c r="B160" s="3" t="s">
        <v>1448</v>
      </c>
      <c r="C160" s="3" t="s">
        <v>89</v>
      </c>
      <c r="D160" s="3" t="s">
        <v>202</v>
      </c>
      <c r="E160" s="3" t="s">
        <v>417</v>
      </c>
      <c r="F160" s="3" t="s">
        <v>179</v>
      </c>
      <c r="G160" s="11" t="s">
        <v>71</v>
      </c>
      <c r="H160" s="12"/>
      <c r="I160" s="17"/>
      <c r="J160" s="11" t="s">
        <v>71</v>
      </c>
      <c r="K160" s="12"/>
      <c r="L160" s="3" t="s">
        <v>495</v>
      </c>
      <c r="M160" s="12"/>
      <c r="N160" s="12"/>
      <c r="O160" s="12"/>
      <c r="P160" s="4" t="s">
        <v>662</v>
      </c>
      <c r="Q160" s="5">
        <v>9153064891</v>
      </c>
      <c r="R160" s="3" t="s">
        <v>986</v>
      </c>
      <c r="S160" s="14">
        <v>56</v>
      </c>
      <c r="T160" s="3" t="s">
        <v>1032</v>
      </c>
      <c r="U160" s="3" t="s">
        <v>1032</v>
      </c>
      <c r="V160" s="12"/>
      <c r="W160" s="12"/>
      <c r="X160" s="7">
        <f t="shared" si="27"/>
        <v>144</v>
      </c>
      <c r="Y160" s="7">
        <f t="shared" si="28"/>
        <v>8</v>
      </c>
      <c r="Z160" s="7">
        <f t="shared" si="29"/>
        <v>152</v>
      </c>
      <c r="AA160" s="37">
        <v>12</v>
      </c>
      <c r="AB160" s="33">
        <f t="shared" si="31"/>
        <v>8</v>
      </c>
      <c r="AC160" s="8">
        <f t="shared" si="32"/>
        <v>0.5</v>
      </c>
      <c r="AD160" s="7">
        <f t="shared" si="33"/>
        <v>6</v>
      </c>
      <c r="AE160" s="34">
        <v>12</v>
      </c>
      <c r="AF160" s="12">
        <v>8</v>
      </c>
      <c r="AG160" s="38">
        <v>14</v>
      </c>
      <c r="AH160" s="32">
        <v>2</v>
      </c>
      <c r="AI160" s="37">
        <f t="shared" si="36"/>
        <v>13.166666666666666</v>
      </c>
      <c r="AJ160" s="37">
        <f t="shared" si="37"/>
        <v>2</v>
      </c>
      <c r="AK160" s="7">
        <f t="shared" si="38"/>
        <v>158</v>
      </c>
      <c r="AL160" s="7">
        <f t="shared" si="26"/>
        <v>6</v>
      </c>
      <c r="AM160" s="13"/>
      <c r="AN160" s="11" t="s">
        <v>71</v>
      </c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1" t="s">
        <v>71</v>
      </c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22" t="s">
        <v>1381</v>
      </c>
      <c r="CS160" s="21">
        <v>7</v>
      </c>
      <c r="CT160" s="20">
        <v>457250455</v>
      </c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</row>
    <row r="161" spans="1:108" ht="24.95" hidden="1" customHeight="1" x14ac:dyDescent="0.2">
      <c r="A161" s="3">
        <v>157</v>
      </c>
      <c r="B161" s="3" t="s">
        <v>1448</v>
      </c>
      <c r="C161" s="3" t="s">
        <v>84</v>
      </c>
      <c r="D161" s="3" t="s">
        <v>418</v>
      </c>
      <c r="E161" s="3" t="s">
        <v>419</v>
      </c>
      <c r="F161" s="3" t="s">
        <v>420</v>
      </c>
      <c r="G161" s="11" t="s">
        <v>71</v>
      </c>
      <c r="H161" s="12"/>
      <c r="I161" s="17"/>
      <c r="J161" s="11" t="s">
        <v>71</v>
      </c>
      <c r="K161" s="12"/>
      <c r="L161" s="3" t="s">
        <v>475</v>
      </c>
      <c r="M161" s="12"/>
      <c r="N161" s="12"/>
      <c r="O161" s="12"/>
      <c r="P161" s="4" t="s">
        <v>663</v>
      </c>
      <c r="Q161" s="5">
        <v>9153813576</v>
      </c>
      <c r="R161" s="3" t="s">
        <v>866</v>
      </c>
      <c r="S161" s="14">
        <v>42</v>
      </c>
      <c r="T161" s="3" t="s">
        <v>1027</v>
      </c>
      <c r="U161" s="3" t="s">
        <v>1124</v>
      </c>
      <c r="V161" s="12"/>
      <c r="W161" s="12"/>
      <c r="X161" s="7">
        <f t="shared" si="27"/>
        <v>120</v>
      </c>
      <c r="Y161" s="7">
        <f t="shared" si="28"/>
        <v>11</v>
      </c>
      <c r="Z161" s="7">
        <f t="shared" si="29"/>
        <v>131</v>
      </c>
      <c r="AA161" s="37">
        <v>10</v>
      </c>
      <c r="AB161" s="33">
        <f t="shared" si="31"/>
        <v>11</v>
      </c>
      <c r="AC161" s="8">
        <f t="shared" si="32"/>
        <v>-8.3333333333333329E-2</v>
      </c>
      <c r="AD161" s="7">
        <f t="shared" si="33"/>
        <v>11</v>
      </c>
      <c r="AE161" s="34">
        <v>10</v>
      </c>
      <c r="AF161" s="12">
        <v>4</v>
      </c>
      <c r="AG161" s="38">
        <v>11</v>
      </c>
      <c r="AH161" s="32">
        <v>10</v>
      </c>
      <c r="AI161" s="37">
        <f t="shared" si="36"/>
        <v>10.833333333333334</v>
      </c>
      <c r="AJ161" s="37">
        <f t="shared" si="37"/>
        <v>10</v>
      </c>
      <c r="AK161" s="7">
        <f t="shared" si="38"/>
        <v>130</v>
      </c>
      <c r="AL161" s="7">
        <f t="shared" si="26"/>
        <v>-1</v>
      </c>
      <c r="AM161" s="13"/>
      <c r="AN161" s="11" t="s">
        <v>71</v>
      </c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1" t="s">
        <v>71</v>
      </c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22" t="s">
        <v>1380</v>
      </c>
      <c r="CS161" s="21">
        <v>6</v>
      </c>
      <c r="CT161" s="20">
        <v>492165143</v>
      </c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</row>
    <row r="162" spans="1:108" ht="24.95" hidden="1" customHeight="1" x14ac:dyDescent="0.2">
      <c r="A162" s="3">
        <v>158</v>
      </c>
      <c r="B162" s="3" t="s">
        <v>1448</v>
      </c>
      <c r="C162" s="3" t="s">
        <v>83</v>
      </c>
      <c r="D162" s="3" t="s">
        <v>401</v>
      </c>
      <c r="E162" s="3" t="s">
        <v>421</v>
      </c>
      <c r="F162" s="3" t="s">
        <v>422</v>
      </c>
      <c r="G162" s="11" t="s">
        <v>71</v>
      </c>
      <c r="H162" s="12"/>
      <c r="I162" s="17"/>
      <c r="J162" s="11" t="s">
        <v>71</v>
      </c>
      <c r="K162" s="12"/>
      <c r="L162" s="3" t="s">
        <v>492</v>
      </c>
      <c r="M162" s="12"/>
      <c r="N162" s="12"/>
      <c r="O162" s="12"/>
      <c r="P162" s="4" t="s">
        <v>664</v>
      </c>
      <c r="Q162" s="5" t="s">
        <v>812</v>
      </c>
      <c r="R162" s="3" t="s">
        <v>987</v>
      </c>
      <c r="S162" s="14">
        <v>37</v>
      </c>
      <c r="T162" s="3" t="s">
        <v>75</v>
      </c>
      <c r="U162" s="3" t="s">
        <v>1062</v>
      </c>
      <c r="V162" s="12"/>
      <c r="W162" s="12"/>
      <c r="X162" s="7">
        <f t="shared" si="27"/>
        <v>24</v>
      </c>
      <c r="Y162" s="7">
        <f t="shared" si="28"/>
        <v>14</v>
      </c>
      <c r="Z162" s="7">
        <f t="shared" si="29"/>
        <v>38</v>
      </c>
      <c r="AA162" s="37">
        <v>4</v>
      </c>
      <c r="AB162" s="33">
        <f t="shared" si="31"/>
        <v>2</v>
      </c>
      <c r="AC162" s="8">
        <f t="shared" si="32"/>
        <v>2.9166666666666665</v>
      </c>
      <c r="AD162" s="7">
        <f t="shared" si="33"/>
        <v>11</v>
      </c>
      <c r="AE162" s="34">
        <v>5</v>
      </c>
      <c r="AF162" s="12">
        <v>7</v>
      </c>
      <c r="AG162" s="38">
        <v>8</v>
      </c>
      <c r="AH162" s="32">
        <v>1</v>
      </c>
      <c r="AI162" s="37">
        <f t="shared" si="36"/>
        <v>6.083333333333333</v>
      </c>
      <c r="AJ162" s="37">
        <f t="shared" si="37"/>
        <v>1</v>
      </c>
      <c r="AK162" s="7">
        <f t="shared" si="38"/>
        <v>73</v>
      </c>
      <c r="AL162" s="7">
        <f t="shared" si="26"/>
        <v>35</v>
      </c>
      <c r="AM162" s="13"/>
      <c r="AN162" s="11" t="s">
        <v>71</v>
      </c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1" t="s">
        <v>71</v>
      </c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22" t="s">
        <v>1425</v>
      </c>
      <c r="CS162" s="20">
        <v>6</v>
      </c>
      <c r="CT162" s="20">
        <v>343779849</v>
      </c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</row>
    <row r="163" spans="1:108" ht="24.95" hidden="1" customHeight="1" x14ac:dyDescent="0.2">
      <c r="A163" s="3">
        <v>159</v>
      </c>
      <c r="B163" s="3" t="s">
        <v>1448</v>
      </c>
      <c r="C163" s="3" t="s">
        <v>83</v>
      </c>
      <c r="D163" s="3" t="s">
        <v>138</v>
      </c>
      <c r="E163" s="3" t="s">
        <v>421</v>
      </c>
      <c r="F163" s="3" t="s">
        <v>423</v>
      </c>
      <c r="G163" s="11" t="s">
        <v>71</v>
      </c>
      <c r="H163" s="12"/>
      <c r="I163" s="17"/>
      <c r="J163" s="11" t="s">
        <v>71</v>
      </c>
      <c r="K163" s="12"/>
      <c r="L163" s="3" t="s">
        <v>492</v>
      </c>
      <c r="M163" s="12"/>
      <c r="N163" s="12"/>
      <c r="O163" s="12"/>
      <c r="P163" s="4" t="s">
        <v>665</v>
      </c>
      <c r="Q163" s="5" t="s">
        <v>813</v>
      </c>
      <c r="R163" s="3" t="s">
        <v>988</v>
      </c>
      <c r="S163" s="14">
        <v>34</v>
      </c>
      <c r="T163" s="3" t="s">
        <v>75</v>
      </c>
      <c r="U163" s="3" t="s">
        <v>77</v>
      </c>
      <c r="V163" s="12"/>
      <c r="W163" s="12"/>
      <c r="X163" s="7">
        <f t="shared" si="27"/>
        <v>24</v>
      </c>
      <c r="Y163" s="7">
        <f t="shared" si="28"/>
        <v>14</v>
      </c>
      <c r="Z163" s="7">
        <f t="shared" si="29"/>
        <v>38</v>
      </c>
      <c r="AA163" s="37">
        <v>4</v>
      </c>
      <c r="AB163" s="33">
        <f t="shared" si="31"/>
        <v>2</v>
      </c>
      <c r="AC163" s="8">
        <f t="shared" si="32"/>
        <v>7.666666666666667</v>
      </c>
      <c r="AD163" s="7">
        <f t="shared" si="33"/>
        <v>8</v>
      </c>
      <c r="AE163" s="34">
        <v>10</v>
      </c>
      <c r="AF163" s="12">
        <v>4</v>
      </c>
      <c r="AG163" s="38">
        <f t="shared" si="34"/>
        <v>11.666666666666668</v>
      </c>
      <c r="AH163" s="32">
        <f t="shared" si="35"/>
        <v>10</v>
      </c>
      <c r="AI163" s="37">
        <f t="shared" si="36"/>
        <v>10.833333333333334</v>
      </c>
      <c r="AJ163" s="37">
        <f t="shared" si="37"/>
        <v>10</v>
      </c>
      <c r="AK163" s="7">
        <f t="shared" si="38"/>
        <v>130</v>
      </c>
      <c r="AL163" s="7">
        <f t="shared" si="26"/>
        <v>92</v>
      </c>
      <c r="AM163" s="13"/>
      <c r="AN163" s="11" t="s">
        <v>71</v>
      </c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1" t="s">
        <v>71</v>
      </c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22" t="s">
        <v>1380</v>
      </c>
      <c r="CS163" s="20">
        <v>4</v>
      </c>
      <c r="CT163" s="20">
        <v>348555916</v>
      </c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</row>
    <row r="164" spans="1:108" ht="24.95" hidden="1" customHeight="1" x14ac:dyDescent="0.2">
      <c r="A164" s="3">
        <v>160</v>
      </c>
      <c r="B164" s="3" t="s">
        <v>1448</v>
      </c>
      <c r="C164" s="3" t="s">
        <v>84</v>
      </c>
      <c r="D164" s="3" t="s">
        <v>361</v>
      </c>
      <c r="E164" s="3" t="s">
        <v>424</v>
      </c>
      <c r="F164" s="3" t="s">
        <v>425</v>
      </c>
      <c r="G164" s="11" t="s">
        <v>71</v>
      </c>
      <c r="H164" s="12"/>
      <c r="I164" s="17"/>
      <c r="J164" s="11" t="s">
        <v>71</v>
      </c>
      <c r="K164" s="12"/>
      <c r="L164" s="3" t="s">
        <v>492</v>
      </c>
      <c r="M164" s="12"/>
      <c r="N164" s="12"/>
      <c r="O164" s="12"/>
      <c r="P164" s="4" t="s">
        <v>666</v>
      </c>
      <c r="Q164" s="5" t="s">
        <v>814</v>
      </c>
      <c r="R164" s="3" t="s">
        <v>989</v>
      </c>
      <c r="S164" s="14">
        <v>32</v>
      </c>
      <c r="T164" s="3" t="s">
        <v>1021</v>
      </c>
      <c r="U164" s="3" t="s">
        <v>77</v>
      </c>
      <c r="V164" s="12"/>
      <c r="W164" s="12"/>
      <c r="X164" s="7">
        <f t="shared" si="27"/>
        <v>24</v>
      </c>
      <c r="Y164" s="7">
        <f t="shared" si="28"/>
        <v>14</v>
      </c>
      <c r="Z164" s="7">
        <f t="shared" si="29"/>
        <v>38</v>
      </c>
      <c r="AA164" s="37">
        <v>4</v>
      </c>
      <c r="AB164" s="33">
        <f t="shared" si="31"/>
        <v>2</v>
      </c>
      <c r="AC164" s="8">
        <f t="shared" si="32"/>
        <v>1.75</v>
      </c>
      <c r="AD164" s="7">
        <f t="shared" si="33"/>
        <v>9</v>
      </c>
      <c r="AE164" s="34">
        <v>4</v>
      </c>
      <c r="AF164" s="12">
        <v>5</v>
      </c>
      <c r="AG164" s="38">
        <f t="shared" si="34"/>
        <v>5.75</v>
      </c>
      <c r="AH164" s="32">
        <f t="shared" si="35"/>
        <v>11</v>
      </c>
      <c r="AI164" s="37">
        <f t="shared" si="36"/>
        <v>4.916666666666667</v>
      </c>
      <c r="AJ164" s="37">
        <f t="shared" si="37"/>
        <v>11</v>
      </c>
      <c r="AK164" s="7">
        <f t="shared" si="38"/>
        <v>59</v>
      </c>
      <c r="AL164" s="7">
        <f t="shared" si="26"/>
        <v>21</v>
      </c>
      <c r="AM164" s="13"/>
      <c r="AN164" s="11" t="s">
        <v>71</v>
      </c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1" t="s">
        <v>71</v>
      </c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22" t="s">
        <v>1425</v>
      </c>
      <c r="CS164" s="20">
        <v>6</v>
      </c>
      <c r="CT164" s="20">
        <v>344124195</v>
      </c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</row>
    <row r="165" spans="1:108" ht="24.95" hidden="1" customHeight="1" x14ac:dyDescent="0.2">
      <c r="A165" s="3">
        <v>161</v>
      </c>
      <c r="B165" s="3" t="s">
        <v>1448</v>
      </c>
      <c r="C165" s="3" t="s">
        <v>84</v>
      </c>
      <c r="D165" s="3" t="s">
        <v>138</v>
      </c>
      <c r="E165" s="3" t="s">
        <v>424</v>
      </c>
      <c r="F165" s="3" t="s">
        <v>426</v>
      </c>
      <c r="G165" s="11" t="s">
        <v>71</v>
      </c>
      <c r="H165" s="12"/>
      <c r="I165" s="17"/>
      <c r="J165" s="11" t="s">
        <v>71</v>
      </c>
      <c r="K165" s="12"/>
      <c r="L165" s="3" t="s">
        <v>492</v>
      </c>
      <c r="M165" s="12"/>
      <c r="N165" s="12"/>
      <c r="O165" s="12"/>
      <c r="P165" s="4" t="s">
        <v>667</v>
      </c>
      <c r="Q165" s="5" t="s">
        <v>815</v>
      </c>
      <c r="R165" s="3" t="s">
        <v>990</v>
      </c>
      <c r="S165" s="14">
        <v>30</v>
      </c>
      <c r="T165" s="3" t="s">
        <v>75</v>
      </c>
      <c r="U165" s="3" t="s">
        <v>1057</v>
      </c>
      <c r="V165" s="12"/>
      <c r="W165" s="12"/>
      <c r="X165" s="7">
        <f t="shared" si="27"/>
        <v>24</v>
      </c>
      <c r="Y165" s="7">
        <f t="shared" si="28"/>
        <v>14</v>
      </c>
      <c r="Z165" s="7">
        <f t="shared" si="29"/>
        <v>38</v>
      </c>
      <c r="AA165" s="37">
        <v>4</v>
      </c>
      <c r="AB165" s="33">
        <f t="shared" si="31"/>
        <v>2</v>
      </c>
      <c r="AC165" s="8">
        <f t="shared" si="32"/>
        <v>2.0833333333333335</v>
      </c>
      <c r="AD165" s="7">
        <f t="shared" si="33"/>
        <v>1</v>
      </c>
      <c r="AE165" s="34">
        <v>4</v>
      </c>
      <c r="AF165" s="12">
        <v>9</v>
      </c>
      <c r="AG165" s="38">
        <f t="shared" si="34"/>
        <v>6.0833333333333339</v>
      </c>
      <c r="AH165" s="32">
        <f t="shared" si="35"/>
        <v>3</v>
      </c>
      <c r="AI165" s="37">
        <f t="shared" si="36"/>
        <v>5.25</v>
      </c>
      <c r="AJ165" s="37">
        <f t="shared" si="37"/>
        <v>3</v>
      </c>
      <c r="AK165" s="7">
        <f t="shared" si="38"/>
        <v>63</v>
      </c>
      <c r="AL165" s="7">
        <f t="shared" si="26"/>
        <v>25</v>
      </c>
      <c r="AM165" s="13"/>
      <c r="AN165" s="11" t="s">
        <v>71</v>
      </c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1" t="s">
        <v>71</v>
      </c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22" t="s">
        <v>1380</v>
      </c>
      <c r="CS165" s="20">
        <v>4</v>
      </c>
      <c r="CT165" s="20">
        <v>353231015</v>
      </c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</row>
    <row r="166" spans="1:108" ht="24.95" hidden="1" customHeight="1" x14ac:dyDescent="0.2">
      <c r="A166" s="3">
        <v>162</v>
      </c>
      <c r="B166" s="3" t="s">
        <v>1448</v>
      </c>
      <c r="C166" s="3" t="s">
        <v>83</v>
      </c>
      <c r="D166" s="3" t="s">
        <v>261</v>
      </c>
      <c r="E166" s="3" t="s">
        <v>427</v>
      </c>
      <c r="F166" s="3" t="s">
        <v>428</v>
      </c>
      <c r="G166" s="11" t="s">
        <v>71</v>
      </c>
      <c r="H166" s="12"/>
      <c r="I166" s="17"/>
      <c r="J166" s="11" t="s">
        <v>71</v>
      </c>
      <c r="K166" s="12"/>
      <c r="L166" s="3" t="s">
        <v>492</v>
      </c>
      <c r="M166" s="12"/>
      <c r="N166" s="12"/>
      <c r="O166" s="12"/>
      <c r="P166" s="4" t="s">
        <v>668</v>
      </c>
      <c r="Q166" s="5" t="s">
        <v>816</v>
      </c>
      <c r="R166" s="3" t="s">
        <v>991</v>
      </c>
      <c r="S166" s="14">
        <v>34</v>
      </c>
      <c r="T166" s="3" t="s">
        <v>1024</v>
      </c>
      <c r="U166" s="3" t="s">
        <v>1125</v>
      </c>
      <c r="V166" s="12"/>
      <c r="W166" s="12"/>
      <c r="X166" s="7">
        <f t="shared" si="27"/>
        <v>24</v>
      </c>
      <c r="Y166" s="7">
        <f t="shared" si="28"/>
        <v>14</v>
      </c>
      <c r="Z166" s="7">
        <f t="shared" si="29"/>
        <v>38</v>
      </c>
      <c r="AA166" s="37">
        <v>4</v>
      </c>
      <c r="AB166" s="33">
        <f t="shared" si="31"/>
        <v>2</v>
      </c>
      <c r="AC166" s="8">
        <f t="shared" si="32"/>
        <v>2.75</v>
      </c>
      <c r="AD166" s="7">
        <f t="shared" si="33"/>
        <v>9</v>
      </c>
      <c r="AE166" s="34">
        <v>5</v>
      </c>
      <c r="AF166" s="12">
        <v>5</v>
      </c>
      <c r="AG166" s="38">
        <f t="shared" si="34"/>
        <v>6.75</v>
      </c>
      <c r="AH166" s="32">
        <f t="shared" si="35"/>
        <v>11</v>
      </c>
      <c r="AI166" s="37">
        <f t="shared" si="36"/>
        <v>5.916666666666667</v>
      </c>
      <c r="AJ166" s="37">
        <f t="shared" si="37"/>
        <v>11</v>
      </c>
      <c r="AK166" s="7">
        <f t="shared" si="38"/>
        <v>71</v>
      </c>
      <c r="AL166" s="7">
        <f t="shared" si="26"/>
        <v>33</v>
      </c>
      <c r="AM166" s="13"/>
      <c r="AN166" s="11" t="s">
        <v>71</v>
      </c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1" t="s">
        <v>71</v>
      </c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22" t="s">
        <v>1380</v>
      </c>
      <c r="CS166" s="20">
        <v>4</v>
      </c>
      <c r="CT166" s="20">
        <v>370885340</v>
      </c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</row>
    <row r="167" spans="1:108" ht="24.95" hidden="1" customHeight="1" x14ac:dyDescent="0.2">
      <c r="A167" s="3">
        <v>163</v>
      </c>
      <c r="B167" s="3" t="s">
        <v>1448</v>
      </c>
      <c r="C167" s="3" t="s">
        <v>88</v>
      </c>
      <c r="D167" s="3" t="s">
        <v>323</v>
      </c>
      <c r="E167" s="3" t="s">
        <v>429</v>
      </c>
      <c r="F167" s="3" t="s">
        <v>430</v>
      </c>
      <c r="G167" s="11" t="s">
        <v>71</v>
      </c>
      <c r="H167" s="12"/>
      <c r="I167" s="17"/>
      <c r="J167" s="11" t="s">
        <v>71</v>
      </c>
      <c r="K167" s="12"/>
      <c r="L167" s="3" t="s">
        <v>492</v>
      </c>
      <c r="M167" s="12"/>
      <c r="N167" s="12"/>
      <c r="O167" s="12"/>
      <c r="P167" s="4" t="s">
        <v>669</v>
      </c>
      <c r="Q167" s="5" t="s">
        <v>817</v>
      </c>
      <c r="R167" s="3" t="s">
        <v>992</v>
      </c>
      <c r="S167" s="14">
        <v>47</v>
      </c>
      <c r="T167" s="3" t="s">
        <v>1024</v>
      </c>
      <c r="U167" s="3" t="s">
        <v>77</v>
      </c>
      <c r="V167" s="12"/>
      <c r="W167" s="12"/>
      <c r="X167" s="7">
        <f t="shared" si="27"/>
        <v>24</v>
      </c>
      <c r="Y167" s="7">
        <f t="shared" si="28"/>
        <v>14</v>
      </c>
      <c r="Z167" s="7">
        <f t="shared" si="29"/>
        <v>38</v>
      </c>
      <c r="AA167" s="37">
        <v>4</v>
      </c>
      <c r="AB167" s="33">
        <f t="shared" si="31"/>
        <v>2</v>
      </c>
      <c r="AC167" s="8">
        <f t="shared" si="32"/>
        <v>6.166666666666667</v>
      </c>
      <c r="AD167" s="7">
        <f t="shared" si="33"/>
        <v>2</v>
      </c>
      <c r="AE167" s="34">
        <v>8</v>
      </c>
      <c r="AF167" s="12">
        <v>10</v>
      </c>
      <c r="AG167" s="38">
        <f t="shared" si="34"/>
        <v>10.166666666666668</v>
      </c>
      <c r="AH167" s="32">
        <f t="shared" si="35"/>
        <v>4</v>
      </c>
      <c r="AI167" s="37">
        <f t="shared" si="36"/>
        <v>9.3333333333333339</v>
      </c>
      <c r="AJ167" s="37">
        <f t="shared" si="37"/>
        <v>4</v>
      </c>
      <c r="AK167" s="7">
        <f t="shared" si="38"/>
        <v>112</v>
      </c>
      <c r="AL167" s="7">
        <f t="shared" si="26"/>
        <v>74</v>
      </c>
      <c r="AM167" s="13"/>
      <c r="AN167" s="11" t="s">
        <v>71</v>
      </c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X167" s="13"/>
      <c r="BY167" s="13"/>
      <c r="BZ167" s="13"/>
      <c r="CA167" s="13"/>
      <c r="CB167" s="13"/>
      <c r="CC167" s="11" t="s">
        <v>71</v>
      </c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22" t="s">
        <v>1422</v>
      </c>
      <c r="CS167" s="20">
        <v>6</v>
      </c>
      <c r="CT167" s="20">
        <v>388482105</v>
      </c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</row>
    <row r="168" spans="1:108" ht="24.95" customHeight="1" x14ac:dyDescent="0.2">
      <c r="A168" s="3">
        <v>164</v>
      </c>
      <c r="B168" s="3" t="s">
        <v>1448</v>
      </c>
      <c r="C168" s="3" t="s">
        <v>87</v>
      </c>
      <c r="D168" s="3" t="s">
        <v>382</v>
      </c>
      <c r="E168" s="3" t="s">
        <v>431</v>
      </c>
      <c r="F168" s="3" t="s">
        <v>156</v>
      </c>
      <c r="G168" s="11" t="s">
        <v>71</v>
      </c>
      <c r="H168" s="12"/>
      <c r="I168" s="17"/>
      <c r="J168" s="11" t="s">
        <v>71</v>
      </c>
      <c r="K168" s="12"/>
      <c r="L168" s="3" t="s">
        <v>477</v>
      </c>
      <c r="M168" s="12"/>
      <c r="N168" s="12"/>
      <c r="O168" s="12"/>
      <c r="P168" s="4" t="s">
        <v>670</v>
      </c>
      <c r="Q168" s="5">
        <v>9364199404</v>
      </c>
      <c r="R168" s="3" t="s">
        <v>993</v>
      </c>
      <c r="S168" s="14">
        <v>40</v>
      </c>
      <c r="T168" s="3" t="s">
        <v>1030</v>
      </c>
      <c r="U168" s="3" t="s">
        <v>1030</v>
      </c>
      <c r="V168" s="12"/>
      <c r="W168" s="12"/>
      <c r="X168" s="7">
        <f t="shared" si="27"/>
        <v>132</v>
      </c>
      <c r="Y168" s="7">
        <f t="shared" si="28"/>
        <v>16</v>
      </c>
      <c r="Z168" s="7">
        <f t="shared" si="29"/>
        <v>148</v>
      </c>
      <c r="AA168" s="37">
        <f t="shared" si="30"/>
        <v>12.333333333333334</v>
      </c>
      <c r="AB168" s="33">
        <f t="shared" si="31"/>
        <v>4</v>
      </c>
      <c r="AC168" s="8">
        <f t="shared" si="32"/>
        <v>5.916666666666667</v>
      </c>
      <c r="AD168" s="7">
        <f t="shared" si="33"/>
        <v>11</v>
      </c>
      <c r="AE168" s="34">
        <v>17</v>
      </c>
      <c r="AF168" s="12">
        <v>9</v>
      </c>
      <c r="AG168" s="38">
        <v>19</v>
      </c>
      <c r="AH168" s="32">
        <v>3</v>
      </c>
      <c r="AI168" s="37">
        <f t="shared" si="36"/>
        <v>18.25</v>
      </c>
      <c r="AJ168" s="37">
        <f t="shared" si="37"/>
        <v>3</v>
      </c>
      <c r="AK168" s="7">
        <f t="shared" si="38"/>
        <v>219</v>
      </c>
      <c r="AL168" s="7">
        <f t="shared" si="26"/>
        <v>71</v>
      </c>
      <c r="AM168" s="13"/>
      <c r="AN168" s="11" t="s">
        <v>71</v>
      </c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1" t="s">
        <v>71</v>
      </c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22" t="s">
        <v>1380</v>
      </c>
      <c r="CS168" s="21">
        <v>6</v>
      </c>
      <c r="CT168" s="20">
        <v>516867962</v>
      </c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</row>
    <row r="169" spans="1:108" ht="24.95" hidden="1" customHeight="1" x14ac:dyDescent="0.2">
      <c r="A169" s="3">
        <v>165</v>
      </c>
      <c r="B169" s="3" t="s">
        <v>1448</v>
      </c>
      <c r="C169" s="3" t="s">
        <v>86</v>
      </c>
      <c r="D169" s="3" t="s">
        <v>193</v>
      </c>
      <c r="E169" s="3" t="s">
        <v>432</v>
      </c>
      <c r="F169" s="3" t="s">
        <v>340</v>
      </c>
      <c r="G169" s="11" t="s">
        <v>71</v>
      </c>
      <c r="H169" s="12"/>
      <c r="I169" s="17"/>
      <c r="J169" s="11" t="s">
        <v>71</v>
      </c>
      <c r="K169" s="12"/>
      <c r="L169" s="3" t="s">
        <v>476</v>
      </c>
      <c r="M169" s="12"/>
      <c r="N169" s="12"/>
      <c r="O169" s="12"/>
      <c r="P169" s="4" t="s">
        <v>671</v>
      </c>
      <c r="Q169" s="5">
        <v>9159150589</v>
      </c>
      <c r="R169" s="3" t="s">
        <v>994</v>
      </c>
      <c r="S169" s="14">
        <v>45</v>
      </c>
      <c r="T169" s="3" t="s">
        <v>1024</v>
      </c>
      <c r="U169" s="3" t="s">
        <v>1048</v>
      </c>
      <c r="V169" s="12"/>
      <c r="W169" s="12"/>
      <c r="X169" s="7">
        <f t="shared" si="27"/>
        <v>120</v>
      </c>
      <c r="Y169" s="7">
        <f t="shared" si="28"/>
        <v>16</v>
      </c>
      <c r="Z169" s="7">
        <f t="shared" si="29"/>
        <v>136</v>
      </c>
      <c r="AA169" s="37">
        <f t="shared" si="30"/>
        <v>11.333333333333334</v>
      </c>
      <c r="AB169" s="33">
        <f t="shared" si="31"/>
        <v>4</v>
      </c>
      <c r="AC169" s="8">
        <f t="shared" si="32"/>
        <v>10.666666666666666</v>
      </c>
      <c r="AD169" s="7">
        <f t="shared" si="33"/>
        <v>8</v>
      </c>
      <c r="AE169" s="34">
        <v>21</v>
      </c>
      <c r="AF169" s="12">
        <v>6</v>
      </c>
      <c r="AG169" s="38">
        <v>23</v>
      </c>
      <c r="AH169" s="32">
        <v>0</v>
      </c>
      <c r="AI169" s="37">
        <f t="shared" si="36"/>
        <v>22</v>
      </c>
      <c r="AJ169" s="37">
        <f t="shared" si="37"/>
        <v>0</v>
      </c>
      <c r="AK169" s="7">
        <f t="shared" si="38"/>
        <v>264</v>
      </c>
      <c r="AL169" s="7">
        <f t="shared" si="26"/>
        <v>128</v>
      </c>
      <c r="AM169" s="13"/>
      <c r="AN169" s="11" t="s">
        <v>71</v>
      </c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1" t="s">
        <v>71</v>
      </c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22" t="s">
        <v>1380</v>
      </c>
      <c r="CS169" s="21">
        <v>6</v>
      </c>
      <c r="CT169" s="20">
        <v>493188894</v>
      </c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</row>
    <row r="170" spans="1:108" ht="24.95" hidden="1" customHeight="1" x14ac:dyDescent="0.2">
      <c r="A170" s="3">
        <v>166</v>
      </c>
      <c r="B170" s="3" t="s">
        <v>1448</v>
      </c>
      <c r="C170" s="3" t="s">
        <v>84</v>
      </c>
      <c r="D170" s="3" t="s">
        <v>163</v>
      </c>
      <c r="E170" s="3" t="s">
        <v>433</v>
      </c>
      <c r="F170" s="3" t="s">
        <v>434</v>
      </c>
      <c r="G170" s="11" t="s">
        <v>71</v>
      </c>
      <c r="H170" s="12"/>
      <c r="I170" s="17"/>
      <c r="J170" s="11" t="s">
        <v>71</v>
      </c>
      <c r="K170" s="12"/>
      <c r="L170" s="3" t="s">
        <v>475</v>
      </c>
      <c r="M170" s="12"/>
      <c r="N170" s="12"/>
      <c r="O170" s="12"/>
      <c r="P170" s="4" t="s">
        <v>672</v>
      </c>
      <c r="Q170" s="5">
        <v>9159803051</v>
      </c>
      <c r="R170" s="3" t="s">
        <v>995</v>
      </c>
      <c r="S170" s="14">
        <v>40</v>
      </c>
      <c r="T170" s="3" t="s">
        <v>1035</v>
      </c>
      <c r="U170" s="3" t="s">
        <v>1126</v>
      </c>
      <c r="V170" s="12"/>
      <c r="W170" s="12"/>
      <c r="X170" s="7">
        <f t="shared" si="27"/>
        <v>120</v>
      </c>
      <c r="Y170" s="7">
        <f t="shared" si="28"/>
        <v>11</v>
      </c>
      <c r="Z170" s="7">
        <f t="shared" si="29"/>
        <v>131</v>
      </c>
      <c r="AA170" s="37">
        <v>10</v>
      </c>
      <c r="AB170" s="33">
        <f t="shared" si="31"/>
        <v>11</v>
      </c>
      <c r="AC170" s="8">
        <f t="shared" si="32"/>
        <v>0.16666666666666666</v>
      </c>
      <c r="AD170" s="7">
        <f t="shared" si="33"/>
        <v>2</v>
      </c>
      <c r="AE170" s="34">
        <v>10</v>
      </c>
      <c r="AF170" s="12">
        <v>7</v>
      </c>
      <c r="AG170" s="38">
        <v>11</v>
      </c>
      <c r="AH170" s="32">
        <v>1</v>
      </c>
      <c r="AI170" s="37">
        <f t="shared" si="36"/>
        <v>11.083333333333334</v>
      </c>
      <c r="AJ170" s="37">
        <f t="shared" si="37"/>
        <v>1</v>
      </c>
      <c r="AK170" s="7">
        <f t="shared" si="38"/>
        <v>133</v>
      </c>
      <c r="AL170" s="7">
        <f t="shared" si="26"/>
        <v>2</v>
      </c>
      <c r="AM170" s="13"/>
      <c r="AN170" s="11" t="s">
        <v>71</v>
      </c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1" t="s">
        <v>71</v>
      </c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22" t="s">
        <v>1380</v>
      </c>
      <c r="CS170" s="21">
        <v>6</v>
      </c>
      <c r="CT170" s="20">
        <v>491608924</v>
      </c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</row>
    <row r="171" spans="1:108" ht="24.95" hidden="1" customHeight="1" x14ac:dyDescent="0.2">
      <c r="A171" s="3">
        <v>167</v>
      </c>
      <c r="B171" s="3" t="s">
        <v>1448</v>
      </c>
      <c r="C171" s="3" t="s">
        <v>93</v>
      </c>
      <c r="D171" s="3" t="s">
        <v>179</v>
      </c>
      <c r="E171" s="3" t="s">
        <v>435</v>
      </c>
      <c r="F171" s="3" t="s">
        <v>436</v>
      </c>
      <c r="G171" s="11" t="s">
        <v>71</v>
      </c>
      <c r="H171" s="12"/>
      <c r="I171" s="17"/>
      <c r="J171" s="11" t="s">
        <v>71</v>
      </c>
      <c r="K171" s="12"/>
      <c r="L171" s="3" t="s">
        <v>492</v>
      </c>
      <c r="M171" s="12"/>
      <c r="N171" s="12"/>
      <c r="O171" s="12"/>
      <c r="P171" s="4" t="s">
        <v>673</v>
      </c>
      <c r="Q171" s="5" t="s">
        <v>818</v>
      </c>
      <c r="R171" s="3" t="s">
        <v>996</v>
      </c>
      <c r="S171" s="14">
        <v>41</v>
      </c>
      <c r="T171" s="3" t="s">
        <v>76</v>
      </c>
      <c r="U171" s="3" t="s">
        <v>1127</v>
      </c>
      <c r="V171" s="12"/>
      <c r="W171" s="12"/>
      <c r="X171" s="7">
        <f t="shared" si="27"/>
        <v>24</v>
      </c>
      <c r="Y171" s="7">
        <f t="shared" si="28"/>
        <v>14</v>
      </c>
      <c r="Z171" s="7">
        <f t="shared" si="29"/>
        <v>38</v>
      </c>
      <c r="AA171" s="37">
        <f t="shared" si="30"/>
        <v>3.1666666666666665</v>
      </c>
      <c r="AB171" s="33">
        <f t="shared" si="31"/>
        <v>2</v>
      </c>
      <c r="AC171" s="8">
        <f t="shared" si="32"/>
        <v>10.416666666666666</v>
      </c>
      <c r="AD171" s="7">
        <f t="shared" si="33"/>
        <v>5</v>
      </c>
      <c r="AE171" s="34">
        <v>13</v>
      </c>
      <c r="AF171" s="12">
        <v>1</v>
      </c>
      <c r="AG171" s="38">
        <f t="shared" si="34"/>
        <v>13.583333333333332</v>
      </c>
      <c r="AH171" s="32">
        <f t="shared" si="35"/>
        <v>7</v>
      </c>
      <c r="AI171" s="37">
        <f t="shared" si="36"/>
        <v>13.583333333333334</v>
      </c>
      <c r="AJ171" s="37">
        <f t="shared" si="37"/>
        <v>7</v>
      </c>
      <c r="AK171" s="7">
        <f t="shared" si="38"/>
        <v>163</v>
      </c>
      <c r="AL171" s="7">
        <f t="shared" si="26"/>
        <v>125</v>
      </c>
      <c r="AM171" s="13"/>
      <c r="AN171" s="11" t="s">
        <v>71</v>
      </c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X171" s="13"/>
      <c r="BY171" s="13"/>
      <c r="BZ171" s="13"/>
      <c r="CA171" s="13"/>
      <c r="CB171" s="13"/>
      <c r="CC171" s="11" t="s">
        <v>71</v>
      </c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22" t="s">
        <v>1421</v>
      </c>
      <c r="CS171" s="20">
        <v>10</v>
      </c>
      <c r="CT171" s="20">
        <v>422458712</v>
      </c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</row>
    <row r="172" spans="1:108" ht="24.95" hidden="1" customHeight="1" x14ac:dyDescent="0.2">
      <c r="A172" s="3">
        <v>168</v>
      </c>
      <c r="B172" s="3" t="s">
        <v>1448</v>
      </c>
      <c r="C172" s="3" t="s">
        <v>85</v>
      </c>
      <c r="D172" s="3" t="s">
        <v>163</v>
      </c>
      <c r="E172" s="3" t="s">
        <v>437</v>
      </c>
      <c r="F172" s="3" t="s">
        <v>111</v>
      </c>
      <c r="G172" s="11" t="s">
        <v>71</v>
      </c>
      <c r="H172" s="12"/>
      <c r="I172" s="17"/>
      <c r="J172" s="11" t="s">
        <v>71</v>
      </c>
      <c r="K172" s="12"/>
      <c r="L172" s="3" t="s">
        <v>492</v>
      </c>
      <c r="M172" s="12"/>
      <c r="N172" s="12"/>
      <c r="O172" s="12"/>
      <c r="P172" s="4" t="s">
        <v>674</v>
      </c>
      <c r="Q172" s="5" t="s">
        <v>819</v>
      </c>
      <c r="R172" s="3" t="s">
        <v>997</v>
      </c>
      <c r="S172" s="14">
        <v>34</v>
      </c>
      <c r="T172" s="3" t="s">
        <v>1023</v>
      </c>
      <c r="U172" s="3" t="s">
        <v>1068</v>
      </c>
      <c r="V172" s="12"/>
      <c r="W172" s="12"/>
      <c r="X172" s="7">
        <f t="shared" si="27"/>
        <v>24</v>
      </c>
      <c r="Y172" s="7">
        <f t="shared" si="28"/>
        <v>14</v>
      </c>
      <c r="Z172" s="7">
        <f t="shared" si="29"/>
        <v>38</v>
      </c>
      <c r="AA172" s="37">
        <v>4</v>
      </c>
      <c r="AB172" s="33">
        <f t="shared" si="31"/>
        <v>2</v>
      </c>
      <c r="AC172" s="8">
        <f t="shared" si="32"/>
        <v>9.8333333333333339</v>
      </c>
      <c r="AD172" s="7">
        <f t="shared" si="33"/>
        <v>10</v>
      </c>
      <c r="AE172" s="34">
        <v>12</v>
      </c>
      <c r="AF172" s="12">
        <v>6</v>
      </c>
      <c r="AG172" s="38">
        <v>15</v>
      </c>
      <c r="AH172" s="32">
        <v>0</v>
      </c>
      <c r="AI172" s="37">
        <f t="shared" si="36"/>
        <v>13</v>
      </c>
      <c r="AJ172" s="37">
        <f t="shared" si="37"/>
        <v>0</v>
      </c>
      <c r="AK172" s="7">
        <f t="shared" si="38"/>
        <v>156</v>
      </c>
      <c r="AL172" s="7">
        <f t="shared" si="26"/>
        <v>118</v>
      </c>
      <c r="AM172" s="13"/>
      <c r="AN172" s="11" t="s">
        <v>71</v>
      </c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1" t="s">
        <v>71</v>
      </c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22" t="s">
        <v>1380</v>
      </c>
      <c r="CS172" s="20">
        <v>4</v>
      </c>
      <c r="CT172" s="20">
        <v>355631476</v>
      </c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</row>
    <row r="173" spans="1:108" ht="24.95" hidden="1" customHeight="1" x14ac:dyDescent="0.2">
      <c r="A173" s="3">
        <v>169</v>
      </c>
      <c r="B173" s="3" t="s">
        <v>1448</v>
      </c>
      <c r="C173" s="3" t="s">
        <v>89</v>
      </c>
      <c r="D173" s="3" t="s">
        <v>179</v>
      </c>
      <c r="E173" s="3" t="s">
        <v>438</v>
      </c>
      <c r="F173" s="3" t="s">
        <v>439</v>
      </c>
      <c r="G173" s="11" t="s">
        <v>71</v>
      </c>
      <c r="H173" s="12"/>
      <c r="I173" s="17"/>
      <c r="J173" s="11" t="s">
        <v>71</v>
      </c>
      <c r="K173" s="12"/>
      <c r="L173" s="3" t="s">
        <v>477</v>
      </c>
      <c r="M173" s="12"/>
      <c r="N173" s="12"/>
      <c r="O173" s="12"/>
      <c r="P173" s="4" t="s">
        <v>675</v>
      </c>
      <c r="Q173" s="5">
        <v>9155740838</v>
      </c>
      <c r="R173" s="3" t="s">
        <v>998</v>
      </c>
      <c r="S173" s="14">
        <v>35</v>
      </c>
      <c r="T173" s="3" t="s">
        <v>1034</v>
      </c>
      <c r="U173" s="3" t="s">
        <v>1111</v>
      </c>
      <c r="V173" s="12"/>
      <c r="W173" s="12"/>
      <c r="X173" s="7">
        <f t="shared" si="27"/>
        <v>132</v>
      </c>
      <c r="Y173" s="7">
        <f t="shared" si="28"/>
        <v>16</v>
      </c>
      <c r="Z173" s="7">
        <f t="shared" si="29"/>
        <v>148</v>
      </c>
      <c r="AA173" s="37">
        <f t="shared" si="30"/>
        <v>12.333333333333334</v>
      </c>
      <c r="AB173" s="33">
        <f t="shared" si="31"/>
        <v>4</v>
      </c>
      <c r="AC173" s="8">
        <f t="shared" si="32"/>
        <v>0.83333333333333337</v>
      </c>
      <c r="AD173" s="7">
        <f t="shared" si="33"/>
        <v>10</v>
      </c>
      <c r="AE173" s="34">
        <v>12.333333333333334</v>
      </c>
      <c r="AF173" s="12">
        <v>4</v>
      </c>
      <c r="AG173" s="38">
        <v>14</v>
      </c>
      <c r="AH173" s="32">
        <v>2</v>
      </c>
      <c r="AI173" s="37">
        <f t="shared" si="36"/>
        <v>13.166666666666666</v>
      </c>
      <c r="AJ173" s="37">
        <f t="shared" si="37"/>
        <v>2</v>
      </c>
      <c r="AK173" s="7">
        <f t="shared" si="38"/>
        <v>158</v>
      </c>
      <c r="AL173" s="7">
        <f t="shared" si="26"/>
        <v>10</v>
      </c>
      <c r="AM173" s="13"/>
      <c r="AN173" s="11" t="s">
        <v>71</v>
      </c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1" t="s">
        <v>71</v>
      </c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22" t="s">
        <v>1435</v>
      </c>
      <c r="CS173" s="21">
        <v>13</v>
      </c>
      <c r="CT173" s="20">
        <v>499993926</v>
      </c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</row>
    <row r="174" spans="1:108" ht="24.95" hidden="1" customHeight="1" x14ac:dyDescent="0.2">
      <c r="A174" s="3">
        <v>170</v>
      </c>
      <c r="B174" s="3" t="s">
        <v>1448</v>
      </c>
      <c r="C174" s="3" t="s">
        <v>83</v>
      </c>
      <c r="D174" s="3" t="s">
        <v>278</v>
      </c>
      <c r="E174" s="3" t="s">
        <v>440</v>
      </c>
      <c r="F174" s="3" t="s">
        <v>441</v>
      </c>
      <c r="G174" s="11" t="s">
        <v>71</v>
      </c>
      <c r="H174" s="12"/>
      <c r="I174" s="17"/>
      <c r="J174" s="11" t="s">
        <v>71</v>
      </c>
      <c r="K174" s="12"/>
      <c r="L174" s="3" t="s">
        <v>492</v>
      </c>
      <c r="M174" s="12"/>
      <c r="N174" s="12"/>
      <c r="O174" s="12"/>
      <c r="P174" s="4" t="s">
        <v>676</v>
      </c>
      <c r="Q174" s="5" t="s">
        <v>820</v>
      </c>
      <c r="R174" s="3" t="s">
        <v>873</v>
      </c>
      <c r="S174" s="14">
        <v>42</v>
      </c>
      <c r="T174" s="3" t="s">
        <v>1024</v>
      </c>
      <c r="U174" s="3" t="s">
        <v>1128</v>
      </c>
      <c r="V174" s="12"/>
      <c r="W174" s="12"/>
      <c r="X174" s="7">
        <f t="shared" si="27"/>
        <v>24</v>
      </c>
      <c r="Y174" s="7">
        <f t="shared" si="28"/>
        <v>14</v>
      </c>
      <c r="Z174" s="7">
        <f t="shared" si="29"/>
        <v>38</v>
      </c>
      <c r="AA174" s="37">
        <v>4</v>
      </c>
      <c r="AB174" s="33">
        <f t="shared" si="31"/>
        <v>2</v>
      </c>
      <c r="AC174" s="8">
        <f t="shared" si="32"/>
        <v>5.916666666666667</v>
      </c>
      <c r="AD174" s="7">
        <f t="shared" si="33"/>
        <v>11</v>
      </c>
      <c r="AE174" s="34">
        <v>8</v>
      </c>
      <c r="AF174" s="12">
        <v>7</v>
      </c>
      <c r="AG174" s="38">
        <v>11</v>
      </c>
      <c r="AH174" s="32">
        <v>1</v>
      </c>
      <c r="AI174" s="37">
        <f t="shared" si="36"/>
        <v>9.0833333333333339</v>
      </c>
      <c r="AJ174" s="37">
        <f t="shared" si="37"/>
        <v>1</v>
      </c>
      <c r="AK174" s="7">
        <f t="shared" si="38"/>
        <v>109</v>
      </c>
      <c r="AL174" s="7">
        <f t="shared" si="26"/>
        <v>71</v>
      </c>
      <c r="AM174" s="13"/>
      <c r="AN174" s="11" t="s">
        <v>71</v>
      </c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X174" s="13"/>
      <c r="BY174" s="13"/>
      <c r="BZ174" s="13"/>
      <c r="CA174" s="13"/>
      <c r="CB174" s="13"/>
      <c r="CD174" s="13"/>
      <c r="CE174" s="13"/>
      <c r="CF174" s="13"/>
      <c r="CG174" s="13"/>
      <c r="CH174" s="13"/>
      <c r="CI174" s="13"/>
      <c r="CJ174" s="13"/>
      <c r="CK174" s="11" t="s">
        <v>71</v>
      </c>
      <c r="CL174" s="13"/>
      <c r="CM174" s="13"/>
      <c r="CN174" s="13"/>
      <c r="CO174" s="13"/>
      <c r="CP174" s="13"/>
      <c r="CQ174" s="13"/>
      <c r="CR174" s="22" t="s">
        <v>1426</v>
      </c>
      <c r="CS174" s="20">
        <v>6</v>
      </c>
      <c r="CT174" s="20">
        <v>399845500</v>
      </c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</row>
    <row r="175" spans="1:108" ht="24.95" hidden="1" customHeight="1" x14ac:dyDescent="0.2">
      <c r="A175" s="3">
        <v>171</v>
      </c>
      <c r="B175" s="3" t="s">
        <v>1448</v>
      </c>
      <c r="C175" s="3" t="s">
        <v>83</v>
      </c>
      <c r="D175" s="3" t="s">
        <v>227</v>
      </c>
      <c r="E175" s="3" t="s">
        <v>442</v>
      </c>
      <c r="F175" s="3" t="s">
        <v>176</v>
      </c>
      <c r="G175" s="11" t="s">
        <v>71</v>
      </c>
      <c r="H175" s="12"/>
      <c r="I175" s="17"/>
      <c r="J175" s="11" t="s">
        <v>71</v>
      </c>
      <c r="K175" s="12"/>
      <c r="L175" s="3" t="s">
        <v>505</v>
      </c>
      <c r="M175" s="12"/>
      <c r="N175" s="12"/>
      <c r="O175" s="12"/>
      <c r="P175" s="4" t="s">
        <v>677</v>
      </c>
      <c r="Q175" s="5" t="s">
        <v>821</v>
      </c>
      <c r="R175" s="3" t="s">
        <v>999</v>
      </c>
      <c r="S175" s="14">
        <v>39</v>
      </c>
      <c r="T175" s="3" t="s">
        <v>1024</v>
      </c>
      <c r="U175" s="3" t="s">
        <v>1125</v>
      </c>
      <c r="V175" s="12"/>
      <c r="W175" s="12"/>
      <c r="X175" s="7">
        <f t="shared" si="27"/>
        <v>24</v>
      </c>
      <c r="Y175" s="7">
        <f t="shared" si="28"/>
        <v>6</v>
      </c>
      <c r="Z175" s="7">
        <f t="shared" si="29"/>
        <v>30</v>
      </c>
      <c r="AA175" s="37">
        <v>2</v>
      </c>
      <c r="AB175" s="33">
        <f t="shared" si="31"/>
        <v>6</v>
      </c>
      <c r="AC175" s="8">
        <f t="shared" si="32"/>
        <v>8.25</v>
      </c>
      <c r="AD175" s="7">
        <f t="shared" si="33"/>
        <v>3</v>
      </c>
      <c r="AE175" s="34">
        <v>10</v>
      </c>
      <c r="AF175" s="12">
        <v>3</v>
      </c>
      <c r="AG175" s="38">
        <f t="shared" si="34"/>
        <v>10.25</v>
      </c>
      <c r="AH175" s="32">
        <f t="shared" si="35"/>
        <v>9</v>
      </c>
      <c r="AI175" s="37">
        <f t="shared" si="36"/>
        <v>10.75</v>
      </c>
      <c r="AJ175" s="37">
        <f t="shared" si="37"/>
        <v>9</v>
      </c>
      <c r="AK175" s="7">
        <f t="shared" si="38"/>
        <v>129</v>
      </c>
      <c r="AL175" s="7">
        <f t="shared" si="26"/>
        <v>99</v>
      </c>
      <c r="AM175" s="13"/>
      <c r="AN175" s="11" t="s">
        <v>71</v>
      </c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1" t="s">
        <v>71</v>
      </c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22" t="s">
        <v>1380</v>
      </c>
      <c r="CS175" s="20">
        <v>4</v>
      </c>
      <c r="CT175" s="20">
        <v>397946521</v>
      </c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</row>
    <row r="176" spans="1:108" ht="24.95" hidden="1" customHeight="1" x14ac:dyDescent="0.2">
      <c r="A176" s="3">
        <v>172</v>
      </c>
      <c r="B176" s="3" t="s">
        <v>1448</v>
      </c>
      <c r="C176" s="3" t="s">
        <v>83</v>
      </c>
      <c r="D176" s="3" t="s">
        <v>294</v>
      </c>
      <c r="E176" s="3" t="s">
        <v>443</v>
      </c>
      <c r="F176" s="3" t="s">
        <v>444</v>
      </c>
      <c r="G176" s="11" t="s">
        <v>71</v>
      </c>
      <c r="H176" s="12"/>
      <c r="I176" s="17"/>
      <c r="J176" s="11" t="s">
        <v>71</v>
      </c>
      <c r="K176" s="12"/>
      <c r="L176" s="3" t="s">
        <v>506</v>
      </c>
      <c r="M176" s="12"/>
      <c r="N176" s="12"/>
      <c r="O176" s="12"/>
      <c r="P176" s="4" t="s">
        <v>678</v>
      </c>
      <c r="Q176" s="5" t="s">
        <v>822</v>
      </c>
      <c r="R176" s="3" t="s">
        <v>1000</v>
      </c>
      <c r="S176" s="14">
        <v>34</v>
      </c>
      <c r="T176" s="3" t="s">
        <v>75</v>
      </c>
      <c r="U176" s="3" t="s">
        <v>1057</v>
      </c>
      <c r="V176" s="12"/>
      <c r="W176" s="12"/>
      <c r="X176" s="7">
        <f t="shared" si="27"/>
        <v>24</v>
      </c>
      <c r="Y176" s="7">
        <f t="shared" si="28"/>
        <v>6</v>
      </c>
      <c r="Z176" s="7">
        <f t="shared" si="29"/>
        <v>30</v>
      </c>
      <c r="AA176" s="37">
        <v>2</v>
      </c>
      <c r="AB176" s="33">
        <f t="shared" si="31"/>
        <v>6</v>
      </c>
      <c r="AC176" s="8">
        <f t="shared" si="32"/>
        <v>1.5</v>
      </c>
      <c r="AD176" s="7">
        <f t="shared" si="33"/>
        <v>6</v>
      </c>
      <c r="AE176" s="34">
        <v>3</v>
      </c>
      <c r="AF176" s="12">
        <v>6</v>
      </c>
      <c r="AG176" s="38">
        <v>5</v>
      </c>
      <c r="AH176" s="32">
        <v>0</v>
      </c>
      <c r="AI176" s="37">
        <f t="shared" si="36"/>
        <v>4</v>
      </c>
      <c r="AJ176" s="37">
        <f t="shared" si="37"/>
        <v>0</v>
      </c>
      <c r="AK176" s="7">
        <f t="shared" si="38"/>
        <v>48</v>
      </c>
      <c r="AL176" s="7">
        <f t="shared" si="26"/>
        <v>18</v>
      </c>
      <c r="AM176" s="13"/>
      <c r="AN176" s="11" t="s">
        <v>71</v>
      </c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1" t="s">
        <v>71</v>
      </c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22" t="s">
        <v>1380</v>
      </c>
      <c r="CS176" s="20">
        <v>4</v>
      </c>
      <c r="CT176" s="20">
        <v>364695421</v>
      </c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</row>
    <row r="177" spans="1:108" ht="24.95" hidden="1" customHeight="1" x14ac:dyDescent="0.2">
      <c r="A177" s="3">
        <v>173</v>
      </c>
      <c r="B177" s="3" t="s">
        <v>1448</v>
      </c>
      <c r="C177" s="3" t="s">
        <v>92</v>
      </c>
      <c r="D177" s="3" t="s">
        <v>445</v>
      </c>
      <c r="E177" s="3" t="s">
        <v>446</v>
      </c>
      <c r="F177" s="3" t="s">
        <v>447</v>
      </c>
      <c r="G177" s="11" t="s">
        <v>71</v>
      </c>
      <c r="H177" s="12"/>
      <c r="I177" s="17"/>
      <c r="J177" s="11" t="s">
        <v>71</v>
      </c>
      <c r="K177" s="12"/>
      <c r="L177" s="3" t="s">
        <v>475</v>
      </c>
      <c r="M177" s="12"/>
      <c r="N177" s="12"/>
      <c r="O177" s="12"/>
      <c r="P177" s="4" t="s">
        <v>679</v>
      </c>
      <c r="Q177" s="5">
        <v>9159324158</v>
      </c>
      <c r="R177" s="3" t="s">
        <v>1001</v>
      </c>
      <c r="S177" s="14">
        <v>47</v>
      </c>
      <c r="T177" s="3" t="s">
        <v>1027</v>
      </c>
      <c r="U177" s="3" t="s">
        <v>1129</v>
      </c>
      <c r="V177" s="12"/>
      <c r="W177" s="12"/>
      <c r="X177" s="7">
        <f t="shared" si="27"/>
        <v>120</v>
      </c>
      <c r="Y177" s="7">
        <f t="shared" si="28"/>
        <v>11</v>
      </c>
      <c r="Z177" s="7">
        <f t="shared" si="29"/>
        <v>131</v>
      </c>
      <c r="AA177" s="37">
        <v>10</v>
      </c>
      <c r="AB177" s="33">
        <f t="shared" si="31"/>
        <v>11</v>
      </c>
      <c r="AC177" s="8">
        <f t="shared" si="32"/>
        <v>0.5</v>
      </c>
      <c r="AD177" s="7">
        <f t="shared" si="33"/>
        <v>6</v>
      </c>
      <c r="AE177" s="34">
        <v>10</v>
      </c>
      <c r="AF177" s="12">
        <v>11</v>
      </c>
      <c r="AG177" s="38">
        <v>12</v>
      </c>
      <c r="AH177" s="32">
        <v>5</v>
      </c>
      <c r="AI177" s="37">
        <f t="shared" si="36"/>
        <v>11.416666666666666</v>
      </c>
      <c r="AJ177" s="37">
        <f t="shared" si="37"/>
        <v>5</v>
      </c>
      <c r="AK177" s="7">
        <f t="shared" si="38"/>
        <v>137</v>
      </c>
      <c r="AL177" s="7">
        <f t="shared" si="26"/>
        <v>6</v>
      </c>
      <c r="AM177" s="13"/>
      <c r="AN177" s="11" t="s">
        <v>71</v>
      </c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1" t="s">
        <v>71</v>
      </c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22" t="s">
        <v>1380</v>
      </c>
      <c r="CS177" s="21">
        <v>6</v>
      </c>
      <c r="CT177" s="20">
        <v>492165143</v>
      </c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</row>
    <row r="178" spans="1:108" ht="24.95" hidden="1" customHeight="1" x14ac:dyDescent="0.2">
      <c r="A178" s="3">
        <v>174</v>
      </c>
      <c r="B178" s="3" t="s">
        <v>1448</v>
      </c>
      <c r="C178" s="3" t="s">
        <v>92</v>
      </c>
      <c r="D178" s="3" t="s">
        <v>107</v>
      </c>
      <c r="E178" s="3" t="s">
        <v>448</v>
      </c>
      <c r="F178" s="3" t="s">
        <v>449</v>
      </c>
      <c r="G178" s="11" t="s">
        <v>71</v>
      </c>
      <c r="H178" s="12"/>
      <c r="I178" s="17"/>
      <c r="J178" s="11" t="s">
        <v>71</v>
      </c>
      <c r="K178" s="12"/>
      <c r="L178" s="3" t="s">
        <v>507</v>
      </c>
      <c r="M178" s="12"/>
      <c r="N178" s="12"/>
      <c r="O178" s="12"/>
      <c r="P178" s="4" t="s">
        <v>680</v>
      </c>
      <c r="Q178" s="5">
        <v>9159156265</v>
      </c>
      <c r="R178" s="3" t="s">
        <v>1002</v>
      </c>
      <c r="S178" s="14">
        <v>55</v>
      </c>
      <c r="T178" s="3" t="s">
        <v>1032</v>
      </c>
      <c r="U178" s="3" t="s">
        <v>1032</v>
      </c>
      <c r="V178" s="12"/>
      <c r="W178" s="12"/>
      <c r="X178" s="7">
        <f t="shared" si="27"/>
        <v>144</v>
      </c>
      <c r="Y178" s="7">
        <f t="shared" si="28"/>
        <v>9</v>
      </c>
      <c r="Z178" s="7">
        <f t="shared" si="29"/>
        <v>153</v>
      </c>
      <c r="AA178" s="37">
        <v>12</v>
      </c>
      <c r="AB178" s="33">
        <f t="shared" si="31"/>
        <v>9</v>
      </c>
      <c r="AC178" s="8">
        <f t="shared" si="32"/>
        <v>10</v>
      </c>
      <c r="AD178" s="7">
        <f t="shared" si="33"/>
        <v>0</v>
      </c>
      <c r="AE178" s="34">
        <v>22</v>
      </c>
      <c r="AF178" s="12">
        <v>3</v>
      </c>
      <c r="AG178" s="38">
        <f t="shared" si="34"/>
        <v>22</v>
      </c>
      <c r="AH178" s="32">
        <f t="shared" si="35"/>
        <v>9</v>
      </c>
      <c r="AI178" s="37">
        <f t="shared" si="36"/>
        <v>22.75</v>
      </c>
      <c r="AJ178" s="37">
        <f t="shared" si="37"/>
        <v>9</v>
      </c>
      <c r="AK178" s="7">
        <f t="shared" si="38"/>
        <v>273</v>
      </c>
      <c r="AL178" s="7">
        <f t="shared" si="26"/>
        <v>120</v>
      </c>
      <c r="AM178" s="13"/>
      <c r="AN178" s="11" t="s">
        <v>71</v>
      </c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X178" s="13"/>
      <c r="BY178" s="13"/>
      <c r="BZ178" s="13"/>
      <c r="CA178" s="13"/>
      <c r="CB178" s="13"/>
      <c r="CC178" s="11" t="s">
        <v>71</v>
      </c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22" t="s">
        <v>1422</v>
      </c>
      <c r="CS178" s="21">
        <v>7</v>
      </c>
      <c r="CT178" s="20">
        <v>466081031</v>
      </c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</row>
    <row r="179" spans="1:108" ht="24.95" hidden="1" customHeight="1" x14ac:dyDescent="0.2">
      <c r="A179" s="3">
        <v>175</v>
      </c>
      <c r="B179" s="3" t="s">
        <v>1448</v>
      </c>
      <c r="C179" s="3" t="s">
        <v>92</v>
      </c>
      <c r="D179" s="3" t="s">
        <v>238</v>
      </c>
      <c r="E179" s="3" t="s">
        <v>450</v>
      </c>
      <c r="F179" s="3" t="s">
        <v>411</v>
      </c>
      <c r="G179" s="11" t="s">
        <v>71</v>
      </c>
      <c r="H179" s="12"/>
      <c r="I179" s="17"/>
      <c r="J179" s="11" t="s">
        <v>71</v>
      </c>
      <c r="K179" s="12"/>
      <c r="L179" s="3" t="s">
        <v>492</v>
      </c>
      <c r="M179" s="12"/>
      <c r="N179" s="12"/>
      <c r="O179" s="12"/>
      <c r="P179" s="4" t="s">
        <v>681</v>
      </c>
      <c r="Q179" s="5" t="s">
        <v>823</v>
      </c>
      <c r="R179" s="3" t="s">
        <v>1003</v>
      </c>
      <c r="S179" s="14">
        <v>46</v>
      </c>
      <c r="T179" s="3" t="s">
        <v>76</v>
      </c>
      <c r="U179" s="3" t="s">
        <v>1057</v>
      </c>
      <c r="V179" s="12"/>
      <c r="W179" s="12"/>
      <c r="X179" s="7">
        <f t="shared" si="27"/>
        <v>24</v>
      </c>
      <c r="Y179" s="7">
        <f t="shared" si="28"/>
        <v>14</v>
      </c>
      <c r="Z179" s="7">
        <f t="shared" si="29"/>
        <v>38</v>
      </c>
      <c r="AA179" s="37">
        <f t="shared" si="30"/>
        <v>3.1666666666666665</v>
      </c>
      <c r="AB179" s="33">
        <f t="shared" si="31"/>
        <v>2</v>
      </c>
      <c r="AC179" s="8">
        <f t="shared" si="32"/>
        <v>1.6666666666666667</v>
      </c>
      <c r="AD179" s="7">
        <f t="shared" si="33"/>
        <v>8</v>
      </c>
      <c r="AE179" s="34">
        <v>4.166666666666667</v>
      </c>
      <c r="AF179" s="12">
        <v>2</v>
      </c>
      <c r="AG179" s="38">
        <f t="shared" si="34"/>
        <v>4.833333333333333</v>
      </c>
      <c r="AH179" s="32">
        <f t="shared" si="35"/>
        <v>10</v>
      </c>
      <c r="AI179" s="37">
        <f t="shared" si="36"/>
        <v>4.833333333333333</v>
      </c>
      <c r="AJ179" s="37">
        <f t="shared" si="37"/>
        <v>10</v>
      </c>
      <c r="AK179" s="7">
        <f t="shared" si="38"/>
        <v>58</v>
      </c>
      <c r="AL179" s="7">
        <f t="shared" si="26"/>
        <v>20</v>
      </c>
      <c r="AM179" s="13"/>
      <c r="AN179" s="11" t="s">
        <v>71</v>
      </c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1" t="s">
        <v>71</v>
      </c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22" t="s">
        <v>73</v>
      </c>
      <c r="CS179" s="20">
        <v>6</v>
      </c>
      <c r="CT179" s="20">
        <v>364740615</v>
      </c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</row>
    <row r="180" spans="1:108" ht="24.95" hidden="1" customHeight="1" x14ac:dyDescent="0.2">
      <c r="A180" s="3">
        <v>176</v>
      </c>
      <c r="B180" s="3" t="s">
        <v>1448</v>
      </c>
      <c r="C180" s="3" t="s">
        <v>84</v>
      </c>
      <c r="D180" s="3" t="s">
        <v>100</v>
      </c>
      <c r="E180" s="3" t="s">
        <v>451</v>
      </c>
      <c r="F180" s="3" t="s">
        <v>111</v>
      </c>
      <c r="G180" s="11" t="s">
        <v>71</v>
      </c>
      <c r="H180" s="12"/>
      <c r="I180" s="17"/>
      <c r="J180" s="11" t="s">
        <v>71</v>
      </c>
      <c r="K180" s="12"/>
      <c r="L180" s="3" t="s">
        <v>508</v>
      </c>
      <c r="M180" s="12"/>
      <c r="N180" s="12"/>
      <c r="O180" s="12"/>
      <c r="P180" s="4" t="s">
        <v>682</v>
      </c>
      <c r="Q180" s="5" t="s">
        <v>824</v>
      </c>
      <c r="R180" s="3" t="s">
        <v>980</v>
      </c>
      <c r="S180" s="14">
        <v>35</v>
      </c>
      <c r="T180" s="3" t="s">
        <v>75</v>
      </c>
      <c r="U180" s="3" t="s">
        <v>78</v>
      </c>
      <c r="V180" s="12"/>
      <c r="W180" s="12"/>
      <c r="X180" s="7">
        <f t="shared" si="27"/>
        <v>24</v>
      </c>
      <c r="Y180" s="7">
        <f t="shared" si="28"/>
        <v>7</v>
      </c>
      <c r="Z180" s="7">
        <f t="shared" si="29"/>
        <v>31</v>
      </c>
      <c r="AA180" s="37">
        <v>2</v>
      </c>
      <c r="AB180" s="33">
        <f t="shared" si="31"/>
        <v>7</v>
      </c>
      <c r="AC180" s="8">
        <f t="shared" si="32"/>
        <v>0.16666666666666666</v>
      </c>
      <c r="AD180" s="7">
        <f t="shared" si="33"/>
        <v>2</v>
      </c>
      <c r="AE180" s="34">
        <v>2</v>
      </c>
      <c r="AF180" s="12">
        <v>3</v>
      </c>
      <c r="AG180" s="38">
        <f t="shared" si="34"/>
        <v>2.1666666666666665</v>
      </c>
      <c r="AH180" s="32">
        <f t="shared" si="35"/>
        <v>9</v>
      </c>
      <c r="AI180" s="37">
        <f t="shared" si="36"/>
        <v>2.75</v>
      </c>
      <c r="AJ180" s="37">
        <f t="shared" si="37"/>
        <v>9</v>
      </c>
      <c r="AK180" s="7">
        <f t="shared" si="38"/>
        <v>33</v>
      </c>
      <c r="AL180" s="7">
        <f t="shared" si="26"/>
        <v>2</v>
      </c>
      <c r="AM180" s="13"/>
      <c r="AN180" s="11" t="s">
        <v>71</v>
      </c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1" t="s">
        <v>71</v>
      </c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22" t="s">
        <v>1380</v>
      </c>
      <c r="CS180" s="20">
        <v>4</v>
      </c>
      <c r="CT180" s="20">
        <v>348407735</v>
      </c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</row>
    <row r="181" spans="1:108" ht="24.95" hidden="1" customHeight="1" x14ac:dyDescent="0.2">
      <c r="A181" s="3">
        <v>177</v>
      </c>
      <c r="B181" s="3" t="s">
        <v>1448</v>
      </c>
      <c r="C181" s="3" t="s">
        <v>84</v>
      </c>
      <c r="D181" s="3" t="s">
        <v>179</v>
      </c>
      <c r="E181" s="3" t="s">
        <v>452</v>
      </c>
      <c r="F181" s="3" t="s">
        <v>453</v>
      </c>
      <c r="G181" s="11" t="s">
        <v>71</v>
      </c>
      <c r="H181" s="12"/>
      <c r="I181" s="17"/>
      <c r="J181" s="11" t="s">
        <v>71</v>
      </c>
      <c r="K181" s="12"/>
      <c r="L181" s="3" t="s">
        <v>476</v>
      </c>
      <c r="M181" s="12"/>
      <c r="N181" s="12"/>
      <c r="O181" s="12"/>
      <c r="P181" s="4" t="s">
        <v>683</v>
      </c>
      <c r="Q181" s="5">
        <v>9159803564</v>
      </c>
      <c r="R181" s="3" t="s">
        <v>1004</v>
      </c>
      <c r="S181" s="14">
        <v>36</v>
      </c>
      <c r="T181" s="3" t="s">
        <v>1027</v>
      </c>
      <c r="U181" s="3" t="s">
        <v>1027</v>
      </c>
      <c r="V181" s="12"/>
      <c r="W181" s="12"/>
      <c r="X181" s="7">
        <f t="shared" si="27"/>
        <v>120</v>
      </c>
      <c r="Y181" s="7">
        <f t="shared" si="28"/>
        <v>16</v>
      </c>
      <c r="Z181" s="7">
        <f t="shared" si="29"/>
        <v>136</v>
      </c>
      <c r="AA181" s="37">
        <f t="shared" si="30"/>
        <v>11.333333333333334</v>
      </c>
      <c r="AB181" s="33">
        <f t="shared" si="31"/>
        <v>4</v>
      </c>
      <c r="AC181" s="8">
        <f t="shared" si="32"/>
        <v>1.4166666666666667</v>
      </c>
      <c r="AD181" s="7">
        <f t="shared" si="33"/>
        <v>5</v>
      </c>
      <c r="AE181" s="34">
        <v>12</v>
      </c>
      <c r="AF181" s="12">
        <v>3</v>
      </c>
      <c r="AG181" s="38">
        <f t="shared" si="34"/>
        <v>12.75</v>
      </c>
      <c r="AH181" s="32">
        <f t="shared" si="35"/>
        <v>9</v>
      </c>
      <c r="AI181" s="37">
        <f t="shared" si="36"/>
        <v>12.75</v>
      </c>
      <c r="AJ181" s="37">
        <f t="shared" si="37"/>
        <v>9</v>
      </c>
      <c r="AK181" s="7">
        <f t="shared" si="38"/>
        <v>153</v>
      </c>
      <c r="AL181" s="7">
        <f t="shared" si="26"/>
        <v>17</v>
      </c>
      <c r="AM181" s="13"/>
      <c r="AN181" s="11" t="s">
        <v>71</v>
      </c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X181" s="13"/>
      <c r="BY181" s="13"/>
      <c r="BZ181" s="13"/>
      <c r="CA181" s="13"/>
      <c r="CB181" s="13"/>
      <c r="CC181" s="11" t="s">
        <v>71</v>
      </c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22" t="s">
        <v>1391</v>
      </c>
      <c r="CS181" s="21">
        <v>8</v>
      </c>
      <c r="CT181" s="20">
        <v>472282219</v>
      </c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</row>
    <row r="182" spans="1:108" ht="24.95" hidden="1" customHeight="1" x14ac:dyDescent="0.2">
      <c r="A182" s="3">
        <v>178</v>
      </c>
      <c r="B182" s="3" t="s">
        <v>1448</v>
      </c>
      <c r="C182" s="3" t="s">
        <v>89</v>
      </c>
      <c r="D182" s="3" t="s">
        <v>109</v>
      </c>
      <c r="E182" s="3" t="s">
        <v>454</v>
      </c>
      <c r="F182" s="3" t="s">
        <v>156</v>
      </c>
      <c r="G182" s="11" t="s">
        <v>71</v>
      </c>
      <c r="H182" s="12"/>
      <c r="I182" s="11" t="s">
        <v>71</v>
      </c>
      <c r="K182" s="12"/>
      <c r="L182" s="3" t="s">
        <v>492</v>
      </c>
      <c r="M182" s="12"/>
      <c r="N182" s="12"/>
      <c r="O182" s="12"/>
      <c r="P182" s="4" t="s">
        <v>684</v>
      </c>
      <c r="Q182" s="5" t="s">
        <v>825</v>
      </c>
      <c r="R182" s="3" t="s">
        <v>1005</v>
      </c>
      <c r="S182" s="14">
        <v>31</v>
      </c>
      <c r="T182" s="3" t="s">
        <v>75</v>
      </c>
      <c r="U182" s="3" t="s">
        <v>1107</v>
      </c>
      <c r="V182" s="12"/>
      <c r="W182" s="12"/>
      <c r="X182" s="7">
        <f t="shared" si="27"/>
        <v>24</v>
      </c>
      <c r="Y182" s="7">
        <f t="shared" si="28"/>
        <v>14</v>
      </c>
      <c r="Z182" s="7">
        <f t="shared" si="29"/>
        <v>38</v>
      </c>
      <c r="AA182" s="37">
        <f t="shared" si="30"/>
        <v>3.1666666666666665</v>
      </c>
      <c r="AB182" s="33">
        <f t="shared" si="31"/>
        <v>2</v>
      </c>
      <c r="AC182" s="8">
        <f t="shared" si="32"/>
        <v>3.75</v>
      </c>
      <c r="AD182" s="7">
        <f t="shared" si="33"/>
        <v>9</v>
      </c>
      <c r="AE182" s="34">
        <v>6</v>
      </c>
      <c r="AF182" s="12">
        <v>5</v>
      </c>
      <c r="AG182" s="38">
        <f t="shared" si="34"/>
        <v>6.9166666666666661</v>
      </c>
      <c r="AH182" s="32">
        <f t="shared" si="35"/>
        <v>11</v>
      </c>
      <c r="AI182" s="37">
        <f t="shared" si="36"/>
        <v>6.916666666666667</v>
      </c>
      <c r="AJ182" s="37">
        <f t="shared" si="37"/>
        <v>11</v>
      </c>
      <c r="AK182" s="7">
        <f t="shared" si="38"/>
        <v>83</v>
      </c>
      <c r="AL182" s="7">
        <f t="shared" si="26"/>
        <v>45</v>
      </c>
      <c r="AM182" s="13"/>
      <c r="AN182" s="11" t="s">
        <v>71</v>
      </c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1" t="s">
        <v>71</v>
      </c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22" t="s">
        <v>1391</v>
      </c>
      <c r="CS182" s="20">
        <v>6</v>
      </c>
      <c r="CT182" s="20">
        <v>323875759</v>
      </c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</row>
    <row r="183" spans="1:108" ht="24.95" customHeight="1" x14ac:dyDescent="0.2">
      <c r="A183" s="3">
        <v>179</v>
      </c>
      <c r="B183" s="3" t="s">
        <v>1448</v>
      </c>
      <c r="C183" s="3" t="s">
        <v>87</v>
      </c>
      <c r="D183" s="3" t="s">
        <v>127</v>
      </c>
      <c r="E183" s="3" t="s">
        <v>455</v>
      </c>
      <c r="F183" s="3" t="s">
        <v>346</v>
      </c>
      <c r="G183" s="11" t="s">
        <v>71</v>
      </c>
      <c r="H183" s="12"/>
      <c r="I183" s="17"/>
      <c r="J183" s="11" t="s">
        <v>71</v>
      </c>
      <c r="K183" s="12"/>
      <c r="L183" s="3" t="s">
        <v>492</v>
      </c>
      <c r="M183" s="12"/>
      <c r="N183" s="12"/>
      <c r="O183" s="12"/>
      <c r="P183" s="4" t="s">
        <v>685</v>
      </c>
      <c r="Q183" s="5" t="s">
        <v>826</v>
      </c>
      <c r="R183" s="3" t="s">
        <v>1006</v>
      </c>
      <c r="S183" s="14">
        <v>37</v>
      </c>
      <c r="T183" s="3" t="s">
        <v>1039</v>
      </c>
      <c r="U183" s="3"/>
      <c r="V183" s="12"/>
      <c r="W183" s="12"/>
      <c r="X183" s="7">
        <f t="shared" si="27"/>
        <v>24</v>
      </c>
      <c r="Y183" s="7">
        <f t="shared" si="28"/>
        <v>14</v>
      </c>
      <c r="Z183" s="7">
        <f t="shared" si="29"/>
        <v>38</v>
      </c>
      <c r="AA183" s="37">
        <v>4</v>
      </c>
      <c r="AB183" s="33">
        <f t="shared" si="31"/>
        <v>2</v>
      </c>
      <c r="AC183" s="8">
        <f t="shared" si="32"/>
        <v>1.4166666666666667</v>
      </c>
      <c r="AD183" s="7">
        <f t="shared" si="33"/>
        <v>5</v>
      </c>
      <c r="AE183" s="34">
        <v>4</v>
      </c>
      <c r="AF183" s="12">
        <v>1</v>
      </c>
      <c r="AG183" s="38">
        <f t="shared" si="34"/>
        <v>5.416666666666667</v>
      </c>
      <c r="AH183" s="32">
        <f t="shared" si="35"/>
        <v>7</v>
      </c>
      <c r="AI183" s="37">
        <f t="shared" si="36"/>
        <v>4.583333333333333</v>
      </c>
      <c r="AJ183" s="37">
        <f t="shared" si="37"/>
        <v>7</v>
      </c>
      <c r="AK183" s="7">
        <f t="shared" si="38"/>
        <v>55</v>
      </c>
      <c r="AL183" s="7">
        <f t="shared" si="26"/>
        <v>17</v>
      </c>
      <c r="AM183" s="13"/>
      <c r="AN183" s="11" t="s">
        <v>71</v>
      </c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X183" s="13"/>
      <c r="BY183" s="13"/>
      <c r="BZ183" s="13"/>
      <c r="CA183" s="13"/>
      <c r="CB183" s="13"/>
      <c r="CC183" s="11" t="s">
        <v>71</v>
      </c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22" t="s">
        <v>1422</v>
      </c>
      <c r="CS183" s="20">
        <v>6</v>
      </c>
      <c r="CT183" s="20">
        <v>364645020</v>
      </c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</row>
    <row r="184" spans="1:108" ht="24.95" hidden="1" customHeight="1" x14ac:dyDescent="0.2">
      <c r="A184" s="3">
        <v>180</v>
      </c>
      <c r="B184" s="3" t="s">
        <v>1448</v>
      </c>
      <c r="C184" s="3" t="s">
        <v>83</v>
      </c>
      <c r="D184" s="3" t="s">
        <v>205</v>
      </c>
      <c r="E184" s="3" t="s">
        <v>456</v>
      </c>
      <c r="F184" s="3" t="s">
        <v>256</v>
      </c>
      <c r="G184" s="11" t="s">
        <v>71</v>
      </c>
      <c r="H184" s="12"/>
      <c r="I184" s="17"/>
      <c r="J184" s="11" t="s">
        <v>71</v>
      </c>
      <c r="K184" s="12"/>
      <c r="L184" s="3" t="s">
        <v>492</v>
      </c>
      <c r="M184" s="12"/>
      <c r="N184" s="12"/>
      <c r="O184" s="12"/>
      <c r="P184" s="4" t="s">
        <v>686</v>
      </c>
      <c r="Q184" s="5" t="s">
        <v>827</v>
      </c>
      <c r="R184" s="3" t="s">
        <v>1007</v>
      </c>
      <c r="S184" s="14">
        <v>40</v>
      </c>
      <c r="T184" s="3" t="s">
        <v>1026</v>
      </c>
      <c r="U184" s="3"/>
      <c r="V184" s="12"/>
      <c r="W184" s="12"/>
      <c r="X184" s="7">
        <f t="shared" si="27"/>
        <v>24</v>
      </c>
      <c r="Y184" s="7">
        <f t="shared" si="28"/>
        <v>14</v>
      </c>
      <c r="Z184" s="7">
        <f t="shared" si="29"/>
        <v>38</v>
      </c>
      <c r="AA184" s="37">
        <v>3</v>
      </c>
      <c r="AB184" s="33">
        <f t="shared" si="31"/>
        <v>2</v>
      </c>
      <c r="AC184" s="8">
        <f t="shared" si="32"/>
        <v>11.25</v>
      </c>
      <c r="AD184" s="7">
        <f t="shared" si="33"/>
        <v>3</v>
      </c>
      <c r="AE184" s="34">
        <v>13</v>
      </c>
      <c r="AF184" s="12">
        <v>11</v>
      </c>
      <c r="AG184" s="38">
        <f t="shared" si="34"/>
        <v>14.25</v>
      </c>
      <c r="AH184" s="32">
        <f t="shared" si="35"/>
        <v>5</v>
      </c>
      <c r="AI184" s="37">
        <f t="shared" si="36"/>
        <v>14.416666666666666</v>
      </c>
      <c r="AJ184" s="37">
        <f t="shared" si="37"/>
        <v>5</v>
      </c>
      <c r="AK184" s="7">
        <f t="shared" si="38"/>
        <v>173</v>
      </c>
      <c r="AL184" s="7">
        <f t="shared" si="26"/>
        <v>135</v>
      </c>
      <c r="AM184" s="13"/>
      <c r="AN184" s="11" t="s">
        <v>71</v>
      </c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X184" s="13"/>
      <c r="BY184" s="13"/>
      <c r="BZ184" s="13"/>
      <c r="CA184" s="13"/>
      <c r="CB184" s="13"/>
      <c r="CD184" s="13"/>
      <c r="CE184" s="13"/>
      <c r="CF184" s="13"/>
      <c r="CG184" s="13"/>
      <c r="CH184" s="13"/>
      <c r="CI184" s="13"/>
      <c r="CJ184" s="13"/>
      <c r="CK184" s="11" t="s">
        <v>71</v>
      </c>
      <c r="CL184" s="13"/>
      <c r="CM184" s="13"/>
      <c r="CN184" s="13"/>
      <c r="CO184" s="13"/>
      <c r="CP184" s="13"/>
      <c r="CQ184" s="13"/>
      <c r="CR184" s="22" t="s">
        <v>1426</v>
      </c>
      <c r="CS184" s="20">
        <v>6</v>
      </c>
      <c r="CT184" s="20">
        <v>362146048</v>
      </c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</row>
    <row r="185" spans="1:108" ht="24.95" hidden="1" customHeight="1" x14ac:dyDescent="0.2">
      <c r="A185" s="3">
        <v>181</v>
      </c>
      <c r="B185" s="3" t="s">
        <v>1448</v>
      </c>
      <c r="C185" s="3" t="s">
        <v>83</v>
      </c>
      <c r="D185" s="3" t="s">
        <v>186</v>
      </c>
      <c r="E185" s="3" t="s">
        <v>457</v>
      </c>
      <c r="F185" s="3" t="s">
        <v>430</v>
      </c>
      <c r="G185" s="11" t="s">
        <v>71</v>
      </c>
      <c r="H185" s="12"/>
      <c r="I185" s="17"/>
      <c r="J185" s="11" t="s">
        <v>71</v>
      </c>
      <c r="K185" s="12"/>
      <c r="L185" s="3" t="s">
        <v>492</v>
      </c>
      <c r="M185" s="12"/>
      <c r="N185" s="12"/>
      <c r="O185" s="12"/>
      <c r="P185" s="4" t="s">
        <v>687</v>
      </c>
      <c r="Q185" s="5" t="s">
        <v>828</v>
      </c>
      <c r="R185" s="3" t="s">
        <v>1008</v>
      </c>
      <c r="S185" s="14">
        <v>32</v>
      </c>
      <c r="T185" s="3" t="s">
        <v>75</v>
      </c>
      <c r="U185" s="3" t="s">
        <v>1130</v>
      </c>
      <c r="V185" s="12"/>
      <c r="W185" s="12"/>
      <c r="X185" s="7">
        <f t="shared" si="27"/>
        <v>24</v>
      </c>
      <c r="Y185" s="7">
        <f t="shared" si="28"/>
        <v>14</v>
      </c>
      <c r="Z185" s="7">
        <f t="shared" si="29"/>
        <v>38</v>
      </c>
      <c r="AA185" s="37">
        <v>4</v>
      </c>
      <c r="AB185" s="33">
        <f t="shared" si="31"/>
        <v>2</v>
      </c>
      <c r="AC185" s="8">
        <f t="shared" si="32"/>
        <v>4.916666666666667</v>
      </c>
      <c r="AD185" s="7">
        <f t="shared" si="33"/>
        <v>11</v>
      </c>
      <c r="AE185" s="34">
        <v>7</v>
      </c>
      <c r="AF185" s="12">
        <v>7</v>
      </c>
      <c r="AG185" s="38">
        <v>10</v>
      </c>
      <c r="AH185" s="32">
        <v>1</v>
      </c>
      <c r="AI185" s="37">
        <f t="shared" si="36"/>
        <v>8.0833333333333339</v>
      </c>
      <c r="AJ185" s="37">
        <f t="shared" si="37"/>
        <v>1</v>
      </c>
      <c r="AK185" s="7">
        <f t="shared" si="38"/>
        <v>97</v>
      </c>
      <c r="AL185" s="7">
        <f t="shared" si="26"/>
        <v>59</v>
      </c>
      <c r="AM185" s="13"/>
      <c r="AN185" s="11" t="s">
        <v>71</v>
      </c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1" t="s">
        <v>71</v>
      </c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22" t="s">
        <v>1380</v>
      </c>
      <c r="CS185" s="20">
        <v>4</v>
      </c>
      <c r="CT185" s="20">
        <v>370199476</v>
      </c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</row>
    <row r="186" spans="1:108" ht="24.95" hidden="1" customHeight="1" x14ac:dyDescent="0.2">
      <c r="A186" s="3">
        <v>182</v>
      </c>
      <c r="B186" s="3" t="s">
        <v>1448</v>
      </c>
      <c r="C186" s="3" t="s">
        <v>89</v>
      </c>
      <c r="D186" s="3" t="s">
        <v>163</v>
      </c>
      <c r="E186" s="3" t="s">
        <v>458</v>
      </c>
      <c r="F186" s="3" t="s">
        <v>156</v>
      </c>
      <c r="G186" s="11" t="s">
        <v>71</v>
      </c>
      <c r="H186" s="12"/>
      <c r="I186" s="17"/>
      <c r="J186" s="11" t="s">
        <v>71</v>
      </c>
      <c r="K186" s="12"/>
      <c r="L186" s="3" t="s">
        <v>509</v>
      </c>
      <c r="M186" s="12"/>
      <c r="N186" s="12"/>
      <c r="O186" s="12"/>
      <c r="P186" s="4" t="s">
        <v>688</v>
      </c>
      <c r="Q186" s="5">
        <v>9159134826</v>
      </c>
      <c r="R186" s="3" t="s">
        <v>1009</v>
      </c>
      <c r="S186" s="14">
        <v>46</v>
      </c>
      <c r="T186" s="3" t="s">
        <v>1022</v>
      </c>
      <c r="U186" s="3" t="s">
        <v>1131</v>
      </c>
      <c r="V186" s="12"/>
      <c r="W186" s="12"/>
      <c r="X186" s="7">
        <f t="shared" si="27"/>
        <v>192</v>
      </c>
      <c r="Y186" s="7">
        <f t="shared" si="28"/>
        <v>15</v>
      </c>
      <c r="Z186" s="7">
        <f t="shared" si="29"/>
        <v>207</v>
      </c>
      <c r="AA186" s="37">
        <f t="shared" si="30"/>
        <v>17.25</v>
      </c>
      <c r="AB186" s="33">
        <f t="shared" si="31"/>
        <v>3</v>
      </c>
      <c r="AC186" s="8">
        <f t="shared" si="32"/>
        <v>0.5</v>
      </c>
      <c r="AD186" s="7">
        <f t="shared" si="33"/>
        <v>6</v>
      </c>
      <c r="AE186" s="34">
        <v>17</v>
      </c>
      <c r="AF186" s="12">
        <v>3</v>
      </c>
      <c r="AG186" s="38">
        <f t="shared" si="34"/>
        <v>17.75</v>
      </c>
      <c r="AH186" s="32">
        <f t="shared" si="35"/>
        <v>9</v>
      </c>
      <c r="AI186" s="37">
        <f t="shared" si="36"/>
        <v>17.75</v>
      </c>
      <c r="AJ186" s="37">
        <f t="shared" si="37"/>
        <v>9</v>
      </c>
      <c r="AK186" s="7">
        <f t="shared" si="38"/>
        <v>213</v>
      </c>
      <c r="AL186" s="7">
        <f t="shared" si="26"/>
        <v>6</v>
      </c>
      <c r="AM186" s="13"/>
      <c r="AN186" s="11" t="s">
        <v>71</v>
      </c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X186" s="13"/>
      <c r="BY186" s="13"/>
      <c r="BZ186" s="13"/>
      <c r="CA186" s="13"/>
      <c r="CB186" s="13"/>
      <c r="CC186" s="11" t="s">
        <v>71</v>
      </c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22" t="s">
        <v>1428</v>
      </c>
      <c r="CS186" s="21">
        <v>12</v>
      </c>
      <c r="CT186" s="20">
        <v>519269061</v>
      </c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</row>
    <row r="187" spans="1:108" ht="24.95" customHeight="1" x14ac:dyDescent="0.2">
      <c r="A187" s="3">
        <v>183</v>
      </c>
      <c r="B187" s="3" t="s">
        <v>1448</v>
      </c>
      <c r="C187" s="3" t="s">
        <v>87</v>
      </c>
      <c r="D187" s="3" t="s">
        <v>259</v>
      </c>
      <c r="E187" s="3" t="s">
        <v>459</v>
      </c>
      <c r="F187" s="3" t="s">
        <v>397</v>
      </c>
      <c r="G187" s="11" t="s">
        <v>71</v>
      </c>
      <c r="H187" s="12"/>
      <c r="I187" s="11" t="s">
        <v>71</v>
      </c>
      <c r="K187" s="12"/>
      <c r="L187" s="3" t="s">
        <v>498</v>
      </c>
      <c r="M187" s="12"/>
      <c r="N187" s="12"/>
      <c r="O187" s="12"/>
      <c r="P187" s="4" t="s">
        <v>689</v>
      </c>
      <c r="Q187" s="5" t="s">
        <v>829</v>
      </c>
      <c r="R187" s="3" t="s">
        <v>1010</v>
      </c>
      <c r="S187" s="14">
        <v>28</v>
      </c>
      <c r="T187" s="3" t="s">
        <v>1041</v>
      </c>
      <c r="U187" s="3" t="s">
        <v>1047</v>
      </c>
      <c r="V187" s="12"/>
      <c r="W187" s="12"/>
      <c r="X187" s="7">
        <f t="shared" si="27"/>
        <v>72</v>
      </c>
      <c r="Y187" s="7">
        <f t="shared" si="28"/>
        <v>5</v>
      </c>
      <c r="Z187" s="7">
        <f t="shared" si="29"/>
        <v>77</v>
      </c>
      <c r="AA187" s="37">
        <v>5</v>
      </c>
      <c r="AB187" s="33">
        <f t="shared" si="31"/>
        <v>5</v>
      </c>
      <c r="AC187" s="8">
        <f t="shared" si="32"/>
        <v>0.66666666666666663</v>
      </c>
      <c r="AD187" s="7">
        <f t="shared" si="33"/>
        <v>8</v>
      </c>
      <c r="AE187" s="34">
        <v>6</v>
      </c>
      <c r="AF187" s="12">
        <v>7</v>
      </c>
      <c r="AG187" s="38">
        <v>7</v>
      </c>
      <c r="AH187" s="32">
        <v>1</v>
      </c>
      <c r="AI187" s="37">
        <f t="shared" si="36"/>
        <v>7.083333333333333</v>
      </c>
      <c r="AJ187" s="37">
        <f t="shared" si="37"/>
        <v>1</v>
      </c>
      <c r="AK187" s="7">
        <f t="shared" si="38"/>
        <v>85</v>
      </c>
      <c r="AL187" s="7">
        <f t="shared" si="26"/>
        <v>8</v>
      </c>
      <c r="AM187" s="13"/>
      <c r="AN187" s="11" t="s">
        <v>71</v>
      </c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1" t="s">
        <v>71</v>
      </c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22" t="s">
        <v>1380</v>
      </c>
      <c r="CS187" s="20">
        <v>4</v>
      </c>
      <c r="CT187" s="20">
        <v>341533888</v>
      </c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</row>
    <row r="188" spans="1:108" ht="24.95" hidden="1" customHeight="1" x14ac:dyDescent="0.2">
      <c r="A188" s="3">
        <v>184</v>
      </c>
      <c r="B188" s="3" t="s">
        <v>1448</v>
      </c>
      <c r="C188" s="3" t="s">
        <v>84</v>
      </c>
      <c r="D188" s="3" t="s">
        <v>149</v>
      </c>
      <c r="E188" s="3" t="s">
        <v>460</v>
      </c>
      <c r="F188" s="3" t="s">
        <v>146</v>
      </c>
      <c r="G188" s="11" t="s">
        <v>71</v>
      </c>
      <c r="H188" s="12"/>
      <c r="I188" s="17"/>
      <c r="J188" s="11" t="s">
        <v>71</v>
      </c>
      <c r="K188" s="12"/>
      <c r="L188" s="3" t="s">
        <v>492</v>
      </c>
      <c r="M188" s="12"/>
      <c r="N188" s="12"/>
      <c r="O188" s="12"/>
      <c r="P188" s="4" t="s">
        <v>690</v>
      </c>
      <c r="Q188" s="5" t="s">
        <v>830</v>
      </c>
      <c r="R188" s="3" t="s">
        <v>1011</v>
      </c>
      <c r="S188" s="14">
        <v>31</v>
      </c>
      <c r="T188" s="3" t="s">
        <v>75</v>
      </c>
      <c r="U188" s="3" t="s">
        <v>1057</v>
      </c>
      <c r="V188" s="12"/>
      <c r="W188" s="12"/>
      <c r="X188" s="7">
        <f t="shared" si="27"/>
        <v>24</v>
      </c>
      <c r="Y188" s="7">
        <f t="shared" si="28"/>
        <v>14</v>
      </c>
      <c r="Z188" s="7">
        <f t="shared" si="29"/>
        <v>38</v>
      </c>
      <c r="AA188" s="37">
        <v>4</v>
      </c>
      <c r="AB188" s="33">
        <f t="shared" si="31"/>
        <v>2</v>
      </c>
      <c r="AC188" s="8">
        <f t="shared" si="32"/>
        <v>3.8333333333333335</v>
      </c>
      <c r="AD188" s="7">
        <f t="shared" si="33"/>
        <v>10</v>
      </c>
      <c r="AE188" s="34">
        <v>6</v>
      </c>
      <c r="AF188" s="12">
        <v>6</v>
      </c>
      <c r="AG188" s="38">
        <v>9</v>
      </c>
      <c r="AH188" s="32">
        <v>0</v>
      </c>
      <c r="AI188" s="37">
        <f t="shared" si="36"/>
        <v>7</v>
      </c>
      <c r="AJ188" s="37">
        <f t="shared" si="37"/>
        <v>0</v>
      </c>
      <c r="AK188" s="7">
        <f t="shared" si="38"/>
        <v>84</v>
      </c>
      <c r="AL188" s="7">
        <f t="shared" si="26"/>
        <v>46</v>
      </c>
      <c r="AM188" s="13"/>
      <c r="AN188" s="11" t="s">
        <v>71</v>
      </c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1" t="s">
        <v>71</v>
      </c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22" t="s">
        <v>1380</v>
      </c>
      <c r="CS188" s="20">
        <v>5</v>
      </c>
      <c r="CT188" s="20">
        <v>361591633</v>
      </c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</row>
    <row r="189" spans="1:108" ht="24.95" customHeight="1" x14ac:dyDescent="0.2">
      <c r="A189" s="3">
        <v>185</v>
      </c>
      <c r="B189" s="3" t="s">
        <v>1448</v>
      </c>
      <c r="C189" s="3" t="s">
        <v>87</v>
      </c>
      <c r="D189" s="3" t="s">
        <v>140</v>
      </c>
      <c r="E189" s="3" t="s">
        <v>461</v>
      </c>
      <c r="F189" s="3" t="s">
        <v>462</v>
      </c>
      <c r="G189" s="11" t="s">
        <v>71</v>
      </c>
      <c r="H189" s="12"/>
      <c r="I189" s="11" t="s">
        <v>71</v>
      </c>
      <c r="K189" s="12"/>
      <c r="L189" s="3" t="s">
        <v>504</v>
      </c>
      <c r="M189" s="12"/>
      <c r="N189" s="12"/>
      <c r="O189" s="12"/>
      <c r="P189" s="4" t="s">
        <v>691</v>
      </c>
      <c r="Q189" s="5" t="s">
        <v>831</v>
      </c>
      <c r="R189" s="3" t="s">
        <v>1012</v>
      </c>
      <c r="S189" s="14">
        <v>27</v>
      </c>
      <c r="T189" s="3" t="s">
        <v>76</v>
      </c>
      <c r="U189" s="3" t="s">
        <v>1121</v>
      </c>
      <c r="V189" s="12"/>
      <c r="W189" s="12"/>
      <c r="X189" s="7">
        <f t="shared" si="27"/>
        <v>24</v>
      </c>
      <c r="Y189" s="7">
        <f t="shared" si="28"/>
        <v>12</v>
      </c>
      <c r="Z189" s="7">
        <f t="shared" si="29"/>
        <v>36</v>
      </c>
      <c r="AA189" s="37">
        <f t="shared" si="30"/>
        <v>3</v>
      </c>
      <c r="AB189" s="33">
        <f t="shared" si="31"/>
        <v>0</v>
      </c>
      <c r="AC189" s="8">
        <f t="shared" si="32"/>
        <v>-0.33333333333333331</v>
      </c>
      <c r="AD189" s="7">
        <f t="shared" si="33"/>
        <v>8</v>
      </c>
      <c r="AE189" s="34">
        <v>2</v>
      </c>
      <c r="AF189" s="12">
        <v>2</v>
      </c>
      <c r="AG189" s="38">
        <f t="shared" si="34"/>
        <v>2.6666666666666665</v>
      </c>
      <c r="AH189" s="32">
        <f t="shared" si="35"/>
        <v>8</v>
      </c>
      <c r="AI189" s="37">
        <f t="shared" si="36"/>
        <v>2.6666666666666665</v>
      </c>
      <c r="AJ189" s="37">
        <f t="shared" si="37"/>
        <v>8</v>
      </c>
      <c r="AK189" s="7">
        <f t="shared" si="38"/>
        <v>32</v>
      </c>
      <c r="AL189" s="7">
        <f t="shared" si="26"/>
        <v>-4</v>
      </c>
      <c r="AM189" s="13"/>
      <c r="AN189" s="11" t="s">
        <v>71</v>
      </c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1" t="s">
        <v>71</v>
      </c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22" t="s">
        <v>1380</v>
      </c>
      <c r="CS189" s="20">
        <v>4</v>
      </c>
      <c r="CT189" s="20">
        <v>323115083</v>
      </c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</row>
    <row r="190" spans="1:108" ht="24.95" customHeight="1" x14ac:dyDescent="0.2">
      <c r="A190" s="3">
        <v>186</v>
      </c>
      <c r="B190" s="3" t="s">
        <v>1448</v>
      </c>
      <c r="C190" s="3" t="s">
        <v>87</v>
      </c>
      <c r="D190" s="3" t="s">
        <v>103</v>
      </c>
      <c r="E190" s="3" t="s">
        <v>463</v>
      </c>
      <c r="F190" s="3" t="s">
        <v>464</v>
      </c>
      <c r="G190" s="11" t="s">
        <v>71</v>
      </c>
      <c r="H190" s="12"/>
      <c r="I190" s="17"/>
      <c r="J190" s="11" t="s">
        <v>71</v>
      </c>
      <c r="K190" s="12"/>
      <c r="L190" s="3" t="s">
        <v>483</v>
      </c>
      <c r="M190" s="12"/>
      <c r="N190" s="12"/>
      <c r="O190" s="12"/>
      <c r="P190" s="4" t="s">
        <v>692</v>
      </c>
      <c r="Q190" s="5">
        <v>9156892119</v>
      </c>
      <c r="R190" s="3" t="s">
        <v>1013</v>
      </c>
      <c r="S190" s="14">
        <v>47</v>
      </c>
      <c r="T190" s="3" t="s">
        <v>1042</v>
      </c>
      <c r="U190" s="3" t="s">
        <v>1042</v>
      </c>
      <c r="V190" s="12"/>
      <c r="W190" s="12"/>
      <c r="X190" s="7">
        <f t="shared" si="27"/>
        <v>144</v>
      </c>
      <c r="Y190" s="7">
        <f t="shared" si="28"/>
        <v>15</v>
      </c>
      <c r="Z190" s="7">
        <f t="shared" si="29"/>
        <v>159</v>
      </c>
      <c r="AA190" s="37">
        <f t="shared" si="30"/>
        <v>13.25</v>
      </c>
      <c r="AB190" s="33">
        <f t="shared" si="31"/>
        <v>3</v>
      </c>
      <c r="AC190" s="8">
        <f t="shared" si="32"/>
        <v>10.25</v>
      </c>
      <c r="AD190" s="7">
        <f t="shared" si="33"/>
        <v>3</v>
      </c>
      <c r="AE190" s="34">
        <v>23</v>
      </c>
      <c r="AF190" s="12"/>
      <c r="AG190" s="38">
        <f t="shared" si="34"/>
        <v>23.5</v>
      </c>
      <c r="AH190" s="32">
        <f t="shared" si="35"/>
        <v>6</v>
      </c>
      <c r="AI190" s="37">
        <f t="shared" si="36"/>
        <v>23.5</v>
      </c>
      <c r="AJ190" s="37">
        <f t="shared" si="37"/>
        <v>6</v>
      </c>
      <c r="AK190" s="7">
        <f t="shared" si="38"/>
        <v>282</v>
      </c>
      <c r="AL190" s="7">
        <f t="shared" si="26"/>
        <v>123</v>
      </c>
      <c r="AM190" s="13"/>
      <c r="AN190" s="11" t="s">
        <v>71</v>
      </c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1" t="s">
        <v>71</v>
      </c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22" t="s">
        <v>1380</v>
      </c>
      <c r="CS190" s="21">
        <v>6</v>
      </c>
      <c r="CT190" s="20">
        <v>519215230</v>
      </c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</row>
    <row r="191" spans="1:108" ht="24.95" hidden="1" customHeight="1" x14ac:dyDescent="0.2">
      <c r="A191" s="3">
        <v>187</v>
      </c>
      <c r="B191" s="3" t="s">
        <v>1448</v>
      </c>
      <c r="C191" s="3" t="s">
        <v>84</v>
      </c>
      <c r="D191" s="3" t="s">
        <v>261</v>
      </c>
      <c r="E191" s="3" t="s">
        <v>465</v>
      </c>
      <c r="F191" s="3" t="s">
        <v>163</v>
      </c>
      <c r="G191" s="11" t="s">
        <v>71</v>
      </c>
      <c r="H191" s="12"/>
      <c r="I191" s="17"/>
      <c r="J191" s="11" t="s">
        <v>71</v>
      </c>
      <c r="K191" s="12"/>
      <c r="L191" s="3" t="s">
        <v>475</v>
      </c>
      <c r="M191" s="12"/>
      <c r="N191" s="12"/>
      <c r="O191" s="12"/>
      <c r="P191" s="4" t="s">
        <v>693</v>
      </c>
      <c r="Q191" s="5">
        <v>9157043424</v>
      </c>
      <c r="R191" s="3" t="s">
        <v>1014</v>
      </c>
      <c r="S191" s="14">
        <v>43</v>
      </c>
      <c r="T191" s="3" t="s">
        <v>1035</v>
      </c>
      <c r="U191" s="3" t="s">
        <v>1132</v>
      </c>
      <c r="V191" s="12"/>
      <c r="W191" s="12"/>
      <c r="X191" s="7">
        <f t="shared" si="27"/>
        <v>120</v>
      </c>
      <c r="Y191" s="7">
        <f t="shared" si="28"/>
        <v>11</v>
      </c>
      <c r="Z191" s="7">
        <f t="shared" si="29"/>
        <v>131</v>
      </c>
      <c r="AA191" s="37">
        <v>10</v>
      </c>
      <c r="AB191" s="33">
        <f t="shared" si="31"/>
        <v>11</v>
      </c>
      <c r="AC191" s="8">
        <f t="shared" si="32"/>
        <v>4.166666666666667</v>
      </c>
      <c r="AD191" s="7">
        <f t="shared" si="33"/>
        <v>2</v>
      </c>
      <c r="AE191" s="34">
        <v>14</v>
      </c>
      <c r="AF191" s="12">
        <v>7</v>
      </c>
      <c r="AG191" s="38">
        <v>15</v>
      </c>
      <c r="AH191" s="32">
        <v>1</v>
      </c>
      <c r="AI191" s="37">
        <f t="shared" si="36"/>
        <v>15.083333333333334</v>
      </c>
      <c r="AJ191" s="37">
        <f t="shared" si="37"/>
        <v>1</v>
      </c>
      <c r="AK191" s="7">
        <f t="shared" si="38"/>
        <v>181</v>
      </c>
      <c r="AL191" s="7">
        <f t="shared" si="26"/>
        <v>50</v>
      </c>
      <c r="AM191" s="13"/>
      <c r="AN191" s="11" t="s">
        <v>71</v>
      </c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1" t="s">
        <v>71</v>
      </c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22" t="s">
        <v>1380</v>
      </c>
      <c r="CS191" s="21">
        <v>6</v>
      </c>
      <c r="CT191" s="20">
        <v>497195153</v>
      </c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</row>
    <row r="192" spans="1:108" ht="24.95" hidden="1" customHeight="1" x14ac:dyDescent="0.2">
      <c r="A192" s="3">
        <v>188</v>
      </c>
      <c r="B192" s="3" t="s">
        <v>1448</v>
      </c>
      <c r="C192" s="3" t="s">
        <v>85</v>
      </c>
      <c r="D192" s="3" t="s">
        <v>466</v>
      </c>
      <c r="E192" s="3" t="s">
        <v>467</v>
      </c>
      <c r="F192" s="3" t="s">
        <v>468</v>
      </c>
      <c r="G192" s="11" t="s">
        <v>71</v>
      </c>
      <c r="H192" s="12"/>
      <c r="I192" s="17"/>
      <c r="J192" s="11" t="s">
        <v>71</v>
      </c>
      <c r="K192" s="12"/>
      <c r="L192" s="3" t="s">
        <v>492</v>
      </c>
      <c r="M192" s="12"/>
      <c r="N192" s="12"/>
      <c r="O192" s="12"/>
      <c r="P192" s="4" t="s">
        <v>694</v>
      </c>
      <c r="Q192" s="5" t="s">
        <v>832</v>
      </c>
      <c r="R192" s="3" t="s">
        <v>1015</v>
      </c>
      <c r="S192" s="14">
        <v>31</v>
      </c>
      <c r="T192" s="3" t="s">
        <v>1029</v>
      </c>
      <c r="U192" s="3" t="s">
        <v>1114</v>
      </c>
      <c r="V192" s="12"/>
      <c r="W192" s="12"/>
      <c r="X192" s="7">
        <f t="shared" si="27"/>
        <v>24</v>
      </c>
      <c r="Y192" s="7">
        <f t="shared" si="28"/>
        <v>14</v>
      </c>
      <c r="Z192" s="7">
        <f t="shared" si="29"/>
        <v>38</v>
      </c>
      <c r="AA192" s="37">
        <v>4</v>
      </c>
      <c r="AB192" s="33">
        <f t="shared" si="31"/>
        <v>2</v>
      </c>
      <c r="AC192" s="8">
        <f t="shared" si="32"/>
        <v>5</v>
      </c>
      <c r="AD192" s="7">
        <f t="shared" si="33"/>
        <v>0</v>
      </c>
      <c r="AE192" s="34">
        <v>7</v>
      </c>
      <c r="AF192" s="12">
        <v>8</v>
      </c>
      <c r="AG192" s="38">
        <f t="shared" si="34"/>
        <v>9</v>
      </c>
      <c r="AH192" s="32">
        <f t="shared" si="35"/>
        <v>2</v>
      </c>
      <c r="AI192" s="37">
        <f t="shared" si="36"/>
        <v>8.1666666666666661</v>
      </c>
      <c r="AJ192" s="37">
        <f t="shared" si="37"/>
        <v>2</v>
      </c>
      <c r="AK192" s="7">
        <f t="shared" si="38"/>
        <v>98</v>
      </c>
      <c r="AL192" s="7">
        <f t="shared" si="26"/>
        <v>60</v>
      </c>
      <c r="AM192" s="13"/>
      <c r="AN192" s="11" t="s">
        <v>71</v>
      </c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X192" s="13"/>
      <c r="BY192" s="13"/>
      <c r="BZ192" s="13"/>
      <c r="CA192" s="13"/>
      <c r="CB192" s="13"/>
      <c r="CC192" s="11" t="s">
        <v>71</v>
      </c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22" t="s">
        <v>1412</v>
      </c>
      <c r="CS192" s="20">
        <v>6</v>
      </c>
      <c r="CT192" s="20">
        <v>365281709</v>
      </c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</row>
    <row r="193" spans="1:108" ht="24.95" hidden="1" customHeight="1" x14ac:dyDescent="0.2">
      <c r="A193" s="3">
        <v>189</v>
      </c>
      <c r="B193" s="3" t="s">
        <v>1448</v>
      </c>
      <c r="C193" s="3" t="s">
        <v>94</v>
      </c>
      <c r="D193" s="3" t="s">
        <v>469</v>
      </c>
      <c r="E193" s="3" t="s">
        <v>470</v>
      </c>
      <c r="F193" s="3" t="s">
        <v>106</v>
      </c>
      <c r="H193" s="11" t="s">
        <v>71</v>
      </c>
      <c r="I193" s="17"/>
      <c r="J193" s="11" t="s">
        <v>71</v>
      </c>
      <c r="K193" s="12"/>
      <c r="L193" s="3" t="s">
        <v>492</v>
      </c>
      <c r="M193" s="12"/>
      <c r="N193" s="12"/>
      <c r="O193" s="12"/>
      <c r="P193" s="4" t="s">
        <v>695</v>
      </c>
      <c r="Q193" s="5" t="s">
        <v>833</v>
      </c>
      <c r="R193" s="3" t="s">
        <v>1016</v>
      </c>
      <c r="S193" s="14">
        <v>37</v>
      </c>
      <c r="T193" s="3" t="s">
        <v>1029</v>
      </c>
      <c r="U193" s="3" t="s">
        <v>1133</v>
      </c>
      <c r="V193" s="12"/>
      <c r="W193" s="12"/>
      <c r="X193" s="7">
        <f t="shared" si="27"/>
        <v>24</v>
      </c>
      <c r="Y193" s="7">
        <f t="shared" si="28"/>
        <v>14</v>
      </c>
      <c r="Z193" s="7">
        <f t="shared" si="29"/>
        <v>38</v>
      </c>
      <c r="AA193" s="37">
        <f t="shared" si="30"/>
        <v>3.1666666666666665</v>
      </c>
      <c r="AB193" s="33">
        <f t="shared" si="31"/>
        <v>2</v>
      </c>
      <c r="AC193" s="8">
        <f t="shared" si="32"/>
        <v>1.6666666666666667</v>
      </c>
      <c r="AD193" s="7">
        <f t="shared" si="33"/>
        <v>8</v>
      </c>
      <c r="AE193" s="34">
        <v>4</v>
      </c>
      <c r="AF193" s="12">
        <v>4</v>
      </c>
      <c r="AG193" s="38">
        <f t="shared" si="34"/>
        <v>4.833333333333333</v>
      </c>
      <c r="AH193" s="32">
        <f t="shared" si="35"/>
        <v>10</v>
      </c>
      <c r="AI193" s="37">
        <f t="shared" si="36"/>
        <v>4.833333333333333</v>
      </c>
      <c r="AJ193" s="37">
        <f t="shared" si="37"/>
        <v>10</v>
      </c>
      <c r="AK193" s="7">
        <f t="shared" si="38"/>
        <v>58</v>
      </c>
      <c r="AL193" s="7">
        <f t="shared" si="26"/>
        <v>20</v>
      </c>
      <c r="AM193" s="13"/>
      <c r="AN193" s="11" t="s">
        <v>71</v>
      </c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1" t="s">
        <v>71</v>
      </c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22" t="s">
        <v>1423</v>
      </c>
      <c r="CS193" s="20">
        <v>12</v>
      </c>
      <c r="CT193" s="20">
        <v>458757750</v>
      </c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</row>
    <row r="194" spans="1:108" ht="24.95" hidden="1" customHeight="1" x14ac:dyDescent="0.2">
      <c r="A194" s="3">
        <v>190</v>
      </c>
      <c r="B194" s="3" t="s">
        <v>1448</v>
      </c>
      <c r="C194" s="3" t="s">
        <v>83</v>
      </c>
      <c r="D194" s="3" t="s">
        <v>426</v>
      </c>
      <c r="E194" s="3" t="s">
        <v>471</v>
      </c>
      <c r="F194" s="3" t="s">
        <v>138</v>
      </c>
      <c r="G194" s="11" t="s">
        <v>71</v>
      </c>
      <c r="H194" s="12"/>
      <c r="I194" s="17"/>
      <c r="J194" s="11" t="s">
        <v>71</v>
      </c>
      <c r="K194" s="12"/>
      <c r="L194" s="3" t="s">
        <v>492</v>
      </c>
      <c r="M194" s="12"/>
      <c r="N194" s="12"/>
      <c r="O194" s="12"/>
      <c r="P194" s="4" t="s">
        <v>696</v>
      </c>
      <c r="Q194" s="5" t="s">
        <v>834</v>
      </c>
      <c r="R194" s="3" t="s">
        <v>1017</v>
      </c>
      <c r="S194" s="14">
        <v>38</v>
      </c>
      <c r="T194" s="3" t="s">
        <v>1024</v>
      </c>
      <c r="U194" s="3" t="s">
        <v>1134</v>
      </c>
      <c r="V194" s="12"/>
      <c r="W194" s="12"/>
      <c r="X194" s="7">
        <f t="shared" si="27"/>
        <v>24</v>
      </c>
      <c r="Y194" s="7">
        <f t="shared" si="28"/>
        <v>14</v>
      </c>
      <c r="Z194" s="7">
        <f t="shared" si="29"/>
        <v>38</v>
      </c>
      <c r="AA194" s="37">
        <f t="shared" si="30"/>
        <v>3.1666666666666665</v>
      </c>
      <c r="AB194" s="33">
        <f t="shared" si="31"/>
        <v>2</v>
      </c>
      <c r="AC194" s="8">
        <f t="shared" si="32"/>
        <v>14.25</v>
      </c>
      <c r="AD194" s="7">
        <f t="shared" si="33"/>
        <v>3</v>
      </c>
      <c r="AE194" s="34">
        <v>16</v>
      </c>
      <c r="AF194" s="12">
        <v>11</v>
      </c>
      <c r="AG194" s="38">
        <f t="shared" si="34"/>
        <v>17.416666666666668</v>
      </c>
      <c r="AH194" s="32">
        <f t="shared" si="35"/>
        <v>5</v>
      </c>
      <c r="AI194" s="37">
        <f t="shared" si="36"/>
        <v>17.416666666666668</v>
      </c>
      <c r="AJ194" s="37">
        <f t="shared" si="37"/>
        <v>5</v>
      </c>
      <c r="AK194" s="7">
        <f t="shared" si="38"/>
        <v>209</v>
      </c>
      <c r="AL194" s="7">
        <f t="shared" si="26"/>
        <v>171</v>
      </c>
      <c r="AM194" s="13"/>
      <c r="AN194" s="11" t="s">
        <v>71</v>
      </c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X194" s="13"/>
      <c r="BY194" s="13"/>
      <c r="BZ194" s="13"/>
      <c r="CA194" s="13"/>
      <c r="CB194" s="13"/>
      <c r="CC194" s="11" t="s">
        <v>71</v>
      </c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22" t="s">
        <v>1412</v>
      </c>
      <c r="CS194" s="20">
        <v>6</v>
      </c>
      <c r="CT194" s="20">
        <v>370311719</v>
      </c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</row>
    <row r="195" spans="1:108" ht="24.95" hidden="1" customHeight="1" x14ac:dyDescent="0.2">
      <c r="A195" s="3">
        <v>191</v>
      </c>
      <c r="B195" s="3" t="s">
        <v>1448</v>
      </c>
      <c r="C195" s="3" t="s">
        <v>84</v>
      </c>
      <c r="D195" s="3" t="s">
        <v>401</v>
      </c>
      <c r="E195" s="3" t="s">
        <v>472</v>
      </c>
      <c r="F195" s="3" t="s">
        <v>100</v>
      </c>
      <c r="G195" s="11" t="s">
        <v>71</v>
      </c>
      <c r="H195" s="12"/>
      <c r="I195" s="11" t="s">
        <v>71</v>
      </c>
      <c r="K195" s="12"/>
      <c r="L195" s="3" t="s">
        <v>506</v>
      </c>
      <c r="M195" s="12"/>
      <c r="N195" s="12"/>
      <c r="O195" s="12"/>
      <c r="P195" s="4" t="s">
        <v>697</v>
      </c>
      <c r="Q195" s="5" t="s">
        <v>835</v>
      </c>
      <c r="R195" s="3" t="s">
        <v>1018</v>
      </c>
      <c r="S195" s="14">
        <v>26</v>
      </c>
      <c r="T195" s="3" t="s">
        <v>75</v>
      </c>
      <c r="U195" s="3" t="s">
        <v>1057</v>
      </c>
      <c r="V195" s="12"/>
      <c r="W195" s="12"/>
      <c r="X195" s="7">
        <f t="shared" si="27"/>
        <v>24</v>
      </c>
      <c r="Y195" s="7">
        <f t="shared" si="28"/>
        <v>6</v>
      </c>
      <c r="Z195" s="7">
        <f t="shared" si="29"/>
        <v>30</v>
      </c>
      <c r="AA195" s="37">
        <v>2</v>
      </c>
      <c r="AB195" s="33">
        <f t="shared" si="31"/>
        <v>6</v>
      </c>
      <c r="AC195" s="8">
        <f t="shared" si="32"/>
        <v>-0.16666666666666666</v>
      </c>
      <c r="AD195" s="7">
        <f t="shared" si="33"/>
        <v>10</v>
      </c>
      <c r="AE195" s="34">
        <v>1</v>
      </c>
      <c r="AF195" s="12">
        <v>10</v>
      </c>
      <c r="AG195" s="38">
        <v>3</v>
      </c>
      <c r="AH195" s="32">
        <v>4</v>
      </c>
      <c r="AI195" s="37">
        <f t="shared" si="36"/>
        <v>2.3333333333333335</v>
      </c>
      <c r="AJ195" s="37">
        <f t="shared" si="37"/>
        <v>4</v>
      </c>
      <c r="AK195" s="7">
        <f t="shared" si="38"/>
        <v>28</v>
      </c>
      <c r="AL195" s="7">
        <f t="shared" si="26"/>
        <v>-2</v>
      </c>
      <c r="AM195" s="13"/>
      <c r="AN195" s="11" t="s">
        <v>71</v>
      </c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1" t="s">
        <v>71</v>
      </c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22" t="s">
        <v>1380</v>
      </c>
      <c r="CS195" s="20">
        <v>4</v>
      </c>
      <c r="CT195" s="20">
        <v>326443921</v>
      </c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</row>
    <row r="196" spans="1:108" ht="24.95" hidden="1" customHeight="1" x14ac:dyDescent="0.2">
      <c r="A196" s="3">
        <v>192</v>
      </c>
      <c r="B196" s="3" t="s">
        <v>1448</v>
      </c>
      <c r="C196" s="3" t="s">
        <v>84</v>
      </c>
      <c r="D196" s="3" t="s">
        <v>473</v>
      </c>
      <c r="E196" s="3" t="s">
        <v>474</v>
      </c>
      <c r="F196" s="3" t="s">
        <v>107</v>
      </c>
      <c r="G196" s="11" t="s">
        <v>71</v>
      </c>
      <c r="H196" s="12"/>
      <c r="I196" s="17"/>
      <c r="J196" s="11" t="s">
        <v>71</v>
      </c>
      <c r="K196" s="12"/>
      <c r="L196" s="3" t="s">
        <v>492</v>
      </c>
      <c r="M196" s="12"/>
      <c r="N196" s="12"/>
      <c r="O196" s="12"/>
      <c r="P196" s="4" t="s">
        <v>698</v>
      </c>
      <c r="Q196" s="5" t="s">
        <v>836</v>
      </c>
      <c r="R196" s="3" t="s">
        <v>1019</v>
      </c>
      <c r="S196" s="14">
        <v>33</v>
      </c>
      <c r="T196" s="3" t="s">
        <v>75</v>
      </c>
      <c r="U196" s="3" t="s">
        <v>1062</v>
      </c>
      <c r="V196" s="12"/>
      <c r="W196" s="12"/>
      <c r="X196" s="7">
        <f t="shared" si="27"/>
        <v>24</v>
      </c>
      <c r="Y196" s="7">
        <f t="shared" si="28"/>
        <v>14</v>
      </c>
      <c r="Z196" s="7">
        <f t="shared" si="29"/>
        <v>38</v>
      </c>
      <c r="AA196" s="37">
        <v>2</v>
      </c>
      <c r="AB196" s="33">
        <f t="shared" si="31"/>
        <v>2</v>
      </c>
      <c r="AC196" s="8">
        <f t="shared" si="32"/>
        <v>2.5833333333333335</v>
      </c>
      <c r="AD196" s="7">
        <f t="shared" si="33"/>
        <v>7</v>
      </c>
      <c r="AE196" s="34">
        <v>5</v>
      </c>
      <c r="AF196" s="12">
        <v>3</v>
      </c>
      <c r="AG196" s="38">
        <f t="shared" si="34"/>
        <v>4.5833333333333339</v>
      </c>
      <c r="AH196" s="32">
        <f t="shared" si="35"/>
        <v>9</v>
      </c>
      <c r="AI196" s="37">
        <f t="shared" si="36"/>
        <v>5.75</v>
      </c>
      <c r="AJ196" s="37">
        <f t="shared" si="37"/>
        <v>9</v>
      </c>
      <c r="AK196" s="7">
        <f t="shared" si="38"/>
        <v>69</v>
      </c>
      <c r="AL196" s="7">
        <f t="shared" si="26"/>
        <v>31</v>
      </c>
      <c r="AM196" s="13"/>
      <c r="AN196" s="11" t="s">
        <v>71</v>
      </c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1" t="s">
        <v>71</v>
      </c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22" t="s">
        <v>1391</v>
      </c>
      <c r="CS196" s="20">
        <v>6</v>
      </c>
      <c r="CT196" s="20">
        <v>354468606</v>
      </c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</row>
    <row r="197" spans="1:108" s="10" customFormat="1" ht="24.75" hidden="1" x14ac:dyDescent="0.2">
      <c r="A197" s="3">
        <v>193</v>
      </c>
      <c r="B197" s="3" t="s">
        <v>1448</v>
      </c>
      <c r="C197" s="17" t="s">
        <v>84</v>
      </c>
      <c r="D197" s="17" t="s">
        <v>1138</v>
      </c>
      <c r="E197" s="17" t="s">
        <v>1139</v>
      </c>
      <c r="F197" s="17" t="s">
        <v>407</v>
      </c>
      <c r="G197" s="11" t="s">
        <v>71</v>
      </c>
      <c r="H197" s="17"/>
      <c r="I197" s="11" t="s">
        <v>71</v>
      </c>
      <c r="L197" s="17" t="s">
        <v>1211</v>
      </c>
      <c r="P197" s="18" t="s">
        <v>1240</v>
      </c>
      <c r="Q197" s="18" t="s">
        <v>1286</v>
      </c>
      <c r="R197" s="17" t="s">
        <v>1333</v>
      </c>
      <c r="S197" s="14">
        <v>27</v>
      </c>
      <c r="T197" s="3" t="s">
        <v>76</v>
      </c>
      <c r="U197" s="17" t="s">
        <v>77</v>
      </c>
      <c r="X197" s="7">
        <f t="shared" si="27"/>
        <v>12</v>
      </c>
      <c r="Y197" s="7">
        <f t="shared" si="28"/>
        <v>8</v>
      </c>
      <c r="Z197" s="7">
        <f t="shared" si="29"/>
        <v>20</v>
      </c>
      <c r="AA197" s="37">
        <v>1</v>
      </c>
      <c r="AB197" s="33">
        <f t="shared" si="31"/>
        <v>8</v>
      </c>
      <c r="AC197" s="8">
        <f t="shared" si="32"/>
        <v>0.5</v>
      </c>
      <c r="AD197" s="7">
        <f t="shared" si="33"/>
        <v>6</v>
      </c>
      <c r="AE197" s="35">
        <v>1</v>
      </c>
      <c r="AF197" s="10">
        <v>8</v>
      </c>
      <c r="AG197" s="38">
        <v>3</v>
      </c>
      <c r="AH197" s="32">
        <v>2</v>
      </c>
      <c r="AI197" s="37">
        <f t="shared" si="36"/>
        <v>2.1666666666666665</v>
      </c>
      <c r="AJ197" s="37">
        <f t="shared" si="37"/>
        <v>2</v>
      </c>
      <c r="AK197" s="7">
        <f t="shared" si="38"/>
        <v>26</v>
      </c>
      <c r="AL197" s="7">
        <f t="shared" ref="AL197:AL245" si="39">AK197-Z197</f>
        <v>6</v>
      </c>
      <c r="AQ197" s="11" t="s">
        <v>71</v>
      </c>
      <c r="CD197" s="11" t="s">
        <v>71</v>
      </c>
      <c r="CR197" s="23" t="s">
        <v>1412</v>
      </c>
    </row>
    <row r="198" spans="1:108" ht="24.75" x14ac:dyDescent="0.2">
      <c r="A198" s="3">
        <v>194</v>
      </c>
      <c r="B198" s="3" t="s">
        <v>1448</v>
      </c>
      <c r="C198" s="3" t="s">
        <v>87</v>
      </c>
      <c r="D198" s="17" t="s">
        <v>1140</v>
      </c>
      <c r="E198" s="17" t="s">
        <v>1141</v>
      </c>
      <c r="F198" s="17" t="s">
        <v>397</v>
      </c>
      <c r="G198" s="11" t="s">
        <v>71</v>
      </c>
      <c r="H198" s="17"/>
      <c r="I198" s="11" t="s">
        <v>71</v>
      </c>
      <c r="J198" s="10"/>
      <c r="K198" s="10"/>
      <c r="L198" s="17" t="s">
        <v>1212</v>
      </c>
      <c r="M198" s="10"/>
      <c r="N198" s="10"/>
      <c r="O198" s="10"/>
      <c r="P198" s="18" t="s">
        <v>1241</v>
      </c>
      <c r="Q198" s="18" t="s">
        <v>1287</v>
      </c>
      <c r="R198" s="17" t="s">
        <v>1334</v>
      </c>
      <c r="S198" s="14">
        <v>32</v>
      </c>
      <c r="T198" s="3" t="s">
        <v>75</v>
      </c>
      <c r="U198" s="17" t="s">
        <v>77</v>
      </c>
      <c r="X198" s="7">
        <f t="shared" ref="X198:X245" si="40">(1405-LEFT(L198,4)-1)*12</f>
        <v>24</v>
      </c>
      <c r="Y198" s="7">
        <f t="shared" ref="Y198:Y245" si="41">17-RIGHT(LEFT(L198,7),2)</f>
        <v>16</v>
      </c>
      <c r="Z198" s="7">
        <f t="shared" ref="Z198:Z245" si="42">Y198+X198</f>
        <v>40</v>
      </c>
      <c r="AA198" s="37">
        <f t="shared" ref="AA198:AA243" si="43">Z198/12</f>
        <v>3.3333333333333335</v>
      </c>
      <c r="AB198" s="33">
        <f t="shared" ref="AB198:AB245" si="44">MOD(Z198,12)</f>
        <v>4</v>
      </c>
      <c r="AC198" s="8">
        <f t="shared" ref="AC198:AC214" si="45">AL198/12</f>
        <v>0.83333333333333337</v>
      </c>
      <c r="AD198" s="7">
        <f t="shared" ref="AD198:AD214" si="46">MOD(AL198,12)</f>
        <v>10</v>
      </c>
      <c r="AE198" s="35">
        <v>3.3333333333333335</v>
      </c>
      <c r="AF198" s="10">
        <v>4</v>
      </c>
      <c r="AG198" s="38">
        <v>3</v>
      </c>
      <c r="AH198" s="32">
        <v>2</v>
      </c>
      <c r="AI198" s="37">
        <f t="shared" ref="AI198:AI245" si="47">AK198/12</f>
        <v>4.166666666666667</v>
      </c>
      <c r="AJ198" s="37">
        <f t="shared" ref="AJ198:AJ245" si="48">MOD(AK198,12)</f>
        <v>2</v>
      </c>
      <c r="AK198" s="7">
        <f t="shared" ref="AK198:AK245" si="49">AE198*12+AF198+6</f>
        <v>50</v>
      </c>
      <c r="AL198" s="7">
        <f t="shared" si="39"/>
        <v>10</v>
      </c>
      <c r="AQ198" s="11" t="s">
        <v>71</v>
      </c>
      <c r="BD198" s="11" t="s">
        <v>71</v>
      </c>
      <c r="CR198" s="22" t="s">
        <v>1381</v>
      </c>
    </row>
    <row r="199" spans="1:108" ht="24.75" hidden="1" x14ac:dyDescent="0.2">
      <c r="A199" s="3">
        <v>195</v>
      </c>
      <c r="B199" s="3" t="s">
        <v>1448</v>
      </c>
      <c r="C199" s="17" t="s">
        <v>1135</v>
      </c>
      <c r="D199" s="17" t="s">
        <v>179</v>
      </c>
      <c r="E199" s="17" t="s">
        <v>1142</v>
      </c>
      <c r="F199" s="17" t="s">
        <v>107</v>
      </c>
      <c r="G199" s="11" t="s">
        <v>71</v>
      </c>
      <c r="H199" s="17"/>
      <c r="J199" s="11" t="s">
        <v>71</v>
      </c>
      <c r="K199" s="10"/>
      <c r="L199" s="17" t="s">
        <v>1213</v>
      </c>
      <c r="M199" s="10"/>
      <c r="N199" s="10"/>
      <c r="O199" s="10"/>
      <c r="P199" s="18" t="s">
        <v>1242</v>
      </c>
      <c r="Q199" s="18" t="s">
        <v>1288</v>
      </c>
      <c r="R199" s="17" t="s">
        <v>1335</v>
      </c>
      <c r="S199" s="14">
        <v>51</v>
      </c>
      <c r="T199" s="3" t="s">
        <v>1036</v>
      </c>
      <c r="U199" s="17"/>
      <c r="X199" s="7">
        <f t="shared" si="40"/>
        <v>12</v>
      </c>
      <c r="Y199" s="7">
        <f t="shared" si="41"/>
        <v>10</v>
      </c>
      <c r="Z199" s="7">
        <f t="shared" si="42"/>
        <v>22</v>
      </c>
      <c r="AA199" s="37">
        <v>1</v>
      </c>
      <c r="AB199" s="33">
        <f t="shared" si="44"/>
        <v>10</v>
      </c>
      <c r="AC199" s="8">
        <f t="shared" si="45"/>
        <v>0.5</v>
      </c>
      <c r="AD199" s="7">
        <f t="shared" si="46"/>
        <v>6</v>
      </c>
      <c r="AE199" s="35">
        <v>1</v>
      </c>
      <c r="AF199" s="10">
        <v>10</v>
      </c>
      <c r="AG199" s="38">
        <v>3</v>
      </c>
      <c r="AH199" s="32">
        <v>4</v>
      </c>
      <c r="AI199" s="37">
        <f t="shared" si="47"/>
        <v>2.3333333333333335</v>
      </c>
      <c r="AJ199" s="37">
        <f t="shared" si="48"/>
        <v>4</v>
      </c>
      <c r="AK199" s="7">
        <f t="shared" si="49"/>
        <v>28</v>
      </c>
      <c r="AL199" s="7">
        <f t="shared" si="39"/>
        <v>6</v>
      </c>
      <c r="AQ199" s="11" t="s">
        <v>71</v>
      </c>
      <c r="BD199" s="11" t="s">
        <v>71</v>
      </c>
      <c r="CR199" s="22" t="s">
        <v>1382</v>
      </c>
    </row>
    <row r="200" spans="1:108" ht="24.75" hidden="1" x14ac:dyDescent="0.2">
      <c r="A200" s="3">
        <v>196</v>
      </c>
      <c r="B200" s="3" t="s">
        <v>1448</v>
      </c>
      <c r="C200" s="17" t="s">
        <v>84</v>
      </c>
      <c r="D200" s="17" t="s">
        <v>1143</v>
      </c>
      <c r="E200" s="17" t="s">
        <v>1144</v>
      </c>
      <c r="F200" s="17" t="s">
        <v>1145</v>
      </c>
      <c r="G200" s="11" t="s">
        <v>71</v>
      </c>
      <c r="H200" s="17"/>
      <c r="I200" s="11" t="s">
        <v>71</v>
      </c>
      <c r="J200" s="10"/>
      <c r="K200" s="10"/>
      <c r="L200" s="17" t="s">
        <v>1214</v>
      </c>
      <c r="M200" s="10"/>
      <c r="N200" s="10"/>
      <c r="O200" s="10"/>
      <c r="P200" s="18" t="s">
        <v>1243</v>
      </c>
      <c r="Q200" s="18" t="s">
        <v>1289</v>
      </c>
      <c r="R200" s="17" t="s">
        <v>1336</v>
      </c>
      <c r="S200" s="14">
        <v>24</v>
      </c>
      <c r="T200" s="3" t="s">
        <v>1020</v>
      </c>
      <c r="U200" s="17" t="s">
        <v>1396</v>
      </c>
      <c r="X200" s="7">
        <f t="shared" si="40"/>
        <v>0</v>
      </c>
      <c r="Y200" s="7">
        <f t="shared" si="41"/>
        <v>11</v>
      </c>
      <c r="Z200" s="7">
        <f t="shared" si="42"/>
        <v>11</v>
      </c>
      <c r="AA200" s="37">
        <v>0</v>
      </c>
      <c r="AB200" s="33">
        <f t="shared" si="44"/>
        <v>11</v>
      </c>
      <c r="AC200" s="8">
        <f t="shared" si="45"/>
        <v>0.5</v>
      </c>
      <c r="AD200" s="7">
        <f t="shared" si="46"/>
        <v>6</v>
      </c>
      <c r="AE200" s="35">
        <v>0</v>
      </c>
      <c r="AF200" s="10">
        <v>11</v>
      </c>
      <c r="AG200" s="38">
        <v>2</v>
      </c>
      <c r="AH200" s="32">
        <v>5</v>
      </c>
      <c r="AI200" s="37">
        <f t="shared" si="47"/>
        <v>1.4166666666666667</v>
      </c>
      <c r="AJ200" s="37">
        <f t="shared" si="48"/>
        <v>5</v>
      </c>
      <c r="AK200" s="7">
        <f t="shared" si="49"/>
        <v>17</v>
      </c>
      <c r="AL200" s="7">
        <f t="shared" si="39"/>
        <v>6</v>
      </c>
      <c r="AQ200" s="11" t="s">
        <v>71</v>
      </c>
      <c r="CD200" s="11" t="s">
        <v>71</v>
      </c>
      <c r="CR200" s="22" t="s">
        <v>73</v>
      </c>
    </row>
    <row r="201" spans="1:108" ht="24.75" hidden="1" x14ac:dyDescent="0.2">
      <c r="A201" s="3">
        <v>197</v>
      </c>
      <c r="B201" s="3" t="s">
        <v>1448</v>
      </c>
      <c r="C201" s="17" t="s">
        <v>84</v>
      </c>
      <c r="D201" s="17" t="s">
        <v>1146</v>
      </c>
      <c r="E201" s="17" t="s">
        <v>1147</v>
      </c>
      <c r="F201" s="17" t="s">
        <v>1148</v>
      </c>
      <c r="G201" s="11" t="s">
        <v>71</v>
      </c>
      <c r="H201" s="17"/>
      <c r="I201" s="11" t="s">
        <v>71</v>
      </c>
      <c r="J201" s="10"/>
      <c r="K201" s="10"/>
      <c r="L201" s="17" t="s">
        <v>1215</v>
      </c>
      <c r="M201" s="10"/>
      <c r="N201" s="10"/>
      <c r="O201" s="10"/>
      <c r="P201" s="18" t="s">
        <v>1244</v>
      </c>
      <c r="Q201" s="18" t="s">
        <v>1290</v>
      </c>
      <c r="R201" s="17" t="s">
        <v>1337</v>
      </c>
      <c r="S201" s="14">
        <v>34</v>
      </c>
      <c r="T201" s="3" t="s">
        <v>75</v>
      </c>
      <c r="U201" s="17" t="s">
        <v>1397</v>
      </c>
      <c r="X201" s="7">
        <f t="shared" si="40"/>
        <v>0</v>
      </c>
      <c r="Y201" s="7">
        <f t="shared" si="41"/>
        <v>8</v>
      </c>
      <c r="Z201" s="7">
        <f t="shared" si="42"/>
        <v>8</v>
      </c>
      <c r="AA201" s="37">
        <v>0</v>
      </c>
      <c r="AB201" s="33">
        <f t="shared" si="44"/>
        <v>8</v>
      </c>
      <c r="AC201" s="8">
        <f t="shared" si="45"/>
        <v>0.5</v>
      </c>
      <c r="AD201" s="7">
        <f t="shared" si="46"/>
        <v>6</v>
      </c>
      <c r="AE201" s="35">
        <v>0</v>
      </c>
      <c r="AF201" s="10">
        <v>8</v>
      </c>
      <c r="AG201" s="38">
        <v>2</v>
      </c>
      <c r="AH201" s="32">
        <v>2</v>
      </c>
      <c r="AI201" s="37">
        <f t="shared" si="47"/>
        <v>1.1666666666666667</v>
      </c>
      <c r="AJ201" s="37">
        <f t="shared" si="48"/>
        <v>2</v>
      </c>
      <c r="AK201" s="7">
        <f t="shared" si="49"/>
        <v>14</v>
      </c>
      <c r="AL201" s="7">
        <f t="shared" si="39"/>
        <v>6</v>
      </c>
      <c r="AQ201" s="11" t="s">
        <v>71</v>
      </c>
      <c r="CH201" s="11" t="s">
        <v>71</v>
      </c>
      <c r="CR201" s="22" t="s">
        <v>1380</v>
      </c>
    </row>
    <row r="202" spans="1:108" ht="24.75" hidden="1" x14ac:dyDescent="0.2">
      <c r="A202" s="3">
        <v>198</v>
      </c>
      <c r="B202" s="3" t="s">
        <v>1448</v>
      </c>
      <c r="C202" s="17" t="s">
        <v>84</v>
      </c>
      <c r="D202" s="17" t="s">
        <v>1149</v>
      </c>
      <c r="E202" s="17" t="s">
        <v>1150</v>
      </c>
      <c r="F202" s="17" t="s">
        <v>375</v>
      </c>
      <c r="G202" s="11" t="s">
        <v>71</v>
      </c>
      <c r="H202" s="17"/>
      <c r="I202" s="11" t="s">
        <v>71</v>
      </c>
      <c r="J202" s="10"/>
      <c r="K202" s="10"/>
      <c r="L202" s="17" t="s">
        <v>1215</v>
      </c>
      <c r="M202" s="10"/>
      <c r="N202" s="10"/>
      <c r="O202" s="10"/>
      <c r="P202" s="18" t="s">
        <v>1245</v>
      </c>
      <c r="Q202" s="18" t="s">
        <v>1291</v>
      </c>
      <c r="R202" s="17" t="s">
        <v>1338</v>
      </c>
      <c r="S202" s="14">
        <v>28</v>
      </c>
      <c r="T202" s="3" t="s">
        <v>75</v>
      </c>
      <c r="U202" s="17" t="s">
        <v>1398</v>
      </c>
      <c r="X202" s="7">
        <f t="shared" si="40"/>
        <v>0</v>
      </c>
      <c r="Y202" s="7">
        <f t="shared" si="41"/>
        <v>8</v>
      </c>
      <c r="Z202" s="7">
        <f t="shared" si="42"/>
        <v>8</v>
      </c>
      <c r="AA202" s="37">
        <v>0</v>
      </c>
      <c r="AB202" s="33">
        <f t="shared" si="44"/>
        <v>8</v>
      </c>
      <c r="AC202" s="8">
        <f t="shared" si="45"/>
        <v>0.5</v>
      </c>
      <c r="AD202" s="7">
        <f t="shared" si="46"/>
        <v>6</v>
      </c>
      <c r="AE202" s="35">
        <v>0</v>
      </c>
      <c r="AF202" s="10">
        <v>8</v>
      </c>
      <c r="AG202" s="38">
        <v>2</v>
      </c>
      <c r="AH202" s="32">
        <v>2</v>
      </c>
      <c r="AI202" s="37">
        <f t="shared" si="47"/>
        <v>1.1666666666666667</v>
      </c>
      <c r="AJ202" s="37">
        <f t="shared" si="48"/>
        <v>2</v>
      </c>
      <c r="AK202" s="7">
        <f t="shared" si="49"/>
        <v>14</v>
      </c>
      <c r="AL202" s="7">
        <f t="shared" si="39"/>
        <v>6</v>
      </c>
      <c r="AQ202" s="11" t="s">
        <v>71</v>
      </c>
      <c r="CH202" s="11" t="s">
        <v>71</v>
      </c>
      <c r="CR202" s="22" t="s">
        <v>1380</v>
      </c>
    </row>
    <row r="203" spans="1:108" ht="24.75" hidden="1" x14ac:dyDescent="0.2">
      <c r="A203" s="3">
        <v>199</v>
      </c>
      <c r="B203" s="3" t="s">
        <v>1448</v>
      </c>
      <c r="C203" s="17" t="s">
        <v>84</v>
      </c>
      <c r="D203" s="17" t="s">
        <v>369</v>
      </c>
      <c r="E203" s="17" t="s">
        <v>1151</v>
      </c>
      <c r="F203" s="17" t="s">
        <v>414</v>
      </c>
      <c r="G203" s="11" t="s">
        <v>71</v>
      </c>
      <c r="H203" s="17"/>
      <c r="I203" s="11" t="s">
        <v>71</v>
      </c>
      <c r="J203" s="10"/>
      <c r="K203" s="10"/>
      <c r="L203" s="17" t="s">
        <v>1215</v>
      </c>
      <c r="M203" s="10"/>
      <c r="N203" s="10"/>
      <c r="O203" s="10"/>
      <c r="P203" s="18" t="s">
        <v>1246</v>
      </c>
      <c r="Q203" s="18" t="s">
        <v>1292</v>
      </c>
      <c r="R203" s="17" t="s">
        <v>1339</v>
      </c>
      <c r="S203" s="14">
        <v>33</v>
      </c>
      <c r="T203" s="3" t="s">
        <v>1024</v>
      </c>
      <c r="U203" s="17" t="s">
        <v>1045</v>
      </c>
      <c r="X203" s="7">
        <f t="shared" si="40"/>
        <v>0</v>
      </c>
      <c r="Y203" s="7">
        <f t="shared" si="41"/>
        <v>8</v>
      </c>
      <c r="Z203" s="7">
        <f t="shared" si="42"/>
        <v>8</v>
      </c>
      <c r="AA203" s="37">
        <v>0</v>
      </c>
      <c r="AB203" s="33">
        <f t="shared" si="44"/>
        <v>8</v>
      </c>
      <c r="AC203" s="8">
        <f t="shared" si="45"/>
        <v>0.5</v>
      </c>
      <c r="AD203" s="7">
        <f t="shared" si="46"/>
        <v>6</v>
      </c>
      <c r="AE203" s="35">
        <v>0</v>
      </c>
      <c r="AF203" s="10">
        <v>8</v>
      </c>
      <c r="AG203" s="38">
        <v>2</v>
      </c>
      <c r="AH203" s="32">
        <v>2</v>
      </c>
      <c r="AI203" s="37">
        <f t="shared" si="47"/>
        <v>1.1666666666666667</v>
      </c>
      <c r="AJ203" s="37">
        <f t="shared" si="48"/>
        <v>2</v>
      </c>
      <c r="AK203" s="7">
        <f t="shared" si="49"/>
        <v>14</v>
      </c>
      <c r="AL203" s="7">
        <f t="shared" si="39"/>
        <v>6</v>
      </c>
      <c r="AQ203" s="11" t="s">
        <v>71</v>
      </c>
      <c r="CH203" s="11" t="s">
        <v>71</v>
      </c>
      <c r="CR203" s="22" t="s">
        <v>1380</v>
      </c>
    </row>
    <row r="204" spans="1:108" ht="24.75" hidden="1" x14ac:dyDescent="0.2">
      <c r="A204" s="3">
        <v>200</v>
      </c>
      <c r="B204" s="3" t="s">
        <v>1448</v>
      </c>
      <c r="C204" s="17" t="s">
        <v>83</v>
      </c>
      <c r="D204" s="17" t="s">
        <v>197</v>
      </c>
      <c r="E204" s="17" t="s">
        <v>1152</v>
      </c>
      <c r="F204" s="17" t="s">
        <v>1153</v>
      </c>
      <c r="G204" s="11" t="s">
        <v>71</v>
      </c>
      <c r="H204" s="17"/>
      <c r="J204" s="11" t="s">
        <v>71</v>
      </c>
      <c r="K204" s="10"/>
      <c r="L204" s="17" t="s">
        <v>1216</v>
      </c>
      <c r="M204" s="10"/>
      <c r="N204" s="10"/>
      <c r="O204" s="10"/>
      <c r="P204" s="18" t="s">
        <v>1247</v>
      </c>
      <c r="Q204" s="18" t="s">
        <v>1293</v>
      </c>
      <c r="R204" s="17" t="s">
        <v>1340</v>
      </c>
      <c r="S204" s="14">
        <v>38</v>
      </c>
      <c r="T204" s="3" t="s">
        <v>1024</v>
      </c>
      <c r="U204" s="17" t="s">
        <v>1101</v>
      </c>
      <c r="X204" s="7">
        <f t="shared" si="40"/>
        <v>24</v>
      </c>
      <c r="Y204" s="7">
        <f t="shared" si="41"/>
        <v>14</v>
      </c>
      <c r="Z204" s="7">
        <f t="shared" si="42"/>
        <v>38</v>
      </c>
      <c r="AA204" s="37">
        <f t="shared" si="43"/>
        <v>3.1666666666666665</v>
      </c>
      <c r="AB204" s="33">
        <f t="shared" si="44"/>
        <v>2</v>
      </c>
      <c r="AC204" s="8">
        <f t="shared" si="45"/>
        <v>0.66666666666666663</v>
      </c>
      <c r="AD204" s="7">
        <f t="shared" si="46"/>
        <v>8</v>
      </c>
      <c r="AE204" s="35">
        <v>3.1666666666666665</v>
      </c>
      <c r="AF204" s="10">
        <v>2</v>
      </c>
      <c r="AG204" s="38">
        <f t="shared" ref="AG204:AG243" si="50">AA204+AC204</f>
        <v>3.833333333333333</v>
      </c>
      <c r="AH204" s="32">
        <f t="shared" ref="AH204:AH243" si="51">AB204+AD204</f>
        <v>10</v>
      </c>
      <c r="AI204" s="37">
        <f t="shared" si="47"/>
        <v>3.8333333333333335</v>
      </c>
      <c r="AJ204" s="37">
        <f t="shared" si="48"/>
        <v>10</v>
      </c>
      <c r="AK204" s="7">
        <f t="shared" si="49"/>
        <v>46</v>
      </c>
      <c r="AL204" s="7">
        <f t="shared" si="39"/>
        <v>8</v>
      </c>
      <c r="AQ204" s="11" t="s">
        <v>71</v>
      </c>
      <c r="CD204" s="11" t="s">
        <v>71</v>
      </c>
      <c r="CR204" s="22" t="s">
        <v>1383</v>
      </c>
    </row>
    <row r="205" spans="1:108" ht="24.75" x14ac:dyDescent="0.2">
      <c r="A205" s="3">
        <v>201</v>
      </c>
      <c r="B205" s="3" t="s">
        <v>1448</v>
      </c>
      <c r="C205" s="3" t="s">
        <v>87</v>
      </c>
      <c r="D205" s="17" t="s">
        <v>426</v>
      </c>
      <c r="E205" s="17" t="s">
        <v>1154</v>
      </c>
      <c r="F205" s="17" t="s">
        <v>1155</v>
      </c>
      <c r="G205" s="11" t="s">
        <v>71</v>
      </c>
      <c r="H205" s="17"/>
      <c r="I205" s="11" t="s">
        <v>71</v>
      </c>
      <c r="J205" s="10"/>
      <c r="K205" s="10"/>
      <c r="L205" s="17" t="s">
        <v>1217</v>
      </c>
      <c r="M205" s="10"/>
      <c r="N205" s="10"/>
      <c r="O205" s="10"/>
      <c r="P205" s="18" t="s">
        <v>1248</v>
      </c>
      <c r="Q205" s="18" t="s">
        <v>1294</v>
      </c>
      <c r="R205" s="17" t="s">
        <v>1341</v>
      </c>
      <c r="S205" s="14">
        <v>29</v>
      </c>
      <c r="T205" s="3" t="s">
        <v>75</v>
      </c>
      <c r="U205" s="17" t="s">
        <v>1062</v>
      </c>
      <c r="X205" s="7">
        <f t="shared" si="40"/>
        <v>12</v>
      </c>
      <c r="Y205" s="7">
        <f t="shared" si="41"/>
        <v>7</v>
      </c>
      <c r="Z205" s="7">
        <f t="shared" si="42"/>
        <v>19</v>
      </c>
      <c r="AA205" s="37">
        <v>1</v>
      </c>
      <c r="AB205" s="33">
        <f t="shared" si="44"/>
        <v>7</v>
      </c>
      <c r="AC205" s="8">
        <f t="shared" si="45"/>
        <v>0.5</v>
      </c>
      <c r="AD205" s="7">
        <f t="shared" si="46"/>
        <v>6</v>
      </c>
      <c r="AE205" s="35">
        <v>1</v>
      </c>
      <c r="AF205" s="10">
        <v>7</v>
      </c>
      <c r="AG205" s="38">
        <v>3</v>
      </c>
      <c r="AH205" s="32">
        <v>1</v>
      </c>
      <c r="AI205" s="37">
        <f t="shared" si="47"/>
        <v>2.0833333333333335</v>
      </c>
      <c r="AJ205" s="37">
        <f t="shared" si="48"/>
        <v>1</v>
      </c>
      <c r="AK205" s="7">
        <f t="shared" si="49"/>
        <v>25</v>
      </c>
      <c r="AL205" s="7">
        <f t="shared" si="39"/>
        <v>6</v>
      </c>
      <c r="AQ205" s="11" t="s">
        <v>71</v>
      </c>
      <c r="BD205" s="11" t="s">
        <v>71</v>
      </c>
      <c r="CR205" s="22" t="s">
        <v>1384</v>
      </c>
    </row>
    <row r="206" spans="1:108" ht="24.75" hidden="1" x14ac:dyDescent="0.2">
      <c r="A206" s="3">
        <v>202</v>
      </c>
      <c r="B206" s="3" t="s">
        <v>1448</v>
      </c>
      <c r="C206" s="17" t="s">
        <v>94</v>
      </c>
      <c r="D206" s="17" t="s">
        <v>1156</v>
      </c>
      <c r="E206" s="17" t="s">
        <v>1157</v>
      </c>
      <c r="F206" s="17" t="s">
        <v>278</v>
      </c>
      <c r="G206" s="11" t="s">
        <v>71</v>
      </c>
      <c r="H206" s="17"/>
      <c r="J206" s="10"/>
      <c r="K206" s="10"/>
      <c r="L206" s="17" t="s">
        <v>1218</v>
      </c>
      <c r="M206" s="10"/>
      <c r="N206" s="10"/>
      <c r="O206" s="10"/>
      <c r="P206" s="18" t="s">
        <v>1249</v>
      </c>
      <c r="Q206" s="18" t="s">
        <v>1295</v>
      </c>
      <c r="R206" s="17" t="s">
        <v>1342</v>
      </c>
      <c r="S206" s="14">
        <v>36</v>
      </c>
      <c r="T206" s="3" t="s">
        <v>76</v>
      </c>
      <c r="U206" s="17" t="s">
        <v>1045</v>
      </c>
      <c r="X206" s="7">
        <f t="shared" si="40"/>
        <v>0</v>
      </c>
      <c r="Y206" s="7">
        <f t="shared" si="41"/>
        <v>5</v>
      </c>
      <c r="Z206" s="7">
        <f t="shared" si="42"/>
        <v>5</v>
      </c>
      <c r="AA206" s="37">
        <f t="shared" si="43"/>
        <v>0.41666666666666669</v>
      </c>
      <c r="AB206" s="33">
        <f t="shared" si="44"/>
        <v>5</v>
      </c>
      <c r="AC206" s="8">
        <f t="shared" si="45"/>
        <v>0.91666666666666663</v>
      </c>
      <c r="AD206" s="7">
        <f t="shared" si="46"/>
        <v>11</v>
      </c>
      <c r="AE206" s="35">
        <v>0.41666666666666669</v>
      </c>
      <c r="AF206" s="10">
        <v>5</v>
      </c>
      <c r="AG206" s="38">
        <v>2</v>
      </c>
      <c r="AH206" s="32">
        <v>4</v>
      </c>
      <c r="AI206" s="37">
        <f t="shared" si="47"/>
        <v>1.3333333333333333</v>
      </c>
      <c r="AJ206" s="37">
        <f t="shared" si="48"/>
        <v>4</v>
      </c>
      <c r="AK206" s="7">
        <f t="shared" si="49"/>
        <v>16</v>
      </c>
      <c r="AL206" s="7">
        <f t="shared" si="39"/>
        <v>11</v>
      </c>
      <c r="AQ206" s="11" t="s">
        <v>71</v>
      </c>
      <c r="CH206" s="11" t="s">
        <v>71</v>
      </c>
      <c r="CR206" s="22" t="s">
        <v>1380</v>
      </c>
    </row>
    <row r="207" spans="1:108" ht="24.75" hidden="1" x14ac:dyDescent="0.2">
      <c r="A207" s="3">
        <v>203</v>
      </c>
      <c r="B207" s="3" t="s">
        <v>1448</v>
      </c>
      <c r="C207" s="17" t="s">
        <v>83</v>
      </c>
      <c r="D207" s="17" t="s">
        <v>261</v>
      </c>
      <c r="E207" s="17" t="s">
        <v>1158</v>
      </c>
      <c r="F207" s="17" t="s">
        <v>1159</v>
      </c>
      <c r="G207" s="11" t="s">
        <v>71</v>
      </c>
      <c r="H207" s="17"/>
      <c r="J207" s="11" t="s">
        <v>71</v>
      </c>
      <c r="K207" s="10"/>
      <c r="L207" s="17" t="s">
        <v>1219</v>
      </c>
      <c r="M207" s="10"/>
      <c r="N207" s="10"/>
      <c r="O207" s="10"/>
      <c r="P207" s="18" t="s">
        <v>1250</v>
      </c>
      <c r="Q207" s="18" t="s">
        <v>1296</v>
      </c>
      <c r="R207" s="17" t="s">
        <v>1343</v>
      </c>
      <c r="S207" s="14">
        <v>31</v>
      </c>
      <c r="T207" s="3" t="s">
        <v>75</v>
      </c>
      <c r="U207" s="17" t="s">
        <v>1399</v>
      </c>
      <c r="X207" s="7">
        <f t="shared" si="40"/>
        <v>0</v>
      </c>
      <c r="Y207" s="7">
        <f t="shared" si="41"/>
        <v>8</v>
      </c>
      <c r="Z207" s="7">
        <f t="shared" si="42"/>
        <v>8</v>
      </c>
      <c r="AA207" s="37">
        <v>0</v>
      </c>
      <c r="AB207" s="33">
        <f t="shared" si="44"/>
        <v>8</v>
      </c>
      <c r="AC207" s="8">
        <f t="shared" si="45"/>
        <v>0.5</v>
      </c>
      <c r="AD207" s="7">
        <f t="shared" si="46"/>
        <v>6</v>
      </c>
      <c r="AE207" s="35">
        <v>0</v>
      </c>
      <c r="AF207" s="10">
        <v>8</v>
      </c>
      <c r="AG207" s="38">
        <v>2</v>
      </c>
      <c r="AH207" s="32">
        <v>2</v>
      </c>
      <c r="AI207" s="37">
        <f t="shared" si="47"/>
        <v>1.1666666666666667</v>
      </c>
      <c r="AJ207" s="37">
        <f t="shared" si="48"/>
        <v>2</v>
      </c>
      <c r="AK207" s="7">
        <f t="shared" si="49"/>
        <v>14</v>
      </c>
      <c r="AL207" s="7">
        <f t="shared" si="39"/>
        <v>6</v>
      </c>
      <c r="AQ207" s="11" t="s">
        <v>71</v>
      </c>
      <c r="CD207" s="11" t="s">
        <v>71</v>
      </c>
      <c r="CR207" s="22" t="s">
        <v>1386</v>
      </c>
    </row>
    <row r="208" spans="1:108" ht="24.75" hidden="1" x14ac:dyDescent="0.2">
      <c r="A208" s="3">
        <v>204</v>
      </c>
      <c r="B208" s="3" t="s">
        <v>1448</v>
      </c>
      <c r="C208" s="17" t="s">
        <v>83</v>
      </c>
      <c r="D208" s="17" t="s">
        <v>107</v>
      </c>
      <c r="E208" s="17" t="s">
        <v>1160</v>
      </c>
      <c r="F208" s="17" t="s">
        <v>97</v>
      </c>
      <c r="G208" s="11" t="s">
        <v>71</v>
      </c>
      <c r="H208" s="17"/>
      <c r="J208" s="11" t="s">
        <v>71</v>
      </c>
      <c r="K208" s="10"/>
      <c r="L208" s="17" t="s">
        <v>1216</v>
      </c>
      <c r="M208" s="10"/>
      <c r="N208" s="10"/>
      <c r="O208" s="10"/>
      <c r="P208" s="18" t="s">
        <v>1251</v>
      </c>
      <c r="Q208" s="18" t="s">
        <v>1297</v>
      </c>
      <c r="R208" s="17" t="s">
        <v>1344</v>
      </c>
      <c r="S208" s="14">
        <v>28</v>
      </c>
      <c r="T208" s="3" t="s">
        <v>76</v>
      </c>
      <c r="U208" s="17" t="s">
        <v>1400</v>
      </c>
      <c r="X208" s="7">
        <f t="shared" si="40"/>
        <v>24</v>
      </c>
      <c r="Y208" s="7">
        <f t="shared" si="41"/>
        <v>14</v>
      </c>
      <c r="Z208" s="7">
        <f t="shared" si="42"/>
        <v>38</v>
      </c>
      <c r="AA208" s="37">
        <f t="shared" si="43"/>
        <v>3.1666666666666665</v>
      </c>
      <c r="AB208" s="33">
        <f t="shared" si="44"/>
        <v>2</v>
      </c>
      <c r="AC208" s="8">
        <f t="shared" si="45"/>
        <v>0.66666666666666663</v>
      </c>
      <c r="AD208" s="7">
        <f t="shared" si="46"/>
        <v>8</v>
      </c>
      <c r="AE208" s="35">
        <v>3.1666666666666665</v>
      </c>
      <c r="AF208" s="10">
        <v>2</v>
      </c>
      <c r="AG208" s="38">
        <f t="shared" si="50"/>
        <v>3.833333333333333</v>
      </c>
      <c r="AH208" s="32">
        <f t="shared" si="51"/>
        <v>10</v>
      </c>
      <c r="AI208" s="37">
        <f t="shared" si="47"/>
        <v>3.8333333333333335</v>
      </c>
      <c r="AJ208" s="37">
        <f t="shared" si="48"/>
        <v>10</v>
      </c>
      <c r="AK208" s="7">
        <f t="shared" si="49"/>
        <v>46</v>
      </c>
      <c r="AL208" s="7">
        <f t="shared" si="39"/>
        <v>8</v>
      </c>
      <c r="AQ208" s="11" t="s">
        <v>71</v>
      </c>
      <c r="CD208" s="11" t="s">
        <v>71</v>
      </c>
      <c r="CR208" s="22" t="s">
        <v>17</v>
      </c>
    </row>
    <row r="209" spans="1:96" ht="24.75" x14ac:dyDescent="0.2">
      <c r="A209" s="3">
        <v>205</v>
      </c>
      <c r="B209" s="3" t="s">
        <v>1448</v>
      </c>
      <c r="C209" s="3" t="s">
        <v>87</v>
      </c>
      <c r="D209" s="17" t="s">
        <v>107</v>
      </c>
      <c r="E209" s="17" t="s">
        <v>1161</v>
      </c>
      <c r="F209" s="17" t="s">
        <v>100</v>
      </c>
      <c r="G209" s="11" t="s">
        <v>71</v>
      </c>
      <c r="H209" s="17"/>
      <c r="I209" s="11" t="s">
        <v>71</v>
      </c>
      <c r="J209" s="10"/>
      <c r="K209" s="10"/>
      <c r="L209" s="17" t="s">
        <v>1220</v>
      </c>
      <c r="M209" s="10"/>
      <c r="N209" s="10"/>
      <c r="O209" s="10"/>
      <c r="P209" s="18" t="s">
        <v>1252</v>
      </c>
      <c r="Q209" s="18" t="s">
        <v>1298</v>
      </c>
      <c r="R209" s="17" t="s">
        <v>1345</v>
      </c>
      <c r="S209" s="14">
        <v>30</v>
      </c>
      <c r="T209" s="3" t="s">
        <v>1024</v>
      </c>
      <c r="U209" s="17" t="s">
        <v>1452</v>
      </c>
      <c r="X209" s="7">
        <f t="shared" si="40"/>
        <v>0</v>
      </c>
      <c r="Y209" s="7">
        <f t="shared" si="41"/>
        <v>5</v>
      </c>
      <c r="Z209" s="7">
        <f t="shared" si="42"/>
        <v>5</v>
      </c>
      <c r="AA209" s="37">
        <f t="shared" si="43"/>
        <v>0.41666666666666669</v>
      </c>
      <c r="AB209" s="33">
        <f t="shared" si="44"/>
        <v>5</v>
      </c>
      <c r="AC209" s="8">
        <f t="shared" si="45"/>
        <v>0.91666666666666663</v>
      </c>
      <c r="AD209" s="7">
        <f t="shared" si="46"/>
        <v>11</v>
      </c>
      <c r="AE209" s="35">
        <v>0.41666666666666669</v>
      </c>
      <c r="AF209" s="10">
        <v>5</v>
      </c>
      <c r="AG209" s="38">
        <v>2</v>
      </c>
      <c r="AH209" s="32">
        <v>4</v>
      </c>
      <c r="AI209" s="37">
        <f t="shared" si="47"/>
        <v>1.3333333333333333</v>
      </c>
      <c r="AJ209" s="37">
        <f t="shared" si="48"/>
        <v>4</v>
      </c>
      <c r="AK209" s="7">
        <f t="shared" si="49"/>
        <v>16</v>
      </c>
      <c r="AL209" s="7">
        <f t="shared" si="39"/>
        <v>11</v>
      </c>
      <c r="AQ209" s="11" t="s">
        <v>71</v>
      </c>
      <c r="CD209" s="11" t="s">
        <v>71</v>
      </c>
      <c r="CR209" s="22" t="s">
        <v>1383</v>
      </c>
    </row>
    <row r="210" spans="1:96" ht="24.75" hidden="1" x14ac:dyDescent="0.2">
      <c r="A210" s="3">
        <v>206</v>
      </c>
      <c r="B210" s="3" t="s">
        <v>1448</v>
      </c>
      <c r="C210" s="17" t="s">
        <v>84</v>
      </c>
      <c r="D210" s="17" t="s">
        <v>97</v>
      </c>
      <c r="E210" s="17" t="s">
        <v>198</v>
      </c>
      <c r="F210" s="17" t="s">
        <v>327</v>
      </c>
      <c r="G210" s="11" t="s">
        <v>71</v>
      </c>
      <c r="H210" s="17"/>
      <c r="J210" s="11" t="s">
        <v>71</v>
      </c>
      <c r="K210" s="10"/>
      <c r="L210" s="17" t="s">
        <v>1214</v>
      </c>
      <c r="M210" s="10"/>
      <c r="N210" s="10"/>
      <c r="O210" s="10"/>
      <c r="P210" s="18" t="s">
        <v>1253</v>
      </c>
      <c r="Q210" s="18" t="s">
        <v>1299</v>
      </c>
      <c r="R210" s="17" t="s">
        <v>1346</v>
      </c>
      <c r="S210" s="14">
        <v>43</v>
      </c>
      <c r="T210" s="3" t="s">
        <v>1394</v>
      </c>
      <c r="U210" s="17"/>
      <c r="X210" s="7">
        <f t="shared" si="40"/>
        <v>0</v>
      </c>
      <c r="Y210" s="7">
        <f t="shared" si="41"/>
        <v>11</v>
      </c>
      <c r="Z210" s="7">
        <f t="shared" si="42"/>
        <v>11</v>
      </c>
      <c r="AA210" s="37">
        <v>0</v>
      </c>
      <c r="AB210" s="33">
        <f t="shared" si="44"/>
        <v>11</v>
      </c>
      <c r="AC210" s="8">
        <f t="shared" si="45"/>
        <v>0.5</v>
      </c>
      <c r="AD210" s="7">
        <f t="shared" si="46"/>
        <v>6</v>
      </c>
      <c r="AE210" s="35">
        <v>0</v>
      </c>
      <c r="AF210" s="10">
        <v>11</v>
      </c>
      <c r="AG210" s="38">
        <v>2</v>
      </c>
      <c r="AH210" s="32">
        <v>5</v>
      </c>
      <c r="AI210" s="37">
        <f t="shared" si="47"/>
        <v>1.4166666666666667</v>
      </c>
      <c r="AJ210" s="37">
        <f t="shared" si="48"/>
        <v>5</v>
      </c>
      <c r="AK210" s="7">
        <f t="shared" si="49"/>
        <v>17</v>
      </c>
      <c r="AL210" s="7">
        <f t="shared" si="39"/>
        <v>6</v>
      </c>
      <c r="AQ210" s="11" t="s">
        <v>71</v>
      </c>
      <c r="BD210" s="11" t="s">
        <v>71</v>
      </c>
      <c r="CR210" s="22" t="s">
        <v>1385</v>
      </c>
    </row>
    <row r="211" spans="1:96" ht="24.75" x14ac:dyDescent="0.2">
      <c r="A211" s="3">
        <v>207</v>
      </c>
      <c r="B211" s="3" t="s">
        <v>1448</v>
      </c>
      <c r="C211" s="3" t="s">
        <v>87</v>
      </c>
      <c r="D211" s="17" t="s">
        <v>127</v>
      </c>
      <c r="E211" s="17" t="s">
        <v>206</v>
      </c>
      <c r="F211" s="17" t="s">
        <v>146</v>
      </c>
      <c r="G211" s="11" t="s">
        <v>71</v>
      </c>
      <c r="H211" s="17"/>
      <c r="I211" s="11" t="s">
        <v>71</v>
      </c>
      <c r="J211" s="10"/>
      <c r="K211" s="10"/>
      <c r="L211" s="17" t="s">
        <v>1221</v>
      </c>
      <c r="M211" s="10"/>
      <c r="N211" s="10"/>
      <c r="O211" s="10"/>
      <c r="P211" s="18" t="s">
        <v>1254</v>
      </c>
      <c r="Q211" s="18">
        <v>9030199874</v>
      </c>
      <c r="R211" s="17" t="s">
        <v>1347</v>
      </c>
      <c r="S211" s="14">
        <v>26</v>
      </c>
      <c r="T211" s="3" t="s">
        <v>76</v>
      </c>
      <c r="U211" s="17" t="s">
        <v>1401</v>
      </c>
      <c r="X211" s="7">
        <f t="shared" si="40"/>
        <v>12</v>
      </c>
      <c r="Y211" s="7">
        <f t="shared" si="41"/>
        <v>8</v>
      </c>
      <c r="Z211" s="7">
        <f t="shared" si="42"/>
        <v>20</v>
      </c>
      <c r="AA211" s="37">
        <v>1</v>
      </c>
      <c r="AB211" s="33">
        <f t="shared" si="44"/>
        <v>8</v>
      </c>
      <c r="AC211" s="8">
        <f t="shared" si="45"/>
        <v>0.5</v>
      </c>
      <c r="AD211" s="7">
        <f t="shared" si="46"/>
        <v>6</v>
      </c>
      <c r="AE211" s="35">
        <v>1</v>
      </c>
      <c r="AF211" s="10">
        <v>8</v>
      </c>
      <c r="AG211" s="38">
        <v>3</v>
      </c>
      <c r="AH211" s="32">
        <v>2</v>
      </c>
      <c r="AI211" s="37">
        <f t="shared" si="47"/>
        <v>2.1666666666666665</v>
      </c>
      <c r="AJ211" s="37">
        <f t="shared" si="48"/>
        <v>2</v>
      </c>
      <c r="AK211" s="7">
        <f t="shared" si="49"/>
        <v>26</v>
      </c>
      <c r="AL211" s="7">
        <f t="shared" si="39"/>
        <v>6</v>
      </c>
      <c r="AQ211" s="11" t="s">
        <v>71</v>
      </c>
      <c r="CD211" s="11" t="s">
        <v>71</v>
      </c>
      <c r="CR211" s="22" t="s">
        <v>1391</v>
      </c>
    </row>
    <row r="212" spans="1:96" ht="24.75" hidden="1" x14ac:dyDescent="0.2">
      <c r="A212" s="3">
        <v>208</v>
      </c>
      <c r="B212" s="3" t="s">
        <v>1448</v>
      </c>
      <c r="C212" s="17" t="s">
        <v>84</v>
      </c>
      <c r="D212" s="17" t="s">
        <v>140</v>
      </c>
      <c r="E212" s="17" t="s">
        <v>1162</v>
      </c>
      <c r="F212" s="17" t="s">
        <v>359</v>
      </c>
      <c r="G212" s="11" t="s">
        <v>71</v>
      </c>
      <c r="H212" s="17"/>
      <c r="J212" s="11" t="s">
        <v>71</v>
      </c>
      <c r="K212" s="10"/>
      <c r="L212" s="17" t="s">
        <v>1222</v>
      </c>
      <c r="M212" s="10"/>
      <c r="N212" s="10"/>
      <c r="O212" s="10"/>
      <c r="P212" s="18" t="s">
        <v>1255</v>
      </c>
      <c r="Q212" s="18" t="s">
        <v>1300</v>
      </c>
      <c r="R212" s="17" t="s">
        <v>1348</v>
      </c>
      <c r="S212" s="14">
        <v>37</v>
      </c>
      <c r="T212" s="3" t="s">
        <v>75</v>
      </c>
      <c r="U212" s="17" t="s">
        <v>1402</v>
      </c>
      <c r="X212" s="7">
        <f t="shared" si="40"/>
        <v>12</v>
      </c>
      <c r="Y212" s="7">
        <f t="shared" si="41"/>
        <v>8</v>
      </c>
      <c r="Z212" s="7">
        <f t="shared" si="42"/>
        <v>20</v>
      </c>
      <c r="AA212" s="37">
        <v>1</v>
      </c>
      <c r="AB212" s="33">
        <f t="shared" si="44"/>
        <v>8</v>
      </c>
      <c r="AC212" s="8">
        <f t="shared" si="45"/>
        <v>0.5</v>
      </c>
      <c r="AD212" s="7">
        <f t="shared" si="46"/>
        <v>6</v>
      </c>
      <c r="AE212" s="35">
        <v>1</v>
      </c>
      <c r="AF212" s="10">
        <v>8</v>
      </c>
      <c r="AG212" s="38">
        <v>3</v>
      </c>
      <c r="AH212" s="32">
        <v>2</v>
      </c>
      <c r="AI212" s="37">
        <f t="shared" si="47"/>
        <v>2.1666666666666665</v>
      </c>
      <c r="AJ212" s="37">
        <f t="shared" si="48"/>
        <v>2</v>
      </c>
      <c r="AK212" s="7">
        <f t="shared" si="49"/>
        <v>26</v>
      </c>
      <c r="AL212" s="7">
        <f t="shared" si="39"/>
        <v>6</v>
      </c>
      <c r="AQ212" s="11" t="s">
        <v>71</v>
      </c>
      <c r="CD212" s="11" t="s">
        <v>71</v>
      </c>
      <c r="CR212" s="22" t="s">
        <v>1413</v>
      </c>
    </row>
    <row r="213" spans="1:96" ht="24.75" x14ac:dyDescent="0.2">
      <c r="A213" s="3">
        <v>209</v>
      </c>
      <c r="B213" s="3" t="s">
        <v>1448</v>
      </c>
      <c r="C213" s="3" t="s">
        <v>87</v>
      </c>
      <c r="D213" s="17" t="s">
        <v>125</v>
      </c>
      <c r="E213" s="17" t="s">
        <v>223</v>
      </c>
      <c r="F213" s="17" t="s">
        <v>107</v>
      </c>
      <c r="G213" s="11" t="s">
        <v>71</v>
      </c>
      <c r="H213" s="17"/>
      <c r="I213" s="11" t="s">
        <v>71</v>
      </c>
      <c r="J213" s="10"/>
      <c r="K213" s="10"/>
      <c r="L213" s="17" t="s">
        <v>1223</v>
      </c>
      <c r="M213" s="10"/>
      <c r="N213" s="10"/>
      <c r="O213" s="10"/>
      <c r="P213" s="18">
        <v>6500142470</v>
      </c>
      <c r="Q213" s="18" t="s">
        <v>1301</v>
      </c>
      <c r="R213" s="17" t="s">
        <v>1349</v>
      </c>
      <c r="S213" s="14">
        <v>24</v>
      </c>
      <c r="T213" s="3" t="s">
        <v>1024</v>
      </c>
      <c r="U213" s="17" t="s">
        <v>1128</v>
      </c>
      <c r="X213" s="7">
        <f t="shared" si="40"/>
        <v>0</v>
      </c>
      <c r="Y213" s="7">
        <f t="shared" si="41"/>
        <v>8</v>
      </c>
      <c r="Z213" s="7">
        <f t="shared" si="42"/>
        <v>8</v>
      </c>
      <c r="AA213" s="37">
        <v>0</v>
      </c>
      <c r="AB213" s="33">
        <f t="shared" si="44"/>
        <v>8</v>
      </c>
      <c r="AC213" s="8">
        <f t="shared" si="45"/>
        <v>0.5</v>
      </c>
      <c r="AD213" s="7">
        <f t="shared" si="46"/>
        <v>6</v>
      </c>
      <c r="AE213" s="35">
        <v>0</v>
      </c>
      <c r="AF213" s="10">
        <v>8</v>
      </c>
      <c r="AG213" s="38">
        <v>2</v>
      </c>
      <c r="AH213" s="32">
        <v>2</v>
      </c>
      <c r="AI213" s="37">
        <f t="shared" si="47"/>
        <v>1.1666666666666667</v>
      </c>
      <c r="AJ213" s="37">
        <f t="shared" si="48"/>
        <v>2</v>
      </c>
      <c r="AK213" s="7">
        <f t="shared" si="49"/>
        <v>14</v>
      </c>
      <c r="AL213" s="7">
        <f t="shared" si="39"/>
        <v>6</v>
      </c>
      <c r="AQ213" s="11" t="s">
        <v>71</v>
      </c>
      <c r="CD213" s="11" t="s">
        <v>71</v>
      </c>
      <c r="CR213" s="22" t="s">
        <v>73</v>
      </c>
    </row>
    <row r="214" spans="1:96" ht="24.75" hidden="1" x14ac:dyDescent="0.2">
      <c r="A214" s="3">
        <v>210</v>
      </c>
      <c r="B214" s="3" t="s">
        <v>1448</v>
      </c>
      <c r="C214" s="17" t="s">
        <v>1136</v>
      </c>
      <c r="D214" s="17" t="s">
        <v>391</v>
      </c>
      <c r="E214" s="17" t="s">
        <v>1163</v>
      </c>
      <c r="F214" s="17" t="s">
        <v>97</v>
      </c>
      <c r="G214" s="11" t="s">
        <v>71</v>
      </c>
      <c r="H214" s="17"/>
      <c r="J214" s="11" t="s">
        <v>71</v>
      </c>
      <c r="K214" s="10"/>
      <c r="L214" s="17" t="s">
        <v>1224</v>
      </c>
      <c r="M214" s="10"/>
      <c r="N214" s="10"/>
      <c r="O214" s="10"/>
      <c r="P214" s="18" t="s">
        <v>1256</v>
      </c>
      <c r="Q214" s="18" t="s">
        <v>1302</v>
      </c>
      <c r="R214" s="17" t="s">
        <v>1350</v>
      </c>
      <c r="S214" s="14">
        <v>42</v>
      </c>
      <c r="T214" s="3" t="s">
        <v>1024</v>
      </c>
      <c r="U214" s="17" t="s">
        <v>1403</v>
      </c>
      <c r="X214" s="7">
        <f t="shared" si="40"/>
        <v>0</v>
      </c>
      <c r="Y214" s="7">
        <f t="shared" si="41"/>
        <v>13</v>
      </c>
      <c r="Z214" s="7">
        <f t="shared" si="42"/>
        <v>13</v>
      </c>
      <c r="AA214" s="37">
        <f t="shared" si="43"/>
        <v>1.0833333333333333</v>
      </c>
      <c r="AB214" s="33">
        <f t="shared" si="44"/>
        <v>1</v>
      </c>
      <c r="AC214" s="8">
        <f t="shared" si="45"/>
        <v>0.58333333333333337</v>
      </c>
      <c r="AD214" s="7">
        <f t="shared" si="46"/>
        <v>7</v>
      </c>
      <c r="AE214" s="35">
        <v>1.0833333333333333</v>
      </c>
      <c r="AF214" s="10">
        <v>1</v>
      </c>
      <c r="AG214" s="38">
        <f t="shared" si="50"/>
        <v>1.6666666666666665</v>
      </c>
      <c r="AH214" s="32">
        <f t="shared" si="51"/>
        <v>8</v>
      </c>
      <c r="AI214" s="37">
        <f t="shared" si="47"/>
        <v>1.6666666666666667</v>
      </c>
      <c r="AJ214" s="37">
        <f t="shared" si="48"/>
        <v>8</v>
      </c>
      <c r="AK214" s="7">
        <f t="shared" si="49"/>
        <v>20</v>
      </c>
      <c r="AL214" s="7">
        <f t="shared" si="39"/>
        <v>7</v>
      </c>
      <c r="AQ214" s="11" t="s">
        <v>71</v>
      </c>
      <c r="BD214" s="11" t="s">
        <v>71</v>
      </c>
      <c r="CR214" s="22" t="s">
        <v>1385</v>
      </c>
    </row>
    <row r="215" spans="1:96" ht="24.75" hidden="1" x14ac:dyDescent="0.2">
      <c r="A215" s="3">
        <v>211</v>
      </c>
      <c r="B215" s="3" t="s">
        <v>1448</v>
      </c>
      <c r="C215" s="17" t="s">
        <v>83</v>
      </c>
      <c r="D215" s="17" t="s">
        <v>97</v>
      </c>
      <c r="E215" s="17" t="s">
        <v>1164</v>
      </c>
      <c r="F215" s="17" t="s">
        <v>204</v>
      </c>
      <c r="G215" s="11" t="s">
        <v>71</v>
      </c>
      <c r="H215" s="17"/>
      <c r="J215" s="11" t="s">
        <v>71</v>
      </c>
      <c r="K215" s="10"/>
      <c r="L215" s="17" t="s">
        <v>1225</v>
      </c>
      <c r="M215" s="10"/>
      <c r="N215" s="10"/>
      <c r="O215" s="10"/>
      <c r="P215" s="18" t="s">
        <v>1257</v>
      </c>
      <c r="Q215" s="18" t="s">
        <v>1303</v>
      </c>
      <c r="R215" s="17" t="s">
        <v>1351</v>
      </c>
      <c r="S215" s="14">
        <v>34</v>
      </c>
      <c r="T215" s="3" t="s">
        <v>1026</v>
      </c>
      <c r="U215" s="17"/>
      <c r="X215" s="7">
        <f t="shared" si="40"/>
        <v>24</v>
      </c>
      <c r="Y215" s="7">
        <f t="shared" si="41"/>
        <v>5</v>
      </c>
      <c r="Z215" s="7">
        <f t="shared" si="42"/>
        <v>29</v>
      </c>
      <c r="AA215" s="37">
        <v>2</v>
      </c>
      <c r="AB215" s="33">
        <f t="shared" si="44"/>
        <v>5</v>
      </c>
      <c r="AC215" s="8">
        <v>0</v>
      </c>
      <c r="AD215" s="7">
        <v>0</v>
      </c>
      <c r="AE215" s="36">
        <v>2</v>
      </c>
      <c r="AF215" s="36">
        <v>5</v>
      </c>
      <c r="AG215" s="38">
        <f t="shared" si="50"/>
        <v>2</v>
      </c>
      <c r="AH215" s="32">
        <f t="shared" si="51"/>
        <v>5</v>
      </c>
      <c r="AI215" s="37">
        <f t="shared" si="47"/>
        <v>2.9166666666666665</v>
      </c>
      <c r="AJ215" s="37">
        <f t="shared" si="48"/>
        <v>11</v>
      </c>
      <c r="AK215" s="7">
        <f t="shared" si="49"/>
        <v>35</v>
      </c>
      <c r="AL215" s="7">
        <f t="shared" si="39"/>
        <v>6</v>
      </c>
      <c r="AQ215" s="11" t="s">
        <v>71</v>
      </c>
      <c r="CD215" s="11" t="s">
        <v>71</v>
      </c>
      <c r="CR215" s="22" t="s">
        <v>73</v>
      </c>
    </row>
    <row r="216" spans="1:96" ht="24.75" x14ac:dyDescent="0.2">
      <c r="A216" s="3">
        <v>212</v>
      </c>
      <c r="B216" s="3" t="s">
        <v>1448</v>
      </c>
      <c r="C216" s="3" t="s">
        <v>87</v>
      </c>
      <c r="D216" s="17" t="s">
        <v>1165</v>
      </c>
      <c r="E216" s="17" t="s">
        <v>1166</v>
      </c>
      <c r="F216" s="17" t="s">
        <v>1167</v>
      </c>
      <c r="G216" s="11" t="s">
        <v>71</v>
      </c>
      <c r="H216" s="17"/>
      <c r="J216" s="11" t="s">
        <v>71</v>
      </c>
      <c r="K216" s="10"/>
      <c r="L216" s="17" t="s">
        <v>1226</v>
      </c>
      <c r="M216" s="10"/>
      <c r="N216" s="10"/>
      <c r="O216" s="10"/>
      <c r="P216" s="18" t="s">
        <v>1258</v>
      </c>
      <c r="Q216" s="18" t="s">
        <v>1304</v>
      </c>
      <c r="R216" s="17" t="s">
        <v>1352</v>
      </c>
      <c r="S216" s="14">
        <v>41</v>
      </c>
      <c r="T216" s="3" t="s">
        <v>1451</v>
      </c>
      <c r="U216" s="17"/>
      <c r="X216" s="7">
        <f t="shared" si="40"/>
        <v>0</v>
      </c>
      <c r="Y216" s="7">
        <f t="shared" si="41"/>
        <v>5</v>
      </c>
      <c r="Z216" s="7">
        <f t="shared" si="42"/>
        <v>5</v>
      </c>
      <c r="AA216" s="37">
        <f t="shared" si="43"/>
        <v>0.41666666666666669</v>
      </c>
      <c r="AB216" s="33">
        <f t="shared" si="44"/>
        <v>5</v>
      </c>
      <c r="AC216" s="8">
        <f t="shared" ref="AC216:AC242" si="52">AL216/12</f>
        <v>0.91666666666666663</v>
      </c>
      <c r="AD216" s="7">
        <f t="shared" ref="AD216:AD242" si="53">MOD(AL216,12)</f>
        <v>11</v>
      </c>
      <c r="AE216" s="35">
        <v>0.41666666666666669</v>
      </c>
      <c r="AF216" s="10">
        <v>5</v>
      </c>
      <c r="AG216" s="38">
        <v>2</v>
      </c>
      <c r="AH216" s="32">
        <v>4</v>
      </c>
      <c r="AI216" s="37">
        <f t="shared" si="47"/>
        <v>1.3333333333333333</v>
      </c>
      <c r="AJ216" s="37">
        <f t="shared" si="48"/>
        <v>4</v>
      </c>
      <c r="AK216" s="7">
        <f t="shared" si="49"/>
        <v>16</v>
      </c>
      <c r="AL216" s="7">
        <f t="shared" si="39"/>
        <v>11</v>
      </c>
      <c r="AQ216" s="11" t="s">
        <v>71</v>
      </c>
      <c r="CD216" s="11" t="s">
        <v>71</v>
      </c>
      <c r="CR216" s="22" t="s">
        <v>1387</v>
      </c>
    </row>
    <row r="217" spans="1:96" ht="24.75" x14ac:dyDescent="0.2">
      <c r="A217" s="3">
        <v>213</v>
      </c>
      <c r="B217" s="3" t="s">
        <v>1448</v>
      </c>
      <c r="C217" s="3" t="s">
        <v>87</v>
      </c>
      <c r="D217" s="17" t="s">
        <v>127</v>
      </c>
      <c r="E217" s="17" t="s">
        <v>1168</v>
      </c>
      <c r="F217" s="17" t="s">
        <v>156</v>
      </c>
      <c r="G217" s="11" t="s">
        <v>71</v>
      </c>
      <c r="H217" s="17"/>
      <c r="J217" s="11" t="s">
        <v>71</v>
      </c>
      <c r="K217" s="10"/>
      <c r="L217" s="17" t="s">
        <v>1227</v>
      </c>
      <c r="M217" s="10"/>
      <c r="N217" s="10"/>
      <c r="O217" s="10"/>
      <c r="P217" s="18" t="s">
        <v>1259</v>
      </c>
      <c r="Q217" s="18" t="s">
        <v>1305</v>
      </c>
      <c r="R217" s="17" t="s">
        <v>1353</v>
      </c>
      <c r="S217" s="14">
        <v>34</v>
      </c>
      <c r="T217" s="3" t="s">
        <v>1024</v>
      </c>
      <c r="U217" s="17" t="s">
        <v>1048</v>
      </c>
      <c r="X217" s="7">
        <f t="shared" si="40"/>
        <v>12</v>
      </c>
      <c r="Y217" s="7">
        <f t="shared" si="41"/>
        <v>15</v>
      </c>
      <c r="Z217" s="7">
        <f t="shared" si="42"/>
        <v>27</v>
      </c>
      <c r="AA217" s="37">
        <f t="shared" si="43"/>
        <v>2.25</v>
      </c>
      <c r="AB217" s="33">
        <f t="shared" si="44"/>
        <v>3</v>
      </c>
      <c r="AC217" s="8">
        <f t="shared" si="52"/>
        <v>0.75</v>
      </c>
      <c r="AD217" s="7">
        <f t="shared" si="53"/>
        <v>9</v>
      </c>
      <c r="AE217" s="35">
        <v>2.25</v>
      </c>
      <c r="AF217" s="10">
        <v>3</v>
      </c>
      <c r="AG217" s="38">
        <v>4</v>
      </c>
      <c r="AH217" s="32">
        <v>0</v>
      </c>
      <c r="AI217" s="37">
        <f t="shared" si="47"/>
        <v>3</v>
      </c>
      <c r="AJ217" s="37">
        <f t="shared" si="48"/>
        <v>0</v>
      </c>
      <c r="AK217" s="7">
        <f t="shared" si="49"/>
        <v>36</v>
      </c>
      <c r="AL217" s="7">
        <f t="shared" si="39"/>
        <v>9</v>
      </c>
      <c r="AQ217" s="11" t="s">
        <v>71</v>
      </c>
      <c r="CD217" s="11" t="s">
        <v>71</v>
      </c>
      <c r="CR217" s="22" t="s">
        <v>1383</v>
      </c>
    </row>
    <row r="218" spans="1:96" ht="24.75" hidden="1" x14ac:dyDescent="0.2">
      <c r="A218" s="3">
        <v>214</v>
      </c>
      <c r="B218" s="3" t="s">
        <v>1448</v>
      </c>
      <c r="C218" s="17" t="s">
        <v>84</v>
      </c>
      <c r="D218" s="17" t="s">
        <v>1169</v>
      </c>
      <c r="E218" s="17" t="s">
        <v>1170</v>
      </c>
      <c r="F218" s="17" t="s">
        <v>1171</v>
      </c>
      <c r="G218" s="11" t="s">
        <v>71</v>
      </c>
      <c r="H218" s="17"/>
      <c r="J218" s="11" t="s">
        <v>71</v>
      </c>
      <c r="K218" s="10"/>
      <c r="L218" s="17" t="s">
        <v>1215</v>
      </c>
      <c r="M218" s="10"/>
      <c r="N218" s="10"/>
      <c r="O218" s="10"/>
      <c r="P218" s="18" t="s">
        <v>1260</v>
      </c>
      <c r="Q218" s="18" t="s">
        <v>1306</v>
      </c>
      <c r="R218" s="17" t="s">
        <v>1354</v>
      </c>
      <c r="S218" s="14">
        <v>35</v>
      </c>
      <c r="T218" s="3" t="s">
        <v>75</v>
      </c>
      <c r="U218" s="17" t="s">
        <v>1404</v>
      </c>
      <c r="X218" s="7">
        <f t="shared" si="40"/>
        <v>0</v>
      </c>
      <c r="Y218" s="7">
        <f t="shared" si="41"/>
        <v>8</v>
      </c>
      <c r="Z218" s="7">
        <f t="shared" si="42"/>
        <v>8</v>
      </c>
      <c r="AA218" s="37">
        <v>0</v>
      </c>
      <c r="AB218" s="33">
        <f t="shared" si="44"/>
        <v>8</v>
      </c>
      <c r="AC218" s="8">
        <f t="shared" si="52"/>
        <v>0.5</v>
      </c>
      <c r="AD218" s="7">
        <f t="shared" si="53"/>
        <v>6</v>
      </c>
      <c r="AE218" s="35">
        <v>0</v>
      </c>
      <c r="AF218" s="10">
        <v>8</v>
      </c>
      <c r="AG218" s="38">
        <v>2</v>
      </c>
      <c r="AH218" s="32">
        <v>2</v>
      </c>
      <c r="AI218" s="37">
        <f t="shared" si="47"/>
        <v>1.1666666666666667</v>
      </c>
      <c r="AJ218" s="37">
        <f t="shared" si="48"/>
        <v>2</v>
      </c>
      <c r="AK218" s="7">
        <f t="shared" si="49"/>
        <v>14</v>
      </c>
      <c r="AL218" s="7">
        <f t="shared" si="39"/>
        <v>6</v>
      </c>
      <c r="AQ218" s="11" t="s">
        <v>71</v>
      </c>
      <c r="CH218" s="11" t="s">
        <v>71</v>
      </c>
      <c r="CR218" s="22" t="s">
        <v>1380</v>
      </c>
    </row>
    <row r="219" spans="1:96" ht="24.75" hidden="1" x14ac:dyDescent="0.2">
      <c r="A219" s="3">
        <v>215</v>
      </c>
      <c r="B219" s="3" t="s">
        <v>1448</v>
      </c>
      <c r="C219" s="17" t="s">
        <v>86</v>
      </c>
      <c r="D219" s="17" t="s">
        <v>369</v>
      </c>
      <c r="E219" s="17" t="s">
        <v>1172</v>
      </c>
      <c r="F219" s="17" t="s">
        <v>1173</v>
      </c>
      <c r="G219" s="11" t="s">
        <v>71</v>
      </c>
      <c r="H219" s="17"/>
      <c r="J219" s="11" t="s">
        <v>71</v>
      </c>
      <c r="K219" s="10"/>
      <c r="L219" s="17" t="s">
        <v>1228</v>
      </c>
      <c r="M219" s="10"/>
      <c r="N219" s="10"/>
      <c r="O219" s="10"/>
      <c r="P219" s="18" t="s">
        <v>1261</v>
      </c>
      <c r="Q219" s="18" t="s">
        <v>1307</v>
      </c>
      <c r="R219" s="17" t="s">
        <v>1355</v>
      </c>
      <c r="S219" s="14">
        <v>41</v>
      </c>
      <c r="T219" s="3" t="s">
        <v>1395</v>
      </c>
      <c r="U219" s="19" t="s">
        <v>1405</v>
      </c>
      <c r="X219" s="7">
        <f t="shared" si="40"/>
        <v>0</v>
      </c>
      <c r="Y219" s="7">
        <f t="shared" si="41"/>
        <v>6</v>
      </c>
      <c r="Z219" s="7">
        <f t="shared" si="42"/>
        <v>6</v>
      </c>
      <c r="AA219" s="37">
        <v>0</v>
      </c>
      <c r="AB219" s="33">
        <f t="shared" si="44"/>
        <v>6</v>
      </c>
      <c r="AC219" s="8">
        <f t="shared" si="52"/>
        <v>0.5</v>
      </c>
      <c r="AD219" s="7">
        <f t="shared" si="53"/>
        <v>6</v>
      </c>
      <c r="AE219" s="35">
        <v>0</v>
      </c>
      <c r="AF219" s="10">
        <v>6</v>
      </c>
      <c r="AG219" s="38">
        <v>2</v>
      </c>
      <c r="AH219" s="32">
        <v>2</v>
      </c>
      <c r="AI219" s="37">
        <f t="shared" si="47"/>
        <v>1</v>
      </c>
      <c r="AJ219" s="37">
        <f t="shared" si="48"/>
        <v>0</v>
      </c>
      <c r="AK219" s="7">
        <f t="shared" si="49"/>
        <v>12</v>
      </c>
      <c r="AL219" s="7">
        <f t="shared" si="39"/>
        <v>6</v>
      </c>
      <c r="AQ219" s="11" t="s">
        <v>71</v>
      </c>
      <c r="CD219" s="11" t="s">
        <v>71</v>
      </c>
      <c r="CR219" s="22" t="s">
        <v>1388</v>
      </c>
    </row>
    <row r="220" spans="1:96" ht="24.75" hidden="1" x14ac:dyDescent="0.2">
      <c r="A220" s="3">
        <v>216</v>
      </c>
      <c r="B220" s="3" t="s">
        <v>1448</v>
      </c>
      <c r="C220" s="17" t="s">
        <v>83</v>
      </c>
      <c r="D220" s="17" t="s">
        <v>1174</v>
      </c>
      <c r="E220" s="17" t="s">
        <v>1175</v>
      </c>
      <c r="F220" s="17" t="s">
        <v>151</v>
      </c>
      <c r="G220" s="11" t="s">
        <v>71</v>
      </c>
      <c r="H220" s="17"/>
      <c r="J220" s="11" t="s">
        <v>71</v>
      </c>
      <c r="K220" s="10"/>
      <c r="L220" s="17" t="s">
        <v>1229</v>
      </c>
      <c r="M220" s="10"/>
      <c r="N220" s="10"/>
      <c r="O220" s="10"/>
      <c r="P220" s="18" t="s">
        <v>1262</v>
      </c>
      <c r="Q220" s="18" t="s">
        <v>1308</v>
      </c>
      <c r="R220" s="17" t="s">
        <v>1356</v>
      </c>
      <c r="S220" s="14">
        <v>46</v>
      </c>
      <c r="T220" s="3" t="s">
        <v>1024</v>
      </c>
      <c r="U220" s="17" t="s">
        <v>1406</v>
      </c>
      <c r="X220" s="7">
        <f t="shared" si="40"/>
        <v>24</v>
      </c>
      <c r="Y220" s="7">
        <f t="shared" si="41"/>
        <v>7</v>
      </c>
      <c r="Z220" s="7">
        <f t="shared" si="42"/>
        <v>31</v>
      </c>
      <c r="AA220" s="37">
        <v>2</v>
      </c>
      <c r="AB220" s="33">
        <f t="shared" si="44"/>
        <v>7</v>
      </c>
      <c r="AC220" s="8">
        <f t="shared" si="52"/>
        <v>0.5</v>
      </c>
      <c r="AD220" s="7">
        <f t="shared" si="53"/>
        <v>6</v>
      </c>
      <c r="AE220" s="35">
        <v>2</v>
      </c>
      <c r="AF220" s="10">
        <v>7</v>
      </c>
      <c r="AG220" s="38">
        <v>4</v>
      </c>
      <c r="AH220" s="32">
        <v>1</v>
      </c>
      <c r="AI220" s="37">
        <f t="shared" si="47"/>
        <v>3.0833333333333335</v>
      </c>
      <c r="AJ220" s="37">
        <f t="shared" si="48"/>
        <v>1</v>
      </c>
      <c r="AK220" s="7">
        <f t="shared" si="49"/>
        <v>37</v>
      </c>
      <c r="AL220" s="7">
        <f t="shared" si="39"/>
        <v>6</v>
      </c>
      <c r="AQ220" s="11" t="s">
        <v>71</v>
      </c>
      <c r="CD220" s="11" t="s">
        <v>71</v>
      </c>
      <c r="CR220" s="22" t="s">
        <v>1383</v>
      </c>
    </row>
    <row r="221" spans="1:96" ht="24.75" hidden="1" x14ac:dyDescent="0.2">
      <c r="A221" s="3">
        <v>217</v>
      </c>
      <c r="B221" s="3" t="s">
        <v>1448</v>
      </c>
      <c r="C221" s="17" t="s">
        <v>84</v>
      </c>
      <c r="D221" s="17" t="s">
        <v>1176</v>
      </c>
      <c r="E221" s="17" t="s">
        <v>1177</v>
      </c>
      <c r="F221" s="17" t="s">
        <v>181</v>
      </c>
      <c r="G221" s="11" t="s">
        <v>71</v>
      </c>
      <c r="H221" s="17"/>
      <c r="J221" s="11" t="s">
        <v>71</v>
      </c>
      <c r="K221" s="10"/>
      <c r="L221" s="17" t="s">
        <v>1215</v>
      </c>
      <c r="M221" s="10"/>
      <c r="N221" s="10"/>
      <c r="O221" s="10"/>
      <c r="P221" s="18" t="s">
        <v>1263</v>
      </c>
      <c r="Q221" s="18" t="s">
        <v>1309</v>
      </c>
      <c r="R221" s="17" t="s">
        <v>1357</v>
      </c>
      <c r="S221" s="14">
        <v>31</v>
      </c>
      <c r="T221" s="3" t="s">
        <v>1024</v>
      </c>
      <c r="U221" s="17" t="s">
        <v>1407</v>
      </c>
      <c r="X221" s="7">
        <f t="shared" si="40"/>
        <v>0</v>
      </c>
      <c r="Y221" s="7">
        <f t="shared" si="41"/>
        <v>8</v>
      </c>
      <c r="Z221" s="7">
        <f t="shared" si="42"/>
        <v>8</v>
      </c>
      <c r="AA221" s="37">
        <v>0</v>
      </c>
      <c r="AB221" s="33">
        <f t="shared" si="44"/>
        <v>8</v>
      </c>
      <c r="AC221" s="8">
        <f t="shared" si="52"/>
        <v>0.5</v>
      </c>
      <c r="AD221" s="7">
        <f t="shared" si="53"/>
        <v>6</v>
      </c>
      <c r="AE221" s="35">
        <v>0</v>
      </c>
      <c r="AF221" s="10">
        <v>8</v>
      </c>
      <c r="AG221" s="38">
        <v>2</v>
      </c>
      <c r="AH221" s="32">
        <v>2</v>
      </c>
      <c r="AI221" s="37">
        <f t="shared" si="47"/>
        <v>1.1666666666666667</v>
      </c>
      <c r="AJ221" s="37">
        <f t="shared" si="48"/>
        <v>2</v>
      </c>
      <c r="AK221" s="7">
        <f t="shared" si="49"/>
        <v>14</v>
      </c>
      <c r="AL221" s="7">
        <f t="shared" si="39"/>
        <v>6</v>
      </c>
      <c r="AQ221" s="11" t="s">
        <v>71</v>
      </c>
      <c r="CH221" s="11" t="s">
        <v>71</v>
      </c>
      <c r="CR221" s="22" t="s">
        <v>1380</v>
      </c>
    </row>
    <row r="222" spans="1:96" ht="24.75" hidden="1" x14ac:dyDescent="0.2">
      <c r="A222" s="3">
        <v>218</v>
      </c>
      <c r="B222" s="3" t="s">
        <v>1448</v>
      </c>
      <c r="C222" s="17" t="s">
        <v>84</v>
      </c>
      <c r="D222" s="17" t="s">
        <v>149</v>
      </c>
      <c r="E222" s="17" t="s">
        <v>1178</v>
      </c>
      <c r="F222" s="17" t="s">
        <v>1179</v>
      </c>
      <c r="G222" s="11" t="s">
        <v>71</v>
      </c>
      <c r="H222" s="17"/>
      <c r="I222" s="11" t="s">
        <v>71</v>
      </c>
      <c r="J222" s="10"/>
      <c r="K222" s="10"/>
      <c r="L222" s="17" t="s">
        <v>1214</v>
      </c>
      <c r="M222" s="10"/>
      <c r="N222" s="10"/>
      <c r="O222" s="10"/>
      <c r="P222" s="18" t="s">
        <v>1264</v>
      </c>
      <c r="Q222" s="18" t="s">
        <v>1310</v>
      </c>
      <c r="R222" s="17" t="s">
        <v>1358</v>
      </c>
      <c r="S222" s="14">
        <v>27</v>
      </c>
      <c r="T222" s="3" t="s">
        <v>1024</v>
      </c>
      <c r="U222" s="17" t="s">
        <v>1408</v>
      </c>
      <c r="X222" s="7">
        <f t="shared" si="40"/>
        <v>0</v>
      </c>
      <c r="Y222" s="7">
        <f t="shared" si="41"/>
        <v>11</v>
      </c>
      <c r="Z222" s="7">
        <f t="shared" si="42"/>
        <v>11</v>
      </c>
      <c r="AA222" s="37">
        <v>0</v>
      </c>
      <c r="AB222" s="33">
        <f t="shared" si="44"/>
        <v>11</v>
      </c>
      <c r="AC222" s="8">
        <f t="shared" si="52"/>
        <v>0.5</v>
      </c>
      <c r="AD222" s="7">
        <f t="shared" si="53"/>
        <v>6</v>
      </c>
      <c r="AE222" s="35">
        <v>0</v>
      </c>
      <c r="AF222" s="10">
        <v>11</v>
      </c>
      <c r="AG222" s="38">
        <v>2</v>
      </c>
      <c r="AH222" s="32">
        <v>5</v>
      </c>
      <c r="AI222" s="37">
        <f t="shared" si="47"/>
        <v>1.4166666666666667</v>
      </c>
      <c r="AJ222" s="37">
        <f t="shared" si="48"/>
        <v>5</v>
      </c>
      <c r="AK222" s="7">
        <f t="shared" si="49"/>
        <v>17</v>
      </c>
      <c r="AL222" s="7">
        <f t="shared" si="39"/>
        <v>6</v>
      </c>
      <c r="AQ222" s="11" t="s">
        <v>71</v>
      </c>
      <c r="CH222" s="11" t="s">
        <v>71</v>
      </c>
      <c r="CR222" s="22" t="s">
        <v>1380</v>
      </c>
    </row>
    <row r="223" spans="1:96" ht="24.75" hidden="1" x14ac:dyDescent="0.2">
      <c r="A223" s="3">
        <v>219</v>
      </c>
      <c r="B223" s="3" t="s">
        <v>1448</v>
      </c>
      <c r="C223" s="17" t="s">
        <v>1135</v>
      </c>
      <c r="D223" s="17" t="s">
        <v>115</v>
      </c>
      <c r="E223" s="17" t="s">
        <v>1180</v>
      </c>
      <c r="F223" s="17" t="s">
        <v>359</v>
      </c>
      <c r="G223" s="11" t="s">
        <v>71</v>
      </c>
      <c r="H223" s="17"/>
      <c r="J223" s="11" t="s">
        <v>71</v>
      </c>
      <c r="K223" s="10"/>
      <c r="L223" s="17" t="s">
        <v>1230</v>
      </c>
      <c r="M223" s="10"/>
      <c r="N223" s="10"/>
      <c r="O223" s="10"/>
      <c r="P223" s="18" t="s">
        <v>1265</v>
      </c>
      <c r="Q223" s="18" t="s">
        <v>1311</v>
      </c>
      <c r="R223" s="17" t="s">
        <v>1359</v>
      </c>
      <c r="S223" s="14">
        <v>45</v>
      </c>
      <c r="T223" s="3" t="s">
        <v>1024</v>
      </c>
      <c r="U223" s="17" t="s">
        <v>1403</v>
      </c>
      <c r="X223" s="7">
        <f t="shared" si="40"/>
        <v>0</v>
      </c>
      <c r="Y223" s="7">
        <f t="shared" si="41"/>
        <v>12</v>
      </c>
      <c r="Z223" s="7">
        <f t="shared" si="42"/>
        <v>12</v>
      </c>
      <c r="AA223" s="37">
        <f t="shared" si="43"/>
        <v>1</v>
      </c>
      <c r="AB223" s="33">
        <f t="shared" si="44"/>
        <v>0</v>
      </c>
      <c r="AC223" s="8">
        <f t="shared" si="52"/>
        <v>0.5</v>
      </c>
      <c r="AD223" s="7">
        <f t="shared" si="53"/>
        <v>6</v>
      </c>
      <c r="AE223" s="35">
        <v>1</v>
      </c>
      <c r="AF223" s="10">
        <v>0</v>
      </c>
      <c r="AG223" s="38">
        <f t="shared" si="50"/>
        <v>1.5</v>
      </c>
      <c r="AH223" s="32">
        <f t="shared" si="51"/>
        <v>6</v>
      </c>
      <c r="AI223" s="37">
        <f t="shared" si="47"/>
        <v>1.5</v>
      </c>
      <c r="AJ223" s="37">
        <f t="shared" si="48"/>
        <v>6</v>
      </c>
      <c r="AK223" s="7">
        <f t="shared" si="49"/>
        <v>18</v>
      </c>
      <c r="AL223" s="7">
        <f t="shared" si="39"/>
        <v>6</v>
      </c>
      <c r="AQ223" s="11" t="s">
        <v>71</v>
      </c>
      <c r="BD223" s="11" t="s">
        <v>71</v>
      </c>
      <c r="CR223" s="22" t="s">
        <v>1389</v>
      </c>
    </row>
    <row r="224" spans="1:96" ht="24.75" x14ac:dyDescent="0.2">
      <c r="A224" s="3">
        <v>220</v>
      </c>
      <c r="B224" s="3" t="s">
        <v>1448</v>
      </c>
      <c r="C224" s="3" t="s">
        <v>87</v>
      </c>
      <c r="D224" s="17" t="s">
        <v>430</v>
      </c>
      <c r="E224" s="17" t="s">
        <v>1181</v>
      </c>
      <c r="F224" s="17" t="s">
        <v>1182</v>
      </c>
      <c r="G224" s="11" t="s">
        <v>71</v>
      </c>
      <c r="H224" s="17"/>
      <c r="J224" s="11" t="s">
        <v>71</v>
      </c>
      <c r="K224" s="10"/>
      <c r="L224" s="17" t="s">
        <v>1231</v>
      </c>
      <c r="M224" s="10"/>
      <c r="N224" s="10"/>
      <c r="O224" s="10"/>
      <c r="P224" s="18" t="s">
        <v>1266</v>
      </c>
      <c r="Q224" s="18" t="s">
        <v>1312</v>
      </c>
      <c r="R224" s="17" t="s">
        <v>1360</v>
      </c>
      <c r="S224" s="14">
        <v>50</v>
      </c>
      <c r="T224" s="3" t="s">
        <v>1024</v>
      </c>
      <c r="U224" s="17" t="s">
        <v>1390</v>
      </c>
      <c r="X224" s="7">
        <f t="shared" si="40"/>
        <v>12</v>
      </c>
      <c r="Y224" s="7">
        <f t="shared" si="41"/>
        <v>16</v>
      </c>
      <c r="Z224" s="7">
        <f t="shared" si="42"/>
        <v>28</v>
      </c>
      <c r="AA224" s="37">
        <f t="shared" si="43"/>
        <v>2.3333333333333335</v>
      </c>
      <c r="AB224" s="33">
        <f t="shared" si="44"/>
        <v>4</v>
      </c>
      <c r="AC224" s="8">
        <f t="shared" si="52"/>
        <v>0.83333333333333337</v>
      </c>
      <c r="AD224" s="7">
        <f t="shared" si="53"/>
        <v>10</v>
      </c>
      <c r="AE224" s="35">
        <v>2.3333333333333335</v>
      </c>
      <c r="AF224" s="10">
        <v>4</v>
      </c>
      <c r="AG224" s="38">
        <v>4</v>
      </c>
      <c r="AH224" s="32">
        <v>2</v>
      </c>
      <c r="AI224" s="37">
        <f t="shared" si="47"/>
        <v>3.1666666666666665</v>
      </c>
      <c r="AJ224" s="37">
        <f t="shared" si="48"/>
        <v>2</v>
      </c>
      <c r="AK224" s="7">
        <f t="shared" si="49"/>
        <v>38</v>
      </c>
      <c r="AL224" s="7">
        <f t="shared" si="39"/>
        <v>10</v>
      </c>
      <c r="AQ224" s="11" t="s">
        <v>71</v>
      </c>
      <c r="CP224" s="11" t="s">
        <v>71</v>
      </c>
      <c r="CR224" s="22" t="s">
        <v>1390</v>
      </c>
    </row>
    <row r="225" spans="1:96" ht="24.75" hidden="1" x14ac:dyDescent="0.2">
      <c r="A225" s="3">
        <v>221</v>
      </c>
      <c r="B225" s="3" t="s">
        <v>1448</v>
      </c>
      <c r="C225" s="17" t="s">
        <v>84</v>
      </c>
      <c r="D225" s="17" t="s">
        <v>1183</v>
      </c>
      <c r="E225" s="17" t="s">
        <v>1184</v>
      </c>
      <c r="F225" s="17" t="s">
        <v>375</v>
      </c>
      <c r="G225" s="11" t="s">
        <v>71</v>
      </c>
      <c r="H225" s="17"/>
      <c r="I225" s="11" t="s">
        <v>71</v>
      </c>
      <c r="J225" s="10"/>
      <c r="K225" s="10"/>
      <c r="L225" s="17" t="s">
        <v>1214</v>
      </c>
      <c r="M225" s="10"/>
      <c r="N225" s="10"/>
      <c r="O225" s="10"/>
      <c r="P225" s="18" t="s">
        <v>1267</v>
      </c>
      <c r="Q225" s="18" t="s">
        <v>1313</v>
      </c>
      <c r="R225" s="17" t="s">
        <v>1361</v>
      </c>
      <c r="S225" s="14">
        <v>23</v>
      </c>
      <c r="T225" s="3" t="s">
        <v>1024</v>
      </c>
      <c r="U225" s="17" t="s">
        <v>1403</v>
      </c>
      <c r="X225" s="7">
        <f t="shared" si="40"/>
        <v>0</v>
      </c>
      <c r="Y225" s="7">
        <f t="shared" si="41"/>
        <v>11</v>
      </c>
      <c r="Z225" s="7">
        <f t="shared" si="42"/>
        <v>11</v>
      </c>
      <c r="AA225" s="37">
        <v>0</v>
      </c>
      <c r="AB225" s="33">
        <f t="shared" si="44"/>
        <v>11</v>
      </c>
      <c r="AC225" s="8">
        <f t="shared" si="52"/>
        <v>0.5</v>
      </c>
      <c r="AD225" s="7">
        <f t="shared" si="53"/>
        <v>6</v>
      </c>
      <c r="AE225" s="35">
        <v>0</v>
      </c>
      <c r="AF225" s="10">
        <v>11</v>
      </c>
      <c r="AG225" s="38">
        <v>2</v>
      </c>
      <c r="AH225" s="32">
        <v>5</v>
      </c>
      <c r="AI225" s="37">
        <f t="shared" si="47"/>
        <v>1.4166666666666667</v>
      </c>
      <c r="AJ225" s="37">
        <f t="shared" si="48"/>
        <v>5</v>
      </c>
      <c r="AK225" s="7">
        <f t="shared" si="49"/>
        <v>17</v>
      </c>
      <c r="AL225" s="7">
        <f t="shared" si="39"/>
        <v>6</v>
      </c>
      <c r="AQ225" s="11" t="s">
        <v>71</v>
      </c>
      <c r="CH225" s="11" t="s">
        <v>71</v>
      </c>
      <c r="CR225" s="22" t="s">
        <v>1380</v>
      </c>
    </row>
    <row r="226" spans="1:96" ht="24.75" hidden="1" x14ac:dyDescent="0.2">
      <c r="A226" s="3">
        <v>222</v>
      </c>
      <c r="B226" s="3" t="s">
        <v>1448</v>
      </c>
      <c r="C226" s="17" t="s">
        <v>1137</v>
      </c>
      <c r="D226" s="17" t="s">
        <v>1185</v>
      </c>
      <c r="E226" s="17" t="s">
        <v>1186</v>
      </c>
      <c r="F226" s="17" t="s">
        <v>115</v>
      </c>
      <c r="G226" s="11" t="s">
        <v>71</v>
      </c>
      <c r="H226" s="17"/>
      <c r="J226" s="11" t="s">
        <v>71</v>
      </c>
      <c r="K226" s="10"/>
      <c r="L226" s="17" t="s">
        <v>1449</v>
      </c>
      <c r="M226" s="10"/>
      <c r="N226" s="10"/>
      <c r="O226" s="10"/>
      <c r="P226" s="18" t="s">
        <v>1268</v>
      </c>
      <c r="Q226" s="18" t="s">
        <v>1314</v>
      </c>
      <c r="R226" s="17" t="s">
        <v>1362</v>
      </c>
      <c r="S226" s="14">
        <v>47</v>
      </c>
      <c r="T226" s="3" t="s">
        <v>1036</v>
      </c>
      <c r="U226" s="17"/>
      <c r="X226" s="7">
        <f t="shared" si="40"/>
        <v>48</v>
      </c>
      <c r="Y226" s="7">
        <f t="shared" si="41"/>
        <v>16</v>
      </c>
      <c r="Z226" s="7">
        <f t="shared" si="42"/>
        <v>64</v>
      </c>
      <c r="AA226" s="37">
        <f t="shared" si="43"/>
        <v>5.333333333333333</v>
      </c>
      <c r="AB226" s="33">
        <f t="shared" si="44"/>
        <v>4</v>
      </c>
      <c r="AC226" s="8">
        <f t="shared" si="52"/>
        <v>0.83333333333333337</v>
      </c>
      <c r="AD226" s="7">
        <f t="shared" si="53"/>
        <v>10</v>
      </c>
      <c r="AE226" s="35">
        <v>5.333333333333333</v>
      </c>
      <c r="AF226" s="10">
        <v>4</v>
      </c>
      <c r="AG226" s="38">
        <v>7</v>
      </c>
      <c r="AH226" s="32">
        <v>2</v>
      </c>
      <c r="AI226" s="37">
        <f t="shared" si="47"/>
        <v>6.166666666666667</v>
      </c>
      <c r="AJ226" s="37">
        <f t="shared" si="48"/>
        <v>2</v>
      </c>
      <c r="AK226" s="7">
        <f t="shared" si="49"/>
        <v>74</v>
      </c>
      <c r="AL226" s="7">
        <f t="shared" si="39"/>
        <v>10</v>
      </c>
      <c r="AQ226" s="11" t="s">
        <v>71</v>
      </c>
      <c r="BD226" s="11" t="s">
        <v>71</v>
      </c>
      <c r="CR226" s="22" t="s">
        <v>1385</v>
      </c>
    </row>
    <row r="227" spans="1:96" ht="24.75" hidden="1" x14ac:dyDescent="0.2">
      <c r="A227" s="3">
        <v>223</v>
      </c>
      <c r="B227" s="3" t="s">
        <v>1448</v>
      </c>
      <c r="C227" s="17" t="s">
        <v>83</v>
      </c>
      <c r="D227" s="17" t="s">
        <v>1187</v>
      </c>
      <c r="E227" s="17" t="s">
        <v>1188</v>
      </c>
      <c r="F227" s="17" t="s">
        <v>1189</v>
      </c>
      <c r="G227" s="11" t="s">
        <v>71</v>
      </c>
      <c r="H227" s="17"/>
      <c r="I227" s="11" t="s">
        <v>71</v>
      </c>
      <c r="J227" s="10"/>
      <c r="K227" s="10"/>
      <c r="L227" s="17" t="s">
        <v>1226</v>
      </c>
      <c r="M227" s="10"/>
      <c r="N227" s="10"/>
      <c r="O227" s="10"/>
      <c r="P227" s="18" t="s">
        <v>1269</v>
      </c>
      <c r="Q227" s="18" t="s">
        <v>1315</v>
      </c>
      <c r="R227" s="17" t="s">
        <v>1363</v>
      </c>
      <c r="S227" s="14">
        <v>28</v>
      </c>
      <c r="T227" s="3" t="s">
        <v>1024</v>
      </c>
      <c r="U227" s="17" t="s">
        <v>1046</v>
      </c>
      <c r="X227" s="7">
        <f t="shared" si="40"/>
        <v>0</v>
      </c>
      <c r="Y227" s="7">
        <f t="shared" si="41"/>
        <v>5</v>
      </c>
      <c r="Z227" s="7">
        <f t="shared" si="42"/>
        <v>5</v>
      </c>
      <c r="AA227" s="37">
        <f t="shared" si="43"/>
        <v>0.41666666666666669</v>
      </c>
      <c r="AB227" s="33">
        <f t="shared" si="44"/>
        <v>5</v>
      </c>
      <c r="AC227" s="8">
        <f t="shared" si="52"/>
        <v>0.91666666666666663</v>
      </c>
      <c r="AD227" s="7">
        <f t="shared" si="53"/>
        <v>11</v>
      </c>
      <c r="AE227" s="35">
        <v>0.41666666666666669</v>
      </c>
      <c r="AF227" s="10">
        <v>5</v>
      </c>
      <c r="AG227" s="38">
        <v>2</v>
      </c>
      <c r="AH227" s="32">
        <v>4</v>
      </c>
      <c r="AI227" s="37">
        <f t="shared" si="47"/>
        <v>1.3333333333333333</v>
      </c>
      <c r="AJ227" s="37">
        <f t="shared" si="48"/>
        <v>4</v>
      </c>
      <c r="AK227" s="7">
        <f t="shared" si="49"/>
        <v>16</v>
      </c>
      <c r="AL227" s="7">
        <f t="shared" si="39"/>
        <v>11</v>
      </c>
      <c r="AQ227" s="11" t="s">
        <v>71</v>
      </c>
      <c r="CD227" s="11" t="s">
        <v>71</v>
      </c>
      <c r="CR227" s="22" t="s">
        <v>73</v>
      </c>
    </row>
    <row r="228" spans="1:96" ht="24.75" hidden="1" x14ac:dyDescent="0.2">
      <c r="A228" s="3">
        <v>224</v>
      </c>
      <c r="B228" s="3" t="s">
        <v>1448</v>
      </c>
      <c r="C228" s="17" t="s">
        <v>94</v>
      </c>
      <c r="D228" s="17" t="s">
        <v>1190</v>
      </c>
      <c r="E228" s="17" t="s">
        <v>1191</v>
      </c>
      <c r="F228" s="17" t="s">
        <v>222</v>
      </c>
      <c r="G228" s="11" t="s">
        <v>71</v>
      </c>
      <c r="H228" s="17"/>
      <c r="J228" s="11" t="s">
        <v>71</v>
      </c>
      <c r="K228" s="10"/>
      <c r="L228" s="17" t="s">
        <v>1232</v>
      </c>
      <c r="M228" s="10"/>
      <c r="N228" s="10"/>
      <c r="O228" s="10"/>
      <c r="P228" s="18" t="s">
        <v>1270</v>
      </c>
      <c r="Q228" s="18" t="s">
        <v>1316</v>
      </c>
      <c r="R228" s="17" t="s">
        <v>1364</v>
      </c>
      <c r="S228" s="14">
        <v>37</v>
      </c>
      <c r="T228" s="3" t="s">
        <v>76</v>
      </c>
      <c r="U228" s="17" t="s">
        <v>1409</v>
      </c>
      <c r="X228" s="7">
        <f t="shared" si="40"/>
        <v>0</v>
      </c>
      <c r="Y228" s="7">
        <f t="shared" si="41"/>
        <v>5</v>
      </c>
      <c r="Z228" s="7">
        <f t="shared" si="42"/>
        <v>5</v>
      </c>
      <c r="AA228" s="37">
        <f t="shared" si="43"/>
        <v>0.41666666666666669</v>
      </c>
      <c r="AB228" s="33">
        <f t="shared" si="44"/>
        <v>5</v>
      </c>
      <c r="AC228" s="8">
        <f t="shared" si="52"/>
        <v>0.91666666666666663</v>
      </c>
      <c r="AD228" s="7">
        <f t="shared" si="53"/>
        <v>11</v>
      </c>
      <c r="AE228" s="35">
        <v>0.41666666666666669</v>
      </c>
      <c r="AF228" s="10">
        <v>5</v>
      </c>
      <c r="AG228" s="38">
        <v>2</v>
      </c>
      <c r="AH228" s="32">
        <v>4</v>
      </c>
      <c r="AI228" s="37">
        <f t="shared" si="47"/>
        <v>1.3333333333333333</v>
      </c>
      <c r="AJ228" s="37">
        <f t="shared" si="48"/>
        <v>4</v>
      </c>
      <c r="AK228" s="7">
        <f t="shared" si="49"/>
        <v>16</v>
      </c>
      <c r="AL228" s="7">
        <f t="shared" si="39"/>
        <v>11</v>
      </c>
      <c r="AQ228" s="11" t="s">
        <v>71</v>
      </c>
      <c r="CH228" s="11" t="s">
        <v>71</v>
      </c>
      <c r="CR228" s="22" t="s">
        <v>1380</v>
      </c>
    </row>
    <row r="229" spans="1:96" ht="24.75" hidden="1" x14ac:dyDescent="0.2">
      <c r="A229" s="3">
        <v>225</v>
      </c>
      <c r="B229" s="3" t="s">
        <v>1448</v>
      </c>
      <c r="C229" s="17" t="s">
        <v>94</v>
      </c>
      <c r="D229" s="17" t="s">
        <v>141</v>
      </c>
      <c r="E229" s="17" t="s">
        <v>1192</v>
      </c>
      <c r="F229" s="17" t="s">
        <v>397</v>
      </c>
      <c r="G229" s="11" t="s">
        <v>71</v>
      </c>
      <c r="H229" s="17"/>
      <c r="J229" s="11" t="s">
        <v>71</v>
      </c>
      <c r="K229" s="10"/>
      <c r="L229" s="17" t="s">
        <v>1233</v>
      </c>
      <c r="M229" s="10"/>
      <c r="N229" s="10"/>
      <c r="O229" s="10"/>
      <c r="P229" s="18" t="s">
        <v>1271</v>
      </c>
      <c r="Q229" s="18" t="s">
        <v>1317</v>
      </c>
      <c r="R229" s="17" t="s">
        <v>1365</v>
      </c>
      <c r="S229" s="14">
        <v>33</v>
      </c>
      <c r="T229" s="3" t="s">
        <v>75</v>
      </c>
      <c r="U229" s="17" t="s">
        <v>77</v>
      </c>
      <c r="X229" s="7">
        <f t="shared" si="40"/>
        <v>0</v>
      </c>
      <c r="Y229" s="7">
        <f t="shared" si="41"/>
        <v>5</v>
      </c>
      <c r="Z229" s="7">
        <f t="shared" si="42"/>
        <v>5</v>
      </c>
      <c r="AA229" s="37">
        <f t="shared" si="43"/>
        <v>0.41666666666666669</v>
      </c>
      <c r="AB229" s="33">
        <f t="shared" si="44"/>
        <v>5</v>
      </c>
      <c r="AC229" s="8">
        <f t="shared" si="52"/>
        <v>0.91666666666666663</v>
      </c>
      <c r="AD229" s="7">
        <f t="shared" si="53"/>
        <v>11</v>
      </c>
      <c r="AE229" s="35">
        <v>0.41666666666666669</v>
      </c>
      <c r="AF229" s="10">
        <v>5</v>
      </c>
      <c r="AG229" s="38">
        <v>2</v>
      </c>
      <c r="AH229" s="32">
        <v>4</v>
      </c>
      <c r="AI229" s="37">
        <f t="shared" si="47"/>
        <v>1.3333333333333333</v>
      </c>
      <c r="AJ229" s="37">
        <f t="shared" si="48"/>
        <v>4</v>
      </c>
      <c r="AK229" s="7">
        <f t="shared" si="49"/>
        <v>16</v>
      </c>
      <c r="AL229" s="7">
        <f t="shared" si="39"/>
        <v>11</v>
      </c>
      <c r="AQ229" s="11" t="s">
        <v>71</v>
      </c>
      <c r="CH229" s="11" t="s">
        <v>71</v>
      </c>
      <c r="CR229" s="22" t="s">
        <v>1380</v>
      </c>
    </row>
    <row r="230" spans="1:96" ht="24.75" x14ac:dyDescent="0.2">
      <c r="A230" s="3">
        <v>226</v>
      </c>
      <c r="B230" s="3" t="s">
        <v>1448</v>
      </c>
      <c r="C230" s="3" t="s">
        <v>87</v>
      </c>
      <c r="D230" s="17" t="s">
        <v>1149</v>
      </c>
      <c r="E230" s="17" t="s">
        <v>398</v>
      </c>
      <c r="F230" s="17" t="s">
        <v>1193</v>
      </c>
      <c r="G230" s="11" t="s">
        <v>71</v>
      </c>
      <c r="H230" s="17"/>
      <c r="I230" s="11" t="s">
        <v>71</v>
      </c>
      <c r="J230" s="10"/>
      <c r="K230" s="10"/>
      <c r="L230" s="17" t="s">
        <v>1234</v>
      </c>
      <c r="M230" s="10"/>
      <c r="N230" s="10"/>
      <c r="O230" s="10"/>
      <c r="P230" s="18">
        <v>5080209356</v>
      </c>
      <c r="Q230" s="18" t="s">
        <v>1318</v>
      </c>
      <c r="R230" s="17" t="s">
        <v>1366</v>
      </c>
      <c r="S230" s="14">
        <v>23</v>
      </c>
      <c r="T230" s="3" t="s">
        <v>1024</v>
      </c>
      <c r="U230" s="17" t="s">
        <v>1046</v>
      </c>
      <c r="X230" s="7">
        <f t="shared" si="40"/>
        <v>0</v>
      </c>
      <c r="Y230" s="7">
        <f t="shared" si="41"/>
        <v>10</v>
      </c>
      <c r="Z230" s="7">
        <f t="shared" si="42"/>
        <v>10</v>
      </c>
      <c r="AA230" s="37">
        <v>0</v>
      </c>
      <c r="AB230" s="33">
        <f t="shared" si="44"/>
        <v>10</v>
      </c>
      <c r="AC230" s="8">
        <f t="shared" si="52"/>
        <v>0.5</v>
      </c>
      <c r="AD230" s="7">
        <f t="shared" si="53"/>
        <v>6</v>
      </c>
      <c r="AE230" s="35">
        <v>0</v>
      </c>
      <c r="AF230" s="10">
        <v>10</v>
      </c>
      <c r="AG230" s="38">
        <v>2</v>
      </c>
      <c r="AH230" s="32">
        <v>4</v>
      </c>
      <c r="AI230" s="37">
        <f t="shared" si="47"/>
        <v>1.3333333333333333</v>
      </c>
      <c r="AJ230" s="37">
        <f t="shared" si="48"/>
        <v>4</v>
      </c>
      <c r="AK230" s="7">
        <f t="shared" si="49"/>
        <v>16</v>
      </c>
      <c r="AL230" s="7">
        <f t="shared" si="39"/>
        <v>6</v>
      </c>
      <c r="AQ230" s="11" t="s">
        <v>71</v>
      </c>
      <c r="CD230" s="11" t="s">
        <v>71</v>
      </c>
      <c r="CR230" s="22" t="s">
        <v>73</v>
      </c>
    </row>
    <row r="231" spans="1:96" ht="24.75" hidden="1" x14ac:dyDescent="0.2">
      <c r="A231" s="3">
        <v>227</v>
      </c>
      <c r="B231" s="3" t="s">
        <v>1448</v>
      </c>
      <c r="C231" s="17" t="s">
        <v>83</v>
      </c>
      <c r="D231" s="17" t="s">
        <v>1194</v>
      </c>
      <c r="E231" s="17" t="s">
        <v>1195</v>
      </c>
      <c r="F231" s="17" t="s">
        <v>141</v>
      </c>
      <c r="G231" s="11" t="s">
        <v>71</v>
      </c>
      <c r="H231" s="17"/>
      <c r="J231" s="11" t="s">
        <v>71</v>
      </c>
      <c r="K231" s="10"/>
      <c r="L231" s="17" t="s">
        <v>1235</v>
      </c>
      <c r="M231" s="10"/>
      <c r="N231" s="10"/>
      <c r="O231" s="10"/>
      <c r="P231" s="18" t="s">
        <v>1272</v>
      </c>
      <c r="Q231" s="18" t="s">
        <v>1319</v>
      </c>
      <c r="R231" s="17" t="s">
        <v>1367</v>
      </c>
      <c r="S231" s="14">
        <v>32</v>
      </c>
      <c r="T231" s="3" t="s">
        <v>1024</v>
      </c>
      <c r="U231" s="17" t="s">
        <v>1046</v>
      </c>
      <c r="X231" s="7">
        <f t="shared" si="40"/>
        <v>12</v>
      </c>
      <c r="Y231" s="7">
        <f t="shared" si="41"/>
        <v>7</v>
      </c>
      <c r="Z231" s="7">
        <f t="shared" si="42"/>
        <v>19</v>
      </c>
      <c r="AA231" s="37">
        <v>1</v>
      </c>
      <c r="AB231" s="33">
        <f t="shared" si="44"/>
        <v>7</v>
      </c>
      <c r="AC231" s="8">
        <f t="shared" si="52"/>
        <v>0.5</v>
      </c>
      <c r="AD231" s="7">
        <f t="shared" si="53"/>
        <v>6</v>
      </c>
      <c r="AE231" s="35">
        <v>1</v>
      </c>
      <c r="AF231" s="10">
        <v>7</v>
      </c>
      <c r="AG231" s="38">
        <v>3</v>
      </c>
      <c r="AH231" s="32">
        <v>1</v>
      </c>
      <c r="AI231" s="37">
        <f t="shared" si="47"/>
        <v>2.0833333333333335</v>
      </c>
      <c r="AJ231" s="37">
        <f t="shared" si="48"/>
        <v>1</v>
      </c>
      <c r="AK231" s="7">
        <f t="shared" si="49"/>
        <v>25</v>
      </c>
      <c r="AL231" s="7">
        <f t="shared" si="39"/>
        <v>6</v>
      </c>
      <c r="AQ231" s="11" t="s">
        <v>71</v>
      </c>
      <c r="CH231" s="11" t="s">
        <v>71</v>
      </c>
      <c r="CR231" s="22" t="s">
        <v>1380</v>
      </c>
    </row>
    <row r="232" spans="1:96" ht="24.75" hidden="1" x14ac:dyDescent="0.2">
      <c r="A232" s="3">
        <v>228</v>
      </c>
      <c r="B232" s="3" t="s">
        <v>1448</v>
      </c>
      <c r="C232" s="17" t="s">
        <v>1137</v>
      </c>
      <c r="D232" s="17" t="s">
        <v>111</v>
      </c>
      <c r="E232" s="17" t="s">
        <v>416</v>
      </c>
      <c r="F232" s="17" t="s">
        <v>1196</v>
      </c>
      <c r="G232" s="11" t="s">
        <v>71</v>
      </c>
      <c r="H232" s="17"/>
      <c r="J232" s="11" t="s">
        <v>71</v>
      </c>
      <c r="K232" s="10"/>
      <c r="L232" s="17" t="s">
        <v>1449</v>
      </c>
      <c r="M232" s="10"/>
      <c r="N232" s="10"/>
      <c r="O232" s="10"/>
      <c r="P232" s="18" t="s">
        <v>1273</v>
      </c>
      <c r="Q232" s="18" t="s">
        <v>1320</v>
      </c>
      <c r="R232" s="17" t="s">
        <v>1368</v>
      </c>
      <c r="S232" s="14">
        <v>59</v>
      </c>
      <c r="T232" s="3" t="s">
        <v>1036</v>
      </c>
      <c r="U232" s="17"/>
      <c r="X232" s="7">
        <f t="shared" si="40"/>
        <v>48</v>
      </c>
      <c r="Y232" s="7">
        <f t="shared" si="41"/>
        <v>16</v>
      </c>
      <c r="Z232" s="7">
        <f t="shared" si="42"/>
        <v>64</v>
      </c>
      <c r="AA232" s="37">
        <f t="shared" si="43"/>
        <v>5.333333333333333</v>
      </c>
      <c r="AB232" s="33">
        <f t="shared" si="44"/>
        <v>4</v>
      </c>
      <c r="AC232" s="8">
        <f t="shared" si="52"/>
        <v>0.83333333333333337</v>
      </c>
      <c r="AD232" s="7">
        <f t="shared" si="53"/>
        <v>10</v>
      </c>
      <c r="AE232" s="35">
        <v>5.333333333333333</v>
      </c>
      <c r="AF232" s="10">
        <v>4</v>
      </c>
      <c r="AG232" s="38">
        <v>7</v>
      </c>
      <c r="AH232" s="32">
        <v>2</v>
      </c>
      <c r="AI232" s="37">
        <f t="shared" si="47"/>
        <v>6.166666666666667</v>
      </c>
      <c r="AJ232" s="37">
        <f t="shared" si="48"/>
        <v>2</v>
      </c>
      <c r="AK232" s="7">
        <f t="shared" si="49"/>
        <v>74</v>
      </c>
      <c r="AL232" s="7">
        <f t="shared" si="39"/>
        <v>10</v>
      </c>
      <c r="AQ232" s="11" t="s">
        <v>71</v>
      </c>
      <c r="CH232" s="11" t="s">
        <v>71</v>
      </c>
      <c r="CR232" s="22" t="s">
        <v>1380</v>
      </c>
    </row>
    <row r="233" spans="1:96" ht="24.75" hidden="1" x14ac:dyDescent="0.2">
      <c r="A233" s="3">
        <v>229</v>
      </c>
      <c r="B233" s="3" t="s">
        <v>1448</v>
      </c>
      <c r="C233" s="17" t="s">
        <v>84</v>
      </c>
      <c r="D233" s="17" t="s">
        <v>100</v>
      </c>
      <c r="E233" s="17" t="s">
        <v>1197</v>
      </c>
      <c r="F233" s="17" t="s">
        <v>127</v>
      </c>
      <c r="G233" s="11" t="s">
        <v>71</v>
      </c>
      <c r="H233" s="17"/>
      <c r="I233" s="11" t="s">
        <v>71</v>
      </c>
      <c r="J233" s="10"/>
      <c r="K233" s="10"/>
      <c r="L233" s="17" t="s">
        <v>1214</v>
      </c>
      <c r="M233" s="10"/>
      <c r="N233" s="10"/>
      <c r="O233" s="10"/>
      <c r="P233" s="18" t="s">
        <v>1274</v>
      </c>
      <c r="Q233" s="18" t="s">
        <v>1321</v>
      </c>
      <c r="R233" s="17" t="s">
        <v>1369</v>
      </c>
      <c r="S233" s="14">
        <v>26</v>
      </c>
      <c r="T233" s="3" t="s">
        <v>1024</v>
      </c>
      <c r="U233" s="17" t="s">
        <v>1100</v>
      </c>
      <c r="X233" s="7">
        <f t="shared" si="40"/>
        <v>0</v>
      </c>
      <c r="Y233" s="7">
        <f t="shared" si="41"/>
        <v>11</v>
      </c>
      <c r="Z233" s="7">
        <f t="shared" si="42"/>
        <v>11</v>
      </c>
      <c r="AA233" s="37">
        <v>0</v>
      </c>
      <c r="AB233" s="33">
        <f t="shared" si="44"/>
        <v>11</v>
      </c>
      <c r="AC233" s="8">
        <f t="shared" si="52"/>
        <v>0.5</v>
      </c>
      <c r="AD233" s="7">
        <f t="shared" si="53"/>
        <v>6</v>
      </c>
      <c r="AE233" s="35">
        <v>0</v>
      </c>
      <c r="AF233" s="10">
        <v>11</v>
      </c>
      <c r="AG233" s="38">
        <v>2</v>
      </c>
      <c r="AH233" s="32">
        <v>5</v>
      </c>
      <c r="AI233" s="37">
        <f t="shared" si="47"/>
        <v>1.4166666666666667</v>
      </c>
      <c r="AJ233" s="37">
        <f t="shared" si="48"/>
        <v>5</v>
      </c>
      <c r="AK233" s="7">
        <f t="shared" si="49"/>
        <v>17</v>
      </c>
      <c r="AL233" s="7">
        <f t="shared" si="39"/>
        <v>6</v>
      </c>
      <c r="AQ233" s="11" t="s">
        <v>71</v>
      </c>
      <c r="CD233" s="11" t="s">
        <v>71</v>
      </c>
      <c r="CR233" s="22" t="s">
        <v>73</v>
      </c>
    </row>
    <row r="234" spans="1:96" ht="24.75" hidden="1" x14ac:dyDescent="0.2">
      <c r="A234" s="3">
        <v>230</v>
      </c>
      <c r="B234" s="3" t="s">
        <v>1448</v>
      </c>
      <c r="C234" s="17" t="s">
        <v>83</v>
      </c>
      <c r="D234" s="17" t="s">
        <v>141</v>
      </c>
      <c r="E234" s="17" t="s">
        <v>1198</v>
      </c>
      <c r="F234" s="17" t="s">
        <v>359</v>
      </c>
      <c r="G234" s="11" t="s">
        <v>71</v>
      </c>
      <c r="H234" s="17"/>
      <c r="I234" s="11" t="s">
        <v>71</v>
      </c>
      <c r="J234" s="10"/>
      <c r="K234" s="10"/>
      <c r="L234" s="17" t="s">
        <v>1219</v>
      </c>
      <c r="M234" s="10"/>
      <c r="N234" s="10"/>
      <c r="O234" s="10"/>
      <c r="P234" s="18" t="s">
        <v>1275</v>
      </c>
      <c r="Q234" s="18" t="s">
        <v>1322</v>
      </c>
      <c r="R234" s="17" t="s">
        <v>1370</v>
      </c>
      <c r="S234" s="14">
        <v>26</v>
      </c>
      <c r="T234" s="3" t="s">
        <v>75</v>
      </c>
      <c r="U234" s="17" t="s">
        <v>1046</v>
      </c>
      <c r="X234" s="7">
        <f t="shared" si="40"/>
        <v>0</v>
      </c>
      <c r="Y234" s="7">
        <f t="shared" si="41"/>
        <v>8</v>
      </c>
      <c r="Z234" s="7">
        <f t="shared" si="42"/>
        <v>8</v>
      </c>
      <c r="AA234" s="37">
        <v>0</v>
      </c>
      <c r="AB234" s="33">
        <f t="shared" si="44"/>
        <v>8</v>
      </c>
      <c r="AC234" s="8">
        <f t="shared" si="52"/>
        <v>0.5</v>
      </c>
      <c r="AD234" s="7">
        <f t="shared" si="53"/>
        <v>6</v>
      </c>
      <c r="AE234" s="35">
        <v>0</v>
      </c>
      <c r="AF234" s="10">
        <v>8</v>
      </c>
      <c r="AG234" s="38">
        <v>2</v>
      </c>
      <c r="AH234" s="32">
        <v>2</v>
      </c>
      <c r="AI234" s="37">
        <f t="shared" si="47"/>
        <v>1.1666666666666667</v>
      </c>
      <c r="AJ234" s="37">
        <f t="shared" si="48"/>
        <v>2</v>
      </c>
      <c r="AK234" s="7">
        <f t="shared" si="49"/>
        <v>14</v>
      </c>
      <c r="AL234" s="7">
        <f t="shared" si="39"/>
        <v>6</v>
      </c>
      <c r="AQ234" s="11" t="s">
        <v>71</v>
      </c>
      <c r="CD234" s="11" t="s">
        <v>71</v>
      </c>
      <c r="CR234" s="22" t="s">
        <v>1391</v>
      </c>
    </row>
    <row r="235" spans="1:96" ht="24.75" hidden="1" x14ac:dyDescent="0.2">
      <c r="A235" s="3">
        <v>231</v>
      </c>
      <c r="B235" s="3" t="s">
        <v>1448</v>
      </c>
      <c r="C235" s="17" t="s">
        <v>1135</v>
      </c>
      <c r="D235" s="17" t="s">
        <v>141</v>
      </c>
      <c r="E235" s="17" t="s">
        <v>1199</v>
      </c>
      <c r="F235" s="17" t="s">
        <v>436</v>
      </c>
      <c r="G235" s="11" t="s">
        <v>71</v>
      </c>
      <c r="H235" s="17"/>
      <c r="I235" s="11" t="s">
        <v>71</v>
      </c>
      <c r="J235" s="10"/>
      <c r="K235" s="10"/>
      <c r="L235" s="17" t="s">
        <v>1236</v>
      </c>
      <c r="M235" s="10"/>
      <c r="N235" s="10"/>
      <c r="O235" s="10"/>
      <c r="P235" s="18" t="s">
        <v>1276</v>
      </c>
      <c r="Q235" s="18" t="s">
        <v>1323</v>
      </c>
      <c r="R235" s="17" t="s">
        <v>984</v>
      </c>
      <c r="S235" s="14">
        <v>36</v>
      </c>
      <c r="T235" s="3" t="s">
        <v>75</v>
      </c>
      <c r="U235" s="17" t="s">
        <v>1410</v>
      </c>
      <c r="X235" s="7">
        <f t="shared" si="40"/>
        <v>24</v>
      </c>
      <c r="Y235" s="7">
        <f t="shared" si="41"/>
        <v>13</v>
      </c>
      <c r="Z235" s="7">
        <f t="shared" si="42"/>
        <v>37</v>
      </c>
      <c r="AA235" s="37">
        <f t="shared" si="43"/>
        <v>3.0833333333333335</v>
      </c>
      <c r="AB235" s="33">
        <f t="shared" si="44"/>
        <v>1</v>
      </c>
      <c r="AC235" s="8">
        <f t="shared" si="52"/>
        <v>0.58333333333333337</v>
      </c>
      <c r="AD235" s="7">
        <f t="shared" si="53"/>
        <v>7</v>
      </c>
      <c r="AE235" s="35">
        <v>3.0833333333333335</v>
      </c>
      <c r="AF235" s="10">
        <v>1</v>
      </c>
      <c r="AG235" s="38">
        <f t="shared" si="50"/>
        <v>3.666666666666667</v>
      </c>
      <c r="AH235" s="32">
        <f t="shared" si="51"/>
        <v>8</v>
      </c>
      <c r="AI235" s="37">
        <f t="shared" si="47"/>
        <v>3.6666666666666665</v>
      </c>
      <c r="AJ235" s="37">
        <f t="shared" si="48"/>
        <v>8</v>
      </c>
      <c r="AK235" s="7">
        <f t="shared" si="49"/>
        <v>44</v>
      </c>
      <c r="AL235" s="7">
        <f t="shared" si="39"/>
        <v>7</v>
      </c>
      <c r="AQ235" s="11" t="s">
        <v>71</v>
      </c>
      <c r="BD235" s="11" t="s">
        <v>71</v>
      </c>
      <c r="CR235" s="22" t="s">
        <v>1381</v>
      </c>
    </row>
    <row r="236" spans="1:96" ht="24.75" hidden="1" x14ac:dyDescent="0.2">
      <c r="A236" s="3">
        <v>232</v>
      </c>
      <c r="B236" s="3" t="s">
        <v>1448</v>
      </c>
      <c r="C236" s="17" t="s">
        <v>84</v>
      </c>
      <c r="D236" s="17" t="s">
        <v>121</v>
      </c>
      <c r="E236" s="17" t="s">
        <v>1200</v>
      </c>
      <c r="F236" s="17" t="s">
        <v>111</v>
      </c>
      <c r="G236" s="11" t="s">
        <v>71</v>
      </c>
      <c r="H236" s="17"/>
      <c r="J236" s="11" t="s">
        <v>71</v>
      </c>
      <c r="K236" s="10"/>
      <c r="L236" s="17" t="s">
        <v>1237</v>
      </c>
      <c r="M236" s="10"/>
      <c r="N236" s="10"/>
      <c r="O236" s="10"/>
      <c r="P236" s="18" t="s">
        <v>1277</v>
      </c>
      <c r="Q236" s="18" t="s">
        <v>1324</v>
      </c>
      <c r="R236" s="17" t="s">
        <v>1371</v>
      </c>
      <c r="S236" s="14">
        <v>54</v>
      </c>
      <c r="T236" s="3" t="s">
        <v>1394</v>
      </c>
      <c r="U236" s="17"/>
      <c r="X236" s="7">
        <f t="shared" si="40"/>
        <v>12</v>
      </c>
      <c r="Y236" s="7">
        <f t="shared" si="41"/>
        <v>7</v>
      </c>
      <c r="Z236" s="7">
        <f t="shared" si="42"/>
        <v>19</v>
      </c>
      <c r="AA236" s="37">
        <v>1</v>
      </c>
      <c r="AB236" s="33">
        <f t="shared" si="44"/>
        <v>7</v>
      </c>
      <c r="AC236" s="8">
        <f t="shared" si="52"/>
        <v>0.5</v>
      </c>
      <c r="AD236" s="7">
        <f t="shared" si="53"/>
        <v>6</v>
      </c>
      <c r="AE236" s="35">
        <v>1</v>
      </c>
      <c r="AF236" s="10">
        <v>7</v>
      </c>
      <c r="AG236" s="38">
        <v>3</v>
      </c>
      <c r="AH236" s="32">
        <v>1</v>
      </c>
      <c r="AI236" s="37">
        <f t="shared" si="47"/>
        <v>2.0833333333333335</v>
      </c>
      <c r="AJ236" s="37">
        <f t="shared" si="48"/>
        <v>1</v>
      </c>
      <c r="AK236" s="7">
        <f t="shared" si="49"/>
        <v>25</v>
      </c>
      <c r="AL236" s="7">
        <f t="shared" si="39"/>
        <v>6</v>
      </c>
      <c r="AQ236" s="11" t="s">
        <v>71</v>
      </c>
      <c r="CD236" s="11" t="s">
        <v>71</v>
      </c>
      <c r="CR236" s="22" t="s">
        <v>1392</v>
      </c>
    </row>
    <row r="237" spans="1:96" ht="24.75" hidden="1" x14ac:dyDescent="0.2">
      <c r="A237" s="3">
        <v>233</v>
      </c>
      <c r="B237" s="3" t="s">
        <v>1448</v>
      </c>
      <c r="C237" s="17" t="s">
        <v>84</v>
      </c>
      <c r="D237" s="17" t="s">
        <v>1201</v>
      </c>
      <c r="E237" s="17" t="s">
        <v>1202</v>
      </c>
      <c r="F237" s="17" t="s">
        <v>167</v>
      </c>
      <c r="G237" s="11" t="s">
        <v>71</v>
      </c>
      <c r="H237" s="17"/>
      <c r="J237" s="11" t="s">
        <v>71</v>
      </c>
      <c r="K237" s="10"/>
      <c r="L237" s="17" t="s">
        <v>1215</v>
      </c>
      <c r="M237" s="10"/>
      <c r="N237" s="10"/>
      <c r="O237" s="10"/>
      <c r="P237" s="18" t="s">
        <v>1278</v>
      </c>
      <c r="Q237" s="18" t="s">
        <v>1325</v>
      </c>
      <c r="R237" s="17" t="s">
        <v>1372</v>
      </c>
      <c r="S237" s="14">
        <v>31</v>
      </c>
      <c r="T237" s="3" t="s">
        <v>1024</v>
      </c>
      <c r="U237" s="17" t="s">
        <v>1056</v>
      </c>
      <c r="X237" s="7">
        <f t="shared" si="40"/>
        <v>0</v>
      </c>
      <c r="Y237" s="7">
        <f t="shared" si="41"/>
        <v>8</v>
      </c>
      <c r="Z237" s="7">
        <f t="shared" si="42"/>
        <v>8</v>
      </c>
      <c r="AA237" s="37">
        <v>0</v>
      </c>
      <c r="AB237" s="33">
        <f t="shared" si="44"/>
        <v>8</v>
      </c>
      <c r="AC237" s="8">
        <f t="shared" si="52"/>
        <v>0.5</v>
      </c>
      <c r="AD237" s="7">
        <f t="shared" si="53"/>
        <v>6</v>
      </c>
      <c r="AE237" s="35">
        <v>0</v>
      </c>
      <c r="AF237" s="10">
        <v>8</v>
      </c>
      <c r="AG237" s="38">
        <v>2</v>
      </c>
      <c r="AH237" s="32">
        <v>2</v>
      </c>
      <c r="AI237" s="37">
        <f t="shared" si="47"/>
        <v>1.1666666666666667</v>
      </c>
      <c r="AJ237" s="37">
        <f t="shared" si="48"/>
        <v>2</v>
      </c>
      <c r="AK237" s="7">
        <f t="shared" si="49"/>
        <v>14</v>
      </c>
      <c r="AL237" s="7">
        <f t="shared" si="39"/>
        <v>6</v>
      </c>
      <c r="AQ237" s="11" t="s">
        <v>71</v>
      </c>
      <c r="CH237" s="11" t="s">
        <v>71</v>
      </c>
      <c r="CR237" s="22" t="s">
        <v>1380</v>
      </c>
    </row>
    <row r="238" spans="1:96" ht="24.75" x14ac:dyDescent="0.2">
      <c r="A238" s="3">
        <v>234</v>
      </c>
      <c r="B238" s="3" t="s">
        <v>1448</v>
      </c>
      <c r="C238" s="3" t="s">
        <v>87</v>
      </c>
      <c r="D238" s="17" t="s">
        <v>107</v>
      </c>
      <c r="E238" s="17" t="s">
        <v>1203</v>
      </c>
      <c r="F238" s="17" t="s">
        <v>111</v>
      </c>
      <c r="G238" s="11" t="s">
        <v>71</v>
      </c>
      <c r="H238" s="17"/>
      <c r="J238" s="11" t="s">
        <v>71</v>
      </c>
      <c r="K238" s="10"/>
      <c r="L238" s="17" t="s">
        <v>1227</v>
      </c>
      <c r="M238" s="10"/>
      <c r="N238" s="10"/>
      <c r="O238" s="10"/>
      <c r="P238" s="18" t="s">
        <v>1279</v>
      </c>
      <c r="Q238" s="18" t="s">
        <v>1326</v>
      </c>
      <c r="R238" s="17" t="s">
        <v>1373</v>
      </c>
      <c r="S238" s="14">
        <v>45</v>
      </c>
      <c r="T238" s="3" t="s">
        <v>1395</v>
      </c>
      <c r="U238" s="17"/>
      <c r="X238" s="7">
        <f t="shared" si="40"/>
        <v>12</v>
      </c>
      <c r="Y238" s="7">
        <f t="shared" si="41"/>
        <v>15</v>
      </c>
      <c r="Z238" s="7">
        <f t="shared" si="42"/>
        <v>27</v>
      </c>
      <c r="AA238" s="37">
        <f t="shared" si="43"/>
        <v>2.25</v>
      </c>
      <c r="AB238" s="33">
        <f t="shared" si="44"/>
        <v>3</v>
      </c>
      <c r="AC238" s="8">
        <f t="shared" si="52"/>
        <v>0.75</v>
      </c>
      <c r="AD238" s="7">
        <f t="shared" si="53"/>
        <v>9</v>
      </c>
      <c r="AE238" s="35">
        <v>2.25</v>
      </c>
      <c r="AF238" s="10">
        <v>3</v>
      </c>
      <c r="AG238" s="38">
        <v>4</v>
      </c>
      <c r="AH238" s="32">
        <v>0</v>
      </c>
      <c r="AI238" s="37">
        <f t="shared" si="47"/>
        <v>3</v>
      </c>
      <c r="AJ238" s="37">
        <f t="shared" si="48"/>
        <v>0</v>
      </c>
      <c r="AK238" s="7">
        <f t="shared" si="49"/>
        <v>36</v>
      </c>
      <c r="AL238" s="7">
        <f t="shared" si="39"/>
        <v>9</v>
      </c>
      <c r="AQ238" s="11" t="s">
        <v>71</v>
      </c>
      <c r="CP238" s="11" t="s">
        <v>71</v>
      </c>
      <c r="CR238" s="22" t="s">
        <v>1393</v>
      </c>
    </row>
    <row r="239" spans="1:96" ht="24.75" hidden="1" x14ac:dyDescent="0.2">
      <c r="A239" s="3">
        <v>235</v>
      </c>
      <c r="B239" s="3" t="s">
        <v>1448</v>
      </c>
      <c r="C239" s="17" t="s">
        <v>83</v>
      </c>
      <c r="D239" s="17" t="s">
        <v>261</v>
      </c>
      <c r="E239" s="17" t="s">
        <v>1204</v>
      </c>
      <c r="F239" s="17" t="s">
        <v>119</v>
      </c>
      <c r="G239" s="11" t="s">
        <v>71</v>
      </c>
      <c r="H239" s="17"/>
      <c r="J239" s="11" t="s">
        <v>71</v>
      </c>
      <c r="K239" s="10"/>
      <c r="L239" s="17" t="s">
        <v>479</v>
      </c>
      <c r="M239" s="10"/>
      <c r="N239" s="10"/>
      <c r="O239" s="10"/>
      <c r="P239" s="18" t="s">
        <v>1280</v>
      </c>
      <c r="Q239" s="18" t="s">
        <v>1327</v>
      </c>
      <c r="R239" s="17" t="s">
        <v>1374</v>
      </c>
      <c r="S239" s="14">
        <v>33</v>
      </c>
      <c r="T239" s="3" t="s">
        <v>75</v>
      </c>
      <c r="U239" s="17" t="s">
        <v>1062</v>
      </c>
      <c r="X239" s="7">
        <f t="shared" si="40"/>
        <v>48</v>
      </c>
      <c r="Y239" s="7">
        <f t="shared" si="41"/>
        <v>8</v>
      </c>
      <c r="Z239" s="7">
        <f t="shared" si="42"/>
        <v>56</v>
      </c>
      <c r="AA239" s="37">
        <v>4</v>
      </c>
      <c r="AB239" s="33">
        <f t="shared" si="44"/>
        <v>8</v>
      </c>
      <c r="AC239" s="8">
        <f t="shared" si="52"/>
        <v>0.5</v>
      </c>
      <c r="AD239" s="7">
        <f t="shared" si="53"/>
        <v>6</v>
      </c>
      <c r="AE239" s="35">
        <v>4</v>
      </c>
      <c r="AF239" s="10">
        <v>8</v>
      </c>
      <c r="AG239" s="38">
        <v>6</v>
      </c>
      <c r="AH239" s="32">
        <v>2</v>
      </c>
      <c r="AI239" s="37">
        <f t="shared" si="47"/>
        <v>5.166666666666667</v>
      </c>
      <c r="AJ239" s="37">
        <f t="shared" si="48"/>
        <v>2</v>
      </c>
      <c r="AK239" s="7">
        <f t="shared" si="49"/>
        <v>62</v>
      </c>
      <c r="AL239" s="7">
        <f t="shared" si="39"/>
        <v>6</v>
      </c>
      <c r="AQ239" s="11" t="s">
        <v>71</v>
      </c>
      <c r="CD239" s="11" t="s">
        <v>71</v>
      </c>
      <c r="CR239" s="22" t="s">
        <v>1391</v>
      </c>
    </row>
    <row r="240" spans="1:96" ht="24.75" x14ac:dyDescent="0.2">
      <c r="A240" s="3">
        <v>236</v>
      </c>
      <c r="B240" s="3" t="s">
        <v>1448</v>
      </c>
      <c r="C240" s="3" t="s">
        <v>87</v>
      </c>
      <c r="D240" s="17" t="s">
        <v>146</v>
      </c>
      <c r="E240" s="17" t="s">
        <v>1205</v>
      </c>
      <c r="F240" s="17" t="s">
        <v>156</v>
      </c>
      <c r="G240" s="11" t="s">
        <v>71</v>
      </c>
      <c r="H240" s="17"/>
      <c r="J240" s="11" t="s">
        <v>71</v>
      </c>
      <c r="K240" s="10"/>
      <c r="L240" s="17" t="s">
        <v>1227</v>
      </c>
      <c r="M240" s="10"/>
      <c r="N240" s="10"/>
      <c r="O240" s="10"/>
      <c r="P240" s="18" t="s">
        <v>1281</v>
      </c>
      <c r="Q240" s="18" t="s">
        <v>1328</v>
      </c>
      <c r="R240" s="17" t="s">
        <v>1375</v>
      </c>
      <c r="S240" s="14">
        <v>24</v>
      </c>
      <c r="T240" s="3" t="s">
        <v>1024</v>
      </c>
      <c r="U240" s="17" t="s">
        <v>1411</v>
      </c>
      <c r="X240" s="7">
        <f t="shared" si="40"/>
        <v>12</v>
      </c>
      <c r="Y240" s="7">
        <f t="shared" si="41"/>
        <v>15</v>
      </c>
      <c r="Z240" s="7">
        <f t="shared" si="42"/>
        <v>27</v>
      </c>
      <c r="AA240" s="37">
        <f t="shared" si="43"/>
        <v>2.25</v>
      </c>
      <c r="AB240" s="33">
        <f t="shared" si="44"/>
        <v>3</v>
      </c>
      <c r="AC240" s="8">
        <f t="shared" si="52"/>
        <v>0.75</v>
      </c>
      <c r="AD240" s="7">
        <f t="shared" si="53"/>
        <v>9</v>
      </c>
      <c r="AE240" s="35">
        <v>2.25</v>
      </c>
      <c r="AF240" s="10">
        <v>3</v>
      </c>
      <c r="AG240" s="38">
        <v>4</v>
      </c>
      <c r="AH240" s="32">
        <v>0</v>
      </c>
      <c r="AI240" s="37">
        <f t="shared" si="47"/>
        <v>3</v>
      </c>
      <c r="AJ240" s="37">
        <f t="shared" si="48"/>
        <v>0</v>
      </c>
      <c r="AK240" s="7">
        <f t="shared" si="49"/>
        <v>36</v>
      </c>
      <c r="AL240" s="7">
        <f t="shared" si="39"/>
        <v>9</v>
      </c>
      <c r="AQ240" s="11" t="s">
        <v>71</v>
      </c>
      <c r="CD240" s="11" t="s">
        <v>71</v>
      </c>
      <c r="CR240" s="22" t="s">
        <v>1383</v>
      </c>
    </row>
    <row r="241" spans="1:96" ht="24.75" hidden="1" x14ac:dyDescent="0.2">
      <c r="A241" s="3">
        <v>237</v>
      </c>
      <c r="B241" s="3" t="s">
        <v>1448</v>
      </c>
      <c r="C241" s="17" t="s">
        <v>83</v>
      </c>
      <c r="D241" s="17" t="s">
        <v>125</v>
      </c>
      <c r="E241" s="17" t="s">
        <v>1206</v>
      </c>
      <c r="F241" s="17" t="s">
        <v>205</v>
      </c>
      <c r="G241" s="11" t="s">
        <v>71</v>
      </c>
      <c r="H241" s="17"/>
      <c r="J241" s="11" t="s">
        <v>71</v>
      </c>
      <c r="K241" s="10"/>
      <c r="L241" s="17" t="s">
        <v>1238</v>
      </c>
      <c r="M241" s="10"/>
      <c r="N241" s="10"/>
      <c r="O241" s="10"/>
      <c r="P241" s="18" t="s">
        <v>1282</v>
      </c>
      <c r="Q241" s="18" t="s">
        <v>1329</v>
      </c>
      <c r="R241" s="17" t="s">
        <v>1376</v>
      </c>
      <c r="S241" s="14">
        <v>38</v>
      </c>
      <c r="T241" s="3" t="s">
        <v>1024</v>
      </c>
      <c r="U241" s="17" t="s">
        <v>1045</v>
      </c>
      <c r="X241" s="7">
        <f t="shared" si="40"/>
        <v>12</v>
      </c>
      <c r="Y241" s="7">
        <f t="shared" si="41"/>
        <v>16</v>
      </c>
      <c r="Z241" s="7">
        <f t="shared" si="42"/>
        <v>28</v>
      </c>
      <c r="AA241" s="37">
        <f t="shared" si="43"/>
        <v>2.3333333333333335</v>
      </c>
      <c r="AB241" s="33">
        <f t="shared" si="44"/>
        <v>4</v>
      </c>
      <c r="AC241" s="8">
        <f t="shared" si="52"/>
        <v>0.83333333333333337</v>
      </c>
      <c r="AD241" s="7">
        <f t="shared" si="53"/>
        <v>10</v>
      </c>
      <c r="AE241" s="35">
        <v>2.3333333333333335</v>
      </c>
      <c r="AF241" s="10">
        <v>4</v>
      </c>
      <c r="AG241" s="38">
        <v>4</v>
      </c>
      <c r="AH241" s="32">
        <v>2</v>
      </c>
      <c r="AI241" s="37">
        <f t="shared" si="47"/>
        <v>3.1666666666666665</v>
      </c>
      <c r="AJ241" s="37">
        <f t="shared" si="48"/>
        <v>2</v>
      </c>
      <c r="AK241" s="7">
        <f t="shared" si="49"/>
        <v>38</v>
      </c>
      <c r="AL241" s="7">
        <f t="shared" si="39"/>
        <v>10</v>
      </c>
      <c r="AQ241" s="11" t="s">
        <v>71</v>
      </c>
      <c r="CD241" s="11" t="s">
        <v>71</v>
      </c>
      <c r="CR241" s="22" t="s">
        <v>1391</v>
      </c>
    </row>
    <row r="242" spans="1:96" ht="24.75" hidden="1" x14ac:dyDescent="0.2">
      <c r="A242" s="3">
        <v>238</v>
      </c>
      <c r="B242" s="3" t="s">
        <v>1448</v>
      </c>
      <c r="C242" s="17" t="s">
        <v>84</v>
      </c>
      <c r="D242" s="17" t="s">
        <v>314</v>
      </c>
      <c r="E242" s="17" t="s">
        <v>1207</v>
      </c>
      <c r="F242" s="17" t="s">
        <v>1208</v>
      </c>
      <c r="G242" s="11" t="s">
        <v>71</v>
      </c>
      <c r="H242" s="17"/>
      <c r="J242" s="11" t="s">
        <v>71</v>
      </c>
      <c r="K242" s="10"/>
      <c r="L242" s="17" t="s">
        <v>1226</v>
      </c>
      <c r="M242" s="10"/>
      <c r="N242" s="10"/>
      <c r="O242" s="10"/>
      <c r="P242" s="18" t="s">
        <v>1283</v>
      </c>
      <c r="Q242" s="18" t="s">
        <v>1330</v>
      </c>
      <c r="R242" s="17" t="s">
        <v>1377</v>
      </c>
      <c r="S242" s="14">
        <v>37</v>
      </c>
      <c r="T242" s="3" t="s">
        <v>1024</v>
      </c>
      <c r="U242" s="17" t="s">
        <v>1128</v>
      </c>
      <c r="X242" s="7">
        <f t="shared" si="40"/>
        <v>0</v>
      </c>
      <c r="Y242" s="7">
        <f t="shared" si="41"/>
        <v>5</v>
      </c>
      <c r="Z242" s="7">
        <f t="shared" si="42"/>
        <v>5</v>
      </c>
      <c r="AA242" s="37">
        <f t="shared" si="43"/>
        <v>0.41666666666666669</v>
      </c>
      <c r="AB242" s="33">
        <f t="shared" si="44"/>
        <v>5</v>
      </c>
      <c r="AC242" s="8">
        <f t="shared" si="52"/>
        <v>0.91666666666666663</v>
      </c>
      <c r="AD242" s="7">
        <f t="shared" si="53"/>
        <v>11</v>
      </c>
      <c r="AE242" s="35">
        <v>0.41666666666666669</v>
      </c>
      <c r="AF242" s="10">
        <v>5</v>
      </c>
      <c r="AG242" s="38">
        <v>2</v>
      </c>
      <c r="AH242" s="32">
        <v>4</v>
      </c>
      <c r="AI242" s="37">
        <f t="shared" si="47"/>
        <v>1.3333333333333333</v>
      </c>
      <c r="AJ242" s="37">
        <f t="shared" si="48"/>
        <v>4</v>
      </c>
      <c r="AK242" s="7">
        <f t="shared" si="49"/>
        <v>16</v>
      </c>
      <c r="AL242" s="7">
        <f t="shared" si="39"/>
        <v>11</v>
      </c>
      <c r="AQ242" s="11" t="s">
        <v>71</v>
      </c>
      <c r="CD242" s="11" t="s">
        <v>71</v>
      </c>
      <c r="CR242" s="22" t="s">
        <v>1387</v>
      </c>
    </row>
    <row r="243" spans="1:96" ht="24.75" hidden="1" x14ac:dyDescent="0.2">
      <c r="A243" s="3">
        <v>239</v>
      </c>
      <c r="B243" s="3" t="s">
        <v>1448</v>
      </c>
      <c r="C243" s="17" t="s">
        <v>83</v>
      </c>
      <c r="D243" s="17" t="s">
        <v>353</v>
      </c>
      <c r="E243" s="17" t="s">
        <v>1209</v>
      </c>
      <c r="F243" s="17" t="s">
        <v>202</v>
      </c>
      <c r="G243" s="11" t="s">
        <v>71</v>
      </c>
      <c r="H243" s="17"/>
      <c r="J243" s="11" t="s">
        <v>71</v>
      </c>
      <c r="K243" s="10"/>
      <c r="L243" s="17" t="s">
        <v>1225</v>
      </c>
      <c r="M243" s="10"/>
      <c r="N243" s="10"/>
      <c r="O243" s="10"/>
      <c r="P243" s="18" t="s">
        <v>1284</v>
      </c>
      <c r="Q243" s="18" t="s">
        <v>1331</v>
      </c>
      <c r="R243" s="17" t="s">
        <v>1378</v>
      </c>
      <c r="S243" s="14">
        <v>34</v>
      </c>
      <c r="T243" s="3" t="s">
        <v>1024</v>
      </c>
      <c r="U243" s="17" t="s">
        <v>1403</v>
      </c>
      <c r="X243" s="7">
        <f t="shared" si="40"/>
        <v>24</v>
      </c>
      <c r="Y243" s="7">
        <f t="shared" si="41"/>
        <v>5</v>
      </c>
      <c r="Z243" s="7">
        <f t="shared" si="42"/>
        <v>29</v>
      </c>
      <c r="AA243" s="37">
        <f t="shared" si="43"/>
        <v>2.4166666666666665</v>
      </c>
      <c r="AB243" s="33">
        <f t="shared" si="44"/>
        <v>5</v>
      </c>
      <c r="AC243" s="8">
        <v>0</v>
      </c>
      <c r="AD243" s="7">
        <v>0</v>
      </c>
      <c r="AE243" s="36">
        <v>2</v>
      </c>
      <c r="AF243" s="36">
        <v>5</v>
      </c>
      <c r="AG243" s="38">
        <f t="shared" si="50"/>
        <v>2.4166666666666665</v>
      </c>
      <c r="AH243" s="32">
        <f t="shared" si="51"/>
        <v>5</v>
      </c>
      <c r="AI243" s="37">
        <f t="shared" si="47"/>
        <v>2.9166666666666665</v>
      </c>
      <c r="AJ243" s="37">
        <f t="shared" si="48"/>
        <v>11</v>
      </c>
      <c r="AK243" s="7">
        <f t="shared" si="49"/>
        <v>35</v>
      </c>
      <c r="AL243" s="7">
        <f t="shared" si="39"/>
        <v>6</v>
      </c>
      <c r="AQ243" s="11" t="s">
        <v>71</v>
      </c>
      <c r="CD243" s="11" t="s">
        <v>71</v>
      </c>
      <c r="CR243" s="22" t="s">
        <v>73</v>
      </c>
    </row>
    <row r="244" spans="1:96" ht="24.75" x14ac:dyDescent="0.2">
      <c r="A244" s="3">
        <v>240</v>
      </c>
      <c r="B244" s="3" t="s">
        <v>1448</v>
      </c>
      <c r="C244" s="17" t="s">
        <v>87</v>
      </c>
      <c r="D244" s="17" t="s">
        <v>401</v>
      </c>
      <c r="E244" s="17" t="s">
        <v>472</v>
      </c>
      <c r="F244" s="17" t="s">
        <v>1210</v>
      </c>
      <c r="G244" s="11" t="s">
        <v>71</v>
      </c>
      <c r="H244" s="17"/>
      <c r="J244" s="11" t="s">
        <v>71</v>
      </c>
      <c r="K244" s="10"/>
      <c r="L244" s="17" t="s">
        <v>1239</v>
      </c>
      <c r="M244" s="10"/>
      <c r="N244" s="10"/>
      <c r="O244" s="10"/>
      <c r="P244" s="18" t="s">
        <v>1285</v>
      </c>
      <c r="Q244" s="18" t="s">
        <v>1332</v>
      </c>
      <c r="R244" s="17" t="s">
        <v>1379</v>
      </c>
      <c r="S244" s="14">
        <v>32</v>
      </c>
      <c r="T244" s="3" t="s">
        <v>1024</v>
      </c>
      <c r="U244" s="17" t="s">
        <v>1408</v>
      </c>
      <c r="X244" s="7">
        <f t="shared" si="40"/>
        <v>0</v>
      </c>
      <c r="Y244" s="7">
        <f t="shared" si="41"/>
        <v>7</v>
      </c>
      <c r="Z244" s="7">
        <f t="shared" si="42"/>
        <v>7</v>
      </c>
      <c r="AA244" s="37">
        <v>0</v>
      </c>
      <c r="AB244" s="33">
        <f t="shared" si="44"/>
        <v>7</v>
      </c>
      <c r="AC244" s="8">
        <f>AL244/12</f>
        <v>0.5</v>
      </c>
      <c r="AD244" s="7">
        <f>MOD(AL244,12)</f>
        <v>6</v>
      </c>
      <c r="AE244" s="35">
        <v>0</v>
      </c>
      <c r="AF244" s="10">
        <v>7</v>
      </c>
      <c r="AG244" s="38">
        <v>2</v>
      </c>
      <c r="AH244" s="32">
        <v>1</v>
      </c>
      <c r="AI244" s="37">
        <f t="shared" si="47"/>
        <v>1.0833333333333333</v>
      </c>
      <c r="AJ244" s="37">
        <f t="shared" si="48"/>
        <v>1</v>
      </c>
      <c r="AK244" s="7">
        <f t="shared" si="49"/>
        <v>13</v>
      </c>
      <c r="AL244" s="7">
        <f t="shared" si="39"/>
        <v>6</v>
      </c>
      <c r="AQ244" s="11" t="s">
        <v>71</v>
      </c>
      <c r="CH244" s="11" t="s">
        <v>71</v>
      </c>
      <c r="CR244" s="22" t="s">
        <v>1380</v>
      </c>
    </row>
    <row r="245" spans="1:96" ht="24.75" hidden="1" x14ac:dyDescent="0.2">
      <c r="A245" s="3">
        <v>241</v>
      </c>
      <c r="B245" s="3" t="s">
        <v>1448</v>
      </c>
      <c r="C245" s="17" t="s">
        <v>90</v>
      </c>
      <c r="D245" s="17" t="s">
        <v>1414</v>
      </c>
      <c r="E245" s="17" t="s">
        <v>1415</v>
      </c>
      <c r="F245" s="17" t="s">
        <v>1417</v>
      </c>
      <c r="G245" s="10"/>
      <c r="H245" s="11" t="s">
        <v>71</v>
      </c>
      <c r="J245" s="11" t="s">
        <v>71</v>
      </c>
      <c r="K245" s="10"/>
      <c r="L245" s="17" t="s">
        <v>1223</v>
      </c>
      <c r="M245" s="10"/>
      <c r="N245" s="10"/>
      <c r="O245" s="10"/>
      <c r="P245" s="18" t="s">
        <v>1416</v>
      </c>
      <c r="Q245" s="18" t="s">
        <v>1419</v>
      </c>
      <c r="R245" s="17" t="s">
        <v>1418</v>
      </c>
      <c r="S245" s="14">
        <v>35</v>
      </c>
      <c r="T245" s="3" t="s">
        <v>1450</v>
      </c>
      <c r="U245" s="17" t="s">
        <v>1055</v>
      </c>
      <c r="X245" s="7">
        <f t="shared" si="40"/>
        <v>0</v>
      </c>
      <c r="Y245" s="7">
        <f t="shared" si="41"/>
        <v>8</v>
      </c>
      <c r="Z245" s="7">
        <f t="shared" si="42"/>
        <v>8</v>
      </c>
      <c r="AA245" s="37">
        <v>0</v>
      </c>
      <c r="AB245" s="33">
        <f t="shared" si="44"/>
        <v>8</v>
      </c>
      <c r="AC245" s="8">
        <f>AL245/12</f>
        <v>0.5</v>
      </c>
      <c r="AD245" s="7">
        <f>MOD(AL245,12)</f>
        <v>6</v>
      </c>
      <c r="AE245" s="35">
        <v>0</v>
      </c>
      <c r="AF245" s="10">
        <v>8</v>
      </c>
      <c r="AG245" s="38">
        <v>2</v>
      </c>
      <c r="AH245" s="32">
        <v>2</v>
      </c>
      <c r="AI245" s="37">
        <f t="shared" si="47"/>
        <v>1.1666666666666667</v>
      </c>
      <c r="AJ245" s="37">
        <f t="shared" si="48"/>
        <v>2</v>
      </c>
      <c r="AK245" s="7">
        <f t="shared" si="49"/>
        <v>14</v>
      </c>
      <c r="AL245" s="7">
        <f t="shared" si="39"/>
        <v>6</v>
      </c>
      <c r="AQ245" s="11" t="s">
        <v>71</v>
      </c>
      <c r="BE245" s="11" t="s">
        <v>71</v>
      </c>
      <c r="CH245" s="11"/>
      <c r="CR245" s="22" t="s">
        <v>1385</v>
      </c>
    </row>
  </sheetData>
  <autoFilter ref="A4:DD245" xr:uid="{3D0FB668-D5CA-4B22-B772-71932FE38716}">
    <filterColumn colId="2">
      <filters>
        <filter val="شهید مطهری"/>
        <filter val="مطهری"/>
      </filters>
    </filterColumn>
    <sortState xmlns:xlrd2="http://schemas.microsoft.com/office/spreadsheetml/2017/richdata2" ref="A7:DD245">
      <sortCondition ref="A4:A245"/>
    </sortState>
  </autoFilter>
  <mergeCells count="61">
    <mergeCell ref="M3:O3"/>
    <mergeCell ref="T3:T4"/>
    <mergeCell ref="U3:U4"/>
    <mergeCell ref="A1:DC1"/>
    <mergeCell ref="A2:A4"/>
    <mergeCell ref="B2:B4"/>
    <mergeCell ref="C2:C4"/>
    <mergeCell ref="D2:D4"/>
    <mergeCell ref="E2:E4"/>
    <mergeCell ref="F2:F4"/>
    <mergeCell ref="G2:H3"/>
    <mergeCell ref="I2:K3"/>
    <mergeCell ref="L2:L4"/>
    <mergeCell ref="M2:O2"/>
    <mergeCell ref="P2:P4"/>
    <mergeCell ref="Q2:Q4"/>
    <mergeCell ref="R2:R4"/>
    <mergeCell ref="S2:S4"/>
    <mergeCell ref="DA2:DC3"/>
    <mergeCell ref="DD2:DD4"/>
    <mergeCell ref="V2:W2"/>
    <mergeCell ref="AM2:AS2"/>
    <mergeCell ref="AT2:CA2"/>
    <mergeCell ref="CB2:CQ2"/>
    <mergeCell ref="CR2:CT2"/>
    <mergeCell ref="AM3:AM4"/>
    <mergeCell ref="CU2:CU4"/>
    <mergeCell ref="CV2:CW3"/>
    <mergeCell ref="CX2:CX4"/>
    <mergeCell ref="CY2:CZ3"/>
    <mergeCell ref="T2:U2"/>
    <mergeCell ref="V3:V4"/>
    <mergeCell ref="W3:W4"/>
    <mergeCell ref="AA3:AB3"/>
    <mergeCell ref="AC3:AD3"/>
    <mergeCell ref="AR3:AR4"/>
    <mergeCell ref="AE3:AF3"/>
    <mergeCell ref="AI3:AJ3"/>
    <mergeCell ref="CN3:CQ3"/>
    <mergeCell ref="CR3:CR4"/>
    <mergeCell ref="CS3:CS4"/>
    <mergeCell ref="CT3:CT4"/>
    <mergeCell ref="BR3:BU3"/>
    <mergeCell ref="BV3:BY3"/>
    <mergeCell ref="BZ3:CA3"/>
    <mergeCell ref="CB3:CE3"/>
    <mergeCell ref="CF3:CI3"/>
    <mergeCell ref="CJ3:CM3"/>
    <mergeCell ref="AA2:AJ2"/>
    <mergeCell ref="AG3:AH3"/>
    <mergeCell ref="BN3:BQ3"/>
    <mergeCell ref="AN3:AN4"/>
    <mergeCell ref="AO3:AO4"/>
    <mergeCell ref="AP3:AP4"/>
    <mergeCell ref="AQ3:AQ4"/>
    <mergeCell ref="BF3:BI3"/>
    <mergeCell ref="BJ3:BM3"/>
    <mergeCell ref="AS3:AS4"/>
    <mergeCell ref="AT3:AW3"/>
    <mergeCell ref="AX3:BA3"/>
    <mergeCell ref="BB3:BE3"/>
  </mergeCells>
  <dataValidations disablePrompts="1" count="1">
    <dataValidation type="textLength" operator="equal" allowBlank="1" showInputMessage="1" showErrorMessage="1" sqref="P197:P204" xr:uid="{8DCB99D1-DA8B-49EC-887F-D09C2D980F7D}">
      <formula1>10</formula1>
    </dataValidation>
  </dataValidations>
  <printOptions horizontalCentered="1"/>
  <pageMargins left="0" right="0" top="0.75" bottom="0.75" header="0.3" footer="0.3"/>
  <pageSetup scale="1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مرداد 1405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2026-08-24T09:09:51Z</dcterms:modified>
</cp:coreProperties>
</file>