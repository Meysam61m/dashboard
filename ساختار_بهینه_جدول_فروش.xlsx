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زارش تجمیعی و تحلیلی" sheetId="1" state="visible" r:id="rId1"/>
    <sheet xmlns:r="http://schemas.openxmlformats.org/officeDocument/2006/relationships" name="پایگاه داده (Database_Read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6">
    <font>
      <name val="Calibri"/>
      <family val="2"/>
      <color theme="1"/>
      <sz val="11"/>
      <scheme val="minor"/>
    </font>
    <font>
      <name val="B Nazanin"/>
      <b val="1"/>
      <color rgb="001F4E78"/>
      <sz val="14"/>
    </font>
    <font>
      <name val="B Nazanin"/>
      <b val="1"/>
      <color rgb="00FFFFFF"/>
      <sz val="11"/>
    </font>
    <font>
      <name val="B Nazanin"/>
      <b val="1"/>
      <color rgb="00000000"/>
      <sz val="10"/>
    </font>
    <font>
      <name val="B Nazanin"/>
      <sz val="10"/>
    </font>
    <font>
      <name val="B Nazanin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rightToLeft="1" workbookViewId="0">
      <selection activeCell="A1" sqref="A1"/>
    </sheetView>
  </sheetViews>
  <sheetFormatPr baseColWidth="8" defaultRowHeight="15"/>
  <cols>
    <col width="79" customWidth="1" min="1" max="1"/>
    <col width="29" customWidth="1" min="2" max="2"/>
    <col width="15" customWidth="1" min="3" max="3"/>
    <col width="32" customWidth="1" min="4" max="4"/>
    <col width="23" customWidth="1" min="5" max="5"/>
    <col width="32" customWidth="1" min="6" max="6"/>
    <col width="29" customWidth="1" min="7" max="7"/>
    <col width="33" customWidth="1" min="8" max="8"/>
    <col width="29" customWidth="1" min="9" max="9"/>
    <col width="23" customWidth="1" min="10" max="10"/>
    <col width="30" customWidth="1" min="11" max="11"/>
    <col width="56" customWidth="1" min="12" max="12"/>
    <col width="38" customWidth="1" min="13" max="13"/>
    <col width="35" customWidth="1" min="14" max="14"/>
    <col width="35" customWidth="1" min="15" max="15"/>
  </cols>
  <sheetData>
    <row r="1"/>
    <row r="2">
      <c r="A2" s="1" t="inlineStr">
        <is>
          <t>جدول فروش و مقایسه عملکرد و بودجه خدمات - ۳ ماهه اول سال ۱۴۰۳ (مجتمع نمونه)</t>
        </is>
      </c>
    </row>
    <row r="3"/>
    <row r="4">
      <c r="A4" s="2" t="inlineStr">
        <is>
          <t>بخش</t>
        </is>
      </c>
      <c r="B4" s="2" t="inlineStr">
        <is>
          <t>شرح خدمات</t>
        </is>
      </c>
      <c r="C4" s="2" t="inlineStr">
        <is>
          <t>واحد سنجش</t>
        </is>
      </c>
      <c r="D4" s="2" t="inlineStr">
        <is>
          <t>عملکرد ۳ ماهه سال قبل (۱۴۰۲)</t>
        </is>
      </c>
      <c r="E4" s="2" t="n"/>
      <c r="F4" s="2" t="inlineStr">
        <is>
          <t>بودجه ۳ ماهه سال جاری (۱۴۰۳)</t>
        </is>
      </c>
      <c r="G4" s="2" t="n"/>
      <c r="H4" s="2" t="inlineStr">
        <is>
          <t>عملکرد ۳ ماهه سال جاری (۱۴۰۳)</t>
        </is>
      </c>
      <c r="I4" s="2" t="n"/>
      <c r="J4" s="2" t="n"/>
      <c r="K4" s="2" t="inlineStr">
        <is>
          <t>درصد تحقق بودجه درآمدی (%)</t>
        </is>
      </c>
      <c r="L4" s="2" t="inlineStr">
        <is>
          <t>انحراف مقدار نسبت به سال قبل</t>
        </is>
      </c>
      <c r="M4" s="2" t="inlineStr">
        <is>
          <t>انحراف درآمد نسبت به سال قبل (م.ر)</t>
        </is>
      </c>
      <c r="N4" s="2" t="inlineStr">
        <is>
          <t>رشد مقداری نسبت به سال قبل (%)</t>
        </is>
      </c>
      <c r="O4" s="2" t="inlineStr">
        <is>
          <t>رشد درآمدی نسبت به سال قبل (%)</t>
        </is>
      </c>
    </row>
    <row r="5">
      <c r="A5" s="3" t="n"/>
      <c r="B5" s="3" t="n"/>
      <c r="C5" s="3" t="n"/>
      <c r="D5" s="3" t="inlineStr">
        <is>
          <t>مقدار عملیاتی</t>
        </is>
      </c>
      <c r="E5" s="3" t="inlineStr">
        <is>
          <t>درآمد (میلیون ریال)</t>
        </is>
      </c>
      <c r="F5" s="3" t="inlineStr">
        <is>
          <t>بودجه عملیاتی</t>
        </is>
      </c>
      <c r="G5" s="3" t="inlineStr">
        <is>
          <t>بودجه درآمد (میلیون ریال)</t>
        </is>
      </c>
      <c r="H5" s="3" t="inlineStr">
        <is>
          <t>مقدار عملیاتی</t>
        </is>
      </c>
      <c r="I5" s="3" t="inlineStr">
        <is>
          <t>تحقق مقدار (%)</t>
        </is>
      </c>
      <c r="J5" s="3" t="inlineStr">
        <is>
          <t>درآمد (میلیون ریال)</t>
        </is>
      </c>
      <c r="K5" s="3" t="n"/>
      <c r="L5" s="3" t="n"/>
      <c r="M5" s="3" t="n"/>
      <c r="N5" s="3" t="n"/>
      <c r="O5" s="3" t="n"/>
    </row>
    <row r="6">
      <c r="A6" s="4" t="inlineStr">
        <is>
          <t>واردات</t>
        </is>
      </c>
      <c r="B6" s="4" t="inlineStr">
        <is>
          <t>انبارداری</t>
        </is>
      </c>
      <c r="C6" s="4" t="inlineStr">
        <is>
          <t>تن</t>
        </is>
      </c>
      <c r="D6" s="5" t="n">
        <v>9670.299999999999</v>
      </c>
      <c r="E6" s="5" t="n">
        <v>244121.8</v>
      </c>
      <c r="F6" s="5" t="n">
        <v>10022.7</v>
      </c>
      <c r="G6" s="5" t="n">
        <v>327539.4</v>
      </c>
      <c r="H6" s="5" t="n">
        <v>10036</v>
      </c>
      <c r="I6" s="6">
        <f>IFERROR(H6*100/F6,"-")</f>
        <v/>
      </c>
      <c r="J6" s="5" t="n">
        <v>298840.8</v>
      </c>
      <c r="K6" s="6">
        <f>IFERROR(J6*100/G6,"-")</f>
        <v/>
      </c>
      <c r="L6" s="5">
        <f>IF(ISNUMBER(H6),IF(ISNUMBER(D6),H6-D6,"-"),"-")</f>
        <v/>
      </c>
      <c r="M6" s="5">
        <f>J6-E6</f>
        <v/>
      </c>
      <c r="N6" s="6">
        <f>IFERROR((H6-D6)*100/D6,"-")</f>
        <v/>
      </c>
      <c r="O6" s="6">
        <f>IFERROR((J6-E6)*100/E6,"-")</f>
        <v/>
      </c>
    </row>
    <row r="7">
      <c r="A7" s="4" t="inlineStr">
        <is>
          <t>واردات</t>
        </is>
      </c>
      <c r="B7" s="4" t="inlineStr">
        <is>
          <t>میانگین مدت ماندگاری کالا</t>
        </is>
      </c>
      <c r="C7" s="4" t="inlineStr">
        <is>
          <t>روز</t>
        </is>
      </c>
      <c r="D7" s="5" t="n">
        <v>38.4</v>
      </c>
      <c r="E7" s="5" t="n">
        <v>0</v>
      </c>
      <c r="F7" s="5" t="n">
        <v>45.1</v>
      </c>
      <c r="G7" s="5" t="n">
        <v>0</v>
      </c>
      <c r="H7" s="5" t="n">
        <v>42</v>
      </c>
      <c r="I7" s="6">
        <f>IFERROR(H7*100/F7,"-")</f>
        <v/>
      </c>
      <c r="J7" s="5" t="n">
        <v>0</v>
      </c>
      <c r="K7" s="6">
        <f>IFERROR(J7*100/G7,"-")</f>
        <v/>
      </c>
      <c r="L7" s="5">
        <f>IF(ISNUMBER(H7),IF(ISNUMBER(D7),H7-D7,"-"),"-")</f>
        <v/>
      </c>
      <c r="M7" s="5">
        <f>J7-E7</f>
        <v/>
      </c>
      <c r="N7" s="6">
        <f>IFERROR((H7-D7)*100/D7,"-")</f>
        <v/>
      </c>
      <c r="O7" s="6">
        <f>IFERROR((J7-E7)*100/E7,"-")</f>
        <v/>
      </c>
    </row>
    <row r="8">
      <c r="A8" s="4" t="inlineStr">
        <is>
          <t>واردات</t>
        </is>
      </c>
      <c r="B8" s="4" t="inlineStr">
        <is>
          <t>انبارداری (ماندگاری)</t>
        </is>
      </c>
      <c r="C8" s="4" t="inlineStr">
        <is>
          <t>تن روز</t>
        </is>
      </c>
      <c r="D8" s="5" t="n">
        <v>85929.10000000001</v>
      </c>
      <c r="E8" s="5" t="n">
        <v>0</v>
      </c>
      <c r="F8" s="5" t="n">
        <v>94483.5</v>
      </c>
      <c r="G8" s="5" t="n">
        <v>0</v>
      </c>
      <c r="H8" s="5" t="n">
        <v>96277</v>
      </c>
      <c r="I8" s="6">
        <f>IFERROR(H8*100/F8,"-")</f>
        <v/>
      </c>
      <c r="J8" s="5" t="n">
        <v>0</v>
      </c>
      <c r="K8" s="6">
        <f>IFERROR(J8*100/G8,"-")</f>
        <v/>
      </c>
      <c r="L8" s="5">
        <f>IF(ISNUMBER(H8),IF(ISNUMBER(D8),H8-D8,"-"),"-")</f>
        <v/>
      </c>
      <c r="M8" s="5">
        <f>J8-E8</f>
        <v/>
      </c>
      <c r="N8" s="6">
        <f>IFERROR((H8-D8)*100/D8,"-")</f>
        <v/>
      </c>
      <c r="O8" s="6">
        <f>IFERROR((J8-E8)*100/E8,"-")</f>
        <v/>
      </c>
    </row>
    <row r="9">
      <c r="A9" s="4" t="inlineStr">
        <is>
          <t>واردات</t>
        </is>
      </c>
      <c r="B9" s="4" t="inlineStr">
        <is>
          <t>باربری</t>
        </is>
      </c>
      <c r="C9" s="4" t="inlineStr">
        <is>
          <t>تن</t>
        </is>
      </c>
      <c r="D9" s="5" t="n">
        <v>8546.700000000001</v>
      </c>
      <c r="E9" s="5" t="n">
        <v>242265.8</v>
      </c>
      <c r="F9" s="5" t="n">
        <v>10266.7</v>
      </c>
      <c r="G9" s="5" t="n">
        <v>298078.3</v>
      </c>
      <c r="H9" s="5" t="n">
        <v>9882</v>
      </c>
      <c r="I9" s="6">
        <f>IFERROR(H9*100/F9,"-")</f>
        <v/>
      </c>
      <c r="J9" s="5" t="n">
        <v>291133.4</v>
      </c>
      <c r="K9" s="6">
        <f>IFERROR(J9*100/G9,"-")</f>
        <v/>
      </c>
      <c r="L9" s="5">
        <f>IF(ISNUMBER(H9),IF(ISNUMBER(D9),H9-D9,"-"),"-")</f>
        <v/>
      </c>
      <c r="M9" s="5">
        <f>J9-E9</f>
        <v/>
      </c>
      <c r="N9" s="6">
        <f>IFERROR((H9-D9)*100/D9,"-")</f>
        <v/>
      </c>
      <c r="O9" s="6">
        <f>IFERROR((J9-E9)*100/E9,"-")</f>
        <v/>
      </c>
    </row>
    <row r="10">
      <c r="A10" s="4" t="inlineStr">
        <is>
          <t>واردات</t>
        </is>
      </c>
      <c r="B10" s="4" t="inlineStr">
        <is>
          <t>حمل یکسره</t>
        </is>
      </c>
      <c r="C10" s="4" t="inlineStr">
        <is>
          <t>تن</t>
        </is>
      </c>
      <c r="D10" s="5" t="n">
        <v>6859.1</v>
      </c>
      <c r="E10" s="5" t="n">
        <v>175441.9</v>
      </c>
      <c r="F10" s="5" t="n">
        <v>7196.4</v>
      </c>
      <c r="G10" s="5" t="n">
        <v>198511.6</v>
      </c>
      <c r="H10" s="5" t="n">
        <v>6962</v>
      </c>
      <c r="I10" s="6">
        <f>IFERROR(H10*100/F10,"-")</f>
        <v/>
      </c>
      <c r="J10" s="5" t="n">
        <v>204017.5</v>
      </c>
      <c r="K10" s="6">
        <f>IFERROR(J10*100/G10,"-")</f>
        <v/>
      </c>
      <c r="L10" s="5">
        <f>IF(ISNUMBER(H10),IF(ISNUMBER(D10),H10-D10,"-"),"-")</f>
        <v/>
      </c>
      <c r="M10" s="5">
        <f>J10-E10</f>
        <v/>
      </c>
      <c r="N10" s="6">
        <f>IFERROR((H10-D10)*100/D10,"-")</f>
        <v/>
      </c>
      <c r="O10" s="6">
        <f>IFERROR((J10-E10)*100/E10,"-")</f>
        <v/>
      </c>
    </row>
    <row r="11">
      <c r="A11" s="4" t="inlineStr">
        <is>
          <t>واردات</t>
        </is>
      </c>
      <c r="B11" s="4" t="inlineStr">
        <is>
          <t>ترانشیپ</t>
        </is>
      </c>
      <c r="C11" s="4" t="inlineStr">
        <is>
          <t>تن</t>
        </is>
      </c>
      <c r="D11" s="5" t="n">
        <v>8224.4</v>
      </c>
      <c r="E11" s="5" t="n">
        <v>176642.2</v>
      </c>
      <c r="F11" s="5" t="n">
        <v>9685.4</v>
      </c>
      <c r="G11" s="5" t="n">
        <v>220969.3</v>
      </c>
      <c r="H11" s="5" t="n">
        <v>9420</v>
      </c>
      <c r="I11" s="6">
        <f>IFERROR(H11*100/F11,"-")</f>
        <v/>
      </c>
      <c r="J11" s="5" t="n">
        <v>217971.3</v>
      </c>
      <c r="K11" s="6">
        <f>IFERROR(J11*100/G11,"-")</f>
        <v/>
      </c>
      <c r="L11" s="5">
        <f>IF(ISNUMBER(H11),IF(ISNUMBER(D11),H11-D11,"-"),"-")</f>
        <v/>
      </c>
      <c r="M11" s="5">
        <f>J11-E11</f>
        <v/>
      </c>
      <c r="N11" s="6">
        <f>IFERROR((H11-D11)*100/D11,"-")</f>
        <v/>
      </c>
      <c r="O11" s="6">
        <f>IFERROR((J11-E11)*100/E11,"-")</f>
        <v/>
      </c>
    </row>
    <row r="12">
      <c r="A12" s="4" t="inlineStr">
        <is>
          <t>واردات</t>
        </is>
      </c>
      <c r="B12" s="4" t="inlineStr">
        <is>
          <t>خدمات باربری و جانبی</t>
        </is>
      </c>
      <c r="C12" s="4" t="inlineStr">
        <is>
          <t>میلیون ریال</t>
        </is>
      </c>
      <c r="D12" s="5" t="inlineStr">
        <is>
          <t>-</t>
        </is>
      </c>
      <c r="E12" s="5" t="n">
        <v>5358.2</v>
      </c>
      <c r="F12" s="5" t="inlineStr">
        <is>
          <t>-</t>
        </is>
      </c>
      <c r="G12" s="5" t="n">
        <v>6281.4</v>
      </c>
      <c r="H12" s="5" t="inlineStr">
        <is>
          <t>-</t>
        </is>
      </c>
      <c r="I12" s="6">
        <f>IFERROR(H12*100/F12,"-")</f>
        <v/>
      </c>
      <c r="J12" s="5" t="n">
        <v>6517.2</v>
      </c>
      <c r="K12" s="6">
        <f>IFERROR(J12*100/G12,"-")</f>
        <v/>
      </c>
      <c r="L12" s="5">
        <f>IF(ISNUMBER(H12),IF(ISNUMBER(D12),H12-D12,"-"),"-")</f>
        <v/>
      </c>
      <c r="M12" s="5">
        <f>J12-E12</f>
        <v/>
      </c>
      <c r="N12" s="6">
        <f>IFERROR((H12-D12)*100/D12,"-")</f>
        <v/>
      </c>
      <c r="O12" s="6">
        <f>IFERROR((J12-E12)*100/E12,"-")</f>
        <v/>
      </c>
    </row>
    <row r="13">
      <c r="A13" s="4" t="inlineStr">
        <is>
          <t>واردات</t>
        </is>
      </c>
      <c r="B13" s="4" t="inlineStr">
        <is>
          <t>بیمه</t>
        </is>
      </c>
      <c r="C13" s="4" t="inlineStr">
        <is>
          <t>میلیون ریال</t>
        </is>
      </c>
      <c r="D13" s="5" t="inlineStr">
        <is>
          <t>-</t>
        </is>
      </c>
      <c r="E13" s="5" t="n">
        <v>3647</v>
      </c>
      <c r="F13" s="5" t="inlineStr">
        <is>
          <t>-</t>
        </is>
      </c>
      <c r="G13" s="5" t="n">
        <v>4086.5</v>
      </c>
      <c r="H13" s="5" t="inlineStr">
        <is>
          <t>-</t>
        </is>
      </c>
      <c r="I13" s="6">
        <f>IFERROR(H13*100/F13,"-")</f>
        <v/>
      </c>
      <c r="J13" s="5" t="n">
        <v>4024.1</v>
      </c>
      <c r="K13" s="6">
        <f>IFERROR(J13*100/G13,"-")</f>
        <v/>
      </c>
      <c r="L13" s="5">
        <f>IF(ISNUMBER(H13),IF(ISNUMBER(D13),H13-D13,"-"),"-")</f>
        <v/>
      </c>
      <c r="M13" s="5">
        <f>J13-E13</f>
        <v/>
      </c>
      <c r="N13" s="6">
        <f>IFERROR((H13-D13)*100/D13,"-")</f>
        <v/>
      </c>
      <c r="O13" s="6">
        <f>IFERROR((J13-E13)*100/E13,"-")</f>
        <v/>
      </c>
    </row>
    <row r="14">
      <c r="A14" s="4" t="inlineStr">
        <is>
          <t>صادرات</t>
        </is>
      </c>
      <c r="B14" s="4" t="inlineStr">
        <is>
          <t>انبارداری</t>
        </is>
      </c>
      <c r="C14" s="4" t="inlineStr">
        <is>
          <t>تن</t>
        </is>
      </c>
      <c r="D14" s="5" t="n">
        <v>7223.5</v>
      </c>
      <c r="E14" s="5" t="n">
        <v>136939.4</v>
      </c>
      <c r="F14" s="5" t="n">
        <v>7639.4</v>
      </c>
      <c r="G14" s="5" t="n">
        <v>170259.9</v>
      </c>
      <c r="H14" s="5" t="n">
        <v>7875</v>
      </c>
      <c r="I14" s="6">
        <f>IFERROR(H14*100/F14,"-")</f>
        <v/>
      </c>
      <c r="J14" s="5" t="n">
        <v>172634.5</v>
      </c>
      <c r="K14" s="6">
        <f>IFERROR(J14*100/G14,"-")</f>
        <v/>
      </c>
      <c r="L14" s="5">
        <f>IF(ISNUMBER(H14),IF(ISNUMBER(D14),H14-D14,"-"),"-")</f>
        <v/>
      </c>
      <c r="M14" s="5">
        <f>J14-E14</f>
        <v/>
      </c>
      <c r="N14" s="6">
        <f>IFERROR((H14-D14)*100/D14,"-")</f>
        <v/>
      </c>
      <c r="O14" s="6">
        <f>IFERROR((J14-E14)*100/E14,"-")</f>
        <v/>
      </c>
    </row>
    <row r="15">
      <c r="A15" s="4" t="inlineStr">
        <is>
          <t>صادرات</t>
        </is>
      </c>
      <c r="B15" s="4" t="inlineStr">
        <is>
          <t>میانگین مدت ماندگاری کالا</t>
        </is>
      </c>
      <c r="C15" s="4" t="inlineStr">
        <is>
          <t>روز</t>
        </is>
      </c>
      <c r="D15" s="5" t="n">
        <v>55.4</v>
      </c>
      <c r="E15" s="5" t="n">
        <v>0</v>
      </c>
      <c r="F15" s="5" t="n">
        <v>62</v>
      </c>
      <c r="G15" s="5" t="n">
        <v>0</v>
      </c>
      <c r="H15" s="5" t="n">
        <v>59.09999999999999</v>
      </c>
      <c r="I15" s="6">
        <f>IFERROR(H15*100/F15,"-")</f>
        <v/>
      </c>
      <c r="J15" s="5" t="n">
        <v>0</v>
      </c>
      <c r="K15" s="6">
        <f>IFERROR(J15*100/G15,"-")</f>
        <v/>
      </c>
      <c r="L15" s="5">
        <f>IF(ISNUMBER(H15),IF(ISNUMBER(D15),H15-D15,"-"),"-")</f>
        <v/>
      </c>
      <c r="M15" s="5">
        <f>J15-E15</f>
        <v/>
      </c>
      <c r="N15" s="6">
        <f>IFERROR((H15-D15)*100/D15,"-")</f>
        <v/>
      </c>
      <c r="O15" s="6">
        <f>IFERROR((J15-E15)*100/E15,"-")</f>
        <v/>
      </c>
    </row>
    <row r="16">
      <c r="A16" s="4" t="inlineStr">
        <is>
          <t>صادرات</t>
        </is>
      </c>
      <c r="B16" s="4" t="inlineStr">
        <is>
          <t>انبارداری (ماندگاری)</t>
        </is>
      </c>
      <c r="C16" s="4" t="inlineStr">
        <is>
          <t>تن روز</t>
        </is>
      </c>
      <c r="D16" s="5" t="n">
        <v>110052.1</v>
      </c>
      <c r="E16" s="5" t="n">
        <v>0</v>
      </c>
      <c r="F16" s="5" t="n">
        <v>129219.9</v>
      </c>
      <c r="G16" s="5" t="n">
        <v>0</v>
      </c>
      <c r="H16" s="5" t="n">
        <v>123111</v>
      </c>
      <c r="I16" s="6">
        <f>IFERROR(H16*100/F16,"-")</f>
        <v/>
      </c>
      <c r="J16" s="5" t="n">
        <v>0</v>
      </c>
      <c r="K16" s="6">
        <f>IFERROR(J16*100/G16,"-")</f>
        <v/>
      </c>
      <c r="L16" s="5">
        <f>IF(ISNUMBER(H16),IF(ISNUMBER(D16),H16-D16,"-"),"-")</f>
        <v/>
      </c>
      <c r="M16" s="5">
        <f>J16-E16</f>
        <v/>
      </c>
      <c r="N16" s="6">
        <f>IFERROR((H16-D16)*100/D16,"-")</f>
        <v/>
      </c>
      <c r="O16" s="6">
        <f>IFERROR((J16-E16)*100/E16,"-")</f>
        <v/>
      </c>
    </row>
    <row r="17">
      <c r="A17" s="4" t="inlineStr">
        <is>
          <t>صادرات</t>
        </is>
      </c>
      <c r="B17" s="4" t="inlineStr">
        <is>
          <t>باربری</t>
        </is>
      </c>
      <c r="C17" s="4" t="inlineStr">
        <is>
          <t>تن</t>
        </is>
      </c>
      <c r="D17" s="5" t="n">
        <v>9091.700000000001</v>
      </c>
      <c r="E17" s="5" t="n">
        <v>183365.9</v>
      </c>
      <c r="F17" s="5" t="n">
        <v>10908.9</v>
      </c>
      <c r="G17" s="5" t="n">
        <v>212695.4</v>
      </c>
      <c r="H17" s="5" t="n">
        <v>10349</v>
      </c>
      <c r="I17" s="6">
        <f>IFERROR(H17*100/F17,"-")</f>
        <v/>
      </c>
      <c r="J17" s="5" t="n">
        <v>209362.8</v>
      </c>
      <c r="K17" s="6">
        <f>IFERROR(J17*100/G17,"-")</f>
        <v/>
      </c>
      <c r="L17" s="5">
        <f>IF(ISNUMBER(H17),IF(ISNUMBER(D17),H17-D17,"-"),"-")</f>
        <v/>
      </c>
      <c r="M17" s="5">
        <f>J17-E17</f>
        <v/>
      </c>
      <c r="N17" s="6">
        <f>IFERROR((H17-D17)*100/D17,"-")</f>
        <v/>
      </c>
      <c r="O17" s="6">
        <f>IFERROR((J17-E17)*100/E17,"-")</f>
        <v/>
      </c>
    </row>
    <row r="18">
      <c r="A18" s="4" t="inlineStr">
        <is>
          <t>صادرات</t>
        </is>
      </c>
      <c r="B18" s="4" t="inlineStr">
        <is>
          <t>حمل یکسره</t>
        </is>
      </c>
      <c r="C18" s="4" t="inlineStr">
        <is>
          <t>تن</t>
        </is>
      </c>
      <c r="D18" s="5" t="n">
        <v>6579.2</v>
      </c>
      <c r="E18" s="5" t="n">
        <v>119660</v>
      </c>
      <c r="F18" s="5" t="n">
        <v>6802.3</v>
      </c>
      <c r="G18" s="5" t="n">
        <v>162055.3</v>
      </c>
      <c r="H18" s="5" t="n">
        <v>6693</v>
      </c>
      <c r="I18" s="6">
        <f>IFERROR(H18*100/F18,"-")</f>
        <v/>
      </c>
      <c r="J18" s="5" t="n">
        <v>150276.5</v>
      </c>
      <c r="K18" s="6">
        <f>IFERROR(J18*100/G18,"-")</f>
        <v/>
      </c>
      <c r="L18" s="5">
        <f>IF(ISNUMBER(H18),IF(ISNUMBER(D18),H18-D18,"-"),"-")</f>
        <v/>
      </c>
      <c r="M18" s="5">
        <f>J18-E18</f>
        <v/>
      </c>
      <c r="N18" s="6">
        <f>IFERROR((H18-D18)*100/D18,"-")</f>
        <v/>
      </c>
      <c r="O18" s="6">
        <f>IFERROR((J18-E18)*100/E18,"-")</f>
        <v/>
      </c>
    </row>
    <row r="19">
      <c r="A19" s="4" t="inlineStr">
        <is>
          <t>صادرات</t>
        </is>
      </c>
      <c r="B19" s="4" t="inlineStr">
        <is>
          <t>ترانشیپ</t>
        </is>
      </c>
      <c r="C19" s="4" t="inlineStr">
        <is>
          <t>تن</t>
        </is>
      </c>
      <c r="D19" s="5" t="n">
        <v>8023.8</v>
      </c>
      <c r="E19" s="5" t="n">
        <v>186795.7</v>
      </c>
      <c r="F19" s="5" t="n">
        <v>8380.199999999999</v>
      </c>
      <c r="G19" s="5" t="n">
        <v>208624.3</v>
      </c>
      <c r="H19" s="5" t="n">
        <v>8908</v>
      </c>
      <c r="I19" s="6">
        <f>IFERROR(H19*100/F19,"-")</f>
        <v/>
      </c>
      <c r="J19" s="5" t="n">
        <v>217488.4</v>
      </c>
      <c r="K19" s="6">
        <f>IFERROR(J19*100/G19,"-")</f>
        <v/>
      </c>
      <c r="L19" s="5">
        <f>IF(ISNUMBER(H19),IF(ISNUMBER(D19),H19-D19,"-"),"-")</f>
        <v/>
      </c>
      <c r="M19" s="5">
        <f>J19-E19</f>
        <v/>
      </c>
      <c r="N19" s="6">
        <f>IFERROR((H19-D19)*100/D19,"-")</f>
        <v/>
      </c>
      <c r="O19" s="6">
        <f>IFERROR((J19-E19)*100/E19,"-")</f>
        <v/>
      </c>
    </row>
    <row r="20">
      <c r="A20" s="4" t="inlineStr">
        <is>
          <t>صادرات</t>
        </is>
      </c>
      <c r="B20" s="4" t="inlineStr">
        <is>
          <t>خدمات باربری و جانبی</t>
        </is>
      </c>
      <c r="C20" s="4" t="inlineStr">
        <is>
          <t>میلیون ریال</t>
        </is>
      </c>
      <c r="D20" s="5" t="inlineStr">
        <is>
          <t>-</t>
        </is>
      </c>
      <c r="E20" s="5" t="n">
        <v>7311.799999999999</v>
      </c>
      <c r="F20" s="5" t="inlineStr">
        <is>
          <t>-</t>
        </is>
      </c>
      <c r="G20" s="5" t="n">
        <v>9373.700000000001</v>
      </c>
      <c r="H20" s="5" t="inlineStr">
        <is>
          <t>-</t>
        </is>
      </c>
      <c r="I20" s="6">
        <f>IFERROR(H20*100/F20,"-")</f>
        <v/>
      </c>
      <c r="J20" s="5" t="n">
        <v>8890.1</v>
      </c>
      <c r="K20" s="6">
        <f>IFERROR(J20*100/G20,"-")</f>
        <v/>
      </c>
      <c r="L20" s="5">
        <f>IF(ISNUMBER(H20),IF(ISNUMBER(D20),H20-D20,"-"),"-")</f>
        <v/>
      </c>
      <c r="M20" s="5">
        <f>J20-E20</f>
        <v/>
      </c>
      <c r="N20" s="6">
        <f>IFERROR((H20-D20)*100/D20,"-")</f>
        <v/>
      </c>
      <c r="O20" s="6">
        <f>IFERROR((J20-E20)*100/E20,"-")</f>
        <v/>
      </c>
    </row>
    <row r="21">
      <c r="A21" s="4" t="inlineStr">
        <is>
          <t>صادرات</t>
        </is>
      </c>
      <c r="B21" s="4" t="inlineStr">
        <is>
          <t>بیمه</t>
        </is>
      </c>
      <c r="C21" s="4" t="inlineStr">
        <is>
          <t>میلیون ریال</t>
        </is>
      </c>
      <c r="D21" s="5" t="inlineStr">
        <is>
          <t>-</t>
        </is>
      </c>
      <c r="E21" s="5" t="n">
        <v>4048</v>
      </c>
      <c r="F21" s="5" t="inlineStr">
        <is>
          <t>-</t>
        </is>
      </c>
      <c r="G21" s="5" t="n">
        <v>4871.6</v>
      </c>
      <c r="H21" s="5" t="inlineStr">
        <is>
          <t>-</t>
        </is>
      </c>
      <c r="I21" s="6">
        <f>IFERROR(H21*100/F21,"-")</f>
        <v/>
      </c>
      <c r="J21" s="5" t="n">
        <v>4833.2</v>
      </c>
      <c r="K21" s="6">
        <f>IFERROR(J21*100/G21,"-")</f>
        <v/>
      </c>
      <c r="L21" s="5">
        <f>IF(ISNUMBER(H21),IF(ISNUMBER(D21),H21-D21,"-"),"-")</f>
        <v/>
      </c>
      <c r="M21" s="5">
        <f>J21-E21</f>
        <v/>
      </c>
      <c r="N21" s="6">
        <f>IFERROR((H21-D21)*100/D21,"-")</f>
        <v/>
      </c>
      <c r="O21" s="6">
        <f>IFERROR((J21-E21)*100/E21,"-")</f>
        <v/>
      </c>
    </row>
    <row r="22">
      <c r="A22" s="4" t="inlineStr">
        <is>
          <t>حمل و نقل</t>
        </is>
      </c>
      <c r="B22" s="4" t="inlineStr">
        <is>
          <t>داخلی (صدور بارنامه)</t>
        </is>
      </c>
      <c r="C22" s="4" t="inlineStr">
        <is>
          <t>فقره</t>
        </is>
      </c>
      <c r="D22" s="5" t="n">
        <v>5654.4</v>
      </c>
      <c r="E22" s="5" t="n">
        <v>100609</v>
      </c>
      <c r="F22" s="5" t="n">
        <v>6379</v>
      </c>
      <c r="G22" s="5" t="n">
        <v>116479</v>
      </c>
      <c r="H22" s="5" t="n">
        <v>5899</v>
      </c>
      <c r="I22" s="6">
        <f>IFERROR(H22*100/F22,"-")</f>
        <v/>
      </c>
      <c r="J22" s="5" t="n">
        <v>119244.5</v>
      </c>
      <c r="K22" s="6">
        <f>IFERROR(J22*100/G22,"-")</f>
        <v/>
      </c>
      <c r="L22" s="5">
        <f>IF(ISNUMBER(H22),IF(ISNUMBER(D22),H22-D22,"-"),"-")</f>
        <v/>
      </c>
      <c r="M22" s="5">
        <f>J22-E22</f>
        <v/>
      </c>
      <c r="N22" s="6">
        <f>IFERROR((H22-D22)*100/D22,"-")</f>
        <v/>
      </c>
      <c r="O22" s="6">
        <f>IFERROR((J22-E22)*100/E22,"-")</f>
        <v/>
      </c>
    </row>
    <row r="23">
      <c r="A23" s="4" t="inlineStr">
        <is>
          <t>حمل و نقل</t>
        </is>
      </c>
      <c r="B23" s="4" t="inlineStr">
        <is>
          <t>داخلی (حمل بار)</t>
        </is>
      </c>
      <c r="C23" s="4" t="inlineStr">
        <is>
          <t>تن</t>
        </is>
      </c>
      <c r="D23" s="5" t="n">
        <v>6653.799999999999</v>
      </c>
      <c r="E23" s="5" t="n">
        <v>169285.5</v>
      </c>
      <c r="F23" s="5" t="n">
        <v>7384.6</v>
      </c>
      <c r="G23" s="5" t="n">
        <v>198128.4</v>
      </c>
      <c r="H23" s="5" t="n">
        <v>7036</v>
      </c>
      <c r="I23" s="6">
        <f>IFERROR(H23*100/F23,"-")</f>
        <v/>
      </c>
      <c r="J23" s="5" t="n">
        <v>195519.2</v>
      </c>
      <c r="K23" s="6">
        <f>IFERROR(J23*100/G23,"-")</f>
        <v/>
      </c>
      <c r="L23" s="5">
        <f>IF(ISNUMBER(H23),IF(ISNUMBER(D23),H23-D23,"-"),"-")</f>
        <v/>
      </c>
      <c r="M23" s="5">
        <f>J23-E23</f>
        <v/>
      </c>
      <c r="N23" s="6">
        <f>IFERROR((H23-D23)*100/D23,"-")</f>
        <v/>
      </c>
      <c r="O23" s="6">
        <f>IFERROR((J23-E23)*100/E23,"-")</f>
        <v/>
      </c>
    </row>
    <row r="24">
      <c r="A24" s="4" t="inlineStr">
        <is>
          <t>حمل و نقل</t>
        </is>
      </c>
      <c r="B24" s="4" t="inlineStr">
        <is>
          <t>بین المللی (صدور بارنامه)</t>
        </is>
      </c>
      <c r="C24" s="4" t="inlineStr">
        <is>
          <t>فقره</t>
        </is>
      </c>
      <c r="D24" s="5" t="n">
        <v>7312.799999999999</v>
      </c>
      <c r="E24" s="5" t="n">
        <v>169996.8</v>
      </c>
      <c r="F24" s="5" t="n">
        <v>8553.200000000001</v>
      </c>
      <c r="G24" s="5" t="n">
        <v>207472.3</v>
      </c>
      <c r="H24" s="5" t="n">
        <v>8177</v>
      </c>
      <c r="I24" s="6">
        <f>IFERROR(H24*100/F24,"-")</f>
        <v/>
      </c>
      <c r="J24" s="5" t="n">
        <v>209954</v>
      </c>
      <c r="K24" s="6">
        <f>IFERROR(J24*100/G24,"-")</f>
        <v/>
      </c>
      <c r="L24" s="5">
        <f>IF(ISNUMBER(H24),IF(ISNUMBER(D24),H24-D24,"-"),"-")</f>
        <v/>
      </c>
      <c r="M24" s="5">
        <f>J24-E24</f>
        <v/>
      </c>
      <c r="N24" s="6">
        <f>IFERROR((H24-D24)*100/D24,"-")</f>
        <v/>
      </c>
      <c r="O24" s="6">
        <f>IFERROR((J24-E24)*100/E24,"-")</f>
        <v/>
      </c>
    </row>
    <row r="25">
      <c r="A25" s="4" t="inlineStr">
        <is>
          <t>حمل و نقل</t>
        </is>
      </c>
      <c r="B25" s="4" t="inlineStr">
        <is>
          <t>بین المللی (حمل بار)</t>
        </is>
      </c>
      <c r="C25" s="4" t="inlineStr">
        <is>
          <t>تن</t>
        </is>
      </c>
      <c r="D25" s="5" t="n">
        <v>11657.2</v>
      </c>
      <c r="E25" s="5" t="n">
        <v>227606.8</v>
      </c>
      <c r="F25" s="5" t="n">
        <v>12645.1</v>
      </c>
      <c r="G25" s="5" t="n">
        <v>280701.3</v>
      </c>
      <c r="H25" s="5" t="n">
        <v>11493</v>
      </c>
      <c r="I25" s="6">
        <f>IFERROR(H25*100/F25,"-")</f>
        <v/>
      </c>
      <c r="J25" s="5" t="n">
        <v>266997.9</v>
      </c>
      <c r="K25" s="6">
        <f>IFERROR(J25*100/G25,"-")</f>
        <v/>
      </c>
      <c r="L25" s="5">
        <f>IF(ISNUMBER(H25),IF(ISNUMBER(D25),H25-D25,"-"),"-")</f>
        <v/>
      </c>
      <c r="M25" s="5">
        <f>J25-E25</f>
        <v/>
      </c>
      <c r="N25" s="6">
        <f>IFERROR((H25-D25)*100/D25,"-")</f>
        <v/>
      </c>
      <c r="O25" s="6">
        <f>IFERROR((J25-E25)*100/E25,"-")</f>
        <v/>
      </c>
    </row>
    <row r="26">
      <c r="A26" s="7" t="inlineStr">
        <is>
          <t>جمع کل درآمدهای عملیاتی</t>
        </is>
      </c>
      <c r="B26" s="7" t="n"/>
      <c r="C26" s="7" t="n"/>
      <c r="D26" s="7" t="inlineStr">
        <is>
          <t>-</t>
        </is>
      </c>
      <c r="E26" s="8">
        <f>SUM(E6:E25)</f>
        <v/>
      </c>
      <c r="F26" s="7" t="inlineStr">
        <is>
          <t>-</t>
        </is>
      </c>
      <c r="G26" s="8">
        <f>SUM(G6:G25)</f>
        <v/>
      </c>
      <c r="H26" s="7" t="inlineStr">
        <is>
          <t>-</t>
        </is>
      </c>
      <c r="I26" s="7" t="inlineStr">
        <is>
          <t>-</t>
        </is>
      </c>
      <c r="J26" s="8">
        <f>SUM(J6:J25)</f>
        <v/>
      </c>
      <c r="K26" s="9">
        <f>IFERROR(J26*100/G26,0)</f>
        <v/>
      </c>
      <c r="L26" s="7" t="inlineStr">
        <is>
          <t>-</t>
        </is>
      </c>
      <c r="M26" s="8">
        <f>J26-E26</f>
        <v/>
      </c>
      <c r="N26" s="7" t="inlineStr">
        <is>
          <t>-</t>
        </is>
      </c>
      <c r="O26" s="9">
        <f>IFERROR((J26-E26)*100/E26,0)</f>
        <v/>
      </c>
    </row>
  </sheetData>
  <mergeCells count="13">
    <mergeCell ref="F4:G4"/>
    <mergeCell ref="M4:M5"/>
    <mergeCell ref="B4:B5"/>
    <mergeCell ref="A2:O2"/>
    <mergeCell ref="C4:C5"/>
    <mergeCell ref="A4:A5"/>
    <mergeCell ref="H4:J4"/>
    <mergeCell ref="K4:K5"/>
    <mergeCell ref="L4:L5"/>
    <mergeCell ref="N4:N5"/>
    <mergeCell ref="O4:O5"/>
    <mergeCell ref="D4:E4"/>
    <mergeCell ref="A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29" customWidth="1" min="5" max="5"/>
    <col width="15" customWidth="1" min="6" max="6"/>
    <col width="16" customWidth="1" min="7" max="7"/>
    <col width="21" customWidth="1" min="8" max="8"/>
    <col width="29" customWidth="1" min="9" max="9"/>
  </cols>
  <sheetData>
    <row r="1">
      <c r="A1" s="10" t="inlineStr">
        <is>
          <t>سال</t>
        </is>
      </c>
      <c r="B1" s="10" t="inlineStr">
        <is>
          <t>ماه</t>
        </is>
      </c>
      <c r="C1" s="10" t="inlineStr">
        <is>
          <t>دوره</t>
        </is>
      </c>
      <c r="D1" s="10" t="inlineStr">
        <is>
          <t>بخش</t>
        </is>
      </c>
      <c r="E1" s="10" t="inlineStr">
        <is>
          <t>شرح_خدمت</t>
        </is>
      </c>
      <c r="F1" s="10" t="inlineStr">
        <is>
          <t>واحد_سنجش</t>
        </is>
      </c>
      <c r="G1" s="10" t="inlineStr">
        <is>
          <t>مقدار_عملکرد</t>
        </is>
      </c>
      <c r="H1" s="10" t="inlineStr">
        <is>
          <t>درآمد_میلیون_ریال</t>
        </is>
      </c>
      <c r="I1" s="10" t="inlineStr">
        <is>
          <t>نوع_رکورد</t>
        </is>
      </c>
    </row>
    <row r="2">
      <c r="A2" s="4" t="n">
        <v>1403</v>
      </c>
      <c r="B2" s="4" t="n">
        <v>1</v>
      </c>
      <c r="C2" s="4" t="inlineStr">
        <is>
          <t>سه ماهه اول</t>
        </is>
      </c>
      <c r="D2" s="4" t="inlineStr">
        <is>
          <t>واردات</t>
        </is>
      </c>
      <c r="E2" s="4" t="inlineStr">
        <is>
          <t>انبارداری</t>
        </is>
      </c>
      <c r="F2" s="4" t="inlineStr">
        <is>
          <t>تن</t>
        </is>
      </c>
      <c r="G2" s="5" t="n">
        <v>3974</v>
      </c>
      <c r="H2" s="5" t="n">
        <v>122919.2</v>
      </c>
      <c r="I2" s="4" t="inlineStr">
        <is>
          <t>عملکرد دوره جاری</t>
        </is>
      </c>
    </row>
    <row r="3">
      <c r="A3" s="4" t="n">
        <v>1403</v>
      </c>
      <c r="B3" s="4" t="n">
        <v>1</v>
      </c>
      <c r="C3" s="4" t="inlineStr">
        <is>
          <t>سه ماهه اول</t>
        </is>
      </c>
      <c r="D3" s="4" t="inlineStr">
        <is>
          <t>واردات</t>
        </is>
      </c>
      <c r="E3" s="4" t="inlineStr">
        <is>
          <t>انبارداری</t>
        </is>
      </c>
      <c r="F3" s="4" t="inlineStr">
        <is>
          <t>تن</t>
        </is>
      </c>
      <c r="G3" s="5" t="n">
        <v>3758.8</v>
      </c>
      <c r="H3" s="5" t="n">
        <v>134587</v>
      </c>
      <c r="I3" s="4" t="inlineStr">
        <is>
          <t>بودجه مصوب دوره</t>
        </is>
      </c>
    </row>
    <row r="4">
      <c r="A4" s="4" t="n">
        <v>1402</v>
      </c>
      <c r="B4" s="4" t="n">
        <v>1</v>
      </c>
      <c r="C4" s="4" t="inlineStr">
        <is>
          <t>سه ماهه اول</t>
        </is>
      </c>
      <c r="D4" s="4" t="inlineStr">
        <is>
          <t>واردات</t>
        </is>
      </c>
      <c r="E4" s="4" t="inlineStr">
        <is>
          <t>انبارداری</t>
        </is>
      </c>
      <c r="F4" s="4" t="inlineStr">
        <is>
          <t>تن</t>
        </is>
      </c>
      <c r="G4" s="5" t="n">
        <v>3890.8</v>
      </c>
      <c r="H4" s="5" t="n">
        <v>103149.7</v>
      </c>
      <c r="I4" s="4" t="inlineStr">
        <is>
          <t>عملکرد دوره مشابه سال قبل</t>
        </is>
      </c>
    </row>
    <row r="5">
      <c r="A5" s="4" t="n">
        <v>1403</v>
      </c>
      <c r="B5" s="4" t="n">
        <v>1</v>
      </c>
      <c r="C5" s="4" t="inlineStr">
        <is>
          <t>سه ماهه اول</t>
        </is>
      </c>
      <c r="D5" s="4" t="inlineStr">
        <is>
          <t>واردات</t>
        </is>
      </c>
      <c r="E5" s="4" t="inlineStr">
        <is>
          <t>میانگین مدت ماندگاری کالا</t>
        </is>
      </c>
      <c r="F5" s="4" t="inlineStr">
        <is>
          <t>روز</t>
        </is>
      </c>
      <c r="G5" s="5" t="n">
        <v>11.5</v>
      </c>
      <c r="H5" s="5" t="n">
        <v>0</v>
      </c>
      <c r="I5" s="4" t="inlineStr">
        <is>
          <t>عملکرد دوره جاری</t>
        </is>
      </c>
    </row>
    <row r="6">
      <c r="A6" s="4" t="n">
        <v>1403</v>
      </c>
      <c r="B6" s="4" t="n">
        <v>1</v>
      </c>
      <c r="C6" s="4" t="inlineStr">
        <is>
          <t>سه ماهه اول</t>
        </is>
      </c>
      <c r="D6" s="4" t="inlineStr">
        <is>
          <t>واردات</t>
        </is>
      </c>
      <c r="E6" s="4" t="inlineStr">
        <is>
          <t>میانگین مدت ماندگاری کالا</t>
        </is>
      </c>
      <c r="F6" s="4" t="inlineStr">
        <is>
          <t>روز</t>
        </is>
      </c>
      <c r="G6" s="5" t="n">
        <v>11.7</v>
      </c>
      <c r="H6" s="5" t="n">
        <v>0</v>
      </c>
      <c r="I6" s="4" t="inlineStr">
        <is>
          <t>بودجه مصوب دوره</t>
        </is>
      </c>
    </row>
    <row r="7">
      <c r="A7" s="4" t="n">
        <v>1402</v>
      </c>
      <c r="B7" s="4" t="n">
        <v>1</v>
      </c>
      <c r="C7" s="4" t="inlineStr">
        <is>
          <t>سه ماهه اول</t>
        </is>
      </c>
      <c r="D7" s="4" t="inlineStr">
        <is>
          <t>واردات</t>
        </is>
      </c>
      <c r="E7" s="4" t="inlineStr">
        <is>
          <t>میانگین مدت ماندگاری کالا</t>
        </is>
      </c>
      <c r="F7" s="4" t="inlineStr">
        <is>
          <t>روز</t>
        </is>
      </c>
      <c r="G7" s="5" t="n">
        <v>10.4</v>
      </c>
      <c r="H7" s="5" t="n">
        <v>0</v>
      </c>
      <c r="I7" s="4" t="inlineStr">
        <is>
          <t>عملکرد دوره مشابه سال قبل</t>
        </is>
      </c>
    </row>
    <row r="8">
      <c r="A8" s="4" t="n">
        <v>1403</v>
      </c>
      <c r="B8" s="4" t="n">
        <v>1</v>
      </c>
      <c r="C8" s="4" t="inlineStr">
        <is>
          <t>سه ماهه اول</t>
        </is>
      </c>
      <c r="D8" s="4" t="inlineStr">
        <is>
          <t>واردات</t>
        </is>
      </c>
      <c r="E8" s="4" t="inlineStr">
        <is>
          <t>انبارداری (ماندگاری)</t>
        </is>
      </c>
      <c r="F8" s="4" t="inlineStr">
        <is>
          <t>تن روز</t>
        </is>
      </c>
      <c r="G8" s="5" t="n">
        <v>31023</v>
      </c>
      <c r="H8" s="5" t="n">
        <v>0</v>
      </c>
      <c r="I8" s="4" t="inlineStr">
        <is>
          <t>عملکرد دوره جاری</t>
        </is>
      </c>
    </row>
    <row r="9">
      <c r="A9" s="4" t="n">
        <v>1403</v>
      </c>
      <c r="B9" s="4" t="n">
        <v>1</v>
      </c>
      <c r="C9" s="4" t="inlineStr">
        <is>
          <t>سه ماهه اول</t>
        </is>
      </c>
      <c r="D9" s="4" t="inlineStr">
        <is>
          <t>واردات</t>
        </is>
      </c>
      <c r="E9" s="4" t="inlineStr">
        <is>
          <t>انبارداری (ماندگاری)</t>
        </is>
      </c>
      <c r="F9" s="4" t="inlineStr">
        <is>
          <t>تن روز</t>
        </is>
      </c>
      <c r="G9" s="5" t="n">
        <v>32968.8</v>
      </c>
      <c r="H9" s="5" t="n">
        <v>0</v>
      </c>
      <c r="I9" s="4" t="inlineStr">
        <is>
          <t>بودجه مصوب دوره</t>
        </is>
      </c>
    </row>
    <row r="10">
      <c r="A10" s="4" t="n">
        <v>1402</v>
      </c>
      <c r="B10" s="4" t="n">
        <v>1</v>
      </c>
      <c r="C10" s="4" t="inlineStr">
        <is>
          <t>سه ماهه اول</t>
        </is>
      </c>
      <c r="D10" s="4" t="inlineStr">
        <is>
          <t>واردات</t>
        </is>
      </c>
      <c r="E10" s="4" t="inlineStr">
        <is>
          <t>انبارداری (ماندگاری)</t>
        </is>
      </c>
      <c r="F10" s="4" t="inlineStr">
        <is>
          <t>تن روز</t>
        </is>
      </c>
      <c r="G10" s="5" t="n">
        <v>25343.4</v>
      </c>
      <c r="H10" s="5" t="n">
        <v>0</v>
      </c>
      <c r="I10" s="4" t="inlineStr">
        <is>
          <t>عملکرد دوره مشابه سال قبل</t>
        </is>
      </c>
    </row>
    <row r="11">
      <c r="A11" s="4" t="n">
        <v>1403</v>
      </c>
      <c r="B11" s="4" t="n">
        <v>1</v>
      </c>
      <c r="C11" s="4" t="inlineStr">
        <is>
          <t>سه ماهه اول</t>
        </is>
      </c>
      <c r="D11" s="4" t="inlineStr">
        <is>
          <t>واردات</t>
        </is>
      </c>
      <c r="E11" s="4" t="inlineStr">
        <is>
          <t>باربری</t>
        </is>
      </c>
      <c r="F11" s="4" t="inlineStr">
        <is>
          <t>تن</t>
        </is>
      </c>
      <c r="G11" s="5" t="n">
        <v>3191</v>
      </c>
      <c r="H11" s="5" t="n">
        <v>100991.5</v>
      </c>
      <c r="I11" s="4" t="inlineStr">
        <is>
          <t>عملکرد دوره جاری</t>
        </is>
      </c>
    </row>
    <row r="12">
      <c r="A12" s="4" t="n">
        <v>1403</v>
      </c>
      <c r="B12" s="4" t="n">
        <v>1</v>
      </c>
      <c r="C12" s="4" t="inlineStr">
        <is>
          <t>سه ماهه اول</t>
        </is>
      </c>
      <c r="D12" s="4" t="inlineStr">
        <is>
          <t>واردات</t>
        </is>
      </c>
      <c r="E12" s="4" t="inlineStr">
        <is>
          <t>باربری</t>
        </is>
      </c>
      <c r="F12" s="4" t="inlineStr">
        <is>
          <t>تن</t>
        </is>
      </c>
      <c r="G12" s="5" t="n">
        <v>3041.3</v>
      </c>
      <c r="H12" s="5" t="n">
        <v>95483</v>
      </c>
      <c r="I12" s="4" t="inlineStr">
        <is>
          <t>بودجه مصوب دوره</t>
        </is>
      </c>
    </row>
    <row r="13">
      <c r="A13" s="4" t="n">
        <v>1402</v>
      </c>
      <c r="B13" s="4" t="n">
        <v>1</v>
      </c>
      <c r="C13" s="4" t="inlineStr">
        <is>
          <t>سه ماهه اول</t>
        </is>
      </c>
      <c r="D13" s="4" t="inlineStr">
        <is>
          <t>واردات</t>
        </is>
      </c>
      <c r="E13" s="4" t="inlineStr">
        <is>
          <t>باربری</t>
        </is>
      </c>
      <c r="F13" s="4" t="inlineStr">
        <is>
          <t>تن</t>
        </is>
      </c>
      <c r="G13" s="5" t="n">
        <v>2728.4</v>
      </c>
      <c r="H13" s="5" t="n">
        <v>81888.8</v>
      </c>
      <c r="I13" s="4" t="inlineStr">
        <is>
          <t>عملکرد دوره مشابه سال قبل</t>
        </is>
      </c>
    </row>
    <row r="14">
      <c r="A14" s="4" t="n">
        <v>1403</v>
      </c>
      <c r="B14" s="4" t="n">
        <v>1</v>
      </c>
      <c r="C14" s="4" t="inlineStr">
        <is>
          <t>سه ماهه اول</t>
        </is>
      </c>
      <c r="D14" s="4" t="inlineStr">
        <is>
          <t>واردات</t>
        </is>
      </c>
      <c r="E14" s="4" t="inlineStr">
        <is>
          <t>حمل یکسره</t>
        </is>
      </c>
      <c r="F14" s="4" t="inlineStr">
        <is>
          <t>تن</t>
        </is>
      </c>
      <c r="G14" s="5" t="n">
        <v>821</v>
      </c>
      <c r="H14" s="5" t="n">
        <v>12431</v>
      </c>
      <c r="I14" s="4" t="inlineStr">
        <is>
          <t>عملکرد دوره جاری</t>
        </is>
      </c>
    </row>
    <row r="15">
      <c r="A15" s="4" t="n">
        <v>1403</v>
      </c>
      <c r="B15" s="4" t="n">
        <v>1</v>
      </c>
      <c r="C15" s="4" t="inlineStr">
        <is>
          <t>سه ماهه اول</t>
        </is>
      </c>
      <c r="D15" s="4" t="inlineStr">
        <is>
          <t>واردات</t>
        </is>
      </c>
      <c r="E15" s="4" t="inlineStr">
        <is>
          <t>حمل یکسره</t>
        </is>
      </c>
      <c r="F15" s="4" t="inlineStr">
        <is>
          <t>تن</t>
        </is>
      </c>
      <c r="G15" s="5" t="n">
        <v>743.6</v>
      </c>
      <c r="H15" s="5" t="n">
        <v>12818.8</v>
      </c>
      <c r="I15" s="4" t="inlineStr">
        <is>
          <t>بودجه مصوب دوره</t>
        </is>
      </c>
    </row>
    <row r="16">
      <c r="A16" s="4" t="n">
        <v>1402</v>
      </c>
      <c r="B16" s="4" t="n">
        <v>1</v>
      </c>
      <c r="C16" s="4" t="inlineStr">
        <is>
          <t>سه ماهه اول</t>
        </is>
      </c>
      <c r="D16" s="4" t="inlineStr">
        <is>
          <t>واردات</t>
        </is>
      </c>
      <c r="E16" s="4" t="inlineStr">
        <is>
          <t>حمل یکسره</t>
        </is>
      </c>
      <c r="F16" s="4" t="inlineStr">
        <is>
          <t>تن</t>
        </is>
      </c>
      <c r="G16" s="5" t="n">
        <v>755.3</v>
      </c>
      <c r="H16" s="5" t="n">
        <v>9439.299999999999</v>
      </c>
      <c r="I16" s="4" t="inlineStr">
        <is>
          <t>عملکرد دوره مشابه سال قبل</t>
        </is>
      </c>
    </row>
    <row r="17">
      <c r="A17" s="4" t="n">
        <v>1403</v>
      </c>
      <c r="B17" s="4" t="n">
        <v>1</v>
      </c>
      <c r="C17" s="4" t="inlineStr">
        <is>
          <t>سه ماهه اول</t>
        </is>
      </c>
      <c r="D17" s="4" t="inlineStr">
        <is>
          <t>واردات</t>
        </is>
      </c>
      <c r="E17" s="4" t="inlineStr">
        <is>
          <t>ترانشیپ</t>
        </is>
      </c>
      <c r="F17" s="4" t="inlineStr">
        <is>
          <t>تن</t>
        </is>
      </c>
      <c r="G17" s="5" t="n">
        <v>3547</v>
      </c>
      <c r="H17" s="5" t="n">
        <v>79194.7</v>
      </c>
      <c r="I17" s="4" t="inlineStr">
        <is>
          <t>عملکرد دوره جاری</t>
        </is>
      </c>
    </row>
    <row r="18">
      <c r="A18" s="4" t="n">
        <v>1403</v>
      </c>
      <c r="B18" s="4" t="n">
        <v>1</v>
      </c>
      <c r="C18" s="4" t="inlineStr">
        <is>
          <t>سه ماهه اول</t>
        </is>
      </c>
      <c r="D18" s="4" t="inlineStr">
        <is>
          <t>واردات</t>
        </is>
      </c>
      <c r="E18" s="4" t="inlineStr">
        <is>
          <t>ترانشیپ</t>
        </is>
      </c>
      <c r="F18" s="4" t="inlineStr">
        <is>
          <t>تن</t>
        </is>
      </c>
      <c r="G18" s="5" t="n">
        <v>3596.7</v>
      </c>
      <c r="H18" s="5" t="n">
        <v>86820.7</v>
      </c>
      <c r="I18" s="4" t="inlineStr">
        <is>
          <t>بودجه مصوب دوره</t>
        </is>
      </c>
    </row>
    <row r="19">
      <c r="A19" s="4" t="n">
        <v>1402</v>
      </c>
      <c r="B19" s="4" t="n">
        <v>1</v>
      </c>
      <c r="C19" s="4" t="inlineStr">
        <is>
          <t>سه ماهه اول</t>
        </is>
      </c>
      <c r="D19" s="4" t="inlineStr">
        <is>
          <t>واردات</t>
        </is>
      </c>
      <c r="E19" s="4" t="inlineStr">
        <is>
          <t>ترانشیپ</t>
        </is>
      </c>
      <c r="F19" s="4" t="inlineStr">
        <is>
          <t>تن</t>
        </is>
      </c>
      <c r="G19" s="5" t="n">
        <v>3050.1</v>
      </c>
      <c r="H19" s="5" t="n">
        <v>67541</v>
      </c>
      <c r="I19" s="4" t="inlineStr">
        <is>
          <t>عملکرد دوره مشابه سال قبل</t>
        </is>
      </c>
    </row>
    <row r="20">
      <c r="A20" s="4" t="n">
        <v>1403</v>
      </c>
      <c r="B20" s="4" t="n">
        <v>1</v>
      </c>
      <c r="C20" s="4" t="inlineStr">
        <is>
          <t>سه ماهه اول</t>
        </is>
      </c>
      <c r="D20" s="4" t="inlineStr">
        <is>
          <t>واردات</t>
        </is>
      </c>
      <c r="E20" s="4" t="inlineStr">
        <is>
          <t>خدمات باربری و جانبی</t>
        </is>
      </c>
      <c r="F20" s="4" t="inlineStr">
        <is>
          <t>میلیون ریال</t>
        </is>
      </c>
      <c r="G20" s="5" t="n">
        <v>0</v>
      </c>
      <c r="H20" s="5" t="n">
        <v>2277.2</v>
      </c>
      <c r="I20" s="4" t="inlineStr">
        <is>
          <t>عملکرد دوره جاری</t>
        </is>
      </c>
    </row>
    <row r="21">
      <c r="A21" s="4" t="n">
        <v>1403</v>
      </c>
      <c r="B21" s="4" t="n">
        <v>1</v>
      </c>
      <c r="C21" s="4" t="inlineStr">
        <is>
          <t>سه ماهه اول</t>
        </is>
      </c>
      <c r="D21" s="4" t="inlineStr">
        <is>
          <t>واردات</t>
        </is>
      </c>
      <c r="E21" s="4" t="inlineStr">
        <is>
          <t>خدمات باربری و جانبی</t>
        </is>
      </c>
      <c r="F21" s="4" t="inlineStr">
        <is>
          <t>میلیون ریال</t>
        </is>
      </c>
      <c r="G21" s="5" t="n">
        <v>0</v>
      </c>
      <c r="H21" s="5" t="n">
        <v>2075.9</v>
      </c>
      <c r="I21" s="4" t="inlineStr">
        <is>
          <t>بودجه مصوب دوره</t>
        </is>
      </c>
    </row>
    <row r="22">
      <c r="A22" s="4" t="n">
        <v>1402</v>
      </c>
      <c r="B22" s="4" t="n">
        <v>1</v>
      </c>
      <c r="C22" s="4" t="inlineStr">
        <is>
          <t>سه ماهه اول</t>
        </is>
      </c>
      <c r="D22" s="4" t="inlineStr">
        <is>
          <t>واردات</t>
        </is>
      </c>
      <c r="E22" s="4" t="inlineStr">
        <is>
          <t>خدمات باربری و جانبی</t>
        </is>
      </c>
      <c r="F22" s="4" t="inlineStr">
        <is>
          <t>میلیون ریال</t>
        </is>
      </c>
      <c r="G22" s="5" t="n">
        <v>0</v>
      </c>
      <c r="H22" s="5" t="n">
        <v>1984.6</v>
      </c>
      <c r="I22" s="4" t="inlineStr">
        <is>
          <t>عملکرد دوره مشابه سال قبل</t>
        </is>
      </c>
    </row>
    <row r="23">
      <c r="A23" s="4" t="n">
        <v>1403</v>
      </c>
      <c r="B23" s="4" t="n">
        <v>1</v>
      </c>
      <c r="C23" s="4" t="inlineStr">
        <is>
          <t>سه ماهه اول</t>
        </is>
      </c>
      <c r="D23" s="4" t="inlineStr">
        <is>
          <t>واردات</t>
        </is>
      </c>
      <c r="E23" s="4" t="inlineStr">
        <is>
          <t>بیمه</t>
        </is>
      </c>
      <c r="F23" s="4" t="inlineStr">
        <is>
          <t>میلیون ریال</t>
        </is>
      </c>
      <c r="G23" s="5" t="n">
        <v>0</v>
      </c>
      <c r="H23" s="5" t="n">
        <v>1011.6</v>
      </c>
      <c r="I23" s="4" t="inlineStr">
        <is>
          <t>عملکرد دوره جاری</t>
        </is>
      </c>
    </row>
    <row r="24">
      <c r="A24" s="4" t="n">
        <v>1403</v>
      </c>
      <c r="B24" s="4" t="n">
        <v>1</v>
      </c>
      <c r="C24" s="4" t="inlineStr">
        <is>
          <t>سه ماهه اول</t>
        </is>
      </c>
      <c r="D24" s="4" t="inlineStr">
        <is>
          <t>واردات</t>
        </is>
      </c>
      <c r="E24" s="4" t="inlineStr">
        <is>
          <t>بیمه</t>
        </is>
      </c>
      <c r="F24" s="4" t="inlineStr">
        <is>
          <t>میلیون ریال</t>
        </is>
      </c>
      <c r="G24" s="5" t="n">
        <v>0</v>
      </c>
      <c r="H24" s="5" t="n">
        <v>926.9</v>
      </c>
      <c r="I24" s="4" t="inlineStr">
        <is>
          <t>بودجه مصوب دوره</t>
        </is>
      </c>
    </row>
    <row r="25">
      <c r="A25" s="4" t="n">
        <v>1402</v>
      </c>
      <c r="B25" s="4" t="n">
        <v>1</v>
      </c>
      <c r="C25" s="4" t="inlineStr">
        <is>
          <t>سه ماهه اول</t>
        </is>
      </c>
      <c r="D25" s="4" t="inlineStr">
        <is>
          <t>واردات</t>
        </is>
      </c>
      <c r="E25" s="4" t="inlineStr">
        <is>
          <t>بیمه</t>
        </is>
      </c>
      <c r="F25" s="4" t="inlineStr">
        <is>
          <t>میلیون ریال</t>
        </is>
      </c>
      <c r="G25" s="5" t="n">
        <v>0</v>
      </c>
      <c r="H25" s="5" t="n">
        <v>950.7</v>
      </c>
      <c r="I25" s="4" t="inlineStr">
        <is>
          <t>عملکرد دوره مشابه سال قبل</t>
        </is>
      </c>
    </row>
    <row r="26">
      <c r="A26" s="4" t="n">
        <v>1403</v>
      </c>
      <c r="B26" s="4" t="n">
        <v>1</v>
      </c>
      <c r="C26" s="4" t="inlineStr">
        <is>
          <t>سه ماهه اول</t>
        </is>
      </c>
      <c r="D26" s="4" t="inlineStr">
        <is>
          <t>صادرات</t>
        </is>
      </c>
      <c r="E26" s="4" t="inlineStr">
        <is>
          <t>انبارداری</t>
        </is>
      </c>
      <c r="F26" s="4" t="inlineStr">
        <is>
          <t>تن</t>
        </is>
      </c>
      <c r="G26" s="5" t="n">
        <v>3163</v>
      </c>
      <c r="H26" s="5" t="n">
        <v>83078.60000000001</v>
      </c>
      <c r="I26" s="4" t="inlineStr">
        <is>
          <t>عملکرد دوره جاری</t>
        </is>
      </c>
    </row>
    <row r="27">
      <c r="A27" s="4" t="n">
        <v>1403</v>
      </c>
      <c r="B27" s="4" t="n">
        <v>1</v>
      </c>
      <c r="C27" s="4" t="inlineStr">
        <is>
          <t>سه ماهه اول</t>
        </is>
      </c>
      <c r="D27" s="4" t="inlineStr">
        <is>
          <t>صادرات</t>
        </is>
      </c>
      <c r="E27" s="4" t="inlineStr">
        <is>
          <t>انبارداری</t>
        </is>
      </c>
      <c r="F27" s="4" t="inlineStr">
        <is>
          <t>تن</t>
        </is>
      </c>
      <c r="G27" s="5" t="n">
        <v>3151.5</v>
      </c>
      <c r="H27" s="5" t="n">
        <v>75102.39999999999</v>
      </c>
      <c r="I27" s="4" t="inlineStr">
        <is>
          <t>بودجه مصوب دوره</t>
        </is>
      </c>
    </row>
    <row r="28">
      <c r="A28" s="4" t="n">
        <v>1402</v>
      </c>
      <c r="B28" s="4" t="n">
        <v>1</v>
      </c>
      <c r="C28" s="4" t="inlineStr">
        <is>
          <t>سه ماهه اول</t>
        </is>
      </c>
      <c r="D28" s="4" t="inlineStr">
        <is>
          <t>صادرات</t>
        </is>
      </c>
      <c r="E28" s="4" t="inlineStr">
        <is>
          <t>انبارداری</t>
        </is>
      </c>
      <c r="F28" s="4" t="inlineStr">
        <is>
          <t>تن</t>
        </is>
      </c>
      <c r="G28" s="5" t="n">
        <v>2749.5</v>
      </c>
      <c r="H28" s="5" t="n">
        <v>66313.8</v>
      </c>
      <c r="I28" s="4" t="inlineStr">
        <is>
          <t>عملکرد دوره مشابه سال قبل</t>
        </is>
      </c>
    </row>
    <row r="29">
      <c r="A29" s="4" t="n">
        <v>1403</v>
      </c>
      <c r="B29" s="4" t="n">
        <v>1</v>
      </c>
      <c r="C29" s="4" t="inlineStr">
        <is>
          <t>سه ماهه اول</t>
        </is>
      </c>
      <c r="D29" s="4" t="inlineStr">
        <is>
          <t>صادرات</t>
        </is>
      </c>
      <c r="E29" s="4" t="inlineStr">
        <is>
          <t>میانگین مدت ماندگاری کالا</t>
        </is>
      </c>
      <c r="F29" s="4" t="inlineStr">
        <is>
          <t>روز</t>
        </is>
      </c>
      <c r="G29" s="5" t="n">
        <v>20.2</v>
      </c>
      <c r="H29" s="5" t="n">
        <v>0</v>
      </c>
      <c r="I29" s="4" t="inlineStr">
        <is>
          <t>عملکرد دوره جاری</t>
        </is>
      </c>
    </row>
    <row r="30">
      <c r="A30" s="4" t="n">
        <v>1403</v>
      </c>
      <c r="B30" s="4" t="n">
        <v>1</v>
      </c>
      <c r="C30" s="4" t="inlineStr">
        <is>
          <t>سه ماهه اول</t>
        </is>
      </c>
      <c r="D30" s="4" t="inlineStr">
        <is>
          <t>صادرات</t>
        </is>
      </c>
      <c r="E30" s="4" t="inlineStr">
        <is>
          <t>میانگین مدت ماندگاری کالا</t>
        </is>
      </c>
      <c r="F30" s="4" t="inlineStr">
        <is>
          <t>روز</t>
        </is>
      </c>
      <c r="G30" s="5" t="n">
        <v>21.3</v>
      </c>
      <c r="H30" s="5" t="n">
        <v>0</v>
      </c>
      <c r="I30" s="4" t="inlineStr">
        <is>
          <t>بودجه مصوب دوره</t>
        </is>
      </c>
    </row>
    <row r="31">
      <c r="A31" s="4" t="n">
        <v>1402</v>
      </c>
      <c r="B31" s="4" t="n">
        <v>1</v>
      </c>
      <c r="C31" s="4" t="inlineStr">
        <is>
          <t>سه ماهه اول</t>
        </is>
      </c>
      <c r="D31" s="4" t="inlineStr">
        <is>
          <t>صادرات</t>
        </is>
      </c>
      <c r="E31" s="4" t="inlineStr">
        <is>
          <t>میانگین مدت ماندگاری کالا</t>
        </is>
      </c>
      <c r="F31" s="4" t="inlineStr">
        <is>
          <t>روز</t>
        </is>
      </c>
      <c r="G31" s="5" t="n">
        <v>21.2</v>
      </c>
      <c r="H31" s="5" t="n">
        <v>0</v>
      </c>
      <c r="I31" s="4" t="inlineStr">
        <is>
          <t>عملکرد دوره مشابه سال قبل</t>
        </is>
      </c>
    </row>
    <row r="32">
      <c r="A32" s="4" t="n">
        <v>1403</v>
      </c>
      <c r="B32" s="4" t="n">
        <v>1</v>
      </c>
      <c r="C32" s="4" t="inlineStr">
        <is>
          <t>سه ماهه اول</t>
        </is>
      </c>
      <c r="D32" s="4" t="inlineStr">
        <is>
          <t>صادرات</t>
        </is>
      </c>
      <c r="E32" s="4" t="inlineStr">
        <is>
          <t>انبارداری (ماندگاری)</t>
        </is>
      </c>
      <c r="F32" s="4" t="inlineStr">
        <is>
          <t>تن روز</t>
        </is>
      </c>
      <c r="G32" s="5" t="n">
        <v>55994</v>
      </c>
      <c r="H32" s="5" t="n">
        <v>0</v>
      </c>
      <c r="I32" s="4" t="inlineStr">
        <is>
          <t>عملکرد دوره جاری</t>
        </is>
      </c>
    </row>
    <row r="33">
      <c r="A33" s="4" t="n">
        <v>1403</v>
      </c>
      <c r="B33" s="4" t="n">
        <v>1</v>
      </c>
      <c r="C33" s="4" t="inlineStr">
        <is>
          <t>سه ماهه اول</t>
        </is>
      </c>
      <c r="D33" s="4" t="inlineStr">
        <is>
          <t>صادرات</t>
        </is>
      </c>
      <c r="E33" s="4" t="inlineStr">
        <is>
          <t>انبارداری (ماندگاری)</t>
        </is>
      </c>
      <c r="F33" s="4" t="inlineStr">
        <is>
          <t>تن روز</t>
        </is>
      </c>
      <c r="G33" s="5" t="n">
        <v>63123.7</v>
      </c>
      <c r="H33" s="5" t="n">
        <v>0</v>
      </c>
      <c r="I33" s="4" t="inlineStr">
        <is>
          <t>بودجه مصوب دوره</t>
        </is>
      </c>
    </row>
    <row r="34">
      <c r="A34" s="4" t="n">
        <v>1402</v>
      </c>
      <c r="B34" s="4" t="n">
        <v>1</v>
      </c>
      <c r="C34" s="4" t="inlineStr">
        <is>
          <t>سه ماهه اول</t>
        </is>
      </c>
      <c r="D34" s="4" t="inlineStr">
        <is>
          <t>صادرات</t>
        </is>
      </c>
      <c r="E34" s="4" t="inlineStr">
        <is>
          <t>انبارداری (ماندگاری)</t>
        </is>
      </c>
      <c r="F34" s="4" t="inlineStr">
        <is>
          <t>تن روز</t>
        </is>
      </c>
      <c r="G34" s="5" t="n">
        <v>49142.2</v>
      </c>
      <c r="H34" s="5" t="n">
        <v>0</v>
      </c>
      <c r="I34" s="4" t="inlineStr">
        <is>
          <t>عملکرد دوره مشابه سال قبل</t>
        </is>
      </c>
    </row>
    <row r="35">
      <c r="A35" s="4" t="n">
        <v>1403</v>
      </c>
      <c r="B35" s="4" t="n">
        <v>1</v>
      </c>
      <c r="C35" s="4" t="inlineStr">
        <is>
          <t>سه ماهه اول</t>
        </is>
      </c>
      <c r="D35" s="4" t="inlineStr">
        <is>
          <t>صادرات</t>
        </is>
      </c>
      <c r="E35" s="4" t="inlineStr">
        <is>
          <t>باربری</t>
        </is>
      </c>
      <c r="F35" s="4" t="inlineStr">
        <is>
          <t>تن</t>
        </is>
      </c>
      <c r="G35" s="5" t="n">
        <v>4259</v>
      </c>
      <c r="H35" s="5" t="n">
        <v>90436.5</v>
      </c>
      <c r="I35" s="4" t="inlineStr">
        <is>
          <t>عملکرد دوره جاری</t>
        </is>
      </c>
    </row>
    <row r="36">
      <c r="A36" s="4" t="n">
        <v>1403</v>
      </c>
      <c r="B36" s="4" t="n">
        <v>1</v>
      </c>
      <c r="C36" s="4" t="inlineStr">
        <is>
          <t>سه ماهه اول</t>
        </is>
      </c>
      <c r="D36" s="4" t="inlineStr">
        <is>
          <t>صادرات</t>
        </is>
      </c>
      <c r="E36" s="4" t="inlineStr">
        <is>
          <t>باربری</t>
        </is>
      </c>
      <c r="F36" s="4" t="inlineStr">
        <is>
          <t>تن</t>
        </is>
      </c>
      <c r="G36" s="5" t="n">
        <v>4386.8</v>
      </c>
      <c r="H36" s="5" t="n">
        <v>93753.5</v>
      </c>
      <c r="I36" s="4" t="inlineStr">
        <is>
          <t>بودجه مصوب دوره</t>
        </is>
      </c>
    </row>
    <row r="37">
      <c r="A37" s="4" t="n">
        <v>1402</v>
      </c>
      <c r="B37" s="4" t="n">
        <v>1</v>
      </c>
      <c r="C37" s="4" t="inlineStr">
        <is>
          <t>سه ماهه اول</t>
        </is>
      </c>
      <c r="D37" s="4" t="inlineStr">
        <is>
          <t>صادرات</t>
        </is>
      </c>
      <c r="E37" s="4" t="inlineStr">
        <is>
          <t>باربری</t>
        </is>
      </c>
      <c r="F37" s="4" t="inlineStr">
        <is>
          <t>تن</t>
        </is>
      </c>
      <c r="G37" s="5" t="n">
        <v>3643.4</v>
      </c>
      <c r="H37" s="5" t="n">
        <v>85364.5</v>
      </c>
      <c r="I37" s="4" t="inlineStr">
        <is>
          <t>عملکرد دوره مشابه سال قبل</t>
        </is>
      </c>
    </row>
    <row r="38">
      <c r="A38" s="4" t="n">
        <v>1403</v>
      </c>
      <c r="B38" s="4" t="n">
        <v>1</v>
      </c>
      <c r="C38" s="4" t="inlineStr">
        <is>
          <t>سه ماهه اول</t>
        </is>
      </c>
      <c r="D38" s="4" t="inlineStr">
        <is>
          <t>صادرات</t>
        </is>
      </c>
      <c r="E38" s="4" t="inlineStr">
        <is>
          <t>حمل یکسره</t>
        </is>
      </c>
      <c r="F38" s="4" t="inlineStr">
        <is>
          <t>تن</t>
        </is>
      </c>
      <c r="G38" s="5" t="n">
        <v>3577</v>
      </c>
      <c r="H38" s="5" t="n">
        <v>85830.39999999999</v>
      </c>
      <c r="I38" s="4" t="inlineStr">
        <is>
          <t>عملکرد دوره جاری</t>
        </is>
      </c>
    </row>
    <row r="39">
      <c r="A39" s="4" t="n">
        <v>1403</v>
      </c>
      <c r="B39" s="4" t="n">
        <v>1</v>
      </c>
      <c r="C39" s="4" t="inlineStr">
        <is>
          <t>سه ماهه اول</t>
        </is>
      </c>
      <c r="D39" s="4" t="inlineStr">
        <is>
          <t>صادرات</t>
        </is>
      </c>
      <c r="E39" s="4" t="inlineStr">
        <is>
          <t>حمل یکسره</t>
        </is>
      </c>
      <c r="F39" s="4" t="inlineStr">
        <is>
          <t>تن</t>
        </is>
      </c>
      <c r="G39" s="5" t="n">
        <v>3572.7</v>
      </c>
      <c r="H39" s="5" t="n">
        <v>97131.2</v>
      </c>
      <c r="I39" s="4" t="inlineStr">
        <is>
          <t>بودجه مصوب دوره</t>
        </is>
      </c>
    </row>
    <row r="40">
      <c r="A40" s="4" t="n">
        <v>1402</v>
      </c>
      <c r="B40" s="4" t="n">
        <v>1</v>
      </c>
      <c r="C40" s="4" t="inlineStr">
        <is>
          <t>سه ماهه اول</t>
        </is>
      </c>
      <c r="D40" s="4" t="inlineStr">
        <is>
          <t>صادرات</t>
        </is>
      </c>
      <c r="E40" s="4" t="inlineStr">
        <is>
          <t>حمل یکسره</t>
        </is>
      </c>
      <c r="F40" s="4" t="inlineStr">
        <is>
          <t>تن</t>
        </is>
      </c>
      <c r="G40" s="5" t="n">
        <v>3642</v>
      </c>
      <c r="H40" s="5" t="n">
        <v>69978.2</v>
      </c>
      <c r="I40" s="4" t="inlineStr">
        <is>
          <t>عملکرد دوره مشابه سال قبل</t>
        </is>
      </c>
    </row>
    <row r="41">
      <c r="A41" s="4" t="n">
        <v>1403</v>
      </c>
      <c r="B41" s="4" t="n">
        <v>1</v>
      </c>
      <c r="C41" s="4" t="inlineStr">
        <is>
          <t>سه ماهه اول</t>
        </is>
      </c>
      <c r="D41" s="4" t="inlineStr">
        <is>
          <t>صادرات</t>
        </is>
      </c>
      <c r="E41" s="4" t="inlineStr">
        <is>
          <t>ترانشیپ</t>
        </is>
      </c>
      <c r="F41" s="4" t="inlineStr">
        <is>
          <t>تن</t>
        </is>
      </c>
      <c r="G41" s="5" t="n">
        <v>4333</v>
      </c>
      <c r="H41" s="5" t="n">
        <v>81978.89999999999</v>
      </c>
      <c r="I41" s="4" t="inlineStr">
        <is>
          <t>عملکرد دوره جاری</t>
        </is>
      </c>
    </row>
    <row r="42">
      <c r="A42" s="4" t="n">
        <v>1403</v>
      </c>
      <c r="B42" s="4" t="n">
        <v>1</v>
      </c>
      <c r="C42" s="4" t="inlineStr">
        <is>
          <t>سه ماهه اول</t>
        </is>
      </c>
      <c r="D42" s="4" t="inlineStr">
        <is>
          <t>صادرات</t>
        </is>
      </c>
      <c r="E42" s="4" t="inlineStr">
        <is>
          <t>ترانشیپ</t>
        </is>
      </c>
      <c r="F42" s="4" t="inlineStr">
        <is>
          <t>تن</t>
        </is>
      </c>
      <c r="G42" s="5" t="n">
        <v>3948.7</v>
      </c>
      <c r="H42" s="5" t="n">
        <v>80448.60000000001</v>
      </c>
      <c r="I42" s="4" t="inlineStr">
        <is>
          <t>بودجه مصوب دوره</t>
        </is>
      </c>
    </row>
    <row r="43">
      <c r="A43" s="4" t="n">
        <v>1402</v>
      </c>
      <c r="B43" s="4" t="n">
        <v>1</v>
      </c>
      <c r="C43" s="4" t="inlineStr">
        <is>
          <t>سه ماهه اول</t>
        </is>
      </c>
      <c r="D43" s="4" t="inlineStr">
        <is>
          <t>صادرات</t>
        </is>
      </c>
      <c r="E43" s="4" t="inlineStr">
        <is>
          <t>ترانشیپ</t>
        </is>
      </c>
      <c r="F43" s="4" t="inlineStr">
        <is>
          <t>تن</t>
        </is>
      </c>
      <c r="G43" s="5" t="n">
        <v>3971.6</v>
      </c>
      <c r="H43" s="5" t="n">
        <v>65933.2</v>
      </c>
      <c r="I43" s="4" t="inlineStr">
        <is>
          <t>عملکرد دوره مشابه سال قبل</t>
        </is>
      </c>
    </row>
    <row r="44">
      <c r="A44" s="4" t="n">
        <v>1403</v>
      </c>
      <c r="B44" s="4" t="n">
        <v>1</v>
      </c>
      <c r="C44" s="4" t="inlineStr">
        <is>
          <t>سه ماهه اول</t>
        </is>
      </c>
      <c r="D44" s="4" t="inlineStr">
        <is>
          <t>صادرات</t>
        </is>
      </c>
      <c r="E44" s="4" t="inlineStr">
        <is>
          <t>خدمات باربری و جانبی</t>
        </is>
      </c>
      <c r="F44" s="4" t="inlineStr">
        <is>
          <t>میلیون ریال</t>
        </is>
      </c>
      <c r="G44" s="5" t="n">
        <v>0</v>
      </c>
      <c r="H44" s="5" t="n">
        <v>2986.2</v>
      </c>
      <c r="I44" s="4" t="inlineStr">
        <is>
          <t>عملکرد دوره جاری</t>
        </is>
      </c>
    </row>
    <row r="45">
      <c r="A45" s="4" t="n">
        <v>1403</v>
      </c>
      <c r="B45" s="4" t="n">
        <v>1</v>
      </c>
      <c r="C45" s="4" t="inlineStr">
        <is>
          <t>سه ماهه اول</t>
        </is>
      </c>
      <c r="D45" s="4" t="inlineStr">
        <is>
          <t>صادرات</t>
        </is>
      </c>
      <c r="E45" s="4" t="inlineStr">
        <is>
          <t>خدمات باربری و جانبی</t>
        </is>
      </c>
      <c r="F45" s="4" t="inlineStr">
        <is>
          <t>میلیون ریال</t>
        </is>
      </c>
      <c r="G45" s="5" t="n">
        <v>0</v>
      </c>
      <c r="H45" s="5" t="n">
        <v>2953.9</v>
      </c>
      <c r="I45" s="4" t="inlineStr">
        <is>
          <t>بودجه مصوب دوره</t>
        </is>
      </c>
    </row>
    <row r="46">
      <c r="A46" s="4" t="n">
        <v>1402</v>
      </c>
      <c r="B46" s="4" t="n">
        <v>1</v>
      </c>
      <c r="C46" s="4" t="inlineStr">
        <is>
          <t>سه ماهه اول</t>
        </is>
      </c>
      <c r="D46" s="4" t="inlineStr">
        <is>
          <t>صادرات</t>
        </is>
      </c>
      <c r="E46" s="4" t="inlineStr">
        <is>
          <t>خدمات باربری و جانبی</t>
        </is>
      </c>
      <c r="F46" s="4" t="inlineStr">
        <is>
          <t>میلیون ریال</t>
        </is>
      </c>
      <c r="G46" s="5" t="n">
        <v>0</v>
      </c>
      <c r="H46" s="5" t="n">
        <v>2407.4</v>
      </c>
      <c r="I46" s="4" t="inlineStr">
        <is>
          <t>عملکرد دوره مشابه سال قبل</t>
        </is>
      </c>
    </row>
    <row r="47">
      <c r="A47" s="4" t="n">
        <v>1403</v>
      </c>
      <c r="B47" s="4" t="n">
        <v>1</v>
      </c>
      <c r="C47" s="4" t="inlineStr">
        <is>
          <t>سه ماهه اول</t>
        </is>
      </c>
      <c r="D47" s="4" t="inlineStr">
        <is>
          <t>صادرات</t>
        </is>
      </c>
      <c r="E47" s="4" t="inlineStr">
        <is>
          <t>بیمه</t>
        </is>
      </c>
      <c r="F47" s="4" t="inlineStr">
        <is>
          <t>میلیون ریال</t>
        </is>
      </c>
      <c r="G47" s="5" t="n">
        <v>0</v>
      </c>
      <c r="H47" s="5" t="n">
        <v>2128.1</v>
      </c>
      <c r="I47" s="4" t="inlineStr">
        <is>
          <t>عملکرد دوره جاری</t>
        </is>
      </c>
    </row>
    <row r="48">
      <c r="A48" s="4" t="n">
        <v>1403</v>
      </c>
      <c r="B48" s="4" t="n">
        <v>1</v>
      </c>
      <c r="C48" s="4" t="inlineStr">
        <is>
          <t>سه ماهه اول</t>
        </is>
      </c>
      <c r="D48" s="4" t="inlineStr">
        <is>
          <t>صادرات</t>
        </is>
      </c>
      <c r="E48" s="4" t="inlineStr">
        <is>
          <t>بیمه</t>
        </is>
      </c>
      <c r="F48" s="4" t="inlineStr">
        <is>
          <t>میلیون ریال</t>
        </is>
      </c>
      <c r="G48" s="5" t="n">
        <v>0</v>
      </c>
      <c r="H48" s="5" t="n">
        <v>1990.3</v>
      </c>
      <c r="I48" s="4" t="inlineStr">
        <is>
          <t>بودجه مصوب دوره</t>
        </is>
      </c>
    </row>
    <row r="49">
      <c r="A49" s="4" t="n">
        <v>1402</v>
      </c>
      <c r="B49" s="4" t="n">
        <v>1</v>
      </c>
      <c r="C49" s="4" t="inlineStr">
        <is>
          <t>سه ماهه اول</t>
        </is>
      </c>
      <c r="D49" s="4" t="inlineStr">
        <is>
          <t>صادرات</t>
        </is>
      </c>
      <c r="E49" s="4" t="inlineStr">
        <is>
          <t>بیمه</t>
        </is>
      </c>
      <c r="F49" s="4" t="inlineStr">
        <is>
          <t>میلیون ریال</t>
        </is>
      </c>
      <c r="G49" s="5" t="n">
        <v>0</v>
      </c>
      <c r="H49" s="5" t="n">
        <v>1937.5</v>
      </c>
      <c r="I49" s="4" t="inlineStr">
        <is>
          <t>عملکرد دوره مشابه سال قبل</t>
        </is>
      </c>
    </row>
    <row r="50">
      <c r="A50" s="4" t="n">
        <v>1403</v>
      </c>
      <c r="B50" s="4" t="n">
        <v>1</v>
      </c>
      <c r="C50" s="4" t="inlineStr">
        <is>
          <t>سه ماهه اول</t>
        </is>
      </c>
      <c r="D50" s="4" t="inlineStr">
        <is>
          <t>حمل و نقل</t>
        </is>
      </c>
      <c r="E50" s="4" t="inlineStr">
        <is>
          <t>داخلی (صدور بارنامه)</t>
        </is>
      </c>
      <c r="F50" s="4" t="inlineStr">
        <is>
          <t>فقره</t>
        </is>
      </c>
      <c r="G50" s="5" t="n">
        <v>864</v>
      </c>
      <c r="H50" s="5" t="n">
        <v>13230.2</v>
      </c>
      <c r="I50" s="4" t="inlineStr">
        <is>
          <t>عملکرد دوره جاری</t>
        </is>
      </c>
    </row>
    <row r="51">
      <c r="A51" s="4" t="n">
        <v>1403</v>
      </c>
      <c r="B51" s="4" t="n">
        <v>1</v>
      </c>
      <c r="C51" s="4" t="inlineStr">
        <is>
          <t>سه ماهه اول</t>
        </is>
      </c>
      <c r="D51" s="4" t="inlineStr">
        <is>
          <t>حمل و نقل</t>
        </is>
      </c>
      <c r="E51" s="4" t="inlineStr">
        <is>
          <t>داخلی (صدور بارنامه)</t>
        </is>
      </c>
      <c r="F51" s="4" t="inlineStr">
        <is>
          <t>فقره</t>
        </is>
      </c>
      <c r="G51" s="5" t="n">
        <v>869.1</v>
      </c>
      <c r="H51" s="5" t="n">
        <v>13213.3</v>
      </c>
      <c r="I51" s="4" t="inlineStr">
        <is>
          <t>بودجه مصوب دوره</t>
        </is>
      </c>
    </row>
    <row r="52">
      <c r="A52" s="4" t="n">
        <v>1402</v>
      </c>
      <c r="B52" s="4" t="n">
        <v>1</v>
      </c>
      <c r="C52" s="4" t="inlineStr">
        <is>
          <t>سه ماهه اول</t>
        </is>
      </c>
      <c r="D52" s="4" t="inlineStr">
        <is>
          <t>حمل و نقل</t>
        </is>
      </c>
      <c r="E52" s="4" t="inlineStr">
        <is>
          <t>داخلی (صدور بارنامه)</t>
        </is>
      </c>
      <c r="F52" s="4" t="inlineStr">
        <is>
          <t>فقره</t>
        </is>
      </c>
      <c r="G52" s="5" t="n">
        <v>767.3</v>
      </c>
      <c r="H52" s="5" t="n">
        <v>9959.9</v>
      </c>
      <c r="I52" s="4" t="inlineStr">
        <is>
          <t>عملکرد دوره مشابه سال قبل</t>
        </is>
      </c>
    </row>
    <row r="53">
      <c r="A53" s="4" t="n">
        <v>1403</v>
      </c>
      <c r="B53" s="4" t="n">
        <v>1</v>
      </c>
      <c r="C53" s="4" t="inlineStr">
        <is>
          <t>سه ماهه اول</t>
        </is>
      </c>
      <c r="D53" s="4" t="inlineStr">
        <is>
          <t>حمل و نقل</t>
        </is>
      </c>
      <c r="E53" s="4" t="inlineStr">
        <is>
          <t>داخلی (حمل بار)</t>
        </is>
      </c>
      <c r="F53" s="4" t="inlineStr">
        <is>
          <t>تن</t>
        </is>
      </c>
      <c r="G53" s="5" t="n">
        <v>2322</v>
      </c>
      <c r="H53" s="5" t="n">
        <v>67656.5</v>
      </c>
      <c r="I53" s="4" t="inlineStr">
        <is>
          <t>عملکرد دوره جاری</t>
        </is>
      </c>
    </row>
    <row r="54">
      <c r="A54" s="4" t="n">
        <v>1403</v>
      </c>
      <c r="B54" s="4" t="n">
        <v>1</v>
      </c>
      <c r="C54" s="4" t="inlineStr">
        <is>
          <t>سه ماهه اول</t>
        </is>
      </c>
      <c r="D54" s="4" t="inlineStr">
        <is>
          <t>حمل و نقل</t>
        </is>
      </c>
      <c r="E54" s="4" t="inlineStr">
        <is>
          <t>داخلی (حمل بار)</t>
        </is>
      </c>
      <c r="F54" s="4" t="inlineStr">
        <is>
          <t>تن</t>
        </is>
      </c>
      <c r="G54" s="5" t="n">
        <v>2513</v>
      </c>
      <c r="H54" s="5" t="n">
        <v>73936.2</v>
      </c>
      <c r="I54" s="4" t="inlineStr">
        <is>
          <t>بودجه مصوب دوره</t>
        </is>
      </c>
    </row>
    <row r="55">
      <c r="A55" s="4" t="n">
        <v>1402</v>
      </c>
      <c r="B55" s="4" t="n">
        <v>1</v>
      </c>
      <c r="C55" s="4" t="inlineStr">
        <is>
          <t>سه ماهه اول</t>
        </is>
      </c>
      <c r="D55" s="4" t="inlineStr">
        <is>
          <t>حمل و نقل</t>
        </is>
      </c>
      <c r="E55" s="4" t="inlineStr">
        <is>
          <t>داخلی (حمل بار)</t>
        </is>
      </c>
      <c r="F55" s="4" t="inlineStr">
        <is>
          <t>تن</t>
        </is>
      </c>
      <c r="G55" s="5" t="n">
        <v>1909.2</v>
      </c>
      <c r="H55" s="5" t="n">
        <v>55592.9</v>
      </c>
      <c r="I55" s="4" t="inlineStr">
        <is>
          <t>عملکرد دوره مشابه سال قبل</t>
        </is>
      </c>
    </row>
    <row r="56">
      <c r="A56" s="4" t="n">
        <v>1403</v>
      </c>
      <c r="B56" s="4" t="n">
        <v>1</v>
      </c>
      <c r="C56" s="4" t="inlineStr">
        <is>
          <t>سه ماهه اول</t>
        </is>
      </c>
      <c r="D56" s="4" t="inlineStr">
        <is>
          <t>حمل و نقل</t>
        </is>
      </c>
      <c r="E56" s="4" t="inlineStr">
        <is>
          <t>بین المللی (صدور بارنامه)</t>
        </is>
      </c>
      <c r="F56" s="4" t="inlineStr">
        <is>
          <t>فقره</t>
        </is>
      </c>
      <c r="G56" s="5" t="n">
        <v>2888</v>
      </c>
      <c r="H56" s="5" t="n">
        <v>96168.10000000001</v>
      </c>
      <c r="I56" s="4" t="inlineStr">
        <is>
          <t>عملکرد دوره جاری</t>
        </is>
      </c>
    </row>
    <row r="57">
      <c r="A57" s="4" t="n">
        <v>1403</v>
      </c>
      <c r="B57" s="4" t="n">
        <v>1</v>
      </c>
      <c r="C57" s="4" t="inlineStr">
        <is>
          <t>سه ماهه اول</t>
        </is>
      </c>
      <c r="D57" s="4" t="inlineStr">
        <is>
          <t>حمل و نقل</t>
        </is>
      </c>
      <c r="E57" s="4" t="inlineStr">
        <is>
          <t>بین المللی (صدور بارنامه)</t>
        </is>
      </c>
      <c r="F57" s="4" t="inlineStr">
        <is>
          <t>فقره</t>
        </is>
      </c>
      <c r="G57" s="5" t="n">
        <v>3212.9</v>
      </c>
      <c r="H57" s="5" t="n">
        <v>97357</v>
      </c>
      <c r="I57" s="4" t="inlineStr">
        <is>
          <t>بودجه مصوب دوره</t>
        </is>
      </c>
    </row>
    <row r="58">
      <c r="A58" s="4" t="n">
        <v>1402</v>
      </c>
      <c r="B58" s="4" t="n">
        <v>1</v>
      </c>
      <c r="C58" s="4" t="inlineStr">
        <is>
          <t>سه ماهه اول</t>
        </is>
      </c>
      <c r="D58" s="4" t="inlineStr">
        <is>
          <t>حمل و نقل</t>
        </is>
      </c>
      <c r="E58" s="4" t="inlineStr">
        <is>
          <t>بین المللی (صدور بارنامه)</t>
        </is>
      </c>
      <c r="F58" s="4" t="inlineStr">
        <is>
          <t>فقره</t>
        </is>
      </c>
      <c r="G58" s="5" t="n">
        <v>2393.1</v>
      </c>
      <c r="H58" s="5" t="n">
        <v>79258.3</v>
      </c>
      <c r="I58" s="4" t="inlineStr">
        <is>
          <t>عملکرد دوره مشابه سال قبل</t>
        </is>
      </c>
    </row>
    <row r="59">
      <c r="A59" s="4" t="n">
        <v>1403</v>
      </c>
      <c r="B59" s="4" t="n">
        <v>1</v>
      </c>
      <c r="C59" s="4" t="inlineStr">
        <is>
          <t>سه ماهه اول</t>
        </is>
      </c>
      <c r="D59" s="4" t="inlineStr">
        <is>
          <t>حمل و نقل</t>
        </is>
      </c>
      <c r="E59" s="4" t="inlineStr">
        <is>
          <t>بین المللی (حمل بار)</t>
        </is>
      </c>
      <c r="F59" s="4" t="inlineStr">
        <is>
          <t>تن</t>
        </is>
      </c>
      <c r="G59" s="5" t="n">
        <v>4445</v>
      </c>
      <c r="H59" s="5" t="n">
        <v>95583.8</v>
      </c>
      <c r="I59" s="4" t="inlineStr">
        <is>
          <t>عملکرد دوره جاری</t>
        </is>
      </c>
    </row>
    <row r="60">
      <c r="A60" s="4" t="n">
        <v>1403</v>
      </c>
      <c r="B60" s="4" t="n">
        <v>1</v>
      </c>
      <c r="C60" s="4" t="inlineStr">
        <is>
          <t>سه ماهه اول</t>
        </is>
      </c>
      <c r="D60" s="4" t="inlineStr">
        <is>
          <t>حمل و نقل</t>
        </is>
      </c>
      <c r="E60" s="4" t="inlineStr">
        <is>
          <t>بین المللی (حمل بار)</t>
        </is>
      </c>
      <c r="F60" s="4" t="inlineStr">
        <is>
          <t>تن</t>
        </is>
      </c>
      <c r="G60" s="5" t="n">
        <v>4811.3</v>
      </c>
      <c r="H60" s="5" t="n">
        <v>101260.5</v>
      </c>
      <c r="I60" s="4" t="inlineStr">
        <is>
          <t>بودجه مصوب دوره</t>
        </is>
      </c>
    </row>
    <row r="61">
      <c r="A61" s="4" t="n">
        <v>1402</v>
      </c>
      <c r="B61" s="4" t="n">
        <v>1</v>
      </c>
      <c r="C61" s="4" t="inlineStr">
        <is>
          <t>سه ماهه اول</t>
        </is>
      </c>
      <c r="D61" s="4" t="inlineStr">
        <is>
          <t>حمل و نقل</t>
        </is>
      </c>
      <c r="E61" s="4" t="inlineStr">
        <is>
          <t>بین المللی (حمل بار)</t>
        </is>
      </c>
      <c r="F61" s="4" t="inlineStr">
        <is>
          <t>تن</t>
        </is>
      </c>
      <c r="G61" s="5" t="n">
        <v>4739.1</v>
      </c>
      <c r="H61" s="5" t="n">
        <v>80715.10000000001</v>
      </c>
      <c r="I61" s="4" t="inlineStr">
        <is>
          <t>عملکرد دوره مشابه سال قبل</t>
        </is>
      </c>
    </row>
    <row r="62">
      <c r="A62" s="4" t="n">
        <v>1403</v>
      </c>
      <c r="B62" s="4" t="n">
        <v>2</v>
      </c>
      <c r="C62" s="4" t="inlineStr">
        <is>
          <t>سه ماهه اول</t>
        </is>
      </c>
      <c r="D62" s="4" t="inlineStr">
        <is>
          <t>واردات</t>
        </is>
      </c>
      <c r="E62" s="4" t="inlineStr">
        <is>
          <t>انبارداری</t>
        </is>
      </c>
      <c r="F62" s="4" t="inlineStr">
        <is>
          <t>تن</t>
        </is>
      </c>
      <c r="G62" s="5" t="n">
        <v>3460</v>
      </c>
      <c r="H62" s="5" t="n">
        <v>119142.5</v>
      </c>
      <c r="I62" s="4" t="inlineStr">
        <is>
          <t>عملکرد دوره جاری</t>
        </is>
      </c>
    </row>
    <row r="63">
      <c r="A63" s="4" t="n">
        <v>1403</v>
      </c>
      <c r="B63" s="4" t="n">
        <v>2</v>
      </c>
      <c r="C63" s="4" t="inlineStr">
        <is>
          <t>سه ماهه اول</t>
        </is>
      </c>
      <c r="D63" s="4" t="inlineStr">
        <is>
          <t>واردات</t>
        </is>
      </c>
      <c r="E63" s="4" t="inlineStr">
        <is>
          <t>انبارداری</t>
        </is>
      </c>
      <c r="F63" s="4" t="inlineStr">
        <is>
          <t>تن</t>
        </is>
      </c>
      <c r="G63" s="5" t="n">
        <v>3848.3</v>
      </c>
      <c r="H63" s="5" t="n">
        <v>128725.4</v>
      </c>
      <c r="I63" s="4" t="inlineStr">
        <is>
          <t>بودجه مصوب دوره</t>
        </is>
      </c>
    </row>
    <row r="64">
      <c r="A64" s="4" t="n">
        <v>1402</v>
      </c>
      <c r="B64" s="4" t="n">
        <v>2</v>
      </c>
      <c r="C64" s="4" t="inlineStr">
        <is>
          <t>سه ماهه اول</t>
        </is>
      </c>
      <c r="D64" s="4" t="inlineStr">
        <is>
          <t>واردات</t>
        </is>
      </c>
      <c r="E64" s="4" t="inlineStr">
        <is>
          <t>انبارداری</t>
        </is>
      </c>
      <c r="F64" s="4" t="inlineStr">
        <is>
          <t>تن</t>
        </is>
      </c>
      <c r="G64" s="5" t="n">
        <v>3013</v>
      </c>
      <c r="H64" s="5" t="n">
        <v>95458.60000000001</v>
      </c>
      <c r="I64" s="4" t="inlineStr">
        <is>
          <t>عملکرد دوره مشابه سال قبل</t>
        </is>
      </c>
    </row>
    <row r="65">
      <c r="A65" s="4" t="n">
        <v>1403</v>
      </c>
      <c r="B65" s="4" t="n">
        <v>2</v>
      </c>
      <c r="C65" s="4" t="inlineStr">
        <is>
          <t>سه ماهه اول</t>
        </is>
      </c>
      <c r="D65" s="4" t="inlineStr">
        <is>
          <t>واردات</t>
        </is>
      </c>
      <c r="E65" s="4" t="inlineStr">
        <is>
          <t>میانگین مدت ماندگاری کالا</t>
        </is>
      </c>
      <c r="F65" s="4" t="inlineStr">
        <is>
          <t>روز</t>
        </is>
      </c>
      <c r="G65" s="5" t="n">
        <v>10.6</v>
      </c>
      <c r="H65" s="5" t="n">
        <v>0</v>
      </c>
      <c r="I65" s="4" t="inlineStr">
        <is>
          <t>عملکرد دوره جاری</t>
        </is>
      </c>
    </row>
    <row r="66">
      <c r="A66" s="4" t="n">
        <v>1403</v>
      </c>
      <c r="B66" s="4" t="n">
        <v>2</v>
      </c>
      <c r="C66" s="4" t="inlineStr">
        <is>
          <t>سه ماهه اول</t>
        </is>
      </c>
      <c r="D66" s="4" t="inlineStr">
        <is>
          <t>واردات</t>
        </is>
      </c>
      <c r="E66" s="4" t="inlineStr">
        <is>
          <t>میانگین مدت ماندگاری کالا</t>
        </is>
      </c>
      <c r="F66" s="4" t="inlineStr">
        <is>
          <t>روز</t>
        </is>
      </c>
      <c r="G66" s="5" t="n">
        <v>11.4</v>
      </c>
      <c r="H66" s="5" t="n">
        <v>0</v>
      </c>
      <c r="I66" s="4" t="inlineStr">
        <is>
          <t>بودجه مصوب دوره</t>
        </is>
      </c>
    </row>
    <row r="67">
      <c r="A67" s="4" t="n">
        <v>1402</v>
      </c>
      <c r="B67" s="4" t="n">
        <v>2</v>
      </c>
      <c r="C67" s="4" t="inlineStr">
        <is>
          <t>سه ماهه اول</t>
        </is>
      </c>
      <c r="D67" s="4" t="inlineStr">
        <is>
          <t>واردات</t>
        </is>
      </c>
      <c r="E67" s="4" t="inlineStr">
        <is>
          <t>میانگین مدت ماندگاری کالا</t>
        </is>
      </c>
      <c r="F67" s="4" t="inlineStr">
        <is>
          <t>روز</t>
        </is>
      </c>
      <c r="G67" s="5" t="n">
        <v>8.800000000000001</v>
      </c>
      <c r="H67" s="5" t="n">
        <v>0</v>
      </c>
      <c r="I67" s="4" t="inlineStr">
        <is>
          <t>عملکرد دوره مشابه سال قبل</t>
        </is>
      </c>
    </row>
    <row r="68">
      <c r="A68" s="4" t="n">
        <v>1403</v>
      </c>
      <c r="B68" s="4" t="n">
        <v>2</v>
      </c>
      <c r="C68" s="4" t="inlineStr">
        <is>
          <t>سه ماهه اول</t>
        </is>
      </c>
      <c r="D68" s="4" t="inlineStr">
        <is>
          <t>واردات</t>
        </is>
      </c>
      <c r="E68" s="4" t="inlineStr">
        <is>
          <t>انبارداری (ماندگاری)</t>
        </is>
      </c>
      <c r="F68" s="4" t="inlineStr">
        <is>
          <t>تن روز</t>
        </is>
      </c>
      <c r="G68" s="5" t="n">
        <v>38419</v>
      </c>
      <c r="H68" s="5" t="n">
        <v>0</v>
      </c>
      <c r="I68" s="4" t="inlineStr">
        <is>
          <t>عملکرد دوره جاری</t>
        </is>
      </c>
    </row>
    <row r="69">
      <c r="A69" s="4" t="n">
        <v>1403</v>
      </c>
      <c r="B69" s="4" t="n">
        <v>2</v>
      </c>
      <c r="C69" s="4" t="inlineStr">
        <is>
          <t>سه ماهه اول</t>
        </is>
      </c>
      <c r="D69" s="4" t="inlineStr">
        <is>
          <t>واردات</t>
        </is>
      </c>
      <c r="E69" s="4" t="inlineStr">
        <is>
          <t>انبارداری (ماندگاری)</t>
        </is>
      </c>
      <c r="F69" s="4" t="inlineStr">
        <is>
          <t>تن روز</t>
        </is>
      </c>
      <c r="G69" s="5" t="n">
        <v>35613.4</v>
      </c>
      <c r="H69" s="5" t="n">
        <v>0</v>
      </c>
      <c r="I69" s="4" t="inlineStr">
        <is>
          <t>بودجه مصوب دوره</t>
        </is>
      </c>
    </row>
    <row r="70">
      <c r="A70" s="4" t="n">
        <v>1402</v>
      </c>
      <c r="B70" s="4" t="n">
        <v>2</v>
      </c>
      <c r="C70" s="4" t="inlineStr">
        <is>
          <t>سه ماهه اول</t>
        </is>
      </c>
      <c r="D70" s="4" t="inlineStr">
        <is>
          <t>واردات</t>
        </is>
      </c>
      <c r="E70" s="4" t="inlineStr">
        <is>
          <t>انبارداری (ماندگاری)</t>
        </is>
      </c>
      <c r="F70" s="4" t="inlineStr">
        <is>
          <t>تن روز</t>
        </is>
      </c>
      <c r="G70" s="5" t="n">
        <v>31097.4</v>
      </c>
      <c r="H70" s="5" t="n">
        <v>0</v>
      </c>
      <c r="I70" s="4" t="inlineStr">
        <is>
          <t>عملکرد دوره مشابه سال قبل</t>
        </is>
      </c>
    </row>
    <row r="71">
      <c r="A71" s="4" t="n">
        <v>1403</v>
      </c>
      <c r="B71" s="4" t="n">
        <v>2</v>
      </c>
      <c r="C71" s="4" t="inlineStr">
        <is>
          <t>سه ماهه اول</t>
        </is>
      </c>
      <c r="D71" s="4" t="inlineStr">
        <is>
          <t>واردات</t>
        </is>
      </c>
      <c r="E71" s="4" t="inlineStr">
        <is>
          <t>باربری</t>
        </is>
      </c>
      <c r="F71" s="4" t="inlineStr">
        <is>
          <t>تن</t>
        </is>
      </c>
      <c r="G71" s="5" t="n">
        <v>3590</v>
      </c>
      <c r="H71" s="5" t="n">
        <v>87981.60000000001</v>
      </c>
      <c r="I71" s="4" t="inlineStr">
        <is>
          <t>عملکرد دوره جاری</t>
        </is>
      </c>
    </row>
    <row r="72">
      <c r="A72" s="4" t="n">
        <v>1403</v>
      </c>
      <c r="B72" s="4" t="n">
        <v>2</v>
      </c>
      <c r="C72" s="4" t="inlineStr">
        <is>
          <t>سه ماهه اول</t>
        </is>
      </c>
      <c r="D72" s="4" t="inlineStr">
        <is>
          <t>واردات</t>
        </is>
      </c>
      <c r="E72" s="4" t="inlineStr">
        <is>
          <t>باربری</t>
        </is>
      </c>
      <c r="F72" s="4" t="inlineStr">
        <is>
          <t>تن</t>
        </is>
      </c>
      <c r="G72" s="5" t="n">
        <v>3736.5</v>
      </c>
      <c r="H72" s="5" t="n">
        <v>94481.60000000001</v>
      </c>
      <c r="I72" s="4" t="inlineStr">
        <is>
          <t>بودجه مصوب دوره</t>
        </is>
      </c>
    </row>
    <row r="73">
      <c r="A73" s="4" t="n">
        <v>1402</v>
      </c>
      <c r="B73" s="4" t="n">
        <v>2</v>
      </c>
      <c r="C73" s="4" t="inlineStr">
        <is>
          <t>سه ماهه اول</t>
        </is>
      </c>
      <c r="D73" s="4" t="inlineStr">
        <is>
          <t>واردات</t>
        </is>
      </c>
      <c r="E73" s="4" t="inlineStr">
        <is>
          <t>باربری</t>
        </is>
      </c>
      <c r="F73" s="4" t="inlineStr">
        <is>
          <t>تن</t>
        </is>
      </c>
      <c r="G73" s="5" t="n">
        <v>3022.1</v>
      </c>
      <c r="H73" s="5" t="n">
        <v>76621.7</v>
      </c>
      <c r="I73" s="4" t="inlineStr">
        <is>
          <t>عملکرد دوره مشابه سال قبل</t>
        </is>
      </c>
    </row>
    <row r="74">
      <c r="A74" s="4" t="n">
        <v>1403</v>
      </c>
      <c r="B74" s="4" t="n">
        <v>2</v>
      </c>
      <c r="C74" s="4" t="inlineStr">
        <is>
          <t>سه ماهه اول</t>
        </is>
      </c>
      <c r="D74" s="4" t="inlineStr">
        <is>
          <t>واردات</t>
        </is>
      </c>
      <c r="E74" s="4" t="inlineStr">
        <is>
          <t>حمل یکسره</t>
        </is>
      </c>
      <c r="F74" s="4" t="inlineStr">
        <is>
          <t>تن</t>
        </is>
      </c>
      <c r="G74" s="5" t="n">
        <v>2478</v>
      </c>
      <c r="H74" s="5" t="n">
        <v>74615.10000000001</v>
      </c>
      <c r="I74" s="4" t="inlineStr">
        <is>
          <t>عملکرد دوره جاری</t>
        </is>
      </c>
    </row>
    <row r="75">
      <c r="A75" s="4" t="n">
        <v>1403</v>
      </c>
      <c r="B75" s="4" t="n">
        <v>2</v>
      </c>
      <c r="C75" s="4" t="inlineStr">
        <is>
          <t>سه ماهه اول</t>
        </is>
      </c>
      <c r="D75" s="4" t="inlineStr">
        <is>
          <t>واردات</t>
        </is>
      </c>
      <c r="E75" s="4" t="inlineStr">
        <is>
          <t>حمل یکسره</t>
        </is>
      </c>
      <c r="F75" s="4" t="inlineStr">
        <is>
          <t>تن</t>
        </is>
      </c>
      <c r="G75" s="5" t="n">
        <v>2371.9</v>
      </c>
      <c r="H75" s="5" t="n">
        <v>68589.60000000001</v>
      </c>
      <c r="I75" s="4" t="inlineStr">
        <is>
          <t>بودجه مصوب دوره</t>
        </is>
      </c>
    </row>
    <row r="76">
      <c r="A76" s="4" t="n">
        <v>1402</v>
      </c>
      <c r="B76" s="4" t="n">
        <v>2</v>
      </c>
      <c r="C76" s="4" t="inlineStr">
        <is>
          <t>سه ماهه اول</t>
        </is>
      </c>
      <c r="D76" s="4" t="inlineStr">
        <is>
          <t>واردات</t>
        </is>
      </c>
      <c r="E76" s="4" t="inlineStr">
        <is>
          <t>حمل یکسره</t>
        </is>
      </c>
      <c r="F76" s="4" t="inlineStr">
        <is>
          <t>تن</t>
        </is>
      </c>
      <c r="G76" s="5" t="n">
        <v>2197.8</v>
      </c>
      <c r="H76" s="5" t="n">
        <v>58367.2</v>
      </c>
      <c r="I76" s="4" t="inlineStr">
        <is>
          <t>عملکرد دوره مشابه سال قبل</t>
        </is>
      </c>
    </row>
    <row r="77">
      <c r="A77" s="4" t="n">
        <v>1403</v>
      </c>
      <c r="B77" s="4" t="n">
        <v>2</v>
      </c>
      <c r="C77" s="4" t="inlineStr">
        <is>
          <t>سه ماهه اول</t>
        </is>
      </c>
      <c r="D77" s="4" t="inlineStr">
        <is>
          <t>واردات</t>
        </is>
      </c>
      <c r="E77" s="4" t="inlineStr">
        <is>
          <t>ترانشیپ</t>
        </is>
      </c>
      <c r="F77" s="4" t="inlineStr">
        <is>
          <t>تن</t>
        </is>
      </c>
      <c r="G77" s="5" t="n">
        <v>3425</v>
      </c>
      <c r="H77" s="5" t="n">
        <v>94143.3</v>
      </c>
      <c r="I77" s="4" t="inlineStr">
        <is>
          <t>عملکرد دوره جاری</t>
        </is>
      </c>
    </row>
    <row r="78">
      <c r="A78" s="4" t="n">
        <v>1403</v>
      </c>
      <c r="B78" s="4" t="n">
        <v>2</v>
      </c>
      <c r="C78" s="4" t="inlineStr">
        <is>
          <t>سه ماهه اول</t>
        </is>
      </c>
      <c r="D78" s="4" t="inlineStr">
        <is>
          <t>واردات</t>
        </is>
      </c>
      <c r="E78" s="4" t="inlineStr">
        <is>
          <t>ترانشیپ</t>
        </is>
      </c>
      <c r="F78" s="4" t="inlineStr">
        <is>
          <t>تن</t>
        </is>
      </c>
      <c r="G78" s="5" t="n">
        <v>3335.6</v>
      </c>
      <c r="H78" s="5" t="n">
        <v>87211.89999999999</v>
      </c>
      <c r="I78" s="4" t="inlineStr">
        <is>
          <t>بودجه مصوب دوره</t>
        </is>
      </c>
    </row>
    <row r="79">
      <c r="A79" s="4" t="n">
        <v>1402</v>
      </c>
      <c r="B79" s="4" t="n">
        <v>2</v>
      </c>
      <c r="C79" s="4" t="inlineStr">
        <is>
          <t>سه ماهه اول</t>
        </is>
      </c>
      <c r="D79" s="4" t="inlineStr">
        <is>
          <t>واردات</t>
        </is>
      </c>
      <c r="E79" s="4" t="inlineStr">
        <is>
          <t>ترانشیپ</t>
        </is>
      </c>
      <c r="F79" s="4" t="inlineStr">
        <is>
          <t>تن</t>
        </is>
      </c>
      <c r="G79" s="5" t="n">
        <v>3209.1</v>
      </c>
      <c r="H79" s="5" t="n">
        <v>74720.39999999999</v>
      </c>
      <c r="I79" s="4" t="inlineStr">
        <is>
          <t>عملکرد دوره مشابه سال قبل</t>
        </is>
      </c>
    </row>
    <row r="80">
      <c r="A80" s="4" t="n">
        <v>1403</v>
      </c>
      <c r="B80" s="4" t="n">
        <v>2</v>
      </c>
      <c r="C80" s="4" t="inlineStr">
        <is>
          <t>سه ماهه اول</t>
        </is>
      </c>
      <c r="D80" s="4" t="inlineStr">
        <is>
          <t>واردات</t>
        </is>
      </c>
      <c r="E80" s="4" t="inlineStr">
        <is>
          <t>خدمات باربری و جانبی</t>
        </is>
      </c>
      <c r="F80" s="4" t="inlineStr">
        <is>
          <t>میلیون ریال</t>
        </is>
      </c>
      <c r="G80" s="5" t="n">
        <v>0</v>
      </c>
      <c r="H80" s="5" t="n">
        <v>1749.5</v>
      </c>
      <c r="I80" s="4" t="inlineStr">
        <is>
          <t>عملکرد دوره جاری</t>
        </is>
      </c>
    </row>
    <row r="81">
      <c r="A81" s="4" t="n">
        <v>1403</v>
      </c>
      <c r="B81" s="4" t="n">
        <v>2</v>
      </c>
      <c r="C81" s="4" t="inlineStr">
        <is>
          <t>سه ماهه اول</t>
        </is>
      </c>
      <c r="D81" s="4" t="inlineStr">
        <is>
          <t>واردات</t>
        </is>
      </c>
      <c r="E81" s="4" t="inlineStr">
        <is>
          <t>خدمات باربری و جانبی</t>
        </is>
      </c>
      <c r="F81" s="4" t="inlineStr">
        <is>
          <t>میلیون ریال</t>
        </is>
      </c>
      <c r="G81" s="5" t="n">
        <v>0</v>
      </c>
      <c r="H81" s="5" t="n">
        <v>1960.9</v>
      </c>
      <c r="I81" s="4" t="inlineStr">
        <is>
          <t>بودجه مصوب دوره</t>
        </is>
      </c>
    </row>
    <row r="82">
      <c r="A82" s="4" t="n">
        <v>1402</v>
      </c>
      <c r="B82" s="4" t="n">
        <v>2</v>
      </c>
      <c r="C82" s="4" t="inlineStr">
        <is>
          <t>سه ماهه اول</t>
        </is>
      </c>
      <c r="D82" s="4" t="inlineStr">
        <is>
          <t>واردات</t>
        </is>
      </c>
      <c r="E82" s="4" t="inlineStr">
        <is>
          <t>خدمات باربری و جانبی</t>
        </is>
      </c>
      <c r="F82" s="4" t="inlineStr">
        <is>
          <t>میلیون ریال</t>
        </is>
      </c>
      <c r="G82" s="5" t="n">
        <v>0</v>
      </c>
      <c r="H82" s="5" t="n">
        <v>1425.6</v>
      </c>
      <c r="I82" s="4" t="inlineStr">
        <is>
          <t>عملکرد دوره مشابه سال قبل</t>
        </is>
      </c>
    </row>
    <row r="83">
      <c r="A83" s="4" t="n">
        <v>1403</v>
      </c>
      <c r="B83" s="4" t="n">
        <v>2</v>
      </c>
      <c r="C83" s="4" t="inlineStr">
        <is>
          <t>سه ماهه اول</t>
        </is>
      </c>
      <c r="D83" s="4" t="inlineStr">
        <is>
          <t>واردات</t>
        </is>
      </c>
      <c r="E83" s="4" t="inlineStr">
        <is>
          <t>بیمه</t>
        </is>
      </c>
      <c r="F83" s="4" t="inlineStr">
        <is>
          <t>میلیون ریال</t>
        </is>
      </c>
      <c r="G83" s="5" t="n">
        <v>0</v>
      </c>
      <c r="H83" s="5" t="n">
        <v>866.3</v>
      </c>
      <c r="I83" s="4" t="inlineStr">
        <is>
          <t>عملکرد دوره جاری</t>
        </is>
      </c>
    </row>
    <row r="84">
      <c r="A84" s="4" t="n">
        <v>1403</v>
      </c>
      <c r="B84" s="4" t="n">
        <v>2</v>
      </c>
      <c r="C84" s="4" t="inlineStr">
        <is>
          <t>سه ماهه اول</t>
        </is>
      </c>
      <c r="D84" s="4" t="inlineStr">
        <is>
          <t>واردات</t>
        </is>
      </c>
      <c r="E84" s="4" t="inlineStr">
        <is>
          <t>بیمه</t>
        </is>
      </c>
      <c r="F84" s="4" t="inlineStr">
        <is>
          <t>میلیون ریال</t>
        </is>
      </c>
      <c r="G84" s="5" t="n">
        <v>0</v>
      </c>
      <c r="H84" s="5" t="n">
        <v>856.8</v>
      </c>
      <c r="I84" s="4" t="inlineStr">
        <is>
          <t>بودجه مصوب دوره</t>
        </is>
      </c>
    </row>
    <row r="85">
      <c r="A85" s="4" t="n">
        <v>1402</v>
      </c>
      <c r="B85" s="4" t="n">
        <v>2</v>
      </c>
      <c r="C85" s="4" t="inlineStr">
        <is>
          <t>سه ماهه اول</t>
        </is>
      </c>
      <c r="D85" s="4" t="inlineStr">
        <is>
          <t>واردات</t>
        </is>
      </c>
      <c r="E85" s="4" t="inlineStr">
        <is>
          <t>بیمه</t>
        </is>
      </c>
      <c r="F85" s="4" t="inlineStr">
        <is>
          <t>میلیون ریال</t>
        </is>
      </c>
      <c r="G85" s="5" t="n">
        <v>0</v>
      </c>
      <c r="H85" s="5" t="n">
        <v>806.8</v>
      </c>
      <c r="I85" s="4" t="inlineStr">
        <is>
          <t>عملکرد دوره مشابه سال قبل</t>
        </is>
      </c>
    </row>
    <row r="86">
      <c r="A86" s="4" t="n">
        <v>1403</v>
      </c>
      <c r="B86" s="4" t="n">
        <v>2</v>
      </c>
      <c r="C86" s="4" t="inlineStr">
        <is>
          <t>سه ماهه اول</t>
        </is>
      </c>
      <c r="D86" s="4" t="inlineStr">
        <is>
          <t>صادرات</t>
        </is>
      </c>
      <c r="E86" s="4" t="inlineStr">
        <is>
          <t>انبارداری</t>
        </is>
      </c>
      <c r="F86" s="4" t="inlineStr">
        <is>
          <t>تن</t>
        </is>
      </c>
      <c r="G86" s="5" t="n">
        <v>2208</v>
      </c>
      <c r="H86" s="5" t="n">
        <v>43185.6</v>
      </c>
      <c r="I86" s="4" t="inlineStr">
        <is>
          <t>عملکرد دوره جاری</t>
        </is>
      </c>
    </row>
    <row r="87">
      <c r="A87" s="4" t="n">
        <v>1403</v>
      </c>
      <c r="B87" s="4" t="n">
        <v>2</v>
      </c>
      <c r="C87" s="4" t="inlineStr">
        <is>
          <t>سه ماهه اول</t>
        </is>
      </c>
      <c r="D87" s="4" t="inlineStr">
        <is>
          <t>صادرات</t>
        </is>
      </c>
      <c r="E87" s="4" t="inlineStr">
        <is>
          <t>انبارداری</t>
        </is>
      </c>
      <c r="F87" s="4" t="inlineStr">
        <is>
          <t>تن</t>
        </is>
      </c>
      <c r="G87" s="5" t="n">
        <v>2223</v>
      </c>
      <c r="H87" s="5" t="n">
        <v>47698.7</v>
      </c>
      <c r="I87" s="4" t="inlineStr">
        <is>
          <t>بودجه مصوب دوره</t>
        </is>
      </c>
    </row>
    <row r="88">
      <c r="A88" s="4" t="n">
        <v>1402</v>
      </c>
      <c r="B88" s="4" t="n">
        <v>2</v>
      </c>
      <c r="C88" s="4" t="inlineStr">
        <is>
          <t>سه ماهه اول</t>
        </is>
      </c>
      <c r="D88" s="4" t="inlineStr">
        <is>
          <t>صادرات</t>
        </is>
      </c>
      <c r="E88" s="4" t="inlineStr">
        <is>
          <t>انبارداری</t>
        </is>
      </c>
      <c r="F88" s="4" t="inlineStr">
        <is>
          <t>تن</t>
        </is>
      </c>
      <c r="G88" s="5" t="n">
        <v>2336.5</v>
      </c>
      <c r="H88" s="5" t="n">
        <v>32449.2</v>
      </c>
      <c r="I88" s="4" t="inlineStr">
        <is>
          <t>عملکرد دوره مشابه سال قبل</t>
        </is>
      </c>
    </row>
    <row r="89">
      <c r="A89" s="4" t="n">
        <v>1403</v>
      </c>
      <c r="B89" s="4" t="n">
        <v>2</v>
      </c>
      <c r="C89" s="4" t="inlineStr">
        <is>
          <t>سه ماهه اول</t>
        </is>
      </c>
      <c r="D89" s="4" t="inlineStr">
        <is>
          <t>صادرات</t>
        </is>
      </c>
      <c r="E89" s="4" t="inlineStr">
        <is>
          <t>میانگین مدت ماندگاری کالا</t>
        </is>
      </c>
      <c r="F89" s="4" t="inlineStr">
        <is>
          <t>روز</t>
        </is>
      </c>
      <c r="G89" s="5" t="n">
        <v>17.7</v>
      </c>
      <c r="H89" s="5" t="n">
        <v>0</v>
      </c>
      <c r="I89" s="4" t="inlineStr">
        <is>
          <t>عملکرد دوره جاری</t>
        </is>
      </c>
    </row>
    <row r="90">
      <c r="A90" s="4" t="n">
        <v>1403</v>
      </c>
      <c r="B90" s="4" t="n">
        <v>2</v>
      </c>
      <c r="C90" s="4" t="inlineStr">
        <is>
          <t>سه ماهه اول</t>
        </is>
      </c>
      <c r="D90" s="4" t="inlineStr">
        <is>
          <t>صادرات</t>
        </is>
      </c>
      <c r="E90" s="4" t="inlineStr">
        <is>
          <t>میانگین مدت ماندگاری کالا</t>
        </is>
      </c>
      <c r="F90" s="4" t="inlineStr">
        <is>
          <t>روز</t>
        </is>
      </c>
      <c r="G90" s="5" t="n">
        <v>17.8</v>
      </c>
      <c r="H90" s="5" t="n">
        <v>0</v>
      </c>
      <c r="I90" s="4" t="inlineStr">
        <is>
          <t>بودجه مصوب دوره</t>
        </is>
      </c>
    </row>
    <row r="91">
      <c r="A91" s="4" t="n">
        <v>1402</v>
      </c>
      <c r="B91" s="4" t="n">
        <v>2</v>
      </c>
      <c r="C91" s="4" t="inlineStr">
        <is>
          <t>سه ماهه اول</t>
        </is>
      </c>
      <c r="D91" s="4" t="inlineStr">
        <is>
          <t>صادرات</t>
        </is>
      </c>
      <c r="E91" s="4" t="inlineStr">
        <is>
          <t>میانگین مدت ماندگاری کالا</t>
        </is>
      </c>
      <c r="F91" s="4" t="inlineStr">
        <is>
          <t>روز</t>
        </is>
      </c>
      <c r="G91" s="5" t="n">
        <v>15.3</v>
      </c>
      <c r="H91" s="5" t="n">
        <v>0</v>
      </c>
      <c r="I91" s="4" t="inlineStr">
        <is>
          <t>عملکرد دوره مشابه سال قبل</t>
        </is>
      </c>
    </row>
    <row r="92">
      <c r="A92" s="4" t="n">
        <v>1403</v>
      </c>
      <c r="B92" s="4" t="n">
        <v>2</v>
      </c>
      <c r="C92" s="4" t="inlineStr">
        <is>
          <t>سه ماهه اول</t>
        </is>
      </c>
      <c r="D92" s="4" t="inlineStr">
        <is>
          <t>صادرات</t>
        </is>
      </c>
      <c r="E92" s="4" t="inlineStr">
        <is>
          <t>انبارداری (ماندگاری)</t>
        </is>
      </c>
      <c r="F92" s="4" t="inlineStr">
        <is>
          <t>تن روز</t>
        </is>
      </c>
      <c r="G92" s="5" t="n">
        <v>47562</v>
      </c>
      <c r="H92" s="5" t="n">
        <v>0</v>
      </c>
      <c r="I92" s="4" t="inlineStr">
        <is>
          <t>عملکرد دوره جاری</t>
        </is>
      </c>
    </row>
    <row r="93">
      <c r="A93" s="4" t="n">
        <v>1403</v>
      </c>
      <c r="B93" s="4" t="n">
        <v>2</v>
      </c>
      <c r="C93" s="4" t="inlineStr">
        <is>
          <t>سه ماهه اول</t>
        </is>
      </c>
      <c r="D93" s="4" t="inlineStr">
        <is>
          <t>صادرات</t>
        </is>
      </c>
      <c r="E93" s="4" t="inlineStr">
        <is>
          <t>انبارداری (ماندگاری)</t>
        </is>
      </c>
      <c r="F93" s="4" t="inlineStr">
        <is>
          <t>تن روز</t>
        </is>
      </c>
      <c r="G93" s="5" t="n">
        <v>46009.2</v>
      </c>
      <c r="H93" s="5" t="n">
        <v>0</v>
      </c>
      <c r="I93" s="4" t="inlineStr">
        <is>
          <t>بودجه مصوب دوره</t>
        </is>
      </c>
    </row>
    <row r="94">
      <c r="A94" s="4" t="n">
        <v>1402</v>
      </c>
      <c r="B94" s="4" t="n">
        <v>2</v>
      </c>
      <c r="C94" s="4" t="inlineStr">
        <is>
          <t>سه ماهه اول</t>
        </is>
      </c>
      <c r="D94" s="4" t="inlineStr">
        <is>
          <t>صادرات</t>
        </is>
      </c>
      <c r="E94" s="4" t="inlineStr">
        <is>
          <t>انبارداری (ماندگاری)</t>
        </is>
      </c>
      <c r="F94" s="4" t="inlineStr">
        <is>
          <t>تن روز</t>
        </is>
      </c>
      <c r="G94" s="5" t="n">
        <v>41532.9</v>
      </c>
      <c r="H94" s="5" t="n">
        <v>0</v>
      </c>
      <c r="I94" s="4" t="inlineStr">
        <is>
          <t>عملکرد دوره مشابه سال قبل</t>
        </is>
      </c>
    </row>
    <row r="95">
      <c r="A95" s="4" t="n">
        <v>1403</v>
      </c>
      <c r="B95" s="4" t="n">
        <v>2</v>
      </c>
      <c r="C95" s="4" t="inlineStr">
        <is>
          <t>سه ماهه اول</t>
        </is>
      </c>
      <c r="D95" s="4" t="inlineStr">
        <is>
          <t>صادرات</t>
        </is>
      </c>
      <c r="E95" s="4" t="inlineStr">
        <is>
          <t>باربری</t>
        </is>
      </c>
      <c r="F95" s="4" t="inlineStr">
        <is>
          <t>تن</t>
        </is>
      </c>
      <c r="G95" s="5" t="n">
        <v>4245</v>
      </c>
      <c r="H95" s="5" t="n">
        <v>82248.10000000001</v>
      </c>
      <c r="I95" s="4" t="inlineStr">
        <is>
          <t>عملکرد دوره جاری</t>
        </is>
      </c>
    </row>
    <row r="96">
      <c r="A96" s="4" t="n">
        <v>1403</v>
      </c>
      <c r="B96" s="4" t="n">
        <v>2</v>
      </c>
      <c r="C96" s="4" t="inlineStr">
        <is>
          <t>سه ماهه اول</t>
        </is>
      </c>
      <c r="D96" s="4" t="inlineStr">
        <is>
          <t>صادرات</t>
        </is>
      </c>
      <c r="E96" s="4" t="inlineStr">
        <is>
          <t>باربری</t>
        </is>
      </c>
      <c r="F96" s="4" t="inlineStr">
        <is>
          <t>تن</t>
        </is>
      </c>
      <c r="G96" s="5" t="n">
        <v>4412.8</v>
      </c>
      <c r="H96" s="5" t="n">
        <v>82327</v>
      </c>
      <c r="I96" s="4" t="inlineStr">
        <is>
          <t>بودجه مصوب دوره</t>
        </is>
      </c>
    </row>
    <row r="97">
      <c r="A97" s="4" t="n">
        <v>1402</v>
      </c>
      <c r="B97" s="4" t="n">
        <v>2</v>
      </c>
      <c r="C97" s="4" t="inlineStr">
        <is>
          <t>سه ماهه اول</t>
        </is>
      </c>
      <c r="D97" s="4" t="inlineStr">
        <is>
          <t>صادرات</t>
        </is>
      </c>
      <c r="E97" s="4" t="inlineStr">
        <is>
          <t>باربری</t>
        </is>
      </c>
      <c r="F97" s="4" t="inlineStr">
        <is>
          <t>تن</t>
        </is>
      </c>
      <c r="G97" s="5" t="n">
        <v>3478.6</v>
      </c>
      <c r="H97" s="5" t="n">
        <v>65862.89999999999</v>
      </c>
      <c r="I97" s="4" t="inlineStr">
        <is>
          <t>عملکرد دوره مشابه سال قبل</t>
        </is>
      </c>
    </row>
    <row r="98">
      <c r="A98" s="4" t="n">
        <v>1403</v>
      </c>
      <c r="B98" s="4" t="n">
        <v>2</v>
      </c>
      <c r="C98" s="4" t="inlineStr">
        <is>
          <t>سه ماهه اول</t>
        </is>
      </c>
      <c r="D98" s="4" t="inlineStr">
        <is>
          <t>صادرات</t>
        </is>
      </c>
      <c r="E98" s="4" t="inlineStr">
        <is>
          <t>حمل یکسره</t>
        </is>
      </c>
      <c r="F98" s="4" t="inlineStr">
        <is>
          <t>تن</t>
        </is>
      </c>
      <c r="G98" s="5" t="n">
        <v>2091</v>
      </c>
      <c r="H98" s="5" t="n">
        <v>41894.5</v>
      </c>
      <c r="I98" s="4" t="inlineStr">
        <is>
          <t>عملکرد دوره جاری</t>
        </is>
      </c>
    </row>
    <row r="99">
      <c r="A99" s="4" t="n">
        <v>1403</v>
      </c>
      <c r="B99" s="4" t="n">
        <v>2</v>
      </c>
      <c r="C99" s="4" t="inlineStr">
        <is>
          <t>سه ماهه اول</t>
        </is>
      </c>
      <c r="D99" s="4" t="inlineStr">
        <is>
          <t>صادرات</t>
        </is>
      </c>
      <c r="E99" s="4" t="inlineStr">
        <is>
          <t>حمل یکسره</t>
        </is>
      </c>
      <c r="F99" s="4" t="inlineStr">
        <is>
          <t>تن</t>
        </is>
      </c>
      <c r="G99" s="5" t="n">
        <v>2141.8</v>
      </c>
      <c r="H99" s="5" t="n">
        <v>40856.3</v>
      </c>
      <c r="I99" s="4" t="inlineStr">
        <is>
          <t>بودجه مصوب دوره</t>
        </is>
      </c>
    </row>
    <row r="100">
      <c r="A100" s="4" t="n">
        <v>1402</v>
      </c>
      <c r="B100" s="4" t="n">
        <v>2</v>
      </c>
      <c r="C100" s="4" t="inlineStr">
        <is>
          <t>سه ماهه اول</t>
        </is>
      </c>
      <c r="D100" s="4" t="inlineStr">
        <is>
          <t>صادرات</t>
        </is>
      </c>
      <c r="E100" s="4" t="inlineStr">
        <is>
          <t>حمل یکسره</t>
        </is>
      </c>
      <c r="F100" s="4" t="inlineStr">
        <is>
          <t>تن</t>
        </is>
      </c>
      <c r="G100" s="5" t="n">
        <v>1851.5</v>
      </c>
      <c r="H100" s="5" t="n">
        <v>31729.9</v>
      </c>
      <c r="I100" s="4" t="inlineStr">
        <is>
          <t>عملکرد دوره مشابه سال قبل</t>
        </is>
      </c>
    </row>
    <row r="101">
      <c r="A101" s="4" t="n">
        <v>1403</v>
      </c>
      <c r="B101" s="4" t="n">
        <v>2</v>
      </c>
      <c r="C101" s="4" t="inlineStr">
        <is>
          <t>سه ماهه اول</t>
        </is>
      </c>
      <c r="D101" s="4" t="inlineStr">
        <is>
          <t>صادرات</t>
        </is>
      </c>
      <c r="E101" s="4" t="inlineStr">
        <is>
          <t>ترانشیپ</t>
        </is>
      </c>
      <c r="F101" s="4" t="inlineStr">
        <is>
          <t>تن</t>
        </is>
      </c>
      <c r="G101" s="5" t="n">
        <v>2960</v>
      </c>
      <c r="H101" s="5" t="n">
        <v>102215.6</v>
      </c>
      <c r="I101" s="4" t="inlineStr">
        <is>
          <t>عملکرد دوره جاری</t>
        </is>
      </c>
    </row>
    <row r="102">
      <c r="A102" s="4" t="n">
        <v>1403</v>
      </c>
      <c r="B102" s="4" t="n">
        <v>2</v>
      </c>
      <c r="C102" s="4" t="inlineStr">
        <is>
          <t>سه ماهه اول</t>
        </is>
      </c>
      <c r="D102" s="4" t="inlineStr">
        <is>
          <t>صادرات</t>
        </is>
      </c>
      <c r="E102" s="4" t="inlineStr">
        <is>
          <t>ترانشیپ</t>
        </is>
      </c>
      <c r="F102" s="4" t="inlineStr">
        <is>
          <t>تن</t>
        </is>
      </c>
      <c r="G102" s="5" t="n">
        <v>2968.2</v>
      </c>
      <c r="H102" s="5" t="n">
        <v>92838.60000000001</v>
      </c>
      <c r="I102" s="4" t="inlineStr">
        <is>
          <t>بودجه مصوب دوره</t>
        </is>
      </c>
    </row>
    <row r="103">
      <c r="A103" s="4" t="n">
        <v>1402</v>
      </c>
      <c r="B103" s="4" t="n">
        <v>2</v>
      </c>
      <c r="C103" s="4" t="inlineStr">
        <is>
          <t>سه ماهه اول</t>
        </is>
      </c>
      <c r="D103" s="4" t="inlineStr">
        <is>
          <t>صادرات</t>
        </is>
      </c>
      <c r="E103" s="4" t="inlineStr">
        <is>
          <t>ترانشیپ</t>
        </is>
      </c>
      <c r="F103" s="4" t="inlineStr">
        <is>
          <t>تن</t>
        </is>
      </c>
      <c r="G103" s="5" t="n">
        <v>2674.4</v>
      </c>
      <c r="H103" s="5" t="n">
        <v>89629.8</v>
      </c>
      <c r="I103" s="4" t="inlineStr">
        <is>
          <t>عملکرد دوره مشابه سال قبل</t>
        </is>
      </c>
    </row>
    <row r="104">
      <c r="A104" s="4" t="n">
        <v>1403</v>
      </c>
      <c r="B104" s="4" t="n">
        <v>2</v>
      </c>
      <c r="C104" s="4" t="inlineStr">
        <is>
          <t>سه ماهه اول</t>
        </is>
      </c>
      <c r="D104" s="4" t="inlineStr">
        <is>
          <t>صادرات</t>
        </is>
      </c>
      <c r="E104" s="4" t="inlineStr">
        <is>
          <t>خدمات باربری و جانبی</t>
        </is>
      </c>
      <c r="F104" s="4" t="inlineStr">
        <is>
          <t>میلیون ریال</t>
        </is>
      </c>
      <c r="G104" s="5" t="n">
        <v>0</v>
      </c>
      <c r="H104" s="5" t="n">
        <v>2542.1</v>
      </c>
      <c r="I104" s="4" t="inlineStr">
        <is>
          <t>عملکرد دوره جاری</t>
        </is>
      </c>
    </row>
    <row r="105">
      <c r="A105" s="4" t="n">
        <v>1403</v>
      </c>
      <c r="B105" s="4" t="n">
        <v>2</v>
      </c>
      <c r="C105" s="4" t="inlineStr">
        <is>
          <t>سه ماهه اول</t>
        </is>
      </c>
      <c r="D105" s="4" t="inlineStr">
        <is>
          <t>صادرات</t>
        </is>
      </c>
      <c r="E105" s="4" t="inlineStr">
        <is>
          <t>خدمات باربری و جانبی</t>
        </is>
      </c>
      <c r="F105" s="4" t="inlineStr">
        <is>
          <t>میلیون ریال</t>
        </is>
      </c>
      <c r="G105" s="5" t="n">
        <v>0</v>
      </c>
      <c r="H105" s="5" t="n">
        <v>2625.3</v>
      </c>
      <c r="I105" s="4" t="inlineStr">
        <is>
          <t>بودجه مصوب دوره</t>
        </is>
      </c>
    </row>
    <row r="106">
      <c r="A106" s="4" t="n">
        <v>1402</v>
      </c>
      <c r="B106" s="4" t="n">
        <v>2</v>
      </c>
      <c r="C106" s="4" t="inlineStr">
        <is>
          <t>سه ماهه اول</t>
        </is>
      </c>
      <c r="D106" s="4" t="inlineStr">
        <is>
          <t>صادرات</t>
        </is>
      </c>
      <c r="E106" s="4" t="inlineStr">
        <is>
          <t>خدمات باربری و جانبی</t>
        </is>
      </c>
      <c r="F106" s="4" t="inlineStr">
        <is>
          <t>میلیون ریال</t>
        </is>
      </c>
      <c r="G106" s="5" t="n">
        <v>0</v>
      </c>
      <c r="H106" s="5" t="n">
        <v>2134.2</v>
      </c>
      <c r="I106" s="4" t="inlineStr">
        <is>
          <t>عملکرد دوره مشابه سال قبل</t>
        </is>
      </c>
    </row>
    <row r="107">
      <c r="A107" s="4" t="n">
        <v>1403</v>
      </c>
      <c r="B107" s="4" t="n">
        <v>2</v>
      </c>
      <c r="C107" s="4" t="inlineStr">
        <is>
          <t>سه ماهه اول</t>
        </is>
      </c>
      <c r="D107" s="4" t="inlineStr">
        <is>
          <t>صادرات</t>
        </is>
      </c>
      <c r="E107" s="4" t="inlineStr">
        <is>
          <t>بیمه</t>
        </is>
      </c>
      <c r="F107" s="4" t="inlineStr">
        <is>
          <t>میلیون ریال</t>
        </is>
      </c>
      <c r="G107" s="5" t="n">
        <v>0</v>
      </c>
      <c r="H107" s="5" t="n">
        <v>2158.7</v>
      </c>
      <c r="I107" s="4" t="inlineStr">
        <is>
          <t>عملکرد دوره جاری</t>
        </is>
      </c>
    </row>
    <row r="108">
      <c r="A108" s="4" t="n">
        <v>1403</v>
      </c>
      <c r="B108" s="4" t="n">
        <v>2</v>
      </c>
      <c r="C108" s="4" t="inlineStr">
        <is>
          <t>سه ماهه اول</t>
        </is>
      </c>
      <c r="D108" s="4" t="inlineStr">
        <is>
          <t>صادرات</t>
        </is>
      </c>
      <c r="E108" s="4" t="inlineStr">
        <is>
          <t>بیمه</t>
        </is>
      </c>
      <c r="F108" s="4" t="inlineStr">
        <is>
          <t>میلیون ریال</t>
        </is>
      </c>
      <c r="G108" s="5" t="n">
        <v>0</v>
      </c>
      <c r="H108" s="5" t="n">
        <v>2262.7</v>
      </c>
      <c r="I108" s="4" t="inlineStr">
        <is>
          <t>بودجه مصوب دوره</t>
        </is>
      </c>
    </row>
    <row r="109">
      <c r="A109" s="4" t="n">
        <v>1402</v>
      </c>
      <c r="B109" s="4" t="n">
        <v>2</v>
      </c>
      <c r="C109" s="4" t="inlineStr">
        <is>
          <t>سه ماهه اول</t>
        </is>
      </c>
      <c r="D109" s="4" t="inlineStr">
        <is>
          <t>صادرات</t>
        </is>
      </c>
      <c r="E109" s="4" t="inlineStr">
        <is>
          <t>بیمه</t>
        </is>
      </c>
      <c r="F109" s="4" t="inlineStr">
        <is>
          <t>میلیون ریال</t>
        </is>
      </c>
      <c r="G109" s="5" t="n">
        <v>0</v>
      </c>
      <c r="H109" s="5" t="n">
        <v>1653.9</v>
      </c>
      <c r="I109" s="4" t="inlineStr">
        <is>
          <t>عملکرد دوره مشابه سال قبل</t>
        </is>
      </c>
    </row>
    <row r="110">
      <c r="A110" s="4" t="n">
        <v>1403</v>
      </c>
      <c r="B110" s="4" t="n">
        <v>2</v>
      </c>
      <c r="C110" s="4" t="inlineStr">
        <is>
          <t>سه ماهه اول</t>
        </is>
      </c>
      <c r="D110" s="4" t="inlineStr">
        <is>
          <t>حمل و نقل</t>
        </is>
      </c>
      <c r="E110" s="4" t="inlineStr">
        <is>
          <t>داخلی (صدور بارنامه)</t>
        </is>
      </c>
      <c r="F110" s="4" t="inlineStr">
        <is>
          <t>فقره</t>
        </is>
      </c>
      <c r="G110" s="5" t="n">
        <v>4055</v>
      </c>
      <c r="H110" s="5" t="n">
        <v>80097.39999999999</v>
      </c>
      <c r="I110" s="4" t="inlineStr">
        <is>
          <t>عملکرد دوره جاری</t>
        </is>
      </c>
    </row>
    <row r="111">
      <c r="A111" s="4" t="n">
        <v>1403</v>
      </c>
      <c r="B111" s="4" t="n">
        <v>2</v>
      </c>
      <c r="C111" s="4" t="inlineStr">
        <is>
          <t>سه ماهه اول</t>
        </is>
      </c>
      <c r="D111" s="4" t="inlineStr">
        <is>
          <t>حمل و نقل</t>
        </is>
      </c>
      <c r="E111" s="4" t="inlineStr">
        <is>
          <t>داخلی (صدور بارنامه)</t>
        </is>
      </c>
      <c r="F111" s="4" t="inlineStr">
        <is>
          <t>فقره</t>
        </is>
      </c>
      <c r="G111" s="5" t="n">
        <v>4387.7</v>
      </c>
      <c r="H111" s="5" t="n">
        <v>79452.3</v>
      </c>
      <c r="I111" s="4" t="inlineStr">
        <is>
          <t>بودجه مصوب دوره</t>
        </is>
      </c>
    </row>
    <row r="112">
      <c r="A112" s="4" t="n">
        <v>1402</v>
      </c>
      <c r="B112" s="4" t="n">
        <v>2</v>
      </c>
      <c r="C112" s="4" t="inlineStr">
        <is>
          <t>سه ماهه اول</t>
        </is>
      </c>
      <c r="D112" s="4" t="inlineStr">
        <is>
          <t>حمل و نقل</t>
        </is>
      </c>
      <c r="E112" s="4" t="inlineStr">
        <is>
          <t>داخلی (صدور بارنامه)</t>
        </is>
      </c>
      <c r="F112" s="4" t="inlineStr">
        <is>
          <t>فقره</t>
        </is>
      </c>
      <c r="G112" s="5" t="n">
        <v>4013.2</v>
      </c>
      <c r="H112" s="5" t="n">
        <v>70221.89999999999</v>
      </c>
      <c r="I112" s="4" t="inlineStr">
        <is>
          <t>عملکرد دوره مشابه سال قبل</t>
        </is>
      </c>
    </row>
    <row r="113">
      <c r="A113" s="4" t="n">
        <v>1403</v>
      </c>
      <c r="B113" s="4" t="n">
        <v>2</v>
      </c>
      <c r="C113" s="4" t="inlineStr">
        <is>
          <t>سه ماهه اول</t>
        </is>
      </c>
      <c r="D113" s="4" t="inlineStr">
        <is>
          <t>حمل و نقل</t>
        </is>
      </c>
      <c r="E113" s="4" t="inlineStr">
        <is>
          <t>داخلی (حمل بار)</t>
        </is>
      </c>
      <c r="F113" s="4" t="inlineStr">
        <is>
          <t>تن</t>
        </is>
      </c>
      <c r="G113" s="5" t="n">
        <v>2730</v>
      </c>
      <c r="H113" s="5" t="n">
        <v>85527.2</v>
      </c>
      <c r="I113" s="4" t="inlineStr">
        <is>
          <t>عملکرد دوره جاری</t>
        </is>
      </c>
    </row>
    <row r="114">
      <c r="A114" s="4" t="n">
        <v>1403</v>
      </c>
      <c r="B114" s="4" t="n">
        <v>2</v>
      </c>
      <c r="C114" s="4" t="inlineStr">
        <is>
          <t>سه ماهه اول</t>
        </is>
      </c>
      <c r="D114" s="4" t="inlineStr">
        <is>
          <t>حمل و نقل</t>
        </is>
      </c>
      <c r="E114" s="4" t="inlineStr">
        <is>
          <t>داخلی (حمل بار)</t>
        </is>
      </c>
      <c r="F114" s="4" t="inlineStr">
        <is>
          <t>تن</t>
        </is>
      </c>
      <c r="G114" s="5" t="n">
        <v>3001.9</v>
      </c>
      <c r="H114" s="5" t="n">
        <v>80197.10000000001</v>
      </c>
      <c r="I114" s="4" t="inlineStr">
        <is>
          <t>بودجه مصوب دوره</t>
        </is>
      </c>
    </row>
    <row r="115">
      <c r="A115" s="4" t="n">
        <v>1402</v>
      </c>
      <c r="B115" s="4" t="n">
        <v>2</v>
      </c>
      <c r="C115" s="4" t="inlineStr">
        <is>
          <t>سه ماهه اول</t>
        </is>
      </c>
      <c r="D115" s="4" t="inlineStr">
        <is>
          <t>حمل و نقل</t>
        </is>
      </c>
      <c r="E115" s="4" t="inlineStr">
        <is>
          <t>داخلی (حمل بار)</t>
        </is>
      </c>
      <c r="F115" s="4" t="inlineStr">
        <is>
          <t>تن</t>
        </is>
      </c>
      <c r="G115" s="5" t="n">
        <v>2600.2</v>
      </c>
      <c r="H115" s="5" t="n">
        <v>76047.60000000001</v>
      </c>
      <c r="I115" s="4" t="inlineStr">
        <is>
          <t>عملکرد دوره مشابه سال قبل</t>
        </is>
      </c>
    </row>
    <row r="116">
      <c r="A116" s="4" t="n">
        <v>1403</v>
      </c>
      <c r="B116" s="4" t="n">
        <v>2</v>
      </c>
      <c r="C116" s="4" t="inlineStr">
        <is>
          <t>سه ماهه اول</t>
        </is>
      </c>
      <c r="D116" s="4" t="inlineStr">
        <is>
          <t>حمل و نقل</t>
        </is>
      </c>
      <c r="E116" s="4" t="inlineStr">
        <is>
          <t>بین المللی (صدور بارنامه)</t>
        </is>
      </c>
      <c r="F116" s="4" t="inlineStr">
        <is>
          <t>فقره</t>
        </is>
      </c>
      <c r="G116" s="5" t="n">
        <v>2594</v>
      </c>
      <c r="H116" s="5" t="n">
        <v>69565.5</v>
      </c>
      <c r="I116" s="4" t="inlineStr">
        <is>
          <t>عملکرد دوره جاری</t>
        </is>
      </c>
    </row>
    <row r="117">
      <c r="A117" s="4" t="n">
        <v>1403</v>
      </c>
      <c r="B117" s="4" t="n">
        <v>2</v>
      </c>
      <c r="C117" s="4" t="inlineStr">
        <is>
          <t>سه ماهه اول</t>
        </is>
      </c>
      <c r="D117" s="4" t="inlineStr">
        <is>
          <t>حمل و نقل</t>
        </is>
      </c>
      <c r="E117" s="4" t="inlineStr">
        <is>
          <t>بین المللی (صدور بارنامه)</t>
        </is>
      </c>
      <c r="F117" s="4" t="inlineStr">
        <is>
          <t>فقره</t>
        </is>
      </c>
      <c r="G117" s="5" t="n">
        <v>2774</v>
      </c>
      <c r="H117" s="5" t="n">
        <v>62897.4</v>
      </c>
      <c r="I117" s="4" t="inlineStr">
        <is>
          <t>بودجه مصوب دوره</t>
        </is>
      </c>
    </row>
    <row r="118">
      <c r="A118" s="4" t="n">
        <v>1402</v>
      </c>
      <c r="B118" s="4" t="n">
        <v>2</v>
      </c>
      <c r="C118" s="4" t="inlineStr">
        <is>
          <t>سه ماهه اول</t>
        </is>
      </c>
      <c r="D118" s="4" t="inlineStr">
        <is>
          <t>حمل و نقل</t>
        </is>
      </c>
      <c r="E118" s="4" t="inlineStr">
        <is>
          <t>بین المللی (صدور بارنامه)</t>
        </is>
      </c>
      <c r="F118" s="4" t="inlineStr">
        <is>
          <t>فقره</t>
        </is>
      </c>
      <c r="G118" s="5" t="n">
        <v>2473.7</v>
      </c>
      <c r="H118" s="5" t="n">
        <v>55325.4</v>
      </c>
      <c r="I118" s="4" t="inlineStr">
        <is>
          <t>عملکرد دوره مشابه سال قبل</t>
        </is>
      </c>
    </row>
    <row r="119">
      <c r="A119" s="4" t="n">
        <v>1403</v>
      </c>
      <c r="B119" s="4" t="n">
        <v>2</v>
      </c>
      <c r="C119" s="4" t="inlineStr">
        <is>
          <t>سه ماهه اول</t>
        </is>
      </c>
      <c r="D119" s="4" t="inlineStr">
        <is>
          <t>حمل و نقل</t>
        </is>
      </c>
      <c r="E119" s="4" t="inlineStr">
        <is>
          <t>بین المللی (حمل بار)</t>
        </is>
      </c>
      <c r="F119" s="4" t="inlineStr">
        <is>
          <t>تن</t>
        </is>
      </c>
      <c r="G119" s="5" t="n">
        <v>3711</v>
      </c>
      <c r="H119" s="5" t="n">
        <v>62803.2</v>
      </c>
      <c r="I119" s="4" t="inlineStr">
        <is>
          <t>عملکرد دوره جاری</t>
        </is>
      </c>
    </row>
    <row r="120">
      <c r="A120" s="4" t="n">
        <v>1403</v>
      </c>
      <c r="B120" s="4" t="n">
        <v>2</v>
      </c>
      <c r="C120" s="4" t="inlineStr">
        <is>
          <t>سه ماهه اول</t>
        </is>
      </c>
      <c r="D120" s="4" t="inlineStr">
        <is>
          <t>حمل و نقل</t>
        </is>
      </c>
      <c r="E120" s="4" t="inlineStr">
        <is>
          <t>بین المللی (حمل بار)</t>
        </is>
      </c>
      <c r="F120" s="4" t="inlineStr">
        <is>
          <t>تن</t>
        </is>
      </c>
      <c r="G120" s="5" t="n">
        <v>4212.5</v>
      </c>
      <c r="H120" s="5" t="n">
        <v>62765.1</v>
      </c>
      <c r="I120" s="4" t="inlineStr">
        <is>
          <t>بودجه مصوب دوره</t>
        </is>
      </c>
    </row>
    <row r="121">
      <c r="A121" s="4" t="n">
        <v>1402</v>
      </c>
      <c r="B121" s="4" t="n">
        <v>2</v>
      </c>
      <c r="C121" s="4" t="inlineStr">
        <is>
          <t>سه ماهه اول</t>
        </is>
      </c>
      <c r="D121" s="4" t="inlineStr">
        <is>
          <t>حمل و نقل</t>
        </is>
      </c>
      <c r="E121" s="4" t="inlineStr">
        <is>
          <t>بین المللی (حمل بار)</t>
        </is>
      </c>
      <c r="F121" s="4" t="inlineStr">
        <is>
          <t>تن</t>
        </is>
      </c>
      <c r="G121" s="5" t="n">
        <v>3545.2</v>
      </c>
      <c r="H121" s="5" t="n">
        <v>57624.6</v>
      </c>
      <c r="I121" s="4" t="inlineStr">
        <is>
          <t>عملکرد دوره مشابه سال قبل</t>
        </is>
      </c>
    </row>
    <row r="122">
      <c r="A122" s="4" t="n">
        <v>1403</v>
      </c>
      <c r="B122" s="4" t="n">
        <v>3</v>
      </c>
      <c r="C122" s="4" t="inlineStr">
        <is>
          <t>سه ماهه اول</t>
        </is>
      </c>
      <c r="D122" s="4" t="inlineStr">
        <is>
          <t>واردات</t>
        </is>
      </c>
      <c r="E122" s="4" t="inlineStr">
        <is>
          <t>انبارداری</t>
        </is>
      </c>
      <c r="F122" s="4" t="inlineStr">
        <is>
          <t>تن</t>
        </is>
      </c>
      <c r="G122" s="5" t="n">
        <v>2602</v>
      </c>
      <c r="H122" s="5" t="n">
        <v>56779.1</v>
      </c>
      <c r="I122" s="4" t="inlineStr">
        <is>
          <t>عملکرد دوره جاری</t>
        </is>
      </c>
    </row>
    <row r="123">
      <c r="A123" s="4" t="n">
        <v>1403</v>
      </c>
      <c r="B123" s="4" t="n">
        <v>3</v>
      </c>
      <c r="C123" s="4" t="inlineStr">
        <is>
          <t>سه ماهه اول</t>
        </is>
      </c>
      <c r="D123" s="4" t="inlineStr">
        <is>
          <t>واردات</t>
        </is>
      </c>
      <c r="E123" s="4" t="inlineStr">
        <is>
          <t>انبارداری</t>
        </is>
      </c>
      <c r="F123" s="4" t="inlineStr">
        <is>
          <t>تن</t>
        </is>
      </c>
      <c r="G123" s="5" t="n">
        <v>2415.6</v>
      </c>
      <c r="H123" s="5" t="n">
        <v>64227</v>
      </c>
      <c r="I123" s="4" t="inlineStr">
        <is>
          <t>بودجه مصوب دوره</t>
        </is>
      </c>
    </row>
    <row r="124">
      <c r="A124" s="4" t="n">
        <v>1402</v>
      </c>
      <c r="B124" s="4" t="n">
        <v>3</v>
      </c>
      <c r="C124" s="4" t="inlineStr">
        <is>
          <t>سه ماهه اول</t>
        </is>
      </c>
      <c r="D124" s="4" t="inlineStr">
        <is>
          <t>واردات</t>
        </is>
      </c>
      <c r="E124" s="4" t="inlineStr">
        <is>
          <t>انبارداری</t>
        </is>
      </c>
      <c r="F124" s="4" t="inlineStr">
        <is>
          <t>تن</t>
        </is>
      </c>
      <c r="G124" s="5" t="n">
        <v>2766.5</v>
      </c>
      <c r="H124" s="5" t="n">
        <v>45513.5</v>
      </c>
      <c r="I124" s="4" t="inlineStr">
        <is>
          <t>عملکرد دوره مشابه سال قبل</t>
        </is>
      </c>
    </row>
    <row r="125">
      <c r="A125" s="4" t="n">
        <v>1403</v>
      </c>
      <c r="B125" s="4" t="n">
        <v>3</v>
      </c>
      <c r="C125" s="4" t="inlineStr">
        <is>
          <t>سه ماهه اول</t>
        </is>
      </c>
      <c r="D125" s="4" t="inlineStr">
        <is>
          <t>واردات</t>
        </is>
      </c>
      <c r="E125" s="4" t="inlineStr">
        <is>
          <t>میانگین مدت ماندگاری کالا</t>
        </is>
      </c>
      <c r="F125" s="4" t="inlineStr">
        <is>
          <t>روز</t>
        </is>
      </c>
      <c r="G125" s="5" t="n">
        <v>19.9</v>
      </c>
      <c r="H125" s="5" t="n">
        <v>0</v>
      </c>
      <c r="I125" s="4" t="inlineStr">
        <is>
          <t>عملکرد دوره جاری</t>
        </is>
      </c>
    </row>
    <row r="126">
      <c r="A126" s="4" t="n">
        <v>1403</v>
      </c>
      <c r="B126" s="4" t="n">
        <v>3</v>
      </c>
      <c r="C126" s="4" t="inlineStr">
        <is>
          <t>سه ماهه اول</t>
        </is>
      </c>
      <c r="D126" s="4" t="inlineStr">
        <is>
          <t>واردات</t>
        </is>
      </c>
      <c r="E126" s="4" t="inlineStr">
        <is>
          <t>میانگین مدت ماندگاری کالا</t>
        </is>
      </c>
      <c r="F126" s="4" t="inlineStr">
        <is>
          <t>روز</t>
        </is>
      </c>
      <c r="G126" s="5" t="n">
        <v>22</v>
      </c>
      <c r="H126" s="5" t="n">
        <v>0</v>
      </c>
      <c r="I126" s="4" t="inlineStr">
        <is>
          <t>بودجه مصوب دوره</t>
        </is>
      </c>
    </row>
    <row r="127">
      <c r="A127" s="4" t="n">
        <v>1402</v>
      </c>
      <c r="B127" s="4" t="n">
        <v>3</v>
      </c>
      <c r="C127" s="4" t="inlineStr">
        <is>
          <t>سه ماهه اول</t>
        </is>
      </c>
      <c r="D127" s="4" t="inlineStr">
        <is>
          <t>واردات</t>
        </is>
      </c>
      <c r="E127" s="4" t="inlineStr">
        <is>
          <t>میانگین مدت ماندگاری کالا</t>
        </is>
      </c>
      <c r="F127" s="4" t="inlineStr">
        <is>
          <t>روز</t>
        </is>
      </c>
      <c r="G127" s="5" t="n">
        <v>19.2</v>
      </c>
      <c r="H127" s="5" t="n">
        <v>0</v>
      </c>
      <c r="I127" s="4" t="inlineStr">
        <is>
          <t>عملکرد دوره مشابه سال قبل</t>
        </is>
      </c>
    </row>
    <row r="128">
      <c r="A128" s="4" t="n">
        <v>1403</v>
      </c>
      <c r="B128" s="4" t="n">
        <v>3</v>
      </c>
      <c r="C128" s="4" t="inlineStr">
        <is>
          <t>سه ماهه اول</t>
        </is>
      </c>
      <c r="D128" s="4" t="inlineStr">
        <is>
          <t>واردات</t>
        </is>
      </c>
      <c r="E128" s="4" t="inlineStr">
        <is>
          <t>انبارداری (ماندگاری)</t>
        </is>
      </c>
      <c r="F128" s="4" t="inlineStr">
        <is>
          <t>تن روز</t>
        </is>
      </c>
      <c r="G128" s="5" t="n">
        <v>26835</v>
      </c>
      <c r="H128" s="5" t="n">
        <v>0</v>
      </c>
      <c r="I128" s="4" t="inlineStr">
        <is>
          <t>عملکرد دوره جاری</t>
        </is>
      </c>
    </row>
    <row r="129">
      <c r="A129" s="4" t="n">
        <v>1403</v>
      </c>
      <c r="B129" s="4" t="n">
        <v>3</v>
      </c>
      <c r="C129" s="4" t="inlineStr">
        <is>
          <t>سه ماهه اول</t>
        </is>
      </c>
      <c r="D129" s="4" t="inlineStr">
        <is>
          <t>واردات</t>
        </is>
      </c>
      <c r="E129" s="4" t="inlineStr">
        <is>
          <t>انبارداری (ماندگاری)</t>
        </is>
      </c>
      <c r="F129" s="4" t="inlineStr">
        <is>
          <t>تن روز</t>
        </is>
      </c>
      <c r="G129" s="5" t="n">
        <v>25901.3</v>
      </c>
      <c r="H129" s="5" t="n">
        <v>0</v>
      </c>
      <c r="I129" s="4" t="inlineStr">
        <is>
          <t>بودجه مصوب دوره</t>
        </is>
      </c>
    </row>
    <row r="130">
      <c r="A130" s="4" t="n">
        <v>1402</v>
      </c>
      <c r="B130" s="4" t="n">
        <v>3</v>
      </c>
      <c r="C130" s="4" t="inlineStr">
        <is>
          <t>سه ماهه اول</t>
        </is>
      </c>
      <c r="D130" s="4" t="inlineStr">
        <is>
          <t>واردات</t>
        </is>
      </c>
      <c r="E130" s="4" t="inlineStr">
        <is>
          <t>انبارداری (ماندگاری)</t>
        </is>
      </c>
      <c r="F130" s="4" t="inlineStr">
        <is>
          <t>تن روز</t>
        </is>
      </c>
      <c r="G130" s="5" t="n">
        <v>29488.3</v>
      </c>
      <c r="H130" s="5" t="n">
        <v>0</v>
      </c>
      <c r="I130" s="4" t="inlineStr">
        <is>
          <t>عملکرد دوره مشابه سال قبل</t>
        </is>
      </c>
    </row>
    <row r="131">
      <c r="A131" s="4" t="n">
        <v>1403</v>
      </c>
      <c r="B131" s="4" t="n">
        <v>3</v>
      </c>
      <c r="C131" s="4" t="inlineStr">
        <is>
          <t>سه ماهه اول</t>
        </is>
      </c>
      <c r="D131" s="4" t="inlineStr">
        <is>
          <t>واردات</t>
        </is>
      </c>
      <c r="E131" s="4" t="inlineStr">
        <is>
          <t>باربری</t>
        </is>
      </c>
      <c r="F131" s="4" t="inlineStr">
        <is>
          <t>تن</t>
        </is>
      </c>
      <c r="G131" s="5" t="n">
        <v>3101</v>
      </c>
      <c r="H131" s="5" t="n">
        <v>102160.3</v>
      </c>
      <c r="I131" s="4" t="inlineStr">
        <is>
          <t>عملکرد دوره جاری</t>
        </is>
      </c>
    </row>
    <row r="132">
      <c r="A132" s="4" t="n">
        <v>1403</v>
      </c>
      <c r="B132" s="4" t="n">
        <v>3</v>
      </c>
      <c r="C132" s="4" t="inlineStr">
        <is>
          <t>سه ماهه اول</t>
        </is>
      </c>
      <c r="D132" s="4" t="inlineStr">
        <is>
          <t>واردات</t>
        </is>
      </c>
      <c r="E132" s="4" t="inlineStr">
        <is>
          <t>باربری</t>
        </is>
      </c>
      <c r="F132" s="4" t="inlineStr">
        <is>
          <t>تن</t>
        </is>
      </c>
      <c r="G132" s="5" t="n">
        <v>3488.9</v>
      </c>
      <c r="H132" s="5" t="n">
        <v>108113.7</v>
      </c>
      <c r="I132" s="4" t="inlineStr">
        <is>
          <t>بودجه مصوب دوره</t>
        </is>
      </c>
    </row>
    <row r="133">
      <c r="A133" s="4" t="n">
        <v>1402</v>
      </c>
      <c r="B133" s="4" t="n">
        <v>3</v>
      </c>
      <c r="C133" s="4" t="inlineStr">
        <is>
          <t>سه ماهه اول</t>
        </is>
      </c>
      <c r="D133" s="4" t="inlineStr">
        <is>
          <t>واردات</t>
        </is>
      </c>
      <c r="E133" s="4" t="inlineStr">
        <is>
          <t>باربری</t>
        </is>
      </c>
      <c r="F133" s="4" t="inlineStr">
        <is>
          <t>تن</t>
        </is>
      </c>
      <c r="G133" s="5" t="n">
        <v>2796.2</v>
      </c>
      <c r="H133" s="5" t="n">
        <v>83755.3</v>
      </c>
      <c r="I133" s="4" t="inlineStr">
        <is>
          <t>عملکرد دوره مشابه سال قبل</t>
        </is>
      </c>
    </row>
    <row r="134">
      <c r="A134" s="4" t="n">
        <v>1403</v>
      </c>
      <c r="B134" s="4" t="n">
        <v>3</v>
      </c>
      <c r="C134" s="4" t="inlineStr">
        <is>
          <t>سه ماهه اول</t>
        </is>
      </c>
      <c r="D134" s="4" t="inlineStr">
        <is>
          <t>واردات</t>
        </is>
      </c>
      <c r="E134" s="4" t="inlineStr">
        <is>
          <t>حمل یکسره</t>
        </is>
      </c>
      <c r="F134" s="4" t="inlineStr">
        <is>
          <t>تن</t>
        </is>
      </c>
      <c r="G134" s="5" t="n">
        <v>3663</v>
      </c>
      <c r="H134" s="5" t="n">
        <v>116971.4</v>
      </c>
      <c r="I134" s="4" t="inlineStr">
        <is>
          <t>عملکرد دوره جاری</t>
        </is>
      </c>
    </row>
    <row r="135">
      <c r="A135" s="4" t="n">
        <v>1403</v>
      </c>
      <c r="B135" s="4" t="n">
        <v>3</v>
      </c>
      <c r="C135" s="4" t="inlineStr">
        <is>
          <t>سه ماهه اول</t>
        </is>
      </c>
      <c r="D135" s="4" t="inlineStr">
        <is>
          <t>واردات</t>
        </is>
      </c>
      <c r="E135" s="4" t="inlineStr">
        <is>
          <t>حمل یکسره</t>
        </is>
      </c>
      <c r="F135" s="4" t="inlineStr">
        <is>
          <t>تن</t>
        </is>
      </c>
      <c r="G135" s="5" t="n">
        <v>4080.9</v>
      </c>
      <c r="H135" s="5" t="n">
        <v>117103.2</v>
      </c>
      <c r="I135" s="4" t="inlineStr">
        <is>
          <t>بودجه مصوب دوره</t>
        </is>
      </c>
    </row>
    <row r="136">
      <c r="A136" s="4" t="n">
        <v>1402</v>
      </c>
      <c r="B136" s="4" t="n">
        <v>3</v>
      </c>
      <c r="C136" s="4" t="inlineStr">
        <is>
          <t>سه ماهه اول</t>
        </is>
      </c>
      <c r="D136" s="4" t="inlineStr">
        <is>
          <t>واردات</t>
        </is>
      </c>
      <c r="E136" s="4" t="inlineStr">
        <is>
          <t>حمل یکسره</t>
        </is>
      </c>
      <c r="F136" s="4" t="inlineStr">
        <is>
          <t>تن</t>
        </is>
      </c>
      <c r="G136" s="5" t="n">
        <v>3906</v>
      </c>
      <c r="H136" s="5" t="n">
        <v>107635.4</v>
      </c>
      <c r="I136" s="4" t="inlineStr">
        <is>
          <t>عملکرد دوره مشابه سال قبل</t>
        </is>
      </c>
    </row>
    <row r="137">
      <c r="A137" s="4" t="n">
        <v>1403</v>
      </c>
      <c r="B137" s="4" t="n">
        <v>3</v>
      </c>
      <c r="C137" s="4" t="inlineStr">
        <is>
          <t>سه ماهه اول</t>
        </is>
      </c>
      <c r="D137" s="4" t="inlineStr">
        <is>
          <t>واردات</t>
        </is>
      </c>
      <c r="E137" s="4" t="inlineStr">
        <is>
          <t>ترانشیپ</t>
        </is>
      </c>
      <c r="F137" s="4" t="inlineStr">
        <is>
          <t>تن</t>
        </is>
      </c>
      <c r="G137" s="5" t="n">
        <v>2448</v>
      </c>
      <c r="H137" s="5" t="n">
        <v>44633.3</v>
      </c>
      <c r="I137" s="4" t="inlineStr">
        <is>
          <t>عملکرد دوره جاری</t>
        </is>
      </c>
    </row>
    <row r="138">
      <c r="A138" s="4" t="n">
        <v>1403</v>
      </c>
      <c r="B138" s="4" t="n">
        <v>3</v>
      </c>
      <c r="C138" s="4" t="inlineStr">
        <is>
          <t>سه ماهه اول</t>
        </is>
      </c>
      <c r="D138" s="4" t="inlineStr">
        <is>
          <t>واردات</t>
        </is>
      </c>
      <c r="E138" s="4" t="inlineStr">
        <is>
          <t>ترانشیپ</t>
        </is>
      </c>
      <c r="F138" s="4" t="inlineStr">
        <is>
          <t>تن</t>
        </is>
      </c>
      <c r="G138" s="5" t="n">
        <v>2753.1</v>
      </c>
      <c r="H138" s="5" t="n">
        <v>46936.7</v>
      </c>
      <c r="I138" s="4" t="inlineStr">
        <is>
          <t>بودجه مصوب دوره</t>
        </is>
      </c>
    </row>
    <row r="139">
      <c r="A139" s="4" t="n">
        <v>1402</v>
      </c>
      <c r="B139" s="4" t="n">
        <v>3</v>
      </c>
      <c r="C139" s="4" t="inlineStr">
        <is>
          <t>سه ماهه اول</t>
        </is>
      </c>
      <c r="D139" s="4" t="inlineStr">
        <is>
          <t>واردات</t>
        </is>
      </c>
      <c r="E139" s="4" t="inlineStr">
        <is>
          <t>ترانشیپ</t>
        </is>
      </c>
      <c r="F139" s="4" t="inlineStr">
        <is>
          <t>تن</t>
        </is>
      </c>
      <c r="G139" s="5" t="n">
        <v>1965.2</v>
      </c>
      <c r="H139" s="5" t="n">
        <v>34380.8</v>
      </c>
      <c r="I139" s="4" t="inlineStr">
        <is>
          <t>عملکرد دوره مشابه سال قبل</t>
        </is>
      </c>
    </row>
    <row r="140">
      <c r="A140" s="4" t="n">
        <v>1403</v>
      </c>
      <c r="B140" s="4" t="n">
        <v>3</v>
      </c>
      <c r="C140" s="4" t="inlineStr">
        <is>
          <t>سه ماهه اول</t>
        </is>
      </c>
      <c r="D140" s="4" t="inlineStr">
        <is>
          <t>واردات</t>
        </is>
      </c>
      <c r="E140" s="4" t="inlineStr">
        <is>
          <t>خدمات باربری و جانبی</t>
        </is>
      </c>
      <c r="F140" s="4" t="inlineStr">
        <is>
          <t>میلیون ریال</t>
        </is>
      </c>
      <c r="G140" s="5" t="n">
        <v>0</v>
      </c>
      <c r="H140" s="5" t="n">
        <v>2490.5</v>
      </c>
      <c r="I140" s="4" t="inlineStr">
        <is>
          <t>عملکرد دوره جاری</t>
        </is>
      </c>
    </row>
    <row r="141">
      <c r="A141" s="4" t="n">
        <v>1403</v>
      </c>
      <c r="B141" s="4" t="n">
        <v>3</v>
      </c>
      <c r="C141" s="4" t="inlineStr">
        <is>
          <t>سه ماهه اول</t>
        </is>
      </c>
      <c r="D141" s="4" t="inlineStr">
        <is>
          <t>واردات</t>
        </is>
      </c>
      <c r="E141" s="4" t="inlineStr">
        <is>
          <t>خدمات باربری و جانبی</t>
        </is>
      </c>
      <c r="F141" s="4" t="inlineStr">
        <is>
          <t>میلیون ریال</t>
        </is>
      </c>
      <c r="G141" s="5" t="n">
        <v>0</v>
      </c>
      <c r="H141" s="5" t="n">
        <v>2244.6</v>
      </c>
      <c r="I141" s="4" t="inlineStr">
        <is>
          <t>بودجه مصوب دوره</t>
        </is>
      </c>
    </row>
    <row r="142">
      <c r="A142" s="4" t="n">
        <v>1402</v>
      </c>
      <c r="B142" s="4" t="n">
        <v>3</v>
      </c>
      <c r="C142" s="4" t="inlineStr">
        <is>
          <t>سه ماهه اول</t>
        </is>
      </c>
      <c r="D142" s="4" t="inlineStr">
        <is>
          <t>واردات</t>
        </is>
      </c>
      <c r="E142" s="4" t="inlineStr">
        <is>
          <t>خدمات باربری و جانبی</t>
        </is>
      </c>
      <c r="F142" s="4" t="inlineStr">
        <is>
          <t>میلیون ریال</t>
        </is>
      </c>
      <c r="G142" s="5" t="n">
        <v>0</v>
      </c>
      <c r="H142" s="5" t="n">
        <v>1948</v>
      </c>
      <c r="I142" s="4" t="inlineStr">
        <is>
          <t>عملکرد دوره مشابه سال قبل</t>
        </is>
      </c>
    </row>
    <row r="143">
      <c r="A143" s="4" t="n">
        <v>1403</v>
      </c>
      <c r="B143" s="4" t="n">
        <v>3</v>
      </c>
      <c r="C143" s="4" t="inlineStr">
        <is>
          <t>سه ماهه اول</t>
        </is>
      </c>
      <c r="D143" s="4" t="inlineStr">
        <is>
          <t>واردات</t>
        </is>
      </c>
      <c r="E143" s="4" t="inlineStr">
        <is>
          <t>بیمه</t>
        </is>
      </c>
      <c r="F143" s="4" t="inlineStr">
        <is>
          <t>میلیون ریال</t>
        </is>
      </c>
      <c r="G143" s="5" t="n">
        <v>0</v>
      </c>
      <c r="H143" s="5" t="n">
        <v>2146.2</v>
      </c>
      <c r="I143" s="4" t="inlineStr">
        <is>
          <t>عملکرد دوره جاری</t>
        </is>
      </c>
    </row>
    <row r="144">
      <c r="A144" s="4" t="n">
        <v>1403</v>
      </c>
      <c r="B144" s="4" t="n">
        <v>3</v>
      </c>
      <c r="C144" s="4" t="inlineStr">
        <is>
          <t>سه ماهه اول</t>
        </is>
      </c>
      <c r="D144" s="4" t="inlineStr">
        <is>
          <t>واردات</t>
        </is>
      </c>
      <c r="E144" s="4" t="inlineStr">
        <is>
          <t>بیمه</t>
        </is>
      </c>
      <c r="F144" s="4" t="inlineStr">
        <is>
          <t>میلیون ریال</t>
        </is>
      </c>
      <c r="G144" s="5" t="n">
        <v>0</v>
      </c>
      <c r="H144" s="5" t="n">
        <v>2302.8</v>
      </c>
      <c r="I144" s="4" t="inlineStr">
        <is>
          <t>بودجه مصوب دوره</t>
        </is>
      </c>
    </row>
    <row r="145">
      <c r="A145" s="4" t="n">
        <v>1402</v>
      </c>
      <c r="B145" s="4" t="n">
        <v>3</v>
      </c>
      <c r="C145" s="4" t="inlineStr">
        <is>
          <t>سه ماهه اول</t>
        </is>
      </c>
      <c r="D145" s="4" t="inlineStr">
        <is>
          <t>واردات</t>
        </is>
      </c>
      <c r="E145" s="4" t="inlineStr">
        <is>
          <t>بیمه</t>
        </is>
      </c>
      <c r="F145" s="4" t="inlineStr">
        <is>
          <t>میلیون ریال</t>
        </is>
      </c>
      <c r="G145" s="5" t="n">
        <v>0</v>
      </c>
      <c r="H145" s="5" t="n">
        <v>1889.5</v>
      </c>
      <c r="I145" s="4" t="inlineStr">
        <is>
          <t>عملکرد دوره مشابه سال قبل</t>
        </is>
      </c>
    </row>
    <row r="146">
      <c r="A146" s="4" t="n">
        <v>1403</v>
      </c>
      <c r="B146" s="4" t="n">
        <v>3</v>
      </c>
      <c r="C146" s="4" t="inlineStr">
        <is>
          <t>سه ماهه اول</t>
        </is>
      </c>
      <c r="D146" s="4" t="inlineStr">
        <is>
          <t>صادرات</t>
        </is>
      </c>
      <c r="E146" s="4" t="inlineStr">
        <is>
          <t>انبارداری</t>
        </is>
      </c>
      <c r="F146" s="4" t="inlineStr">
        <is>
          <t>تن</t>
        </is>
      </c>
      <c r="G146" s="5" t="n">
        <v>2504</v>
      </c>
      <c r="H146" s="5" t="n">
        <v>46370.3</v>
      </c>
      <c r="I146" s="4" t="inlineStr">
        <is>
          <t>عملکرد دوره جاری</t>
        </is>
      </c>
    </row>
    <row r="147">
      <c r="A147" s="4" t="n">
        <v>1403</v>
      </c>
      <c r="B147" s="4" t="n">
        <v>3</v>
      </c>
      <c r="C147" s="4" t="inlineStr">
        <is>
          <t>سه ماهه اول</t>
        </is>
      </c>
      <c r="D147" s="4" t="inlineStr">
        <is>
          <t>صادرات</t>
        </is>
      </c>
      <c r="E147" s="4" t="inlineStr">
        <is>
          <t>انبارداری</t>
        </is>
      </c>
      <c r="F147" s="4" t="inlineStr">
        <is>
          <t>تن</t>
        </is>
      </c>
      <c r="G147" s="5" t="n">
        <v>2264.9</v>
      </c>
      <c r="H147" s="5" t="n">
        <v>47458.8</v>
      </c>
      <c r="I147" s="4" t="inlineStr">
        <is>
          <t>بودجه مصوب دوره</t>
        </is>
      </c>
    </row>
    <row r="148">
      <c r="A148" s="4" t="n">
        <v>1402</v>
      </c>
      <c r="B148" s="4" t="n">
        <v>3</v>
      </c>
      <c r="C148" s="4" t="inlineStr">
        <is>
          <t>سه ماهه اول</t>
        </is>
      </c>
      <c r="D148" s="4" t="inlineStr">
        <is>
          <t>صادرات</t>
        </is>
      </c>
      <c r="E148" s="4" t="inlineStr">
        <is>
          <t>انبارداری</t>
        </is>
      </c>
      <c r="F148" s="4" t="inlineStr">
        <is>
          <t>تن</t>
        </is>
      </c>
      <c r="G148" s="5" t="n">
        <v>2137.5</v>
      </c>
      <c r="H148" s="5" t="n">
        <v>38176.4</v>
      </c>
      <c r="I148" s="4" t="inlineStr">
        <is>
          <t>عملکرد دوره مشابه سال قبل</t>
        </is>
      </c>
    </row>
    <row r="149">
      <c r="A149" s="4" t="n">
        <v>1403</v>
      </c>
      <c r="B149" s="4" t="n">
        <v>3</v>
      </c>
      <c r="C149" s="4" t="inlineStr">
        <is>
          <t>سه ماهه اول</t>
        </is>
      </c>
      <c r="D149" s="4" t="inlineStr">
        <is>
          <t>صادرات</t>
        </is>
      </c>
      <c r="E149" s="4" t="inlineStr">
        <is>
          <t>میانگین مدت ماندگاری کالا</t>
        </is>
      </c>
      <c r="F149" s="4" t="inlineStr">
        <is>
          <t>روز</t>
        </is>
      </c>
      <c r="G149" s="5" t="n">
        <v>21.2</v>
      </c>
      <c r="H149" s="5" t="n">
        <v>0</v>
      </c>
      <c r="I149" s="4" t="inlineStr">
        <is>
          <t>عملکرد دوره جاری</t>
        </is>
      </c>
    </row>
    <row r="150">
      <c r="A150" s="4" t="n">
        <v>1403</v>
      </c>
      <c r="B150" s="4" t="n">
        <v>3</v>
      </c>
      <c r="C150" s="4" t="inlineStr">
        <is>
          <t>سه ماهه اول</t>
        </is>
      </c>
      <c r="D150" s="4" t="inlineStr">
        <is>
          <t>صادرات</t>
        </is>
      </c>
      <c r="E150" s="4" t="inlineStr">
        <is>
          <t>میانگین مدت ماندگاری کالا</t>
        </is>
      </c>
      <c r="F150" s="4" t="inlineStr">
        <is>
          <t>روز</t>
        </is>
      </c>
      <c r="G150" s="5" t="n">
        <v>22.9</v>
      </c>
      <c r="H150" s="5" t="n">
        <v>0</v>
      </c>
      <c r="I150" s="4" t="inlineStr">
        <is>
          <t>بودجه مصوب دوره</t>
        </is>
      </c>
    </row>
    <row r="151">
      <c r="A151" s="4" t="n">
        <v>1402</v>
      </c>
      <c r="B151" s="4" t="n">
        <v>3</v>
      </c>
      <c r="C151" s="4" t="inlineStr">
        <is>
          <t>سه ماهه اول</t>
        </is>
      </c>
      <c r="D151" s="4" t="inlineStr">
        <is>
          <t>صادرات</t>
        </is>
      </c>
      <c r="E151" s="4" t="inlineStr">
        <is>
          <t>میانگین مدت ماندگاری کالا</t>
        </is>
      </c>
      <c r="F151" s="4" t="inlineStr">
        <is>
          <t>روز</t>
        </is>
      </c>
      <c r="G151" s="5" t="n">
        <v>18.9</v>
      </c>
      <c r="H151" s="5" t="n">
        <v>0</v>
      </c>
      <c r="I151" s="4" t="inlineStr">
        <is>
          <t>عملکرد دوره مشابه سال قبل</t>
        </is>
      </c>
    </row>
    <row r="152">
      <c r="A152" s="4" t="n">
        <v>1403</v>
      </c>
      <c r="B152" s="4" t="n">
        <v>3</v>
      </c>
      <c r="C152" s="4" t="inlineStr">
        <is>
          <t>سه ماهه اول</t>
        </is>
      </c>
      <c r="D152" s="4" t="inlineStr">
        <is>
          <t>صادرات</t>
        </is>
      </c>
      <c r="E152" s="4" t="inlineStr">
        <is>
          <t>انبارداری (ماندگاری)</t>
        </is>
      </c>
      <c r="F152" s="4" t="inlineStr">
        <is>
          <t>تن روز</t>
        </is>
      </c>
      <c r="G152" s="5" t="n">
        <v>19555</v>
      </c>
      <c r="H152" s="5" t="n">
        <v>0</v>
      </c>
      <c r="I152" s="4" t="inlineStr">
        <is>
          <t>عملکرد دوره جاری</t>
        </is>
      </c>
    </row>
    <row r="153">
      <c r="A153" s="4" t="n">
        <v>1403</v>
      </c>
      <c r="B153" s="4" t="n">
        <v>3</v>
      </c>
      <c r="C153" s="4" t="inlineStr">
        <is>
          <t>سه ماهه اول</t>
        </is>
      </c>
      <c r="D153" s="4" t="inlineStr">
        <is>
          <t>صادرات</t>
        </is>
      </c>
      <c r="E153" s="4" t="inlineStr">
        <is>
          <t>انبارداری (ماندگاری)</t>
        </is>
      </c>
      <c r="F153" s="4" t="inlineStr">
        <is>
          <t>تن روز</t>
        </is>
      </c>
      <c r="G153" s="5" t="n">
        <v>20087</v>
      </c>
      <c r="H153" s="5" t="n">
        <v>0</v>
      </c>
      <c r="I153" s="4" t="inlineStr">
        <is>
          <t>بودجه مصوب دوره</t>
        </is>
      </c>
    </row>
    <row r="154">
      <c r="A154" s="4" t="n">
        <v>1402</v>
      </c>
      <c r="B154" s="4" t="n">
        <v>3</v>
      </c>
      <c r="C154" s="4" t="inlineStr">
        <is>
          <t>سه ماهه اول</t>
        </is>
      </c>
      <c r="D154" s="4" t="inlineStr">
        <is>
          <t>صادرات</t>
        </is>
      </c>
      <c r="E154" s="4" t="inlineStr">
        <is>
          <t>انبارداری (ماندگاری)</t>
        </is>
      </c>
      <c r="F154" s="4" t="inlineStr">
        <is>
          <t>تن روز</t>
        </is>
      </c>
      <c r="G154" s="5" t="n">
        <v>19377</v>
      </c>
      <c r="H154" s="5" t="n">
        <v>0</v>
      </c>
      <c r="I154" s="4" t="inlineStr">
        <is>
          <t>عملکرد دوره مشابه سال قبل</t>
        </is>
      </c>
    </row>
    <row r="155">
      <c r="A155" s="4" t="n">
        <v>1403</v>
      </c>
      <c r="B155" s="4" t="n">
        <v>3</v>
      </c>
      <c r="C155" s="4" t="inlineStr">
        <is>
          <t>سه ماهه اول</t>
        </is>
      </c>
      <c r="D155" s="4" t="inlineStr">
        <is>
          <t>صادرات</t>
        </is>
      </c>
      <c r="E155" s="4" t="inlineStr">
        <is>
          <t>باربری</t>
        </is>
      </c>
      <c r="F155" s="4" t="inlineStr">
        <is>
          <t>تن</t>
        </is>
      </c>
      <c r="G155" s="5" t="n">
        <v>1845</v>
      </c>
      <c r="H155" s="5" t="n">
        <v>36678.2</v>
      </c>
      <c r="I155" s="4" t="inlineStr">
        <is>
          <t>عملکرد دوره جاری</t>
        </is>
      </c>
    </row>
    <row r="156">
      <c r="A156" s="4" t="n">
        <v>1403</v>
      </c>
      <c r="B156" s="4" t="n">
        <v>3</v>
      </c>
      <c r="C156" s="4" t="inlineStr">
        <is>
          <t>سه ماهه اول</t>
        </is>
      </c>
      <c r="D156" s="4" t="inlineStr">
        <is>
          <t>صادرات</t>
        </is>
      </c>
      <c r="E156" s="4" t="inlineStr">
        <is>
          <t>باربری</t>
        </is>
      </c>
      <c r="F156" s="4" t="inlineStr">
        <is>
          <t>تن</t>
        </is>
      </c>
      <c r="G156" s="5" t="n">
        <v>2109.3</v>
      </c>
      <c r="H156" s="5" t="n">
        <v>36614.9</v>
      </c>
      <c r="I156" s="4" t="inlineStr">
        <is>
          <t>بودجه مصوب دوره</t>
        </is>
      </c>
    </row>
    <row r="157">
      <c r="A157" s="4" t="n">
        <v>1402</v>
      </c>
      <c r="B157" s="4" t="n">
        <v>3</v>
      </c>
      <c r="C157" s="4" t="inlineStr">
        <is>
          <t>سه ماهه اول</t>
        </is>
      </c>
      <c r="D157" s="4" t="inlineStr">
        <is>
          <t>صادرات</t>
        </is>
      </c>
      <c r="E157" s="4" t="inlineStr">
        <is>
          <t>باربری</t>
        </is>
      </c>
      <c r="F157" s="4" t="inlineStr">
        <is>
          <t>تن</t>
        </is>
      </c>
      <c r="G157" s="5" t="n">
        <v>1969.7</v>
      </c>
      <c r="H157" s="5" t="n">
        <v>32138.5</v>
      </c>
      <c r="I157" s="4" t="inlineStr">
        <is>
          <t>عملکرد دوره مشابه سال قبل</t>
        </is>
      </c>
    </row>
    <row r="158">
      <c r="A158" s="4" t="n">
        <v>1403</v>
      </c>
      <c r="B158" s="4" t="n">
        <v>3</v>
      </c>
      <c r="C158" s="4" t="inlineStr">
        <is>
          <t>سه ماهه اول</t>
        </is>
      </c>
      <c r="D158" s="4" t="inlineStr">
        <is>
          <t>صادرات</t>
        </is>
      </c>
      <c r="E158" s="4" t="inlineStr">
        <is>
          <t>حمل یکسره</t>
        </is>
      </c>
      <c r="F158" s="4" t="inlineStr">
        <is>
          <t>تن</t>
        </is>
      </c>
      <c r="G158" s="5" t="n">
        <v>1025</v>
      </c>
      <c r="H158" s="5" t="n">
        <v>22551.6</v>
      </c>
      <c r="I158" s="4" t="inlineStr">
        <is>
          <t>عملکرد دوره جاری</t>
        </is>
      </c>
    </row>
    <row r="159">
      <c r="A159" s="4" t="n">
        <v>1403</v>
      </c>
      <c r="B159" s="4" t="n">
        <v>3</v>
      </c>
      <c r="C159" s="4" t="inlineStr">
        <is>
          <t>سه ماهه اول</t>
        </is>
      </c>
      <c r="D159" s="4" t="inlineStr">
        <is>
          <t>صادرات</t>
        </is>
      </c>
      <c r="E159" s="4" t="inlineStr">
        <is>
          <t>حمل یکسره</t>
        </is>
      </c>
      <c r="F159" s="4" t="inlineStr">
        <is>
          <t>تن</t>
        </is>
      </c>
      <c r="G159" s="5" t="n">
        <v>1087.8</v>
      </c>
      <c r="H159" s="5" t="n">
        <v>24067.8</v>
      </c>
      <c r="I159" s="4" t="inlineStr">
        <is>
          <t>بودجه مصوب دوره</t>
        </is>
      </c>
    </row>
    <row r="160">
      <c r="A160" s="4" t="n">
        <v>1402</v>
      </c>
      <c r="B160" s="4" t="n">
        <v>3</v>
      </c>
      <c r="C160" s="4" t="inlineStr">
        <is>
          <t>سه ماهه اول</t>
        </is>
      </c>
      <c r="D160" s="4" t="inlineStr">
        <is>
          <t>صادرات</t>
        </is>
      </c>
      <c r="E160" s="4" t="inlineStr">
        <is>
          <t>حمل یکسره</t>
        </is>
      </c>
      <c r="F160" s="4" t="inlineStr">
        <is>
          <t>تن</t>
        </is>
      </c>
      <c r="G160" s="5" t="n">
        <v>1085.7</v>
      </c>
      <c r="H160" s="5" t="n">
        <v>17951.9</v>
      </c>
      <c r="I160" s="4" t="inlineStr">
        <is>
          <t>عملکرد دوره مشابه سال قبل</t>
        </is>
      </c>
    </row>
    <row r="161">
      <c r="A161" s="4" t="n">
        <v>1403</v>
      </c>
      <c r="B161" s="4" t="n">
        <v>3</v>
      </c>
      <c r="C161" s="4" t="inlineStr">
        <is>
          <t>سه ماهه اول</t>
        </is>
      </c>
      <c r="D161" s="4" t="inlineStr">
        <is>
          <t>صادرات</t>
        </is>
      </c>
      <c r="E161" s="4" t="inlineStr">
        <is>
          <t>ترانشیپ</t>
        </is>
      </c>
      <c r="F161" s="4" t="inlineStr">
        <is>
          <t>تن</t>
        </is>
      </c>
      <c r="G161" s="5" t="n">
        <v>1615</v>
      </c>
      <c r="H161" s="5" t="n">
        <v>33293.9</v>
      </c>
      <c r="I161" s="4" t="inlineStr">
        <is>
          <t>عملکرد دوره جاری</t>
        </is>
      </c>
    </row>
    <row r="162">
      <c r="A162" s="4" t="n">
        <v>1403</v>
      </c>
      <c r="B162" s="4" t="n">
        <v>3</v>
      </c>
      <c r="C162" s="4" t="inlineStr">
        <is>
          <t>سه ماهه اول</t>
        </is>
      </c>
      <c r="D162" s="4" t="inlineStr">
        <is>
          <t>صادرات</t>
        </is>
      </c>
      <c r="E162" s="4" t="inlineStr">
        <is>
          <t>ترانشیپ</t>
        </is>
      </c>
      <c r="F162" s="4" t="inlineStr">
        <is>
          <t>تن</t>
        </is>
      </c>
      <c r="G162" s="5" t="n">
        <v>1463.3</v>
      </c>
      <c r="H162" s="5" t="n">
        <v>35337.1</v>
      </c>
      <c r="I162" s="4" t="inlineStr">
        <is>
          <t>بودجه مصوب دوره</t>
        </is>
      </c>
    </row>
    <row r="163">
      <c r="A163" s="4" t="n">
        <v>1402</v>
      </c>
      <c r="B163" s="4" t="n">
        <v>3</v>
      </c>
      <c r="C163" s="4" t="inlineStr">
        <is>
          <t>سه ماهه اول</t>
        </is>
      </c>
      <c r="D163" s="4" t="inlineStr">
        <is>
          <t>صادرات</t>
        </is>
      </c>
      <c r="E163" s="4" t="inlineStr">
        <is>
          <t>ترانشیپ</t>
        </is>
      </c>
      <c r="F163" s="4" t="inlineStr">
        <is>
          <t>تن</t>
        </is>
      </c>
      <c r="G163" s="5" t="n">
        <v>1377.8</v>
      </c>
      <c r="H163" s="5" t="n">
        <v>31232.7</v>
      </c>
      <c r="I163" s="4" t="inlineStr">
        <is>
          <t>عملکرد دوره مشابه سال قبل</t>
        </is>
      </c>
    </row>
    <row r="164">
      <c r="A164" s="4" t="n">
        <v>1403</v>
      </c>
      <c r="B164" s="4" t="n">
        <v>3</v>
      </c>
      <c r="C164" s="4" t="inlineStr">
        <is>
          <t>سه ماهه اول</t>
        </is>
      </c>
      <c r="D164" s="4" t="inlineStr">
        <is>
          <t>صادرات</t>
        </is>
      </c>
      <c r="E164" s="4" t="inlineStr">
        <is>
          <t>خدمات باربری و جانبی</t>
        </is>
      </c>
      <c r="F164" s="4" t="inlineStr">
        <is>
          <t>میلیون ریال</t>
        </is>
      </c>
      <c r="G164" s="5" t="n">
        <v>0</v>
      </c>
      <c r="H164" s="5" t="n">
        <v>3361.8</v>
      </c>
      <c r="I164" s="4" t="inlineStr">
        <is>
          <t>عملکرد دوره جاری</t>
        </is>
      </c>
    </row>
    <row r="165">
      <c r="A165" s="4" t="n">
        <v>1403</v>
      </c>
      <c r="B165" s="4" t="n">
        <v>3</v>
      </c>
      <c r="C165" s="4" t="inlineStr">
        <is>
          <t>سه ماهه اول</t>
        </is>
      </c>
      <c r="D165" s="4" t="inlineStr">
        <is>
          <t>صادرات</t>
        </is>
      </c>
      <c r="E165" s="4" t="inlineStr">
        <is>
          <t>خدمات باربری و جانبی</t>
        </is>
      </c>
      <c r="F165" s="4" t="inlineStr">
        <is>
          <t>میلیون ریال</t>
        </is>
      </c>
      <c r="G165" s="5" t="n">
        <v>0</v>
      </c>
      <c r="H165" s="5" t="n">
        <v>3794.5</v>
      </c>
      <c r="I165" s="4" t="inlineStr">
        <is>
          <t>بودجه مصوب دوره</t>
        </is>
      </c>
    </row>
    <row r="166">
      <c r="A166" s="4" t="n">
        <v>1402</v>
      </c>
      <c r="B166" s="4" t="n">
        <v>3</v>
      </c>
      <c r="C166" s="4" t="inlineStr">
        <is>
          <t>سه ماهه اول</t>
        </is>
      </c>
      <c r="D166" s="4" t="inlineStr">
        <is>
          <t>صادرات</t>
        </is>
      </c>
      <c r="E166" s="4" t="inlineStr">
        <is>
          <t>خدمات باربری و جانبی</t>
        </is>
      </c>
      <c r="F166" s="4" t="inlineStr">
        <is>
          <t>میلیون ریال</t>
        </is>
      </c>
      <c r="G166" s="5" t="n">
        <v>0</v>
      </c>
      <c r="H166" s="5" t="n">
        <v>2770.2</v>
      </c>
      <c r="I166" s="4" t="inlineStr">
        <is>
          <t>عملکرد دوره مشابه سال قبل</t>
        </is>
      </c>
    </row>
    <row r="167">
      <c r="A167" s="4" t="n">
        <v>1403</v>
      </c>
      <c r="B167" s="4" t="n">
        <v>3</v>
      </c>
      <c r="C167" s="4" t="inlineStr">
        <is>
          <t>سه ماهه اول</t>
        </is>
      </c>
      <c r="D167" s="4" t="inlineStr">
        <is>
          <t>صادرات</t>
        </is>
      </c>
      <c r="E167" s="4" t="inlineStr">
        <is>
          <t>بیمه</t>
        </is>
      </c>
      <c r="F167" s="4" t="inlineStr">
        <is>
          <t>میلیون ریال</t>
        </is>
      </c>
      <c r="G167" s="5" t="n">
        <v>0</v>
      </c>
      <c r="H167" s="5" t="n">
        <v>546.4</v>
      </c>
      <c r="I167" s="4" t="inlineStr">
        <is>
          <t>عملکرد دوره جاری</t>
        </is>
      </c>
    </row>
    <row r="168">
      <c r="A168" s="4" t="n">
        <v>1403</v>
      </c>
      <c r="B168" s="4" t="n">
        <v>3</v>
      </c>
      <c r="C168" s="4" t="inlineStr">
        <is>
          <t>سه ماهه اول</t>
        </is>
      </c>
      <c r="D168" s="4" t="inlineStr">
        <is>
          <t>صادرات</t>
        </is>
      </c>
      <c r="E168" s="4" t="inlineStr">
        <is>
          <t>بیمه</t>
        </is>
      </c>
      <c r="F168" s="4" t="inlineStr">
        <is>
          <t>میلیون ریال</t>
        </is>
      </c>
      <c r="G168" s="5" t="n">
        <v>0</v>
      </c>
      <c r="H168" s="5" t="n">
        <v>618.6</v>
      </c>
      <c r="I168" s="4" t="inlineStr">
        <is>
          <t>بودجه مصوب دوره</t>
        </is>
      </c>
    </row>
    <row r="169">
      <c r="A169" s="4" t="n">
        <v>1402</v>
      </c>
      <c r="B169" s="4" t="n">
        <v>3</v>
      </c>
      <c r="C169" s="4" t="inlineStr">
        <is>
          <t>سه ماهه اول</t>
        </is>
      </c>
      <c r="D169" s="4" t="inlineStr">
        <is>
          <t>صادرات</t>
        </is>
      </c>
      <c r="E169" s="4" t="inlineStr">
        <is>
          <t>بیمه</t>
        </is>
      </c>
      <c r="F169" s="4" t="inlineStr">
        <is>
          <t>میلیون ریال</t>
        </is>
      </c>
      <c r="G169" s="5" t="n">
        <v>0</v>
      </c>
      <c r="H169" s="5" t="n">
        <v>456.6</v>
      </c>
      <c r="I169" s="4" t="inlineStr">
        <is>
          <t>عملکرد دوره مشابه سال قبل</t>
        </is>
      </c>
    </row>
    <row r="170">
      <c r="A170" s="4" t="n">
        <v>1403</v>
      </c>
      <c r="B170" s="4" t="n">
        <v>3</v>
      </c>
      <c r="C170" s="4" t="inlineStr">
        <is>
          <t>سه ماهه اول</t>
        </is>
      </c>
      <c r="D170" s="4" t="inlineStr">
        <is>
          <t>حمل و نقل</t>
        </is>
      </c>
      <c r="E170" s="4" t="inlineStr">
        <is>
          <t>داخلی (صدور بارنامه)</t>
        </is>
      </c>
      <c r="F170" s="4" t="inlineStr">
        <is>
          <t>فقره</t>
        </is>
      </c>
      <c r="G170" s="5" t="n">
        <v>980</v>
      </c>
      <c r="H170" s="5" t="n">
        <v>25916.9</v>
      </c>
      <c r="I170" s="4" t="inlineStr">
        <is>
          <t>عملکرد دوره جاری</t>
        </is>
      </c>
    </row>
    <row r="171">
      <c r="A171" s="4" t="n">
        <v>1403</v>
      </c>
      <c r="B171" s="4" t="n">
        <v>3</v>
      </c>
      <c r="C171" s="4" t="inlineStr">
        <is>
          <t>سه ماهه اول</t>
        </is>
      </c>
      <c r="D171" s="4" t="inlineStr">
        <is>
          <t>حمل و نقل</t>
        </is>
      </c>
      <c r="E171" s="4" t="inlineStr">
        <is>
          <t>داخلی (صدور بارنامه)</t>
        </is>
      </c>
      <c r="F171" s="4" t="inlineStr">
        <is>
          <t>فقره</t>
        </is>
      </c>
      <c r="G171" s="5" t="n">
        <v>1122.2</v>
      </c>
      <c r="H171" s="5" t="n">
        <v>23813.4</v>
      </c>
      <c r="I171" s="4" t="inlineStr">
        <is>
          <t>بودجه مصوب دوره</t>
        </is>
      </c>
    </row>
    <row r="172">
      <c r="A172" s="4" t="n">
        <v>1402</v>
      </c>
      <c r="B172" s="4" t="n">
        <v>3</v>
      </c>
      <c r="C172" s="4" t="inlineStr">
        <is>
          <t>سه ماهه اول</t>
        </is>
      </c>
      <c r="D172" s="4" t="inlineStr">
        <is>
          <t>حمل و نقل</t>
        </is>
      </c>
      <c r="E172" s="4" t="inlineStr">
        <is>
          <t>داخلی (صدور بارنامه)</t>
        </is>
      </c>
      <c r="F172" s="4" t="inlineStr">
        <is>
          <t>فقره</t>
        </is>
      </c>
      <c r="G172" s="5" t="n">
        <v>873.9</v>
      </c>
      <c r="H172" s="5" t="n">
        <v>20427.2</v>
      </c>
      <c r="I172" s="4" t="inlineStr">
        <is>
          <t>عملکرد دوره مشابه سال قبل</t>
        </is>
      </c>
    </row>
    <row r="173">
      <c r="A173" s="4" t="n">
        <v>1403</v>
      </c>
      <c r="B173" s="4" t="n">
        <v>3</v>
      </c>
      <c r="C173" s="4" t="inlineStr">
        <is>
          <t>سه ماهه اول</t>
        </is>
      </c>
      <c r="D173" s="4" t="inlineStr">
        <is>
          <t>حمل و نقل</t>
        </is>
      </c>
      <c r="E173" s="4" t="inlineStr">
        <is>
          <t>داخلی (حمل بار)</t>
        </is>
      </c>
      <c r="F173" s="4" t="inlineStr">
        <is>
          <t>تن</t>
        </is>
      </c>
      <c r="G173" s="5" t="n">
        <v>1984</v>
      </c>
      <c r="H173" s="5" t="n">
        <v>42335.5</v>
      </c>
      <c r="I173" s="4" t="inlineStr">
        <is>
          <t>عملکرد دوره جاری</t>
        </is>
      </c>
    </row>
    <row r="174">
      <c r="A174" s="4" t="n">
        <v>1403</v>
      </c>
      <c r="B174" s="4" t="n">
        <v>3</v>
      </c>
      <c r="C174" s="4" t="inlineStr">
        <is>
          <t>سه ماهه اول</t>
        </is>
      </c>
      <c r="D174" s="4" t="inlineStr">
        <is>
          <t>حمل و نقل</t>
        </is>
      </c>
      <c r="E174" s="4" t="inlineStr">
        <is>
          <t>داخلی (حمل بار)</t>
        </is>
      </c>
      <c r="F174" s="4" t="inlineStr">
        <is>
          <t>تن</t>
        </is>
      </c>
      <c r="G174" s="5" t="n">
        <v>1869.7</v>
      </c>
      <c r="H174" s="5" t="n">
        <v>43995.1</v>
      </c>
      <c r="I174" s="4" t="inlineStr">
        <is>
          <t>بودجه مصوب دوره</t>
        </is>
      </c>
    </row>
    <row r="175">
      <c r="A175" s="4" t="n">
        <v>1402</v>
      </c>
      <c r="B175" s="4" t="n">
        <v>3</v>
      </c>
      <c r="C175" s="4" t="inlineStr">
        <is>
          <t>سه ماهه اول</t>
        </is>
      </c>
      <c r="D175" s="4" t="inlineStr">
        <is>
          <t>حمل و نقل</t>
        </is>
      </c>
      <c r="E175" s="4" t="inlineStr">
        <is>
          <t>داخلی (حمل بار)</t>
        </is>
      </c>
      <c r="F175" s="4" t="inlineStr">
        <is>
          <t>تن</t>
        </is>
      </c>
      <c r="G175" s="5" t="n">
        <v>2144.4</v>
      </c>
      <c r="H175" s="5" t="n">
        <v>37645</v>
      </c>
      <c r="I175" s="4" t="inlineStr">
        <is>
          <t>عملکرد دوره مشابه سال قبل</t>
        </is>
      </c>
    </row>
    <row r="176">
      <c r="A176" s="4" t="n">
        <v>1403</v>
      </c>
      <c r="B176" s="4" t="n">
        <v>3</v>
      </c>
      <c r="C176" s="4" t="inlineStr">
        <is>
          <t>سه ماهه اول</t>
        </is>
      </c>
      <c r="D176" s="4" t="inlineStr">
        <is>
          <t>حمل و نقل</t>
        </is>
      </c>
      <c r="E176" s="4" t="inlineStr">
        <is>
          <t>بین المللی (صدور بارنامه)</t>
        </is>
      </c>
      <c r="F176" s="4" t="inlineStr">
        <is>
          <t>فقره</t>
        </is>
      </c>
      <c r="G176" s="5" t="n">
        <v>2695</v>
      </c>
      <c r="H176" s="5" t="n">
        <v>44220.4</v>
      </c>
      <c r="I176" s="4" t="inlineStr">
        <is>
          <t>عملکرد دوره جاری</t>
        </is>
      </c>
    </row>
    <row r="177">
      <c r="A177" s="4" t="n">
        <v>1403</v>
      </c>
      <c r="B177" s="4" t="n">
        <v>3</v>
      </c>
      <c r="C177" s="4" t="inlineStr">
        <is>
          <t>سه ماهه اول</t>
        </is>
      </c>
      <c r="D177" s="4" t="inlineStr">
        <is>
          <t>حمل و نقل</t>
        </is>
      </c>
      <c r="E177" s="4" t="inlineStr">
        <is>
          <t>بین المللی (صدور بارنامه)</t>
        </is>
      </c>
      <c r="F177" s="4" t="inlineStr">
        <is>
          <t>فقره</t>
        </is>
      </c>
      <c r="G177" s="5" t="n">
        <v>2566.3</v>
      </c>
      <c r="H177" s="5" t="n">
        <v>47217.9</v>
      </c>
      <c r="I177" s="4" t="inlineStr">
        <is>
          <t>بودجه مصوب دوره</t>
        </is>
      </c>
    </row>
    <row r="178">
      <c r="A178" s="4" t="n">
        <v>1402</v>
      </c>
      <c r="B178" s="4" t="n">
        <v>3</v>
      </c>
      <c r="C178" s="4" t="inlineStr">
        <is>
          <t>سه ماهه اول</t>
        </is>
      </c>
      <c r="D178" s="4" t="inlineStr">
        <is>
          <t>حمل و نقل</t>
        </is>
      </c>
      <c r="E178" s="4" t="inlineStr">
        <is>
          <t>بین المللی (صدور بارنامه)</t>
        </is>
      </c>
      <c r="F178" s="4" t="inlineStr">
        <is>
          <t>فقره</t>
        </is>
      </c>
      <c r="G178" s="5" t="n">
        <v>2446</v>
      </c>
      <c r="H178" s="5" t="n">
        <v>35413.1</v>
      </c>
      <c r="I178" s="4" t="inlineStr">
        <is>
          <t>عملکرد دوره مشابه سال قبل</t>
        </is>
      </c>
    </row>
    <row r="179">
      <c r="A179" s="4" t="n">
        <v>1403</v>
      </c>
      <c r="B179" s="4" t="n">
        <v>3</v>
      </c>
      <c r="C179" s="4" t="inlineStr">
        <is>
          <t>سه ماهه اول</t>
        </is>
      </c>
      <c r="D179" s="4" t="inlineStr">
        <is>
          <t>حمل و نقل</t>
        </is>
      </c>
      <c r="E179" s="4" t="inlineStr">
        <is>
          <t>بین المللی (حمل بار)</t>
        </is>
      </c>
      <c r="F179" s="4" t="inlineStr">
        <is>
          <t>تن</t>
        </is>
      </c>
      <c r="G179" s="5" t="n">
        <v>3337</v>
      </c>
      <c r="H179" s="5" t="n">
        <v>108610.9</v>
      </c>
      <c r="I179" s="4" t="inlineStr">
        <is>
          <t>عملکرد دوره جاری</t>
        </is>
      </c>
    </row>
    <row r="180">
      <c r="A180" s="4" t="n">
        <v>1403</v>
      </c>
      <c r="B180" s="4" t="n">
        <v>3</v>
      </c>
      <c r="C180" s="4" t="inlineStr">
        <is>
          <t>سه ماهه اول</t>
        </is>
      </c>
      <c r="D180" s="4" t="inlineStr">
        <is>
          <t>حمل و نقل</t>
        </is>
      </c>
      <c r="E180" s="4" t="inlineStr">
        <is>
          <t>بین المللی (حمل بار)</t>
        </is>
      </c>
      <c r="F180" s="4" t="inlineStr">
        <is>
          <t>تن</t>
        </is>
      </c>
      <c r="G180" s="5" t="n">
        <v>3621.3</v>
      </c>
      <c r="H180" s="5" t="n">
        <v>116675.7</v>
      </c>
      <c r="I180" s="4" t="inlineStr">
        <is>
          <t>بودجه مصوب دوره</t>
        </is>
      </c>
    </row>
    <row r="181">
      <c r="A181" s="4" t="n">
        <v>1402</v>
      </c>
      <c r="B181" s="4" t="n">
        <v>3</v>
      </c>
      <c r="C181" s="4" t="inlineStr">
        <is>
          <t>سه ماهه اول</t>
        </is>
      </c>
      <c r="D181" s="4" t="inlineStr">
        <is>
          <t>حمل و نقل</t>
        </is>
      </c>
      <c r="E181" s="4" t="inlineStr">
        <is>
          <t>بین المللی (حمل بار)</t>
        </is>
      </c>
      <c r="F181" s="4" t="inlineStr">
        <is>
          <t>تن</t>
        </is>
      </c>
      <c r="G181" s="5" t="n">
        <v>3372.9</v>
      </c>
      <c r="H181" s="5" t="n">
        <v>89267.10000000001</v>
      </c>
      <c r="I181" s="4" t="inlineStr">
        <is>
          <t>عملکرد دوره مشابه سال قبل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2026-10-04T07:26:15Z</dcterms:created>
  <dcterms:modified xmlns:dcterms="http://purl.org/dc/terms/" xmlns:xsi="http://www.w3.org/2001/XMLSchema-instance" xsi:type="dcterms:W3CDTF">2026-10-04T07:26:15Z</dcterms:modified>
</cp:coreProperties>
</file>